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50" yWindow="45" windowWidth="20520" windowHeight="6615" tabRatio="750"/>
  </bookViews>
  <sheets>
    <sheet name="Control Panel" sheetId="3" r:id="rId1"/>
    <sheet name="Capacity" sheetId="4" r:id="rId2"/>
    <sheet name="Loads" sheetId="54" r:id="rId3"/>
    <sheet name="CapData" sheetId="2" r:id="rId4"/>
    <sheet name="RPS NQC" sheetId="10" r:id="rId5"/>
    <sheet name="GeneralInputs" sheetId="6" r:id="rId6"/>
    <sheet name="2011 Prelim NQC Report" sheetId="18" r:id="rId7"/>
    <sheet name="Plants" sheetId="9" r:id="rId8"/>
    <sheet name="RPS_Scen" sheetId="48" r:id="rId9"/>
    <sheet name="LoadVars" sheetId="55" r:id="rId10"/>
    <sheet name="YearlyInputs" sheetId="56" r:id="rId11"/>
    <sheet name="Controls" sheetId="5" r:id="rId12"/>
    <sheet name="CPUCChanges" sheetId="49" r:id="rId13"/>
  </sheets>
  <externalReferences>
    <externalReference r:id="rId14"/>
    <externalReference r:id="rId15"/>
  </externalReferences>
  <definedNames>
    <definedName name="__123Graph_A" hidden="1">[1]Sheet1!#REF!</definedName>
    <definedName name="__123Graph_ADA" hidden="1">[1]Sheet1!#REF!</definedName>
    <definedName name="__123Graph_ADEPREC2" hidden="1">[1]Sheet1!#REF!</definedName>
    <definedName name="__123Graph_ATREND" hidden="1">[1]Sheet1!#REF!</definedName>
    <definedName name="__123Graph_B" hidden="1">[1]Sheet1!#REF!</definedName>
    <definedName name="__123Graph_BTREND" hidden="1">[1]Sheet1!#REF!</definedName>
    <definedName name="__123Graph_C" hidden="1">[1]Sheet1!#REF!</definedName>
    <definedName name="__123Graph_CTREND" hidden="1">[1]Sheet1!#REF!</definedName>
    <definedName name="__123Graph_X" hidden="1">[1]Sheet1!#REF!</definedName>
    <definedName name="__123Graph_XTREND" hidden="1">[1]Sheet1!#REF!</definedName>
    <definedName name="__FDS_HYPERLINK_TOGGLE_STATE__" hidden="1">"ON"</definedName>
    <definedName name="_1__123Graph_A_FABP_L.WK1_FAB" hidden="1">[1]Sheet1!#REF!</definedName>
    <definedName name="_2__123Graph_ADEPREC" hidden="1">[1]Sheet1!#REF!</definedName>
    <definedName name="_3__123Graph_B_FABP_L.WK1_FAB" hidden="1">[1]Sheet1!#REF!</definedName>
    <definedName name="_4__123Graph_C_FABP_L.WK1_FAB" hidden="1">[1]Sheet1!#REF!</definedName>
    <definedName name="_5__123Graph_X_FABP_L.WK1_FAB" hidden="1">[1]Sheet1!#REF!</definedName>
    <definedName name="_Fill" hidden="1">#REF!</definedName>
    <definedName name="_xlnm._FilterDatabase" localSheetId="6" hidden="1">'2011 Prelim NQC Report'!$A$2:$V$650</definedName>
    <definedName name="_xlnm._FilterDatabase" localSheetId="9" hidden="1">LoadVars!$A$7:$AB$123</definedName>
    <definedName name="_xlnm._FilterDatabase" localSheetId="7" hidden="1">Plants!$A$28:$AB$160</definedName>
    <definedName name="_xlnm._FilterDatabase" localSheetId="8" hidden="1">RPS_Scen!$A$10:$AG$1634</definedName>
    <definedName name="_xlnm._FilterDatabase" localSheetId="10" hidden="1">YearlyInputs!$B$4:$AH$30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anscount" hidden="1">3</definedName>
    <definedName name="BLPB1" hidden="1">'[2]One-Pager'!$A$5</definedName>
    <definedName name="BLPB2" hidden="1">'[2]One-Pager'!$B$5</definedName>
    <definedName name="BLPB3" hidden="1">'[2]One-Pager'!$A$6</definedName>
    <definedName name="BLPB4" hidden="1">'[2]One-Pager'!$A$2</definedName>
    <definedName name="BLPB5" hidden="1">'[2]One-Pager'!$Q$3</definedName>
    <definedName name="BLPB6" hidden="1">'[2]One-Pager'!$I$2</definedName>
    <definedName name="BLPB7" hidden="1">'[2]One-Pager'!$G$2</definedName>
    <definedName name="BLPB8" hidden="1">'[2]One-Pager'!$F$6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3" hidden="1">#REF!</definedName>
    <definedName name="BLPH14" hidden="1">#REF!</definedName>
    <definedName name="BLPH2" hidden="1">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#REF!</definedName>
    <definedName name="chgType">Controls!$H$6:$H$10</definedName>
    <definedName name="ctExistingNQC">Controls!$K$8</definedName>
    <definedName name="ctLoadVar">Controls!$K$13</definedName>
    <definedName name="ctPlants">Controls!$K$5</definedName>
    <definedName name="ctRPSproj">Controls!$K$10</definedName>
    <definedName name="ctRPSsupply">Controls!$K$7</definedName>
    <definedName name="ctScen">Controls!$K$11</definedName>
    <definedName name="ctVars">Controls!$K$12</definedName>
    <definedName name="EarningsModel" localSheetId="12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EarningsModel" localSheetId="8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EarningsModel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FDP_0_1_aUrv" hidden="1">#REF!</definedName>
    <definedName name="FDP_1_1_aUrv" hidden="1">#REF!</definedName>
    <definedName name="FDP_10_1_aDrv" hidden="1">#REF!</definedName>
    <definedName name="FDP_100_1_aUrv" hidden="1">#REF!</definedName>
    <definedName name="FDP_101_1_aUrv" hidden="1">#REF!</definedName>
    <definedName name="FDP_102_1_aUrv" hidden="1">#REF!</definedName>
    <definedName name="FDP_103_1_aUrv" hidden="1">#REF!</definedName>
    <definedName name="FDP_104_1_aUrv" hidden="1">#REF!</definedName>
    <definedName name="FDP_105_1_aUrv" hidden="1">#REF!</definedName>
    <definedName name="FDP_106_1_aUrv" hidden="1">#REF!</definedName>
    <definedName name="FDP_107_1_aUrv" hidden="1">#REF!</definedName>
    <definedName name="FDP_108_1_aUrv" hidden="1">#REF!</definedName>
    <definedName name="FDP_109_1_aUrv" hidden="1">#REF!</definedName>
    <definedName name="FDP_11_1_aDrv" hidden="1">#REF!</definedName>
    <definedName name="FDP_110_1_aU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16_1_aUrv" hidden="1">#REF!</definedName>
    <definedName name="FDP_117_1_aUrv" hidden="1">#REF!</definedName>
    <definedName name="FDP_118_1_aUrv" hidden="1">#REF!</definedName>
    <definedName name="FDP_119_1_aUrv" hidden="1">#REF!</definedName>
    <definedName name="FDP_12_1_aDrv" hidden="1">#REF!</definedName>
    <definedName name="FDP_120_1_aUrv" hidden="1">#REF!</definedName>
    <definedName name="FDP_121_1_aUrv" hidden="1">#REF!</definedName>
    <definedName name="FDP_122_1_aUrv" hidden="1">#REF!</definedName>
    <definedName name="FDP_123_1_aUrv" hidden="1">#REF!</definedName>
    <definedName name="FDP_124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Urv" hidden="1">#REF!</definedName>
    <definedName name="FDP_130_1_aUrv" hidden="1">#REF!</definedName>
    <definedName name="FDP_131_1_aSrv" hidden="1">#REF!</definedName>
    <definedName name="FDP_132_1_aUrv" hidden="1">#REF!</definedName>
    <definedName name="FDP_133_1_aUrv" hidden="1">#REF!</definedName>
    <definedName name="FDP_134_1_aUrv" hidden="1">#REF!</definedName>
    <definedName name="FDP_135_1_aUrv" hidden="1">#REF!</definedName>
    <definedName name="FDP_136_1_aSrv" hidden="1">#REF!</definedName>
    <definedName name="FDP_137_1_aUrv" hidden="1">#REF!</definedName>
    <definedName name="FDP_138_1_aUrv" hidden="1">#REF!</definedName>
    <definedName name="FDP_139_1_aUrv" hidden="1">#REF!</definedName>
    <definedName name="FDP_14_1_aUrv" hidden="1">#REF!</definedName>
    <definedName name="FDP_140_1_aUrv" hidden="1">#REF!</definedName>
    <definedName name="FDP_141_1_aUrv" hidden="1">#REF!</definedName>
    <definedName name="FDP_142_1_aUrv" hidden="1">#REF!</definedName>
    <definedName name="FDP_143_1_aUrv" hidden="1">#REF!</definedName>
    <definedName name="FDP_144_1_aUrv" hidden="1">#REF!</definedName>
    <definedName name="FDP_145_1_aUrv" hidden="1">#REF!</definedName>
    <definedName name="FDP_146_1_aUrv" hidden="1">#REF!</definedName>
    <definedName name="FDP_147_1_aUrv" hidden="1">#REF!</definedName>
    <definedName name="FDP_148_1_aUrv" hidden="1">#REF!</definedName>
    <definedName name="FDP_149_1_aUrv" hidden="1">#REF!</definedName>
    <definedName name="FDP_15_1_aUrv" hidden="1">#REF!</definedName>
    <definedName name="FDP_150_1_aSrv" hidden="1">#REF!</definedName>
    <definedName name="FDP_151_1_aUrv" hidden="1">#REF!</definedName>
    <definedName name="FDP_152_1_aSrv" hidden="1">#REF!</definedName>
    <definedName name="FDP_153_1_aUrv" hidden="1">#REF!</definedName>
    <definedName name="FDP_154_1_aSrv" hidden="1">#REF!</definedName>
    <definedName name="FDP_155_1_aUrv" hidden="1">#REF!</definedName>
    <definedName name="FDP_156_1_aSrv" hidden="1">#REF!</definedName>
    <definedName name="FDP_157_1_aUrv" hidden="1">#REF!</definedName>
    <definedName name="FDP_158_1_aSrv" hidden="1">#REF!</definedName>
    <definedName name="FDP_159_1_aUrv" hidden="1">#REF!</definedName>
    <definedName name="FDP_16_1_aUrv" hidden="1">#REF!</definedName>
    <definedName name="FDP_160_1_aSrv" hidden="1">#REF!</definedName>
    <definedName name="FDP_161_1_aDrv" hidden="1">#REF!</definedName>
    <definedName name="FDP_162_1_aDrv" hidden="1">#REF!</definedName>
    <definedName name="FDP_163_1_aDrv" hidden="1">#REF!</definedName>
    <definedName name="FDP_164_1_aDrv" hidden="1">#REF!</definedName>
    <definedName name="FDP_165_1_aDrv" hidden="1">#REF!</definedName>
    <definedName name="FDP_166_1_aDrv" hidden="1">#REF!</definedName>
    <definedName name="FDP_167_1_aDrv" hidden="1">#REF!</definedName>
    <definedName name="FDP_168_1_aDrv" hidden="1">#REF!</definedName>
    <definedName name="FDP_169_1_aDrv" hidden="1">#REF!</definedName>
    <definedName name="FDP_17_1_aUrv" hidden="1">#REF!</definedName>
    <definedName name="FDP_170_1_aDrv" hidden="1">#REF!</definedName>
    <definedName name="FDP_171_1_aDrv" hidden="1">#REF!</definedName>
    <definedName name="FDP_172_1_aDrv" hidden="1">#REF!</definedName>
    <definedName name="FDP_173_1_aDrv" hidden="1">#REF!</definedName>
    <definedName name="FDP_174_1_aUrv" hidden="1">#REF!</definedName>
    <definedName name="FDP_175_1_aUrv" hidden="1">#REF!</definedName>
    <definedName name="FDP_176_1_aUrv" hidden="1">#REF!</definedName>
    <definedName name="FDP_177_1_aUrv" hidden="1">#REF!</definedName>
    <definedName name="FDP_178_1_aUrv" hidden="1">#REF!</definedName>
    <definedName name="FDP_179_1_aUrv" hidden="1">#REF!</definedName>
    <definedName name="FDP_18_1_aUrv" hidden="1">#REF!</definedName>
    <definedName name="FDP_180_1_aUdv" hidden="1">#REF!</definedName>
    <definedName name="FDP_181_1_aUdv" hidden="1">#REF!</definedName>
    <definedName name="FDP_182_1_aUdv" hidden="1">#REF!</definedName>
    <definedName name="FDP_183_1_aUdv" hidden="1">#REF!</definedName>
    <definedName name="FDP_184_1_aUdv" hidden="1">#REF!</definedName>
    <definedName name="FDP_185_1_aUdv" hidden="1">#REF!</definedName>
    <definedName name="FDP_186_1_aUdv" hidden="1">#REF!</definedName>
    <definedName name="FDP_187_1_aUdv" hidden="1">#REF!</definedName>
    <definedName name="FDP_188_1_aUdv" hidden="1">#REF!</definedName>
    <definedName name="FDP_189_1_aUdv" hidden="1">#REF!</definedName>
    <definedName name="FDP_19_1_aUrv" hidden="1">#REF!</definedName>
    <definedName name="FDP_190_1_aUdv" hidden="1">#REF!</definedName>
    <definedName name="FDP_191_1_aUdv" hidden="1">#REF!</definedName>
    <definedName name="FDP_192_1_aUdv" hidden="1">#REF!</definedName>
    <definedName name="FDP_193_1_aUdv" hidden="1">#REF!</definedName>
    <definedName name="FDP_194_1_aUdv" hidden="1">#REF!</definedName>
    <definedName name="FDP_195_1_aUdv" hidden="1">#REF!</definedName>
    <definedName name="FDP_196_1_aUdv" hidden="1">#REF!</definedName>
    <definedName name="FDP_196_1aUdv1" hidden="1">#REF!</definedName>
    <definedName name="FDP_197_1_aUdv" hidden="1">#REF!</definedName>
    <definedName name="FDP_198_1_aUdv" hidden="1">#REF!</definedName>
    <definedName name="FDP_199_1_aUdv" hidden="1">#REF!</definedName>
    <definedName name="FDP_2_1_aUrv" hidden="1">#REF!</definedName>
    <definedName name="FDP_20_1_aUrv" hidden="1">#REF!</definedName>
    <definedName name="FDP_21_1_aUrv" hidden="1">#REF!</definedName>
    <definedName name="FDP_22_1_aUrv" hidden="1">#REF!</definedName>
    <definedName name="FDP_23_1_aDrv" hidden="1">#REF!</definedName>
    <definedName name="FDP_24_1_aUrv" hidden="1">#REF!</definedName>
    <definedName name="FDP_25_1_aUrv" hidden="1">#REF!</definedName>
    <definedName name="FDP_26_1_aUrv" hidden="1">#REF!</definedName>
    <definedName name="FDP_27_1_aUrv" hidden="1">#REF!</definedName>
    <definedName name="FDP_28_1_aUrv" hidden="1">#REF!</definedName>
    <definedName name="FDP_29_1_aDrv" hidden="1">#REF!</definedName>
    <definedName name="FDP_3_1_aUrv" hidden="1">#REF!</definedName>
    <definedName name="FDP_30_1_aUrv" hidden="1">#REF!</definedName>
    <definedName name="FDP_31_1_aUrv" hidden="1">#REF!</definedName>
    <definedName name="FDP_32_1_aUrv" hidden="1">#REF!</definedName>
    <definedName name="FDP_33_1_aUrv" hidden="1">#REF!</definedName>
    <definedName name="FDP_34_1_aUrv" hidden="1">#REF!</definedName>
    <definedName name="FDP_35_1_aS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_1_aUrv" hidden="1">#REF!</definedName>
    <definedName name="FDP_40_1_aUrv" hidden="1">#REF!</definedName>
    <definedName name="FDP_41_1_aSrv" hidden="1">#REF!</definedName>
    <definedName name="FDP_42_1_aS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Srv" hidden="1">#REF!</definedName>
    <definedName name="FDP_49_1_aUrv" hidden="1">#REF!</definedName>
    <definedName name="FDP_5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4_1_aUrv" hidden="1">#REF!</definedName>
    <definedName name="FDP_55_1_aUrv" hidden="1">#REF!</definedName>
    <definedName name="FDP_56_1_aUrv" hidden="1">#REF!</definedName>
    <definedName name="FDP_57_1_aUrv" hidden="1">#REF!</definedName>
    <definedName name="FDP_58_1_aUrv" hidden="1">#REF!</definedName>
    <definedName name="FDP_59_1_aUrv" hidden="1">#REF!</definedName>
    <definedName name="FDP_6_1_aUrv" hidden="1">#REF!</definedName>
    <definedName name="FDP_60_1_aUrv" hidden="1">#REF!</definedName>
    <definedName name="FDP_61_1_aSrv" hidden="1">#REF!</definedName>
    <definedName name="FDP_62_1_aSrv" hidden="1">#REF!</definedName>
    <definedName name="FDP_63_1_aUrv" hidden="1">#REF!</definedName>
    <definedName name="FDP_64_1_aSrv" hidden="1">#REF!</definedName>
    <definedName name="FDP_65_1_aSrv" hidden="1">#REF!</definedName>
    <definedName name="FDP_66_1_aUrv" hidden="1">#REF!</definedName>
    <definedName name="FDP_67_1_aUrv" hidden="1">#REF!</definedName>
    <definedName name="FDP_68_1_aUrv" hidden="1">#REF!</definedName>
    <definedName name="FDP_69_1_aUrv" hidden="1">#REF!</definedName>
    <definedName name="FDP_7_1_aUrv" hidden="1">#REF!</definedName>
    <definedName name="FDP_70_1_aDrv" hidden="1">#REF!</definedName>
    <definedName name="FDP_71_1_aUrv" hidden="1">#REF!</definedName>
    <definedName name="FDP_72_1_aDrv" hidden="1">#REF!</definedName>
    <definedName name="FDP_73_1_aUrv" hidden="1">#REF!</definedName>
    <definedName name="FDP_74_1_aUrv" hidden="1">#REF!</definedName>
    <definedName name="FDP_75_1_aSrv" hidden="1">#REF!</definedName>
    <definedName name="FDP_76_1_aUrv" hidden="1">#REF!</definedName>
    <definedName name="FDP_77_1_aUrv" hidden="1">#REF!</definedName>
    <definedName name="FDP_78_1_aUrv" hidden="1">#REF!</definedName>
    <definedName name="FDP_79_1_aUrv" hidden="1">#REF!</definedName>
    <definedName name="FDP_8_1_aDrv" hidden="1">#REF!</definedName>
    <definedName name="FDP_80_1_aUrv" hidden="1">#REF!</definedName>
    <definedName name="FDP_81_1_aSrv" hidden="1">#REF!</definedName>
    <definedName name="FDP_82_1_aUrv" hidden="1">#REF!</definedName>
    <definedName name="FDP_83_1_aSrv" hidden="1">#REF!</definedName>
    <definedName name="FDP_84_1_aUrv" hidden="1">#REF!</definedName>
    <definedName name="FDP_85_1_aUrv" hidden="1">#REF!</definedName>
    <definedName name="FDP_86_1_aUrv" hidden="1">#REF!</definedName>
    <definedName name="FDP_87_1_aSrv" hidden="1">#REF!</definedName>
    <definedName name="FDP_88_1_aUrv" hidden="1">#REF!</definedName>
    <definedName name="FDP_89_1_aSrv" hidden="1">#REF!</definedName>
    <definedName name="FDP_9_1_aDrv" hidden="1">#REF!</definedName>
    <definedName name="FDP_90_1_aUrv" hidden="1">#REF!</definedName>
    <definedName name="FDP_91_1_aUrv" hidden="1">#REF!</definedName>
    <definedName name="FDP_92_1_aSrv" hidden="1">#REF!</definedName>
    <definedName name="FDP_93_1_aDrv" hidden="1">#REF!</definedName>
    <definedName name="FDP_94_1_aUrv" hidden="1">#REF!</definedName>
    <definedName name="FDP_95_1_aUrv" hidden="1">#REF!</definedName>
    <definedName name="FDP_96_1_aUrv" hidden="1">#REF!</definedName>
    <definedName name="FDP_97_1_aUrv" hidden="1">#REF!</definedName>
    <definedName name="FDP_98_1_aUrv" hidden="1">#REF!</definedName>
    <definedName name="FDP_99_1_aUrv" hidden="1">#REF!</definedName>
    <definedName name="HTML_CodePage" hidden="1">1252</definedName>
    <definedName name="HTML_Control" hidden="1">{"'Summary'!$A$1:$J$24"}</definedName>
    <definedName name="HTML_Description" hidden="1">""</definedName>
    <definedName name="HTML_Email" hidden="1">""</definedName>
    <definedName name="HTML_Header" hidden="1">""</definedName>
    <definedName name="HTML_LastUpdate" hidden="1">"10/13/1999"</definedName>
    <definedName name="HTML_LineAfter" hidden="1">FALSE</definedName>
    <definedName name="HTML_LineBefore" hidden="1">FALSE</definedName>
    <definedName name="HTML_Name" hidden="1">"Sharim Chaudhury"</definedName>
    <definedName name="HTML_OBDlg2" hidden="1">TRUE</definedName>
    <definedName name="HTML_OBDlg4" hidden="1">TRUE</definedName>
    <definedName name="HTML_OS" hidden="1">0</definedName>
    <definedName name="HTML_PathFile" hidden="1">"W:\19991013\default.htm"</definedName>
    <definedName name="HTML_Title" hidden="1">"Daily MTM  Report"</definedName>
    <definedName name="IOUshares">GeneralInputs!$D$49:$D$51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GROWTH_1" hidden="1">"IQ_EBIT_GROWTH_1"</definedName>
    <definedName name="IQ_EBIT_GROWTH_2" hidden="1">"IQ_EBIT_GROWTH_2"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GROWTH_1" hidden="1">"IQ_EBITDA_GROWTH_1"</definedName>
    <definedName name="IQ_EBITDA_GROWTH_2" hidden="1">"IQ_EBITDA_GROWTH_2"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" hidden="1">"c1635"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Y" hidden="1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LT_DEBT" hidden="1">"c2086"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UTSTANDING_FILING_DATE_TOTAL" hidden="1">"c2107"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TARGET" hidden="1">"c82"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" hidden="1">"IQ_REVENUE_EST"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39146.6970023148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LASTCLOSE" hidden="1">"c1855"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limcount" hidden="1">3</definedName>
    <definedName name="month">Controls!$K$9</definedName>
    <definedName name="PRM">Controls!$K$6</definedName>
    <definedName name="region">Controls!$H$13:$H$15</definedName>
    <definedName name="rngScenario">OFFSET(Controls!$C$7,0,0,ctScen,1)</definedName>
    <definedName name="scenario">Controls!$B$6</definedName>
    <definedName name="scenGen">Controls!$D$6</definedName>
    <definedName name="scenLoad">Controls!$E$6</definedName>
    <definedName name="scenRPS">Controls!$F$6</definedName>
    <definedName name="sencount" hidden="1">1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wrn.ALL." hidden="1">{#N/A,#N/A,FALSE,"ASSUMPTIONS";#N/A,#N/A,FALSE,"Valuation Summary";"page1",#N/A,FALSE,"PRESENTATION";"page2",#N/A,FALSE,"PRESENTATION";#N/A,#N/A,FALSE,"ORIGINAL_ROLLBACK"}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FullReport." hidden="1">{#N/A,#N/A,TRUE,"Cover";#N/A,#N/A,TRUE,"SummPTB";#N/A,#N/A,TRUE,"Vaccover";#N/A,#N/A,TRUE,"VacPTB";#N/A,#N/A,TRUE,"VacSumm";#N/A,#N/A,TRUE,"Vacbrkpg";#N/A,#N/A,TRUE,"Opt105";#N/A,#N/A,TRUE,"Opt95";#N/A,#N/A,TRUE,"Opt85";#N/A,#N/A,TRUE,"Opt75";#N/A,#N/A,TRUE,"Opt55LT";#N/A,#N/A,TRUE,"WPVAccrual";#N/A,#N/A,TRUE,"Sikcover";#N/A,#N/A,TRUE,"SikPTB";#N/A,#N/A,TRUE,"SikSumm";#N/A,#N/A,TRUE,"SikPgB";#N/A,#N/A,TRUE,"BH";#N/A,#N/A,TRUE,"Res";#N/A,#N/A,TRUE,"WPSAccrual"}</definedName>
    <definedName name="wrn.FY97SBP." hidden="1">{#N/A,#N/A,FALSE,"FY97";#N/A,#N/A,FALSE,"FY98";#N/A,#N/A,FALSE,"FY99";#N/A,#N/A,FALSE,"FY00";#N/A,#N/A,FALSE,"FY01"}</definedName>
    <definedName name="wrn.PRES_OUT." hidden="1">{"page1",#N/A,FALSE,"PRESENTATION";"page2",#N/A,FALSE,"PRESENTATION";#N/A,#N/A,FALSE,"Valuation Summary"}</definedName>
    <definedName name="wrn.Presentation._.Version._.but._.No._.WC._.Slide." hidden="1">{"Presentation View",#N/A,TRUE,"Cover";"Presentation View",#N/A,TRUE,"Hilight_YTD";"Presentation View",#N/A,TRUE,"BridgeP";"Presentation View",#N/A,TRUE,"Bridge00";"Presentation View",#N/A,TRUE,"cnsoled_IS";"Presentation View",#N/A,TRUE,"cnsol_incYTD v plan";"Presentation View",#N/A,TRUE,"cnsol_incYTD v PY";"Presentation View",#N/A,TRUE,"Fcst1 qtrly";"Presentation View",#N/A,TRUE,"Fcst1 Qtrly Earnings";"Presentation View",#N/A,TRUE,"AR";"Presentation View",#N/A,TRUE,"INV";"Presentation View",#N/A,TRUE,"Inc Trend";"Presentation View",#N/A,TRUE,"cnsol_inc v p";"Presentation View",#N/A,TRUE,"cnsol_inc v PY";"Presentation View",#N/A,TRUE,"F1 BS";"Presentation View2",#N/A,TRUE,"cash flow";"Presentation View",#N/A,TRUE,"TITLE PF";"Presentation View",#N/A,TRUE,"cnsol_incYTDpf v PYpf";"Presentation View",#N/A,TRUE,"cnsol_inc v PYpf";"Presentation View",#N/A,TRUE,"CapExPF";"Presentation View",#N/A,TRUE,"Major Projects";"Presentation View",#N/A,TRUE,"MAR"}</definedName>
    <definedName name="wrn.Print._.1_8." hidden="1">{"spreadsheet1-8","1",FALSE,"Scenarios 1-8";"spreadsheet1-8","2",FALSE,"Scenarios 1-8";"spreadsheet1-8","3",FALSE,"Scenarios 1-8";"spreadsheet1-8","4",FALSE,"Scenarios 1-8";"spreadsheet1-8","5",FALSE,"Scenarios 1-8";"spreadsheet1-8","6",FALSE,"Scenarios 1-8";"spreadsheet1-8","7",FALSE,"Scenarios 1-8";"spreadsheet1-8","8",FALSE,"Scenarios 1-8"}</definedName>
    <definedName name="wrn.Print._.9_16." hidden="1">{"Spreadsheet9-16","9",FALSE,"Scenarios 9-16";"Spreadsheet9-16","10",FALSE,"Scenarios 9-16";"Spreadsheet9-16","11",FALSE,"Scenarios 9-16";"Spreadsheet9-16","12",FALSE,"Scenarios 9-16";"Spreadsheet9-16","13",FALSE,"Scenarios 9-16";"Spreadsheet9-16","14",FALSE,"Scenarios 9-16";"Spreadsheet9-16","15",FALSE,"Scenarios 9-16";"Spreadsheet9-16","16",FALSE,"Scenarios 9-16"}</definedName>
    <definedName name="wrn.PRINT_CURRENT._.PAGE." hidden="1">{"CURRENT",#N/A,FALSE,"REGISTER"}</definedName>
    <definedName name="wrn.PRINT_HISTORY." hidden="1">{"HISTORY",#N/A,FALSE,"REGISTER"}</definedName>
    <definedName name="wrn.printall." hidden="1">{"page1",#N/A,FALSE,"DCM";"page2",#N/A,FALSE,"DCM";"page3",#N/A,FALSE,"DCM";"page4",#N/A,FALSE,"DCM";"page5",#N/A,FALSE,"DCM";"page6",#N/A,FALSE,"DCM";"page7",#N/A,FALSE,"DCM";"page8",#N/A,FALSE,"DCM"}</definedName>
    <definedName name="wrn.sum1." hidden="1">{"Summary","1",FALSE,"Summary"}</definedName>
    <definedName name="wrn.Summary." hidden="1">{"page1",#N/A,FALSE,"DCM";"page3",#N/A,FALSE,"DCM"}</definedName>
    <definedName name="wrn.Working._.Version." hidden="1">{"Working View with Notes2",#N/A,TRUE,"Hilight_YTD";"Working View with Notes2",#N/A,TRUE,"BridgeP";"Working View with Notes2",#N/A,TRUE,"Bridge00";"Working View with Notes2",#N/A,TRUE,"cnsoled_IS";"Working View with Notes2",#N/A,TRUE,"cnsol_incYTD v plan";"Working View with Notes2",#N/A,TRUE,"cnsol_incYTD v PY";"Working View with Notes2",#N/A,TRUE,"Fcst1 qtrly";"Working View with Notes2",#N/A,TRUE,"Fcst1 Qtrly Earnings";"Working View with Notes2",#N/A,TRUE,"AR";"Working View with Notes2",#N/A,TRUE,"INV";"Working View with Notes2",#N/A,TRUE,"Inc Trend";"Working View with Notes2",#N/A,TRUE,"cnsol_inc v p";"Working View with Notes2",#N/A,TRUE,"cnsol_inc v PY";"Working View with Notes2",#N/A,TRUE,"F1 BS";"Working View with Notes2",#N/A,TRUE,"cash flow";"Working View with Notes2",#N/A,TRUE,"TITLE PF";"Working View with Notes2",#N/A,TRUE,"cnsol_incYTDpf v PYpf";"Working View with Notes2",#N/A,TRUE,"cnsol_inc v PYpf";"Working View with Notes2",#N/A,TRUE,"CapExPF";"Working View with Notes2",#N/A,TRUE,"Major Projects";"Working View with Notes2",#N/A,TRUE,"MAR"}</definedName>
    <definedName name="wrn.workpapers." hidden="1">{#N/A,#N/A,FALSE,"Inputs And Assumptions";#N/A,#N/A,FALSE,"Revenue Allocation";#N/A,#N/A,FALSE,"RSP Surch Allocations";#N/A,#N/A,FALSE,"Generation Calculations";#N/A,#N/A,FALSE,"Test Year 2001 Sales and Revs."}</definedName>
    <definedName name="wrn1.fullreport" hidden="1">{#N/A,#N/A,TRUE,"Cover";#N/A,#N/A,TRUE,"SummPTB";#N/A,#N/A,TRUE,"Vaccover";#N/A,#N/A,TRUE,"VacPTB";#N/A,#N/A,TRUE,"VacSumm";#N/A,#N/A,TRUE,"Vacbrkpg";#N/A,#N/A,TRUE,"Opt105";#N/A,#N/A,TRUE,"Opt95";#N/A,#N/A,TRUE,"Opt85";#N/A,#N/A,TRUE,"Opt75";#N/A,#N/A,TRUE,"Opt55LT";#N/A,#N/A,TRUE,"WPVAccrual";#N/A,#N/A,TRUE,"Sikcover";#N/A,#N/A,TRUE,"SikPTB";#N/A,#N/A,TRUE,"SikSumm";#N/A,#N/A,TRUE,"SikPgB";#N/A,#N/A,TRUE,"BH";#N/A,#N/A,TRUE,"Res";#N/A,#N/A,TRUE,"WPSAccrual"}</definedName>
    <definedName name="wrn1.printall" hidden="1">{"page1",#N/A,FALSE,"DCM";"page2",#N/A,FALSE,"DCM";"page3",#N/A,FALSE,"DCM";"page4",#N/A,FALSE,"DCM";"page5",#N/A,FALSE,"DCM";"page6",#N/A,FALSE,"DCM";"page7",#N/A,FALSE,"DCM";"page8",#N/A,FALSE,"DCM"}</definedName>
  </definedNames>
  <calcPr calcId="145621" calcMode="autoNoTable"/>
</workbook>
</file>

<file path=xl/calcChain.xml><?xml version="1.0" encoding="utf-8"?>
<calcChain xmlns="http://schemas.openxmlformats.org/spreadsheetml/2006/main">
  <c r="K11" i="5" l="1"/>
  <c r="A22" i="9" l="1"/>
  <c r="C103" i="9"/>
  <c r="C102" i="9"/>
  <c r="C134" i="9"/>
  <c r="C133" i="9"/>
  <c r="K1475" i="48" l="1"/>
  <c r="K1474" i="48"/>
  <c r="K1473" i="48"/>
  <c r="K1472" i="48"/>
  <c r="K1471" i="48"/>
  <c r="K1470" i="48"/>
  <c r="K1469" i="48"/>
  <c r="K1468" i="48"/>
  <c r="K1467" i="48"/>
  <c r="K1466" i="48"/>
  <c r="K1465" i="48"/>
  <c r="K1464" i="48"/>
  <c r="K1463" i="48"/>
  <c r="K1462" i="48"/>
  <c r="K1461" i="48"/>
  <c r="K1460" i="48"/>
  <c r="K1459" i="48"/>
  <c r="K1458" i="48"/>
  <c r="K1457" i="48"/>
  <c r="K1456" i="48"/>
  <c r="K1455" i="48"/>
  <c r="K1454" i="48"/>
  <c r="K1453" i="48"/>
  <c r="K1452" i="48"/>
  <c r="K1451" i="48"/>
  <c r="K1450" i="48"/>
  <c r="K1449" i="48"/>
  <c r="K1448" i="48"/>
  <c r="K1447" i="48"/>
  <c r="K1446" i="48"/>
  <c r="K1445" i="48"/>
  <c r="K1444" i="48"/>
  <c r="K1443" i="48"/>
  <c r="K1442" i="48"/>
  <c r="K1441" i="48"/>
  <c r="K1440" i="48"/>
  <c r="K1439" i="48"/>
  <c r="K1438" i="48"/>
  <c r="K1437" i="48"/>
  <c r="K1436" i="48"/>
  <c r="K1435" i="48"/>
  <c r="K1434" i="48"/>
  <c r="K1433" i="48"/>
  <c r="K1432" i="48"/>
  <c r="K1431" i="48"/>
  <c r="K1430" i="48"/>
  <c r="K1429" i="48"/>
  <c r="K1428" i="48"/>
  <c r="K1427" i="48"/>
  <c r="K1426" i="48"/>
  <c r="K1425" i="48"/>
  <c r="K1424" i="48"/>
  <c r="K1423" i="48"/>
  <c r="K1422" i="48"/>
  <c r="K1421" i="48"/>
  <c r="K1420" i="48"/>
  <c r="K1419" i="48"/>
  <c r="K1418" i="48"/>
  <c r="K1417" i="48"/>
  <c r="K1416" i="48"/>
  <c r="K1415" i="48"/>
  <c r="K1414" i="48"/>
  <c r="K1413" i="48"/>
  <c r="K1412" i="48"/>
  <c r="K1411" i="48"/>
  <c r="K1410" i="48"/>
  <c r="K1409" i="48"/>
  <c r="K1408" i="48"/>
  <c r="K1407" i="48"/>
  <c r="K1403" i="48"/>
  <c r="K1402" i="48"/>
  <c r="K1401" i="48"/>
  <c r="K1400" i="48"/>
  <c r="K1399" i="48"/>
  <c r="K1398" i="48"/>
  <c r="K1397" i="48"/>
  <c r="K1396" i="48"/>
  <c r="K1395" i="48"/>
  <c r="K1394" i="48"/>
  <c r="K1393" i="48"/>
  <c r="K1392" i="48"/>
  <c r="K1391" i="48"/>
  <c r="K1390" i="48"/>
  <c r="K1389" i="48"/>
  <c r="K1388" i="48"/>
  <c r="K1387" i="48"/>
  <c r="K1386" i="48"/>
  <c r="K1385" i="48"/>
  <c r="K1384" i="48"/>
  <c r="K1383" i="48"/>
  <c r="K1382" i="48"/>
  <c r="K1381" i="48"/>
  <c r="K1380" i="48"/>
  <c r="K1379" i="48"/>
  <c r="K1378" i="48"/>
  <c r="K1377" i="48"/>
  <c r="K1376" i="48"/>
  <c r="K1375" i="48"/>
  <c r="K1374" i="48"/>
  <c r="K1373" i="48"/>
  <c r="K1372" i="48"/>
  <c r="K1371" i="48"/>
  <c r="K1370" i="48"/>
  <c r="K1369" i="48"/>
  <c r="K1368" i="48"/>
  <c r="K1367" i="48"/>
  <c r="K1366" i="48"/>
  <c r="K1365" i="48"/>
  <c r="K1364" i="48"/>
  <c r="K1363" i="48"/>
  <c r="K1362" i="48"/>
  <c r="K1361" i="48"/>
  <c r="K1360" i="48"/>
  <c r="K1359" i="48"/>
  <c r="K1358" i="48"/>
  <c r="K1357" i="48"/>
  <c r="K1356" i="48"/>
  <c r="K1355" i="48"/>
  <c r="K1354" i="48"/>
  <c r="K1353" i="48"/>
  <c r="K1352" i="48"/>
  <c r="K1351" i="48"/>
  <c r="K1350" i="48"/>
  <c r="K1349" i="48"/>
  <c r="K1348" i="48"/>
  <c r="K1347" i="48"/>
  <c r="K1346" i="48"/>
  <c r="K1345" i="48"/>
  <c r="K1344" i="48"/>
  <c r="K1343" i="48"/>
  <c r="K1342" i="48"/>
  <c r="K1341" i="48"/>
  <c r="K1340" i="48"/>
  <c r="K1339" i="48"/>
  <c r="K1338" i="48"/>
  <c r="K1337" i="48"/>
  <c r="K1336" i="48"/>
  <c r="K1335" i="48"/>
  <c r="K1334" i="48"/>
  <c r="K1333" i="48"/>
  <c r="K1332" i="48"/>
  <c r="K1331" i="48"/>
  <c r="K1330" i="48"/>
  <c r="K1329" i="48"/>
  <c r="K1328" i="48"/>
  <c r="J1475" i="48"/>
  <c r="J1474" i="48"/>
  <c r="J1473" i="48"/>
  <c r="J1472" i="48"/>
  <c r="J1471" i="48"/>
  <c r="J1470" i="48"/>
  <c r="J1469" i="48"/>
  <c r="J1468" i="48"/>
  <c r="J1467" i="48"/>
  <c r="J1466" i="48"/>
  <c r="J1465" i="48"/>
  <c r="J1464" i="48"/>
  <c r="J1463" i="48"/>
  <c r="J1462" i="48"/>
  <c r="J1461" i="48"/>
  <c r="J1460" i="48"/>
  <c r="J1459" i="48"/>
  <c r="J1458" i="48"/>
  <c r="J1457" i="48"/>
  <c r="J1456" i="48"/>
  <c r="J1455" i="48"/>
  <c r="J1454" i="48"/>
  <c r="J1453" i="48"/>
  <c r="J1452" i="48"/>
  <c r="J1451" i="48"/>
  <c r="J1450" i="48"/>
  <c r="J1449" i="48"/>
  <c r="J1448" i="48"/>
  <c r="J1447" i="48"/>
  <c r="J1446" i="48"/>
  <c r="J1445" i="48"/>
  <c r="J1444" i="48"/>
  <c r="J1443" i="48"/>
  <c r="J1442" i="48"/>
  <c r="J1441" i="48"/>
  <c r="J1440" i="48"/>
  <c r="J1439" i="48"/>
  <c r="J1438" i="48"/>
  <c r="J1437" i="48"/>
  <c r="J1436" i="48"/>
  <c r="J1435" i="48"/>
  <c r="J1434" i="48"/>
  <c r="J1433" i="48"/>
  <c r="J1432" i="48"/>
  <c r="J1431" i="48"/>
  <c r="J1430" i="48"/>
  <c r="J1429" i="48"/>
  <c r="J1428" i="48"/>
  <c r="J1427" i="48"/>
  <c r="J1426" i="48"/>
  <c r="J1425" i="48"/>
  <c r="J1424" i="48"/>
  <c r="J1423" i="48"/>
  <c r="J1422" i="48"/>
  <c r="J1421" i="48"/>
  <c r="J1420" i="48"/>
  <c r="J1419" i="48"/>
  <c r="J1418" i="48"/>
  <c r="J1417" i="48"/>
  <c r="J1416" i="48"/>
  <c r="J1415" i="48"/>
  <c r="J1414" i="48"/>
  <c r="J1413" i="48"/>
  <c r="J1412" i="48"/>
  <c r="J1411" i="48"/>
  <c r="J1410" i="48"/>
  <c r="J1409" i="48"/>
  <c r="J1408" i="48"/>
  <c r="J1407" i="48"/>
  <c r="J1403" i="48"/>
  <c r="J1402" i="48"/>
  <c r="J1401" i="48"/>
  <c r="J1400" i="48"/>
  <c r="J1399" i="48"/>
  <c r="J1398" i="48"/>
  <c r="J1397" i="48"/>
  <c r="J1396" i="48"/>
  <c r="J1395" i="48"/>
  <c r="J1394" i="48"/>
  <c r="J1393" i="48"/>
  <c r="J1392" i="48"/>
  <c r="J1391" i="48"/>
  <c r="J1390" i="48"/>
  <c r="J1389" i="48"/>
  <c r="J1388" i="48"/>
  <c r="J1387" i="48"/>
  <c r="J1386" i="48"/>
  <c r="J1385" i="48"/>
  <c r="J1384" i="48"/>
  <c r="J1383" i="48"/>
  <c r="J1382" i="48"/>
  <c r="J1381" i="48"/>
  <c r="J1380" i="48"/>
  <c r="J1379" i="48"/>
  <c r="J1378" i="48"/>
  <c r="J1377" i="48"/>
  <c r="J1376" i="48"/>
  <c r="J1375" i="48"/>
  <c r="J1374" i="48"/>
  <c r="J1373" i="48"/>
  <c r="J1372" i="48"/>
  <c r="J1371" i="48"/>
  <c r="J1370" i="48"/>
  <c r="J1369" i="48"/>
  <c r="J1368" i="48"/>
  <c r="J1367" i="48"/>
  <c r="J1366" i="48"/>
  <c r="J1365" i="48"/>
  <c r="J1364" i="48"/>
  <c r="J1363" i="48"/>
  <c r="J1362" i="48"/>
  <c r="J1361" i="48"/>
  <c r="J1360" i="48"/>
  <c r="J1359" i="48"/>
  <c r="J1358" i="48"/>
  <c r="J1357" i="48"/>
  <c r="J1356" i="48"/>
  <c r="J1355" i="48"/>
  <c r="J1354" i="48"/>
  <c r="J1353" i="48"/>
  <c r="J1352" i="48"/>
  <c r="J1351" i="48"/>
  <c r="J1350" i="48"/>
  <c r="J1349" i="48"/>
  <c r="J1348" i="48"/>
  <c r="J1347" i="48"/>
  <c r="J1346" i="48"/>
  <c r="J1345" i="48"/>
  <c r="J1344" i="48"/>
  <c r="J1343" i="48"/>
  <c r="J1342" i="48"/>
  <c r="J1341" i="48"/>
  <c r="J1340" i="48"/>
  <c r="J1339" i="48"/>
  <c r="J1338" i="48"/>
  <c r="J1337" i="48"/>
  <c r="J1336" i="48"/>
  <c r="J1335" i="48"/>
  <c r="J1334" i="48"/>
  <c r="J1333" i="48"/>
  <c r="J1332" i="48"/>
  <c r="J1331" i="48"/>
  <c r="J1330" i="48"/>
  <c r="J1329" i="48"/>
  <c r="J1328" i="48"/>
  <c r="J1406" i="48" l="1"/>
  <c r="J1405" i="48"/>
  <c r="J1404" i="48"/>
  <c r="K1406" i="48"/>
  <c r="K1405" i="48"/>
  <c r="K1404" i="48"/>
  <c r="K12" i="5" l="1"/>
  <c r="C17" i="56"/>
  <c r="F6" i="5"/>
  <c r="E6" i="5"/>
  <c r="D6" i="5"/>
  <c r="K13" i="5"/>
  <c r="M45" i="10"/>
  <c r="L45" i="10"/>
  <c r="K45" i="10"/>
  <c r="J45" i="10"/>
  <c r="I45" i="10"/>
  <c r="H45" i="10"/>
  <c r="G45" i="10"/>
  <c r="F45" i="10"/>
  <c r="E45" i="10"/>
  <c r="D45" i="10"/>
  <c r="C30" i="56"/>
  <c r="C29" i="56"/>
  <c r="C28" i="56"/>
  <c r="C27" i="56"/>
  <c r="C26" i="56"/>
  <c r="C25" i="56"/>
  <c r="C24" i="56"/>
  <c r="C23" i="56"/>
  <c r="C22" i="56"/>
  <c r="C21" i="56"/>
  <c r="C20" i="56"/>
  <c r="C19" i="56"/>
  <c r="C18" i="56"/>
  <c r="C16" i="56"/>
  <c r="C15" i="56"/>
  <c r="C14" i="56"/>
  <c r="C13" i="56"/>
  <c r="C12" i="56"/>
  <c r="C11" i="56"/>
  <c r="C10" i="56"/>
  <c r="C9" i="56"/>
  <c r="C8" i="56"/>
  <c r="C7" i="56"/>
  <c r="C6" i="56"/>
  <c r="C5" i="56"/>
  <c r="G123" i="55"/>
  <c r="G122" i="55"/>
  <c r="G121" i="55"/>
  <c r="G120" i="55"/>
  <c r="G119" i="55"/>
  <c r="G118" i="55"/>
  <c r="G117" i="55"/>
  <c r="G116" i="55"/>
  <c r="G115" i="55"/>
  <c r="G114" i="55"/>
  <c r="G113" i="55"/>
  <c r="G112" i="55"/>
  <c r="G111" i="55"/>
  <c r="G110" i="55"/>
  <c r="G109" i="55"/>
  <c r="G108" i="55"/>
  <c r="G107" i="55"/>
  <c r="G106" i="55"/>
  <c r="G105" i="55"/>
  <c r="G104" i="55"/>
  <c r="G103" i="55"/>
  <c r="G102" i="55"/>
  <c r="G101" i="55"/>
  <c r="G100" i="55"/>
  <c r="G99" i="55"/>
  <c r="G98" i="55"/>
  <c r="G97" i="55"/>
  <c r="G96" i="55"/>
  <c r="G95" i="55"/>
  <c r="G94" i="55"/>
  <c r="G93" i="55"/>
  <c r="G92" i="55"/>
  <c r="G91" i="55"/>
  <c r="G90" i="55"/>
  <c r="G89" i="55"/>
  <c r="G88" i="55"/>
  <c r="G87" i="55"/>
  <c r="G86" i="55"/>
  <c r="G85" i="55"/>
  <c r="G84" i="55"/>
  <c r="G83" i="55"/>
  <c r="G82" i="55"/>
  <c r="G81" i="55"/>
  <c r="G80" i="55"/>
  <c r="G79" i="55"/>
  <c r="G78" i="55"/>
  <c r="G77" i="55"/>
  <c r="G76" i="55"/>
  <c r="G75" i="55"/>
  <c r="G74" i="55"/>
  <c r="G73" i="55"/>
  <c r="G72" i="55"/>
  <c r="G71" i="55"/>
  <c r="G70" i="55"/>
  <c r="G69" i="55"/>
  <c r="G68" i="55"/>
  <c r="G67" i="55"/>
  <c r="G66" i="55"/>
  <c r="G65" i="55"/>
  <c r="G64" i="55"/>
  <c r="G63" i="55"/>
  <c r="G62" i="55"/>
  <c r="G61" i="55"/>
  <c r="G60" i="55"/>
  <c r="G59" i="55"/>
  <c r="G58" i="55"/>
  <c r="G57" i="55"/>
  <c r="G56" i="55"/>
  <c r="G55" i="55"/>
  <c r="G54" i="55"/>
  <c r="G53" i="55"/>
  <c r="G52" i="55"/>
  <c r="G51" i="55"/>
  <c r="G50" i="55"/>
  <c r="G49" i="55"/>
  <c r="G48" i="55"/>
  <c r="G47" i="55"/>
  <c r="G46" i="55"/>
  <c r="G45" i="55"/>
  <c r="G44" i="55"/>
  <c r="G43" i="55"/>
  <c r="G42" i="55"/>
  <c r="G41" i="55"/>
  <c r="G40" i="55"/>
  <c r="G39" i="55"/>
  <c r="G38" i="55"/>
  <c r="G37" i="55"/>
  <c r="G36" i="55"/>
  <c r="G35" i="55"/>
  <c r="G34" i="55"/>
  <c r="G33" i="55"/>
  <c r="G32" i="55"/>
  <c r="G31" i="55"/>
  <c r="G30" i="55"/>
  <c r="G29" i="55"/>
  <c r="G28" i="55"/>
  <c r="G27" i="55"/>
  <c r="G26" i="55"/>
  <c r="G25" i="55"/>
  <c r="G24" i="55"/>
  <c r="G23" i="55"/>
  <c r="G22" i="55"/>
  <c r="G21" i="55"/>
  <c r="G20" i="55"/>
  <c r="G19" i="55"/>
  <c r="G18" i="55"/>
  <c r="G17" i="55"/>
  <c r="G16" i="55"/>
  <c r="G15" i="55"/>
  <c r="G14" i="55"/>
  <c r="G13" i="55"/>
  <c r="G12" i="55"/>
  <c r="G11" i="55"/>
  <c r="G10" i="55"/>
  <c r="G9" i="55"/>
  <c r="G8" i="55"/>
  <c r="F90" i="54"/>
  <c r="E90" i="54"/>
  <c r="F87" i="54"/>
  <c r="E87" i="54"/>
  <c r="F86" i="54"/>
  <c r="E86" i="54"/>
  <c r="F85" i="54"/>
  <c r="E85" i="54"/>
  <c r="F65" i="54"/>
  <c r="E65" i="54"/>
  <c r="G51" i="54"/>
  <c r="F36" i="54"/>
  <c r="E36" i="54"/>
  <c r="F31" i="54"/>
  <c r="E31" i="54"/>
  <c r="F30" i="54"/>
  <c r="E30" i="54"/>
  <c r="F29" i="54"/>
  <c r="E29" i="54"/>
  <c r="H7" i="54"/>
  <c r="I7" i="54" s="1"/>
  <c r="J7" i="54" s="1"/>
  <c r="K7" i="54" s="1"/>
  <c r="L7" i="54" s="1"/>
  <c r="M7" i="54" s="1"/>
  <c r="N7" i="54" s="1"/>
  <c r="O7" i="54" s="1"/>
  <c r="P7" i="54" s="1"/>
  <c r="Q7" i="54" s="1"/>
  <c r="R7" i="54" s="1"/>
  <c r="S7" i="54" s="1"/>
  <c r="T7" i="54" s="1"/>
  <c r="U7" i="54" s="1"/>
  <c r="V7" i="54" s="1"/>
  <c r="W7" i="54" s="1"/>
  <c r="X7" i="54" s="1"/>
  <c r="Y7" i="54" s="1"/>
  <c r="Z7" i="54" s="1"/>
  <c r="AC41" i="54" l="1"/>
  <c r="AB160" i="9"/>
  <c r="X160" i="9"/>
  <c r="T160" i="9"/>
  <c r="P160" i="9"/>
  <c r="L160" i="9"/>
  <c r="AA160" i="9"/>
  <c r="W160" i="9"/>
  <c r="S160" i="9"/>
  <c r="O160" i="9"/>
  <c r="K160" i="9"/>
  <c r="Z160" i="9"/>
  <c r="V160" i="9"/>
  <c r="R160" i="9"/>
  <c r="N160" i="9"/>
  <c r="J160" i="9"/>
  <c r="Y160" i="9"/>
  <c r="U160" i="9"/>
  <c r="Q160" i="9"/>
  <c r="M160" i="9"/>
  <c r="I160" i="9"/>
  <c r="AA104" i="9"/>
  <c r="W104" i="9"/>
  <c r="S104" i="9"/>
  <c r="O104" i="9"/>
  <c r="K104" i="9"/>
  <c r="AB104" i="9"/>
  <c r="T104" i="9"/>
  <c r="Z104" i="9"/>
  <c r="V104" i="9"/>
  <c r="R104" i="9"/>
  <c r="N104" i="9"/>
  <c r="J104" i="9"/>
  <c r="P104" i="9"/>
  <c r="Y104" i="9"/>
  <c r="U104" i="9"/>
  <c r="Q104" i="9"/>
  <c r="M104" i="9"/>
  <c r="I104" i="9"/>
  <c r="X104" i="9"/>
  <c r="L104" i="9"/>
  <c r="I105" i="9"/>
  <c r="M105" i="9"/>
  <c r="Q105" i="9"/>
  <c r="U105" i="9"/>
  <c r="Y105" i="9"/>
  <c r="J105" i="9"/>
  <c r="N105" i="9"/>
  <c r="R105" i="9"/>
  <c r="V105" i="9"/>
  <c r="Z105" i="9"/>
  <c r="K105" i="9"/>
  <c r="O105" i="9"/>
  <c r="S105" i="9"/>
  <c r="W105" i="9"/>
  <c r="AA105" i="9"/>
  <c r="L105" i="9"/>
  <c r="P105" i="9"/>
  <c r="T105" i="9"/>
  <c r="X105" i="9"/>
  <c r="AB105" i="9"/>
  <c r="AB128" i="9"/>
  <c r="Z128" i="9"/>
  <c r="X128" i="9"/>
  <c r="V128" i="9"/>
  <c r="T128" i="9"/>
  <c r="R128" i="9"/>
  <c r="P128" i="9"/>
  <c r="N128" i="9"/>
  <c r="L128" i="9"/>
  <c r="J128" i="9"/>
  <c r="AB127" i="9"/>
  <c r="Z127" i="9"/>
  <c r="X127" i="9"/>
  <c r="V127" i="9"/>
  <c r="T127" i="9"/>
  <c r="R127" i="9"/>
  <c r="P127" i="9"/>
  <c r="N127" i="9"/>
  <c r="L127" i="9"/>
  <c r="J127" i="9"/>
  <c r="AB126" i="9"/>
  <c r="Z126" i="9"/>
  <c r="X126" i="9"/>
  <c r="V126" i="9"/>
  <c r="T126" i="9"/>
  <c r="R126" i="9"/>
  <c r="P126" i="9"/>
  <c r="N126" i="9"/>
  <c r="L126" i="9"/>
  <c r="J126" i="9"/>
  <c r="AB125" i="9"/>
  <c r="Z125" i="9"/>
  <c r="X125" i="9"/>
  <c r="V125" i="9"/>
  <c r="T125" i="9"/>
  <c r="R125" i="9"/>
  <c r="P125" i="9"/>
  <c r="N125" i="9"/>
  <c r="L125" i="9"/>
  <c r="J125" i="9"/>
  <c r="AB124" i="9"/>
  <c r="Z124" i="9"/>
  <c r="X124" i="9"/>
  <c r="V124" i="9"/>
  <c r="T124" i="9"/>
  <c r="R124" i="9"/>
  <c r="P124" i="9"/>
  <c r="N124" i="9"/>
  <c r="L124" i="9"/>
  <c r="J124" i="9"/>
  <c r="AB123" i="9"/>
  <c r="Z123" i="9"/>
  <c r="X123" i="9"/>
  <c r="V123" i="9"/>
  <c r="T123" i="9"/>
  <c r="R123" i="9"/>
  <c r="P123" i="9"/>
  <c r="N123" i="9"/>
  <c r="L123" i="9"/>
  <c r="J123" i="9"/>
  <c r="AB122" i="9"/>
  <c r="Z122" i="9"/>
  <c r="X122" i="9"/>
  <c r="V122" i="9"/>
  <c r="T122" i="9"/>
  <c r="AA128" i="9"/>
  <c r="Y128" i="9"/>
  <c r="W128" i="9"/>
  <c r="U128" i="9"/>
  <c r="S128" i="9"/>
  <c r="Q128" i="9"/>
  <c r="O128" i="9"/>
  <c r="M128" i="9"/>
  <c r="K128" i="9"/>
  <c r="I128" i="9"/>
  <c r="AA127" i="9"/>
  <c r="Y127" i="9"/>
  <c r="W127" i="9"/>
  <c r="U127" i="9"/>
  <c r="S127" i="9"/>
  <c r="Q127" i="9"/>
  <c r="O127" i="9"/>
  <c r="M127" i="9"/>
  <c r="K127" i="9"/>
  <c r="I127" i="9"/>
  <c r="AA126" i="9"/>
  <c r="Y126" i="9"/>
  <c r="W126" i="9"/>
  <c r="U126" i="9"/>
  <c r="S126" i="9"/>
  <c r="Q126" i="9"/>
  <c r="O126" i="9"/>
  <c r="M126" i="9"/>
  <c r="K126" i="9"/>
  <c r="I126" i="9"/>
  <c r="AA125" i="9"/>
  <c r="Y125" i="9"/>
  <c r="W125" i="9"/>
  <c r="U125" i="9"/>
  <c r="S125" i="9"/>
  <c r="Q125" i="9"/>
  <c r="O125" i="9"/>
  <c r="M125" i="9"/>
  <c r="K125" i="9"/>
  <c r="I125" i="9"/>
  <c r="AA124" i="9"/>
  <c r="Y124" i="9"/>
  <c r="W124" i="9"/>
  <c r="U124" i="9"/>
  <c r="S124" i="9"/>
  <c r="Q124" i="9"/>
  <c r="O124" i="9"/>
  <c r="M124" i="9"/>
  <c r="K124" i="9"/>
  <c r="I124" i="9"/>
  <c r="AA123" i="9"/>
  <c r="Y123" i="9"/>
  <c r="W123" i="9"/>
  <c r="U123" i="9"/>
  <c r="S123" i="9"/>
  <c r="Q123" i="9"/>
  <c r="O123" i="9"/>
  <c r="M123" i="9"/>
  <c r="K123" i="9"/>
  <c r="I123" i="9"/>
  <c r="AA122" i="9"/>
  <c r="Y122" i="9"/>
  <c r="W122" i="9"/>
  <c r="U122" i="9"/>
  <c r="S122" i="9"/>
  <c r="Q122" i="9"/>
  <c r="O122" i="9"/>
  <c r="M122" i="9"/>
  <c r="K122" i="9"/>
  <c r="I122" i="9"/>
  <c r="AA121" i="9"/>
  <c r="Y121" i="9"/>
  <c r="W121" i="9"/>
  <c r="U121" i="9"/>
  <c r="S121" i="9"/>
  <c r="Q121" i="9"/>
  <c r="O121" i="9"/>
  <c r="M121" i="9"/>
  <c r="K121" i="9"/>
  <c r="I121" i="9"/>
  <c r="AA120" i="9"/>
  <c r="Y120" i="9"/>
  <c r="W120" i="9"/>
  <c r="U120" i="9"/>
  <c r="S120" i="9"/>
  <c r="Q120" i="9"/>
  <c r="O120" i="9"/>
  <c r="M120" i="9"/>
  <c r="K120" i="9"/>
  <c r="I120" i="9"/>
  <c r="AA119" i="9"/>
  <c r="Y119" i="9"/>
  <c r="W119" i="9"/>
  <c r="U119" i="9"/>
  <c r="S119" i="9"/>
  <c r="Q119" i="9"/>
  <c r="O119" i="9"/>
  <c r="M119" i="9"/>
  <c r="K119" i="9"/>
  <c r="I119" i="9"/>
  <c r="AA118" i="9"/>
  <c r="Y118" i="9"/>
  <c r="W118" i="9"/>
  <c r="U118" i="9"/>
  <c r="S118" i="9"/>
  <c r="Q118" i="9"/>
  <c r="O118" i="9"/>
  <c r="M118" i="9"/>
  <c r="K118" i="9"/>
  <c r="I118" i="9"/>
  <c r="AA117" i="9"/>
  <c r="Y117" i="9"/>
  <c r="W117" i="9"/>
  <c r="U117" i="9"/>
  <c r="S117" i="9"/>
  <c r="Q117" i="9"/>
  <c r="O117" i="9"/>
  <c r="M117" i="9"/>
  <c r="K117" i="9"/>
  <c r="I117" i="9"/>
  <c r="R122" i="9"/>
  <c r="P122" i="9"/>
  <c r="N122" i="9"/>
  <c r="L122" i="9"/>
  <c r="J122" i="9"/>
  <c r="AB121" i="9"/>
  <c r="Z121" i="9"/>
  <c r="X121" i="9"/>
  <c r="V121" i="9"/>
  <c r="T121" i="9"/>
  <c r="R121" i="9"/>
  <c r="P121" i="9"/>
  <c r="N121" i="9"/>
  <c r="L121" i="9"/>
  <c r="J121" i="9"/>
  <c r="AB120" i="9"/>
  <c r="Z120" i="9"/>
  <c r="X120" i="9"/>
  <c r="V120" i="9"/>
  <c r="T120" i="9"/>
  <c r="R120" i="9"/>
  <c r="P120" i="9"/>
  <c r="N120" i="9"/>
  <c r="L120" i="9"/>
  <c r="J120" i="9"/>
  <c r="AB119" i="9"/>
  <c r="Z119" i="9"/>
  <c r="X119" i="9"/>
  <c r="V119" i="9"/>
  <c r="T119" i="9"/>
  <c r="R119" i="9"/>
  <c r="P119" i="9"/>
  <c r="N119" i="9"/>
  <c r="L119" i="9"/>
  <c r="J119" i="9"/>
  <c r="AB118" i="9"/>
  <c r="Z118" i="9"/>
  <c r="X118" i="9"/>
  <c r="V118" i="9"/>
  <c r="T118" i="9"/>
  <c r="R118" i="9"/>
  <c r="P118" i="9"/>
  <c r="N118" i="9"/>
  <c r="L118" i="9"/>
  <c r="J118" i="9"/>
  <c r="AB117" i="9"/>
  <c r="Z117" i="9"/>
  <c r="X117" i="9"/>
  <c r="V117" i="9"/>
  <c r="T117" i="9"/>
  <c r="R117" i="9"/>
  <c r="P117" i="9"/>
  <c r="N117" i="9"/>
  <c r="L117" i="9"/>
  <c r="J117" i="9"/>
  <c r="L159" i="9"/>
  <c r="P159" i="9"/>
  <c r="T159" i="9"/>
  <c r="X159" i="9"/>
  <c r="AB159" i="9"/>
  <c r="M113" i="9"/>
  <c r="Q113" i="9"/>
  <c r="U113" i="9"/>
  <c r="Y113" i="9"/>
  <c r="J114" i="9"/>
  <c r="N114" i="9"/>
  <c r="R114" i="9"/>
  <c r="V114" i="9"/>
  <c r="Z114" i="9"/>
  <c r="K115" i="9"/>
  <c r="O115" i="9"/>
  <c r="S115" i="9"/>
  <c r="W115" i="9"/>
  <c r="AA115" i="9"/>
  <c r="L116" i="9"/>
  <c r="P116" i="9"/>
  <c r="T116" i="9"/>
  <c r="X116" i="9"/>
  <c r="AB116" i="9"/>
  <c r="I116" i="9"/>
  <c r="M159" i="9"/>
  <c r="Q159" i="9"/>
  <c r="U159" i="9"/>
  <c r="Y159" i="9"/>
  <c r="J113" i="9"/>
  <c r="N113" i="9"/>
  <c r="R113" i="9"/>
  <c r="V113" i="9"/>
  <c r="Z113" i="9"/>
  <c r="K114" i="9"/>
  <c r="O114" i="9"/>
  <c r="S114" i="9"/>
  <c r="W114" i="9"/>
  <c r="AA114" i="9"/>
  <c r="L115" i="9"/>
  <c r="P115" i="9"/>
  <c r="T115" i="9"/>
  <c r="X115" i="9"/>
  <c r="AB115" i="9"/>
  <c r="M116" i="9"/>
  <c r="Q116" i="9"/>
  <c r="U116" i="9"/>
  <c r="Y116" i="9"/>
  <c r="J159" i="9"/>
  <c r="R159" i="9"/>
  <c r="Z159" i="9"/>
  <c r="O113" i="9"/>
  <c r="W113" i="9"/>
  <c r="L114" i="9"/>
  <c r="T114" i="9"/>
  <c r="AB114" i="9"/>
  <c r="Q115" i="9"/>
  <c r="Y115" i="9"/>
  <c r="N116" i="9"/>
  <c r="V116" i="9"/>
  <c r="I113" i="9"/>
  <c r="I115" i="9"/>
  <c r="O159" i="9"/>
  <c r="L113" i="9"/>
  <c r="T113" i="9"/>
  <c r="AB113" i="9"/>
  <c r="Q114" i="9"/>
  <c r="Y114" i="9"/>
  <c r="N115" i="9"/>
  <c r="V115" i="9"/>
  <c r="K116" i="9"/>
  <c r="S116" i="9"/>
  <c r="AA116" i="9"/>
  <c r="K159" i="9"/>
  <c r="S159" i="9"/>
  <c r="AA159" i="9"/>
  <c r="P113" i="9"/>
  <c r="X113" i="9"/>
  <c r="M114" i="9"/>
  <c r="U114" i="9"/>
  <c r="J115" i="9"/>
  <c r="R115" i="9"/>
  <c r="Z115" i="9"/>
  <c r="O116" i="9"/>
  <c r="W116" i="9"/>
  <c r="I114" i="9"/>
  <c r="N159" i="9"/>
  <c r="V159" i="9"/>
  <c r="K113" i="9"/>
  <c r="S113" i="9"/>
  <c r="AA113" i="9"/>
  <c r="P114" i="9"/>
  <c r="X114" i="9"/>
  <c r="M115" i="9"/>
  <c r="U115" i="9"/>
  <c r="J116" i="9"/>
  <c r="R116" i="9"/>
  <c r="Z116" i="9"/>
  <c r="W159" i="9"/>
  <c r="J112" i="9"/>
  <c r="N112" i="9"/>
  <c r="R112" i="9"/>
  <c r="V112" i="9"/>
  <c r="Z112" i="9"/>
  <c r="P112" i="9"/>
  <c r="X112" i="9"/>
  <c r="M112" i="9"/>
  <c r="U112" i="9"/>
  <c r="K112" i="9"/>
  <c r="O112" i="9"/>
  <c r="S112" i="9"/>
  <c r="W112" i="9"/>
  <c r="AA112" i="9"/>
  <c r="L112" i="9"/>
  <c r="T112" i="9"/>
  <c r="AB112" i="9"/>
  <c r="I112" i="9"/>
  <c r="Q112" i="9"/>
  <c r="Y112" i="9"/>
  <c r="AA140" i="9"/>
  <c r="I159" i="9"/>
  <c r="AA30" i="9"/>
  <c r="W33" i="9"/>
  <c r="S36" i="9"/>
  <c r="Q39" i="9"/>
  <c r="M42" i="9"/>
  <c r="I45" i="9"/>
  <c r="Q49" i="9"/>
  <c r="I55" i="9"/>
  <c r="I58" i="9"/>
  <c r="T64" i="9"/>
  <c r="X74" i="9"/>
  <c r="T95" i="9"/>
  <c r="K30" i="9"/>
  <c r="S31" i="9"/>
  <c r="I33" i="9"/>
  <c r="O34" i="9"/>
  <c r="Y35" i="9"/>
  <c r="O37" i="9"/>
  <c r="U38" i="9"/>
  <c r="K40" i="9"/>
  <c r="S41" i="9"/>
  <c r="AA42" i="9"/>
  <c r="O44" i="9"/>
  <c r="AB45" i="9"/>
  <c r="Y47" i="9"/>
  <c r="Y50" i="9"/>
  <c r="Y53" i="9"/>
  <c r="Q56" i="9"/>
  <c r="Q59" i="9"/>
  <c r="M62" i="9"/>
  <c r="P67" i="9"/>
  <c r="AB71" i="9"/>
  <c r="AB77" i="9"/>
  <c r="L89" i="9"/>
  <c r="L101" i="9"/>
  <c r="I29" i="9"/>
  <c r="S30" i="9"/>
  <c r="AA31" i="9"/>
  <c r="O33" i="9"/>
  <c r="W34" i="9"/>
  <c r="M36" i="9"/>
  <c r="S37" i="9"/>
  <c r="I39" i="9"/>
  <c r="S40" i="9"/>
  <c r="Y41" i="9"/>
  <c r="O43" i="9"/>
  <c r="W44" i="9"/>
  <c r="P46" i="9"/>
  <c r="U48" i="9"/>
  <c r="U51" i="9"/>
  <c r="M54" i="9"/>
  <c r="M57" i="9"/>
  <c r="M60" i="9"/>
  <c r="I63" i="9"/>
  <c r="AB68" i="9"/>
  <c r="T73" i="9"/>
  <c r="L81" i="9"/>
  <c r="P92" i="9"/>
  <c r="Q29" i="9"/>
  <c r="M32" i="9"/>
  <c r="K35" i="9"/>
  <c r="AA37" i="9"/>
  <c r="W40" i="9"/>
  <c r="W43" i="9"/>
  <c r="AA46" i="9"/>
  <c r="M52" i="9"/>
  <c r="U60" i="9"/>
  <c r="T70" i="9"/>
  <c r="P84" i="9"/>
  <c r="X111" i="9"/>
  <c r="Y29" i="9"/>
  <c r="K31" i="9"/>
  <c r="U32" i="9"/>
  <c r="K34" i="9"/>
  <c r="Q35" i="9"/>
  <c r="AA36" i="9"/>
  <c r="O38" i="9"/>
  <c r="W39" i="9"/>
  <c r="K41" i="9"/>
  <c r="U42" i="9"/>
  <c r="AA43" i="9"/>
  <c r="Q45" i="9"/>
  <c r="Q47" i="9"/>
  <c r="I50" i="9"/>
  <c r="I53" i="9"/>
  <c r="Y55" i="9"/>
  <c r="U58" i="9"/>
  <c r="Q61" i="9"/>
  <c r="L66" i="9"/>
  <c r="P80" i="9"/>
  <c r="P76" i="9"/>
  <c r="T87" i="9"/>
  <c r="AB97" i="9"/>
  <c r="W137" i="9"/>
  <c r="S29" i="9"/>
  <c r="O30" i="9"/>
  <c r="I31" i="9"/>
  <c r="W31" i="9"/>
  <c r="S32" i="9"/>
  <c r="K33" i="9"/>
  <c r="Y33" i="9"/>
  <c r="U34" i="9"/>
  <c r="O35" i="9"/>
  <c r="AA35" i="9"/>
  <c r="W36" i="9"/>
  <c r="Q37" i="9"/>
  <c r="K38" i="9"/>
  <c r="AA38" i="9"/>
  <c r="S39" i="9"/>
  <c r="M40" i="9"/>
  <c r="I41" i="9"/>
  <c r="W41" i="9"/>
  <c r="O42" i="9"/>
  <c r="K43" i="9"/>
  <c r="Y43" i="9"/>
  <c r="S44" i="9"/>
  <c r="O45" i="9"/>
  <c r="K46" i="9"/>
  <c r="I47" i="9"/>
  <c r="Q48" i="9"/>
  <c r="Y49" i="9"/>
  <c r="I51" i="9"/>
  <c r="U52" i="9"/>
  <c r="I54" i="9"/>
  <c r="Q55" i="9"/>
  <c r="I57" i="9"/>
  <c r="M58" i="9"/>
  <c r="U59" i="9"/>
  <c r="M61" i="9"/>
  <c r="X62" i="9"/>
  <c r="AB64" i="9"/>
  <c r="L68" i="9"/>
  <c r="AB70" i="9"/>
  <c r="X72" i="9"/>
  <c r="AB75" i="9"/>
  <c r="T78" i="9"/>
  <c r="L85" i="9"/>
  <c r="T91" i="9"/>
  <c r="L97" i="9"/>
  <c r="AB101" i="9"/>
  <c r="J132" i="9"/>
  <c r="O29" i="9"/>
  <c r="AA29" i="9"/>
  <c r="U30" i="9"/>
  <c r="Q31" i="9"/>
  <c r="K32" i="9"/>
  <c r="W32" i="9"/>
  <c r="S33" i="9"/>
  <c r="M34" i="9"/>
  <c r="AA34" i="9"/>
  <c r="W35" i="9"/>
  <c r="O36" i="9"/>
  <c r="I37" i="9"/>
  <c r="Y37" i="9"/>
  <c r="S38" i="9"/>
  <c r="K39" i="9"/>
  <c r="AA39" i="9"/>
  <c r="U40" i="9"/>
  <c r="O41" i="9"/>
  <c r="K42" i="9"/>
  <c r="W42" i="9"/>
  <c r="Q43" i="9"/>
  <c r="M44" i="9"/>
  <c r="AA44" i="9"/>
  <c r="T45" i="9"/>
  <c r="U46" i="9"/>
  <c r="U47" i="9"/>
  <c r="I49" i="9"/>
  <c r="U50" i="9"/>
  <c r="Y51" i="9"/>
  <c r="M53" i="9"/>
  <c r="Y54" i="9"/>
  <c r="M56" i="9"/>
  <c r="Q57" i="9"/>
  <c r="I59" i="9"/>
  <c r="Q60" i="9"/>
  <c r="Y61" i="9"/>
  <c r="L64" i="9"/>
  <c r="T66" i="9"/>
  <c r="P69" i="9"/>
  <c r="T71" i="9"/>
  <c r="P74" i="9"/>
  <c r="X76" i="9"/>
  <c r="X82" i="9"/>
  <c r="P88" i="9"/>
  <c r="AB93" i="9"/>
  <c r="P100" i="9"/>
  <c r="S107" i="9"/>
  <c r="Q149" i="9"/>
  <c r="U152" i="9"/>
  <c r="S134" i="9"/>
  <c r="V109" i="9"/>
  <c r="X102" i="9"/>
  <c r="T99" i="9"/>
  <c r="P96" i="9"/>
  <c r="L93" i="9"/>
  <c r="AB89" i="9"/>
  <c r="X86" i="9"/>
  <c r="T83" i="9"/>
  <c r="P79" i="9"/>
  <c r="L77" i="9"/>
  <c r="T75" i="9"/>
  <c r="AB73" i="9"/>
  <c r="P72" i="9"/>
  <c r="X80" i="9"/>
  <c r="L70" i="9"/>
  <c r="T68" i="9"/>
  <c r="AB66" i="9"/>
  <c r="P65" i="9"/>
  <c r="X63" i="9"/>
  <c r="S62" i="9"/>
  <c r="U61" i="9"/>
  <c r="Y60" i="9"/>
  <c r="I60" i="9"/>
  <c r="M59" i="9"/>
  <c r="Q58" i="9"/>
  <c r="U57" i="9"/>
  <c r="Y56" i="9"/>
  <c r="I56" i="9"/>
  <c r="M55" i="9"/>
  <c r="Q54" i="9"/>
  <c r="U53" i="9"/>
  <c r="Y52" i="9"/>
  <c r="I52" i="9"/>
  <c r="M51" i="9"/>
  <c r="Q50" i="9"/>
  <c r="U49" i="9"/>
  <c r="Y48" i="9"/>
  <c r="I48" i="9"/>
  <c r="O47" i="9"/>
  <c r="X46" i="9"/>
  <c r="M46" i="9"/>
  <c r="W45" i="9"/>
  <c r="M45" i="9"/>
  <c r="Y44" i="9"/>
  <c r="Q44" i="9"/>
  <c r="I44" i="9"/>
  <c r="U43" i="9"/>
  <c r="M43" i="9"/>
  <c r="Y42" i="9"/>
  <c r="Q42" i="9"/>
  <c r="I42" i="9"/>
  <c r="U41" i="9"/>
  <c r="M41" i="9"/>
  <c r="Y40" i="9"/>
  <c r="Q40" i="9"/>
  <c r="I40" i="9"/>
  <c r="U39" i="9"/>
  <c r="M39" i="9"/>
  <c r="Y38" i="9"/>
  <c r="Q38" i="9"/>
  <c r="I38" i="9"/>
  <c r="U37" i="9"/>
  <c r="M37" i="9"/>
  <c r="Y36" i="9"/>
  <c r="Q36" i="9"/>
  <c r="I36" i="9"/>
  <c r="U35" i="9"/>
  <c r="M35" i="9"/>
  <c r="Y34" i="9"/>
  <c r="Q34" i="9"/>
  <c r="I34" i="9"/>
  <c r="U33" i="9"/>
  <c r="M33" i="9"/>
  <c r="Y32" i="9"/>
  <c r="Q32" i="9"/>
  <c r="I32" i="9"/>
  <c r="U31" i="9"/>
  <c r="M31" i="9"/>
  <c r="Y30" i="9"/>
  <c r="Q30" i="9"/>
  <c r="I30" i="9"/>
  <c r="U29" i="9"/>
  <c r="M29" i="9"/>
  <c r="K29" i="9"/>
  <c r="W29" i="9"/>
  <c r="M30" i="9"/>
  <c r="W30" i="9"/>
  <c r="O31" i="9"/>
  <c r="Y31" i="9"/>
  <c r="O32" i="9"/>
  <c r="AA32" i="9"/>
  <c r="Q33" i="9"/>
  <c r="AA33" i="9"/>
  <c r="S34" i="9"/>
  <c r="I35" i="9"/>
  <c r="S35" i="9"/>
  <c r="K36" i="9"/>
  <c r="U36" i="9"/>
  <c r="K37" i="9"/>
  <c r="W37" i="9"/>
  <c r="M38" i="9"/>
  <c r="W38" i="9"/>
  <c r="O39" i="9"/>
  <c r="Y39" i="9"/>
  <c r="O40" i="9"/>
  <c r="AA40" i="9"/>
  <c r="Q41" i="9"/>
  <c r="AA41" i="9"/>
  <c r="S42" i="9"/>
  <c r="I43" i="9"/>
  <c r="S43" i="9"/>
  <c r="K44" i="9"/>
  <c r="U44" i="9"/>
  <c r="K45" i="9"/>
  <c r="Y45" i="9"/>
  <c r="S46" i="9"/>
  <c r="L47" i="9"/>
  <c r="M48" i="9"/>
  <c r="M49" i="9"/>
  <c r="M50" i="9"/>
  <c r="Q51" i="9"/>
  <c r="Q52" i="9"/>
  <c r="Q53" i="9"/>
  <c r="U54" i="9"/>
  <c r="U55" i="9"/>
  <c r="U56" i="9"/>
  <c r="Y57" i="9"/>
  <c r="Y58" i="9"/>
  <c r="Y59" i="9"/>
  <c r="I61" i="9"/>
  <c r="I62" i="9"/>
  <c r="P63" i="9"/>
  <c r="X65" i="9"/>
  <c r="X67" i="9"/>
  <c r="X69" i="9"/>
  <c r="L71" i="9"/>
  <c r="L73" i="9"/>
  <c r="L75" i="9"/>
  <c r="T77" i="9"/>
  <c r="AB81" i="9"/>
  <c r="AB85" i="9"/>
  <c r="X90" i="9"/>
  <c r="X94" i="9"/>
  <c r="X98" i="9"/>
  <c r="Y103" i="9"/>
  <c r="AA129" i="9"/>
  <c r="M146" i="9"/>
  <c r="L29" i="9"/>
  <c r="P29" i="9"/>
  <c r="T29" i="9"/>
  <c r="X29" i="9"/>
  <c r="AB29" i="9"/>
  <c r="L30" i="9"/>
  <c r="P30" i="9"/>
  <c r="T30" i="9"/>
  <c r="X30" i="9"/>
  <c r="AB30" i="9"/>
  <c r="L31" i="9"/>
  <c r="P31" i="9"/>
  <c r="T31" i="9"/>
  <c r="X31" i="9"/>
  <c r="AB31" i="9"/>
  <c r="L32" i="9"/>
  <c r="P32" i="9"/>
  <c r="T32" i="9"/>
  <c r="X32" i="9"/>
  <c r="AB32" i="9"/>
  <c r="L33" i="9"/>
  <c r="P33" i="9"/>
  <c r="T33" i="9"/>
  <c r="X33" i="9"/>
  <c r="AB33" i="9"/>
  <c r="L34" i="9"/>
  <c r="P34" i="9"/>
  <c r="T34" i="9"/>
  <c r="X34" i="9"/>
  <c r="AB34" i="9"/>
  <c r="L35" i="9"/>
  <c r="P35" i="9"/>
  <c r="T35" i="9"/>
  <c r="X35" i="9"/>
  <c r="AB35" i="9"/>
  <c r="L36" i="9"/>
  <c r="P36" i="9"/>
  <c r="T36" i="9"/>
  <c r="X36" i="9"/>
  <c r="AB36" i="9"/>
  <c r="L37" i="9"/>
  <c r="P37" i="9"/>
  <c r="T37" i="9"/>
  <c r="X37" i="9"/>
  <c r="AB37" i="9"/>
  <c r="L38" i="9"/>
  <c r="P38" i="9"/>
  <c r="T38" i="9"/>
  <c r="X38" i="9"/>
  <c r="AB38" i="9"/>
  <c r="L39" i="9"/>
  <c r="P39" i="9"/>
  <c r="T39" i="9"/>
  <c r="X39" i="9"/>
  <c r="AB39" i="9"/>
  <c r="L40" i="9"/>
  <c r="P40" i="9"/>
  <c r="T40" i="9"/>
  <c r="X40" i="9"/>
  <c r="AB40" i="9"/>
  <c r="L41" i="9"/>
  <c r="P41" i="9"/>
  <c r="T41" i="9"/>
  <c r="X41" i="9"/>
  <c r="AB41" i="9"/>
  <c r="L42" i="9"/>
  <c r="P42" i="9"/>
  <c r="T42" i="9"/>
  <c r="X42" i="9"/>
  <c r="AB42" i="9"/>
  <c r="L43" i="9"/>
  <c r="P43" i="9"/>
  <c r="T43" i="9"/>
  <c r="X43" i="9"/>
  <c r="AB43" i="9"/>
  <c r="L44" i="9"/>
  <c r="P44" i="9"/>
  <c r="T44" i="9"/>
  <c r="X44" i="9"/>
  <c r="AB44" i="9"/>
  <c r="L45" i="9"/>
  <c r="P45" i="9"/>
  <c r="U45" i="9"/>
  <c r="AA45" i="9"/>
  <c r="L46" i="9"/>
  <c r="Q46" i="9"/>
  <c r="W46" i="9"/>
  <c r="AB46" i="9"/>
  <c r="M47" i="9"/>
  <c r="S47" i="9"/>
  <c r="AA47" i="9"/>
  <c r="O48" i="9"/>
  <c r="W48" i="9"/>
  <c r="K49" i="9"/>
  <c r="S49" i="9"/>
  <c r="AA49" i="9"/>
  <c r="O50" i="9"/>
  <c r="W50" i="9"/>
  <c r="K51" i="9"/>
  <c r="S51" i="9"/>
  <c r="AA51" i="9"/>
  <c r="O52" i="9"/>
  <c r="W52" i="9"/>
  <c r="K53" i="9"/>
  <c r="S53" i="9"/>
  <c r="AA53" i="9"/>
  <c r="O54" i="9"/>
  <c r="W54" i="9"/>
  <c r="K55" i="9"/>
  <c r="S55" i="9"/>
  <c r="AA55" i="9"/>
  <c r="O56" i="9"/>
  <c r="W56" i="9"/>
  <c r="K57" i="9"/>
  <c r="S57" i="9"/>
  <c r="AA57" i="9"/>
  <c r="O58" i="9"/>
  <c r="W58" i="9"/>
  <c r="K59" i="9"/>
  <c r="S59" i="9"/>
  <c r="AA59" i="9"/>
  <c r="O60" i="9"/>
  <c r="W60" i="9"/>
  <c r="K61" i="9"/>
  <c r="S61" i="9"/>
  <c r="AA61" i="9"/>
  <c r="P62" i="9"/>
  <c r="AA62" i="9"/>
  <c r="T63" i="9"/>
  <c r="P64" i="9"/>
  <c r="L65" i="9"/>
  <c r="AB65" i="9"/>
  <c r="X66" i="9"/>
  <c r="T67" i="9"/>
  <c r="P68" i="9"/>
  <c r="L69" i="9"/>
  <c r="AB69" i="9"/>
  <c r="X70" i="9"/>
  <c r="T80" i="9"/>
  <c r="P71" i="9"/>
  <c r="L72" i="9"/>
  <c r="AB72" i="9"/>
  <c r="X73" i="9"/>
  <c r="T74" i="9"/>
  <c r="P75" i="9"/>
  <c r="L76" i="9"/>
  <c r="AB76" i="9"/>
  <c r="X77" i="9"/>
  <c r="AB78" i="9"/>
  <c r="T81" i="9"/>
  <c r="L83" i="9"/>
  <c r="X84" i="9"/>
  <c r="P86" i="9"/>
  <c r="AB87" i="9"/>
  <c r="T89" i="9"/>
  <c r="L91" i="9"/>
  <c r="X92" i="9"/>
  <c r="P94" i="9"/>
  <c r="AB95" i="9"/>
  <c r="T97" i="9"/>
  <c r="L99" i="9"/>
  <c r="X100" i="9"/>
  <c r="P102" i="9"/>
  <c r="T108" i="9"/>
  <c r="K133" i="9"/>
  <c r="O139" i="9"/>
  <c r="I154" i="9"/>
  <c r="Y158" i="9"/>
  <c r="U158" i="9"/>
  <c r="Q158" i="9"/>
  <c r="M158" i="9"/>
  <c r="I158" i="9"/>
  <c r="Y157" i="9"/>
  <c r="U157" i="9"/>
  <c r="Q157" i="9"/>
  <c r="M157" i="9"/>
  <c r="I157" i="9"/>
  <c r="Y156" i="9"/>
  <c r="U156" i="9"/>
  <c r="Q156" i="9"/>
  <c r="M156" i="9"/>
  <c r="I156" i="9"/>
  <c r="Y155" i="9"/>
  <c r="U155" i="9"/>
  <c r="Q155" i="9"/>
  <c r="M155" i="9"/>
  <c r="I155" i="9"/>
  <c r="Y154" i="9"/>
  <c r="U154" i="9"/>
  <c r="Q154" i="9"/>
  <c r="M154" i="9"/>
  <c r="AB153" i="9"/>
  <c r="X153" i="9"/>
  <c r="T153" i="9"/>
  <c r="P153" i="9"/>
  <c r="L153" i="9"/>
  <c r="AB152" i="9"/>
  <c r="X152" i="9"/>
  <c r="T152" i="9"/>
  <c r="P152" i="9"/>
  <c r="L152" i="9"/>
  <c r="AB151" i="9"/>
  <c r="X151" i="9"/>
  <c r="T151" i="9"/>
  <c r="P151" i="9"/>
  <c r="L151" i="9"/>
  <c r="AB150" i="9"/>
  <c r="X150" i="9"/>
  <c r="T150" i="9"/>
  <c r="P150" i="9"/>
  <c r="L150" i="9"/>
  <c r="AB149" i="9"/>
  <c r="X149" i="9"/>
  <c r="T149" i="9"/>
  <c r="P149" i="9"/>
  <c r="L149" i="9"/>
  <c r="AB148" i="9"/>
  <c r="X148" i="9"/>
  <c r="T148" i="9"/>
  <c r="P148" i="9"/>
  <c r="L148" i="9"/>
  <c r="AB147" i="9"/>
  <c r="X147" i="9"/>
  <c r="T147" i="9"/>
  <c r="P147" i="9"/>
  <c r="L147" i="9"/>
  <c r="AB146" i="9"/>
  <c r="X146" i="9"/>
  <c r="T146" i="9"/>
  <c r="P146" i="9"/>
  <c r="L146" i="9"/>
  <c r="AB145" i="9"/>
  <c r="X145" i="9"/>
  <c r="T145" i="9"/>
  <c r="P145" i="9"/>
  <c r="L145" i="9"/>
  <c r="AB144" i="9"/>
  <c r="X144" i="9"/>
  <c r="T144" i="9"/>
  <c r="P144" i="9"/>
  <c r="L144" i="9"/>
  <c r="AB143" i="9"/>
  <c r="X143" i="9"/>
  <c r="T143" i="9"/>
  <c r="P143" i="9"/>
  <c r="L143" i="9"/>
  <c r="AB142" i="9"/>
  <c r="X142" i="9"/>
  <c r="T142" i="9"/>
  <c r="P142" i="9"/>
  <c r="L142" i="9"/>
  <c r="AB158" i="9"/>
  <c r="X158" i="9"/>
  <c r="T158" i="9"/>
  <c r="P158" i="9"/>
  <c r="L158" i="9"/>
  <c r="AB157" i="9"/>
  <c r="X157" i="9"/>
  <c r="T157" i="9"/>
  <c r="P157" i="9"/>
  <c r="L157" i="9"/>
  <c r="AB156" i="9"/>
  <c r="X156" i="9"/>
  <c r="T156" i="9"/>
  <c r="P156" i="9"/>
  <c r="L156" i="9"/>
  <c r="AB155" i="9"/>
  <c r="X155" i="9"/>
  <c r="T155" i="9"/>
  <c r="P155" i="9"/>
  <c r="L155" i="9"/>
  <c r="AB154" i="9"/>
  <c r="X154" i="9"/>
  <c r="T154" i="9"/>
  <c r="P154" i="9"/>
  <c r="L154" i="9"/>
  <c r="AA153" i="9"/>
  <c r="W153" i="9"/>
  <c r="S153" i="9"/>
  <c r="O153" i="9"/>
  <c r="K153" i="9"/>
  <c r="AA152" i="9"/>
  <c r="W152" i="9"/>
  <c r="S152" i="9"/>
  <c r="O152" i="9"/>
  <c r="K152" i="9"/>
  <c r="AA151" i="9"/>
  <c r="W151" i="9"/>
  <c r="S151" i="9"/>
  <c r="O151" i="9"/>
  <c r="K151" i="9"/>
  <c r="AA150" i="9"/>
  <c r="W150" i="9"/>
  <c r="S150" i="9"/>
  <c r="O150" i="9"/>
  <c r="K150" i="9"/>
  <c r="AA149" i="9"/>
  <c r="W149" i="9"/>
  <c r="S149" i="9"/>
  <c r="O149" i="9"/>
  <c r="K149" i="9"/>
  <c r="AA148" i="9"/>
  <c r="W148" i="9"/>
  <c r="S148" i="9"/>
  <c r="O148" i="9"/>
  <c r="K148" i="9"/>
  <c r="AA147" i="9"/>
  <c r="W147" i="9"/>
  <c r="S147" i="9"/>
  <c r="O147" i="9"/>
  <c r="K147" i="9"/>
  <c r="AA146" i="9"/>
  <c r="W146" i="9"/>
  <c r="S146" i="9"/>
  <c r="O146" i="9"/>
  <c r="K146" i="9"/>
  <c r="AA145" i="9"/>
  <c r="W145" i="9"/>
  <c r="S145" i="9"/>
  <c r="O145" i="9"/>
  <c r="K145" i="9"/>
  <c r="AA144" i="9"/>
  <c r="W144" i="9"/>
  <c r="S144" i="9"/>
  <c r="O144" i="9"/>
  <c r="K144" i="9"/>
  <c r="AA143" i="9"/>
  <c r="W143" i="9"/>
  <c r="S143" i="9"/>
  <c r="O143" i="9"/>
  <c r="K143" i="9"/>
  <c r="AA142" i="9"/>
  <c r="W142" i="9"/>
  <c r="S142" i="9"/>
  <c r="O142" i="9"/>
  <c r="K142" i="9"/>
  <c r="Z158" i="9"/>
  <c r="R158" i="9"/>
  <c r="J158" i="9"/>
  <c r="V157" i="9"/>
  <c r="N157" i="9"/>
  <c r="Z156" i="9"/>
  <c r="R156" i="9"/>
  <c r="J156" i="9"/>
  <c r="V155" i="9"/>
  <c r="N155" i="9"/>
  <c r="Z154" i="9"/>
  <c r="R154" i="9"/>
  <c r="J154" i="9"/>
  <c r="U153" i="9"/>
  <c r="M153" i="9"/>
  <c r="Y152" i="9"/>
  <c r="Q152" i="9"/>
  <c r="I152" i="9"/>
  <c r="U151" i="9"/>
  <c r="M151" i="9"/>
  <c r="Y150" i="9"/>
  <c r="Q150" i="9"/>
  <c r="I150" i="9"/>
  <c r="U149" i="9"/>
  <c r="M149" i="9"/>
  <c r="Y148" i="9"/>
  <c r="Q148" i="9"/>
  <c r="I148" i="9"/>
  <c r="U147" i="9"/>
  <c r="M147" i="9"/>
  <c r="Y146" i="9"/>
  <c r="Q146" i="9"/>
  <c r="I146" i="9"/>
  <c r="U145" i="9"/>
  <c r="M145" i="9"/>
  <c r="Y144" i="9"/>
  <c r="Q144" i="9"/>
  <c r="I144" i="9"/>
  <c r="U143" i="9"/>
  <c r="M143" i="9"/>
  <c r="Y142" i="9"/>
  <c r="Q142" i="9"/>
  <c r="I142" i="9"/>
  <c r="Y141" i="9"/>
  <c r="U141" i="9"/>
  <c r="Q141" i="9"/>
  <c r="M141" i="9"/>
  <c r="I141" i="9"/>
  <c r="Y140" i="9"/>
  <c r="U140" i="9"/>
  <c r="Q140" i="9"/>
  <c r="M140" i="9"/>
  <c r="I140" i="9"/>
  <c r="Y139" i="9"/>
  <c r="U139" i="9"/>
  <c r="Q139" i="9"/>
  <c r="M139" i="9"/>
  <c r="I139" i="9"/>
  <c r="Y138" i="9"/>
  <c r="U138" i="9"/>
  <c r="Q138" i="9"/>
  <c r="M138" i="9"/>
  <c r="I138" i="9"/>
  <c r="Y137" i="9"/>
  <c r="U137" i="9"/>
  <c r="Q137" i="9"/>
  <c r="M137" i="9"/>
  <c r="I137" i="9"/>
  <c r="Y136" i="9"/>
  <c r="U136" i="9"/>
  <c r="Q136" i="9"/>
  <c r="M136" i="9"/>
  <c r="I136" i="9"/>
  <c r="Y135" i="9"/>
  <c r="U135" i="9"/>
  <c r="Q135" i="9"/>
  <c r="M135" i="9"/>
  <c r="I135" i="9"/>
  <c r="Y134" i="9"/>
  <c r="U134" i="9"/>
  <c r="Q134" i="9"/>
  <c r="M134" i="9"/>
  <c r="I134" i="9"/>
  <c r="Y133" i="9"/>
  <c r="U133" i="9"/>
  <c r="Q133" i="9"/>
  <c r="M133" i="9"/>
  <c r="I133" i="9"/>
  <c r="Y132" i="9"/>
  <c r="U132" i="9"/>
  <c r="Q132" i="9"/>
  <c r="M132" i="9"/>
  <c r="I132" i="9"/>
  <c r="Y131" i="9"/>
  <c r="U131" i="9"/>
  <c r="Q131" i="9"/>
  <c r="M131" i="9"/>
  <c r="I131" i="9"/>
  <c r="Y130" i="9"/>
  <c r="U130" i="9"/>
  <c r="Q130" i="9"/>
  <c r="M130" i="9"/>
  <c r="I130" i="9"/>
  <c r="Y129" i="9"/>
  <c r="U129" i="9"/>
  <c r="Q129" i="9"/>
  <c r="M129" i="9"/>
  <c r="I129" i="9"/>
  <c r="Y111" i="9"/>
  <c r="U111" i="9"/>
  <c r="Q111" i="9"/>
  <c r="M111" i="9"/>
  <c r="I111" i="9"/>
  <c r="Y110" i="9"/>
  <c r="U110" i="9"/>
  <c r="Q110" i="9"/>
  <c r="M110" i="9"/>
  <c r="I110" i="9"/>
  <c r="Y109" i="9"/>
  <c r="U109" i="9"/>
  <c r="Q109" i="9"/>
  <c r="M109" i="9"/>
  <c r="I109" i="9"/>
  <c r="Y108" i="9"/>
  <c r="U108" i="9"/>
  <c r="Q108" i="9"/>
  <c r="M108" i="9"/>
  <c r="I108" i="9"/>
  <c r="Y107" i="9"/>
  <c r="U107" i="9"/>
  <c r="Q107" i="9"/>
  <c r="M107" i="9"/>
  <c r="I107" i="9"/>
  <c r="Y106" i="9"/>
  <c r="U106" i="9"/>
  <c r="W158" i="9"/>
  <c r="O158" i="9"/>
  <c r="AA157" i="9"/>
  <c r="S157" i="9"/>
  <c r="K157" i="9"/>
  <c r="W156" i="9"/>
  <c r="O156" i="9"/>
  <c r="AA155" i="9"/>
  <c r="S155" i="9"/>
  <c r="K155" i="9"/>
  <c r="W154" i="9"/>
  <c r="O154" i="9"/>
  <c r="Z153" i="9"/>
  <c r="R153" i="9"/>
  <c r="J153" i="9"/>
  <c r="V152" i="9"/>
  <c r="N152" i="9"/>
  <c r="Z151" i="9"/>
  <c r="R151" i="9"/>
  <c r="J151" i="9"/>
  <c r="V150" i="9"/>
  <c r="N150" i="9"/>
  <c r="Z149" i="9"/>
  <c r="R149" i="9"/>
  <c r="J149" i="9"/>
  <c r="V148" i="9"/>
  <c r="N148" i="9"/>
  <c r="Z147" i="9"/>
  <c r="R147" i="9"/>
  <c r="J147" i="9"/>
  <c r="V146" i="9"/>
  <c r="N146" i="9"/>
  <c r="Z145" i="9"/>
  <c r="R145" i="9"/>
  <c r="J145" i="9"/>
  <c r="V144" i="9"/>
  <c r="N144" i="9"/>
  <c r="Z143" i="9"/>
  <c r="R143" i="9"/>
  <c r="J143" i="9"/>
  <c r="V142" i="9"/>
  <c r="N142" i="9"/>
  <c r="AB141" i="9"/>
  <c r="X141" i="9"/>
  <c r="T141" i="9"/>
  <c r="P141" i="9"/>
  <c r="L141" i="9"/>
  <c r="AB140" i="9"/>
  <c r="X140" i="9"/>
  <c r="T140" i="9"/>
  <c r="P140" i="9"/>
  <c r="L140" i="9"/>
  <c r="AB139" i="9"/>
  <c r="X139" i="9"/>
  <c r="T139" i="9"/>
  <c r="P139" i="9"/>
  <c r="L139" i="9"/>
  <c r="AB138" i="9"/>
  <c r="X138" i="9"/>
  <c r="T138" i="9"/>
  <c r="P138" i="9"/>
  <c r="L138" i="9"/>
  <c r="AB137" i="9"/>
  <c r="X137" i="9"/>
  <c r="T137" i="9"/>
  <c r="P137" i="9"/>
  <c r="L137" i="9"/>
  <c r="AB136" i="9"/>
  <c r="X136" i="9"/>
  <c r="T136" i="9"/>
  <c r="P136" i="9"/>
  <c r="L136" i="9"/>
  <c r="AB135" i="9"/>
  <c r="X135" i="9"/>
  <c r="T135" i="9"/>
  <c r="P135" i="9"/>
  <c r="L135" i="9"/>
  <c r="AB134" i="9"/>
  <c r="X134" i="9"/>
  <c r="T134" i="9"/>
  <c r="P134" i="9"/>
  <c r="L134" i="9"/>
  <c r="AB133" i="9"/>
  <c r="X133" i="9"/>
  <c r="T133" i="9"/>
  <c r="AA158" i="9"/>
  <c r="K158" i="9"/>
  <c r="O157" i="9"/>
  <c r="S156" i="9"/>
  <c r="W155" i="9"/>
  <c r="AA154" i="9"/>
  <c r="K154" i="9"/>
  <c r="N153" i="9"/>
  <c r="R152" i="9"/>
  <c r="V151" i="9"/>
  <c r="Z150" i="9"/>
  <c r="J150" i="9"/>
  <c r="N149" i="9"/>
  <c r="R148" i="9"/>
  <c r="V147" i="9"/>
  <c r="Z146" i="9"/>
  <c r="J146" i="9"/>
  <c r="N145" i="9"/>
  <c r="R144" i="9"/>
  <c r="V143" i="9"/>
  <c r="Z142" i="9"/>
  <c r="J142" i="9"/>
  <c r="V141" i="9"/>
  <c r="N141" i="9"/>
  <c r="Z140" i="9"/>
  <c r="R140" i="9"/>
  <c r="J140" i="9"/>
  <c r="V139" i="9"/>
  <c r="N139" i="9"/>
  <c r="Z138" i="9"/>
  <c r="R138" i="9"/>
  <c r="J138" i="9"/>
  <c r="V137" i="9"/>
  <c r="N137" i="9"/>
  <c r="Z136" i="9"/>
  <c r="R136" i="9"/>
  <c r="J136" i="9"/>
  <c r="V135" i="9"/>
  <c r="N135" i="9"/>
  <c r="Z134" i="9"/>
  <c r="R134" i="9"/>
  <c r="J134" i="9"/>
  <c r="V133" i="9"/>
  <c r="O133" i="9"/>
  <c r="J133" i="9"/>
  <c r="X132" i="9"/>
  <c r="S132" i="9"/>
  <c r="N132" i="9"/>
  <c r="AB131" i="9"/>
  <c r="W131" i="9"/>
  <c r="R131" i="9"/>
  <c r="L131" i="9"/>
  <c r="AA130" i="9"/>
  <c r="V130" i="9"/>
  <c r="P130" i="9"/>
  <c r="K130" i="9"/>
  <c r="Z129" i="9"/>
  <c r="T129" i="9"/>
  <c r="O129" i="9"/>
  <c r="J129" i="9"/>
  <c r="AB111" i="9"/>
  <c r="W111" i="9"/>
  <c r="R111" i="9"/>
  <c r="L111" i="9"/>
  <c r="AA110" i="9"/>
  <c r="V110" i="9"/>
  <c r="P110" i="9"/>
  <c r="K110" i="9"/>
  <c r="Z109" i="9"/>
  <c r="T109" i="9"/>
  <c r="O109" i="9"/>
  <c r="J109" i="9"/>
  <c r="X108" i="9"/>
  <c r="S108" i="9"/>
  <c r="N108" i="9"/>
  <c r="AB107" i="9"/>
  <c r="W107" i="9"/>
  <c r="R107" i="9"/>
  <c r="L107" i="9"/>
  <c r="AA106" i="9"/>
  <c r="V106" i="9"/>
  <c r="Q106" i="9"/>
  <c r="V158" i="9"/>
  <c r="Z157" i="9"/>
  <c r="J157" i="9"/>
  <c r="N156" i="9"/>
  <c r="R155" i="9"/>
  <c r="V154" i="9"/>
  <c r="Y153" i="9"/>
  <c r="I153" i="9"/>
  <c r="M152" i="9"/>
  <c r="Q151" i="9"/>
  <c r="U150" i="9"/>
  <c r="Y149" i="9"/>
  <c r="I149" i="9"/>
  <c r="M148" i="9"/>
  <c r="Q147" i="9"/>
  <c r="U146" i="9"/>
  <c r="Y145" i="9"/>
  <c r="I145" i="9"/>
  <c r="M144" i="9"/>
  <c r="Q143" i="9"/>
  <c r="U142" i="9"/>
  <c r="AA141" i="9"/>
  <c r="S141" i="9"/>
  <c r="K141" i="9"/>
  <c r="W140" i="9"/>
  <c r="O140" i="9"/>
  <c r="AA139" i="9"/>
  <c r="S139" i="9"/>
  <c r="K139" i="9"/>
  <c r="W138" i="9"/>
  <c r="O138" i="9"/>
  <c r="AA137" i="9"/>
  <c r="S137" i="9"/>
  <c r="K137" i="9"/>
  <c r="W136" i="9"/>
  <c r="O136" i="9"/>
  <c r="AA135" i="9"/>
  <c r="S135" i="9"/>
  <c r="K135" i="9"/>
  <c r="W134" i="9"/>
  <c r="O134" i="9"/>
  <c r="AA133" i="9"/>
  <c r="S133" i="9"/>
  <c r="N133" i="9"/>
  <c r="AB132" i="9"/>
  <c r="W132" i="9"/>
  <c r="R132" i="9"/>
  <c r="L132" i="9"/>
  <c r="AA131" i="9"/>
  <c r="V131" i="9"/>
  <c r="P131" i="9"/>
  <c r="K131" i="9"/>
  <c r="Z130" i="9"/>
  <c r="T130" i="9"/>
  <c r="O130" i="9"/>
  <c r="J130" i="9"/>
  <c r="X129" i="9"/>
  <c r="S129" i="9"/>
  <c r="N129" i="9"/>
  <c r="AA111" i="9"/>
  <c r="V111" i="9"/>
  <c r="P111" i="9"/>
  <c r="K111" i="9"/>
  <c r="Z110" i="9"/>
  <c r="T110" i="9"/>
  <c r="O110" i="9"/>
  <c r="J110" i="9"/>
  <c r="X109" i="9"/>
  <c r="S109" i="9"/>
  <c r="N109" i="9"/>
  <c r="AB108" i="9"/>
  <c r="W108" i="9"/>
  <c r="R108" i="9"/>
  <c r="L108" i="9"/>
  <c r="AA107" i="9"/>
  <c r="V107" i="9"/>
  <c r="P107" i="9"/>
  <c r="K107" i="9"/>
  <c r="Z106" i="9"/>
  <c r="T106" i="9"/>
  <c r="P106" i="9"/>
  <c r="L106" i="9"/>
  <c r="AB103" i="9"/>
  <c r="X103" i="9"/>
  <c r="T103" i="9"/>
  <c r="P103" i="9"/>
  <c r="L103" i="9"/>
  <c r="AB102" i="9"/>
  <c r="S158" i="9"/>
  <c r="AA156" i="9"/>
  <c r="O155" i="9"/>
  <c r="V153" i="9"/>
  <c r="J152" i="9"/>
  <c r="R150" i="9"/>
  <c r="Z148" i="9"/>
  <c r="N147" i="9"/>
  <c r="V145" i="9"/>
  <c r="J144" i="9"/>
  <c r="R142" i="9"/>
  <c r="R141" i="9"/>
  <c r="V140" i="9"/>
  <c r="Z139" i="9"/>
  <c r="J139" i="9"/>
  <c r="N138" i="9"/>
  <c r="R137" i="9"/>
  <c r="V136" i="9"/>
  <c r="Z135" i="9"/>
  <c r="J135" i="9"/>
  <c r="N134" i="9"/>
  <c r="R133" i="9"/>
  <c r="AA132" i="9"/>
  <c r="P132" i="9"/>
  <c r="Z131" i="9"/>
  <c r="O131" i="9"/>
  <c r="X130" i="9"/>
  <c r="N130" i="9"/>
  <c r="W129" i="9"/>
  <c r="L129" i="9"/>
  <c r="T111" i="9"/>
  <c r="J111" i="9"/>
  <c r="S110" i="9"/>
  <c r="AB109" i="9"/>
  <c r="R109" i="9"/>
  <c r="AA108" i="9"/>
  <c r="P108" i="9"/>
  <c r="Z107" i="9"/>
  <c r="O107" i="9"/>
  <c r="X106" i="9"/>
  <c r="O106" i="9"/>
  <c r="J106" i="9"/>
  <c r="W103" i="9"/>
  <c r="R103" i="9"/>
  <c r="M103" i="9"/>
  <c r="AA102" i="9"/>
  <c r="W102" i="9"/>
  <c r="S102" i="9"/>
  <c r="O102" i="9"/>
  <c r="K102" i="9"/>
  <c r="AA101" i="9"/>
  <c r="W101" i="9"/>
  <c r="S101" i="9"/>
  <c r="O101" i="9"/>
  <c r="K101" i="9"/>
  <c r="AA100" i="9"/>
  <c r="W100" i="9"/>
  <c r="S100" i="9"/>
  <c r="O100" i="9"/>
  <c r="K100" i="9"/>
  <c r="AA99" i="9"/>
  <c r="W99" i="9"/>
  <c r="S99" i="9"/>
  <c r="O99" i="9"/>
  <c r="K99" i="9"/>
  <c r="AA98" i="9"/>
  <c r="W98" i="9"/>
  <c r="S98" i="9"/>
  <c r="O98" i="9"/>
  <c r="K98" i="9"/>
  <c r="AA97" i="9"/>
  <c r="W97" i="9"/>
  <c r="S97" i="9"/>
  <c r="O97" i="9"/>
  <c r="K97" i="9"/>
  <c r="AA96" i="9"/>
  <c r="W96" i="9"/>
  <c r="S96" i="9"/>
  <c r="O96" i="9"/>
  <c r="K96" i="9"/>
  <c r="AA95" i="9"/>
  <c r="W95" i="9"/>
  <c r="S95" i="9"/>
  <c r="O95" i="9"/>
  <c r="K95" i="9"/>
  <c r="AA94" i="9"/>
  <c r="W94" i="9"/>
  <c r="S94" i="9"/>
  <c r="O94" i="9"/>
  <c r="K94" i="9"/>
  <c r="AA93" i="9"/>
  <c r="W93" i="9"/>
  <c r="S93" i="9"/>
  <c r="O93" i="9"/>
  <c r="K93" i="9"/>
  <c r="AA92" i="9"/>
  <c r="W92" i="9"/>
  <c r="S92" i="9"/>
  <c r="O92" i="9"/>
  <c r="K92" i="9"/>
  <c r="AA91" i="9"/>
  <c r="W91" i="9"/>
  <c r="S91" i="9"/>
  <c r="O91" i="9"/>
  <c r="K91" i="9"/>
  <c r="AA90" i="9"/>
  <c r="W90" i="9"/>
  <c r="S90" i="9"/>
  <c r="O90" i="9"/>
  <c r="K90" i="9"/>
  <c r="AA89" i="9"/>
  <c r="W89" i="9"/>
  <c r="S89" i="9"/>
  <c r="O89" i="9"/>
  <c r="K89" i="9"/>
  <c r="AA88" i="9"/>
  <c r="W88" i="9"/>
  <c r="S88" i="9"/>
  <c r="O88" i="9"/>
  <c r="K88" i="9"/>
  <c r="AA87" i="9"/>
  <c r="W87" i="9"/>
  <c r="S87" i="9"/>
  <c r="O87" i="9"/>
  <c r="K87" i="9"/>
  <c r="AA86" i="9"/>
  <c r="W86" i="9"/>
  <c r="S86" i="9"/>
  <c r="O86" i="9"/>
  <c r="K86" i="9"/>
  <c r="AA85" i="9"/>
  <c r="W85" i="9"/>
  <c r="S85" i="9"/>
  <c r="O85" i="9"/>
  <c r="K85" i="9"/>
  <c r="AA84" i="9"/>
  <c r="W84" i="9"/>
  <c r="S84" i="9"/>
  <c r="O84" i="9"/>
  <c r="K84" i="9"/>
  <c r="AA83" i="9"/>
  <c r="W83" i="9"/>
  <c r="S83" i="9"/>
  <c r="O83" i="9"/>
  <c r="K83" i="9"/>
  <c r="AA82" i="9"/>
  <c r="W82" i="9"/>
  <c r="S82" i="9"/>
  <c r="O82" i="9"/>
  <c r="K82" i="9"/>
  <c r="AA81" i="9"/>
  <c r="W81" i="9"/>
  <c r="S81" i="9"/>
  <c r="O81" i="9"/>
  <c r="K81" i="9"/>
  <c r="AA79" i="9"/>
  <c r="W79" i="9"/>
  <c r="S79" i="9"/>
  <c r="O79" i="9"/>
  <c r="K79" i="9"/>
  <c r="AA78" i="9"/>
  <c r="W78" i="9"/>
  <c r="S78" i="9"/>
  <c r="O78" i="9"/>
  <c r="N158" i="9"/>
  <c r="V156" i="9"/>
  <c r="J155" i="9"/>
  <c r="Q153" i="9"/>
  <c r="Y151" i="9"/>
  <c r="M150" i="9"/>
  <c r="U148" i="9"/>
  <c r="I147" i="9"/>
  <c r="Q145" i="9"/>
  <c r="Y143" i="9"/>
  <c r="M142" i="9"/>
  <c r="O141" i="9"/>
  <c r="S140" i="9"/>
  <c r="W139" i="9"/>
  <c r="AA138" i="9"/>
  <c r="K138" i="9"/>
  <c r="O137" i="9"/>
  <c r="S136" i="9"/>
  <c r="W135" i="9"/>
  <c r="AA134" i="9"/>
  <c r="K134" i="9"/>
  <c r="P133" i="9"/>
  <c r="Z132" i="9"/>
  <c r="O132" i="9"/>
  <c r="X131" i="9"/>
  <c r="N131" i="9"/>
  <c r="W130" i="9"/>
  <c r="L130" i="9"/>
  <c r="V129" i="9"/>
  <c r="K129" i="9"/>
  <c r="S111" i="9"/>
  <c r="AB110" i="9"/>
  <c r="R110" i="9"/>
  <c r="AA109" i="9"/>
  <c r="P109" i="9"/>
  <c r="Z108" i="9"/>
  <c r="O108" i="9"/>
  <c r="X107" i="9"/>
  <c r="N107" i="9"/>
  <c r="W106" i="9"/>
  <c r="N106" i="9"/>
  <c r="I106" i="9"/>
  <c r="AA103" i="9"/>
  <c r="V103" i="9"/>
  <c r="Q103" i="9"/>
  <c r="K103" i="9"/>
  <c r="Z102" i="9"/>
  <c r="V102" i="9"/>
  <c r="R102" i="9"/>
  <c r="N102" i="9"/>
  <c r="J102" i="9"/>
  <c r="Z101" i="9"/>
  <c r="V101" i="9"/>
  <c r="R101" i="9"/>
  <c r="N101" i="9"/>
  <c r="J101" i="9"/>
  <c r="Z100" i="9"/>
  <c r="V100" i="9"/>
  <c r="R100" i="9"/>
  <c r="N100" i="9"/>
  <c r="J100" i="9"/>
  <c r="Z99" i="9"/>
  <c r="V99" i="9"/>
  <c r="R99" i="9"/>
  <c r="N99" i="9"/>
  <c r="J99" i="9"/>
  <c r="Z98" i="9"/>
  <c r="V98" i="9"/>
  <c r="R98" i="9"/>
  <c r="N98" i="9"/>
  <c r="J98" i="9"/>
  <c r="Z97" i="9"/>
  <c r="V97" i="9"/>
  <c r="R97" i="9"/>
  <c r="N97" i="9"/>
  <c r="J97" i="9"/>
  <c r="Z96" i="9"/>
  <c r="V96" i="9"/>
  <c r="R96" i="9"/>
  <c r="N96" i="9"/>
  <c r="J96" i="9"/>
  <c r="Z95" i="9"/>
  <c r="V95" i="9"/>
  <c r="R95" i="9"/>
  <c r="N95" i="9"/>
  <c r="J95" i="9"/>
  <c r="Z94" i="9"/>
  <c r="V94" i="9"/>
  <c r="R94" i="9"/>
  <c r="N94" i="9"/>
  <c r="J94" i="9"/>
  <c r="Z93" i="9"/>
  <c r="V93" i="9"/>
  <c r="R93" i="9"/>
  <c r="N93" i="9"/>
  <c r="J93" i="9"/>
  <c r="Z92" i="9"/>
  <c r="V92" i="9"/>
  <c r="R92" i="9"/>
  <c r="N92" i="9"/>
  <c r="J92" i="9"/>
  <c r="Z91" i="9"/>
  <c r="V91" i="9"/>
  <c r="R91" i="9"/>
  <c r="N91" i="9"/>
  <c r="J91" i="9"/>
  <c r="Z90" i="9"/>
  <c r="V90" i="9"/>
  <c r="R90" i="9"/>
  <c r="N90" i="9"/>
  <c r="J90" i="9"/>
  <c r="Z89" i="9"/>
  <c r="V89" i="9"/>
  <c r="R89" i="9"/>
  <c r="N89" i="9"/>
  <c r="J89" i="9"/>
  <c r="Z88" i="9"/>
  <c r="V88" i="9"/>
  <c r="R88" i="9"/>
  <c r="N88" i="9"/>
  <c r="J88" i="9"/>
  <c r="Z87" i="9"/>
  <c r="V87" i="9"/>
  <c r="R87" i="9"/>
  <c r="N87" i="9"/>
  <c r="J87" i="9"/>
  <c r="Z86" i="9"/>
  <c r="V86" i="9"/>
  <c r="R86" i="9"/>
  <c r="N86" i="9"/>
  <c r="J86" i="9"/>
  <c r="Z85" i="9"/>
  <c r="V85" i="9"/>
  <c r="R85" i="9"/>
  <c r="N85" i="9"/>
  <c r="J85" i="9"/>
  <c r="Z84" i="9"/>
  <c r="V84" i="9"/>
  <c r="R84" i="9"/>
  <c r="N84" i="9"/>
  <c r="J84" i="9"/>
  <c r="Z83" i="9"/>
  <c r="V83" i="9"/>
  <c r="R83" i="9"/>
  <c r="N83" i="9"/>
  <c r="J83" i="9"/>
  <c r="Z82" i="9"/>
  <c r="V82" i="9"/>
  <c r="R82" i="9"/>
  <c r="N82" i="9"/>
  <c r="J82" i="9"/>
  <c r="Z81" i="9"/>
  <c r="V81" i="9"/>
  <c r="R81" i="9"/>
  <c r="N81" i="9"/>
  <c r="J81" i="9"/>
  <c r="Z79" i="9"/>
  <c r="V79" i="9"/>
  <c r="R79" i="9"/>
  <c r="N79" i="9"/>
  <c r="J79" i="9"/>
  <c r="Z78" i="9"/>
  <c r="V78" i="9"/>
  <c r="R78" i="9"/>
  <c r="N78" i="9"/>
  <c r="W157" i="9"/>
  <c r="S154" i="9"/>
  <c r="N151" i="9"/>
  <c r="J148" i="9"/>
  <c r="Z144" i="9"/>
  <c r="Z141" i="9"/>
  <c r="N140" i="9"/>
  <c r="V138" i="9"/>
  <c r="J137" i="9"/>
  <c r="R135" i="9"/>
  <c r="Z133" i="9"/>
  <c r="V132" i="9"/>
  <c r="T131" i="9"/>
  <c r="S130" i="9"/>
  <c r="R129" i="9"/>
  <c r="O111" i="9"/>
  <c r="N110" i="9"/>
  <c r="L109" i="9"/>
  <c r="K108" i="9"/>
  <c r="J107" i="9"/>
  <c r="M106" i="9"/>
  <c r="U103" i="9"/>
  <c r="J103" i="9"/>
  <c r="U102" i="9"/>
  <c r="M102" i="9"/>
  <c r="Y101" i="9"/>
  <c r="Q101" i="9"/>
  <c r="I101" i="9"/>
  <c r="U100" i="9"/>
  <c r="M100" i="9"/>
  <c r="Y99" i="9"/>
  <c r="Q99" i="9"/>
  <c r="I99" i="9"/>
  <c r="U98" i="9"/>
  <c r="M98" i="9"/>
  <c r="Y97" i="9"/>
  <c r="Q97" i="9"/>
  <c r="I97" i="9"/>
  <c r="U96" i="9"/>
  <c r="M96" i="9"/>
  <c r="Y95" i="9"/>
  <c r="Q95" i="9"/>
  <c r="I95" i="9"/>
  <c r="U94" i="9"/>
  <c r="M94" i="9"/>
  <c r="Y93" i="9"/>
  <c r="Q93" i="9"/>
  <c r="I93" i="9"/>
  <c r="U92" i="9"/>
  <c r="M92" i="9"/>
  <c r="Y91" i="9"/>
  <c r="Q91" i="9"/>
  <c r="I91" i="9"/>
  <c r="U90" i="9"/>
  <c r="M90" i="9"/>
  <c r="Y89" i="9"/>
  <c r="Q89" i="9"/>
  <c r="I89" i="9"/>
  <c r="U88" i="9"/>
  <c r="M88" i="9"/>
  <c r="Y87" i="9"/>
  <c r="Q87" i="9"/>
  <c r="I87" i="9"/>
  <c r="U86" i="9"/>
  <c r="M86" i="9"/>
  <c r="Y85" i="9"/>
  <c r="Q85" i="9"/>
  <c r="I85" i="9"/>
  <c r="U84" i="9"/>
  <c r="M84" i="9"/>
  <c r="Y83" i="9"/>
  <c r="Q83" i="9"/>
  <c r="I83" i="9"/>
  <c r="U82" i="9"/>
  <c r="M82" i="9"/>
  <c r="Y81" i="9"/>
  <c r="Q81" i="9"/>
  <c r="I81" i="9"/>
  <c r="U79" i="9"/>
  <c r="M79" i="9"/>
  <c r="Y78" i="9"/>
  <c r="Q78" i="9"/>
  <c r="K78" i="9"/>
  <c r="AA77" i="9"/>
  <c r="W77" i="9"/>
  <c r="S77" i="9"/>
  <c r="O77" i="9"/>
  <c r="K77" i="9"/>
  <c r="AA76" i="9"/>
  <c r="W76" i="9"/>
  <c r="S76" i="9"/>
  <c r="O76" i="9"/>
  <c r="K76" i="9"/>
  <c r="AA75" i="9"/>
  <c r="W75" i="9"/>
  <c r="S75" i="9"/>
  <c r="O75" i="9"/>
  <c r="K75" i="9"/>
  <c r="AA74" i="9"/>
  <c r="W74" i="9"/>
  <c r="S74" i="9"/>
  <c r="O74" i="9"/>
  <c r="K74" i="9"/>
  <c r="AA73" i="9"/>
  <c r="W73" i="9"/>
  <c r="S73" i="9"/>
  <c r="O73" i="9"/>
  <c r="K73" i="9"/>
  <c r="AA72" i="9"/>
  <c r="W72" i="9"/>
  <c r="S72" i="9"/>
  <c r="O72" i="9"/>
  <c r="K72" i="9"/>
  <c r="AA71" i="9"/>
  <c r="W71" i="9"/>
  <c r="S71" i="9"/>
  <c r="O71" i="9"/>
  <c r="K71" i="9"/>
  <c r="AA80" i="9"/>
  <c r="W80" i="9"/>
  <c r="S80" i="9"/>
  <c r="O80" i="9"/>
  <c r="K80" i="9"/>
  <c r="AA70" i="9"/>
  <c r="W70" i="9"/>
  <c r="S70" i="9"/>
  <c r="O70" i="9"/>
  <c r="K70" i="9"/>
  <c r="AA69" i="9"/>
  <c r="W69" i="9"/>
  <c r="S69" i="9"/>
  <c r="O69" i="9"/>
  <c r="K69" i="9"/>
  <c r="AA68" i="9"/>
  <c r="W68" i="9"/>
  <c r="S68" i="9"/>
  <c r="O68" i="9"/>
  <c r="K68" i="9"/>
  <c r="AA67" i="9"/>
  <c r="W67" i="9"/>
  <c r="S67" i="9"/>
  <c r="O67" i="9"/>
  <c r="K67" i="9"/>
  <c r="AA66" i="9"/>
  <c r="W66" i="9"/>
  <c r="S66" i="9"/>
  <c r="O66" i="9"/>
  <c r="K66" i="9"/>
  <c r="AA65" i="9"/>
  <c r="W65" i="9"/>
  <c r="S65" i="9"/>
  <c r="O65" i="9"/>
  <c r="K65" i="9"/>
  <c r="AA64" i="9"/>
  <c r="W64" i="9"/>
  <c r="S64" i="9"/>
  <c r="O64" i="9"/>
  <c r="K64" i="9"/>
  <c r="AA63" i="9"/>
  <c r="W63" i="9"/>
  <c r="S63" i="9"/>
  <c r="O63" i="9"/>
  <c r="R157" i="9"/>
  <c r="N154" i="9"/>
  <c r="I151" i="9"/>
  <c r="Y147" i="9"/>
  <c r="U144" i="9"/>
  <c r="W141" i="9"/>
  <c r="K140" i="9"/>
  <c r="S138" i="9"/>
  <c r="AA136" i="9"/>
  <c r="O135" i="9"/>
  <c r="W133" i="9"/>
  <c r="T132" i="9"/>
  <c r="S131" i="9"/>
  <c r="R130" i="9"/>
  <c r="P129" i="9"/>
  <c r="N111" i="9"/>
  <c r="L110" i="9"/>
  <c r="K109" i="9"/>
  <c r="J108" i="9"/>
  <c r="AB106" i="9"/>
  <c r="K106" i="9"/>
  <c r="S103" i="9"/>
  <c r="I103" i="9"/>
  <c r="T102" i="9"/>
  <c r="L102" i="9"/>
  <c r="X101" i="9"/>
  <c r="P101" i="9"/>
  <c r="AB100" i="9"/>
  <c r="T100" i="9"/>
  <c r="L100" i="9"/>
  <c r="X99" i="9"/>
  <c r="P99" i="9"/>
  <c r="AB98" i="9"/>
  <c r="T98" i="9"/>
  <c r="L98" i="9"/>
  <c r="X97" i="9"/>
  <c r="P97" i="9"/>
  <c r="AB96" i="9"/>
  <c r="T96" i="9"/>
  <c r="L96" i="9"/>
  <c r="X95" i="9"/>
  <c r="P95" i="9"/>
  <c r="AB94" i="9"/>
  <c r="T94" i="9"/>
  <c r="L94" i="9"/>
  <c r="X93" i="9"/>
  <c r="P93" i="9"/>
  <c r="AB92" i="9"/>
  <c r="T92" i="9"/>
  <c r="L92" i="9"/>
  <c r="X91" i="9"/>
  <c r="P91" i="9"/>
  <c r="AB90" i="9"/>
  <c r="T90" i="9"/>
  <c r="L90" i="9"/>
  <c r="X89" i="9"/>
  <c r="P89" i="9"/>
  <c r="AB88" i="9"/>
  <c r="T88" i="9"/>
  <c r="L88" i="9"/>
  <c r="X87" i="9"/>
  <c r="P87" i="9"/>
  <c r="AB86" i="9"/>
  <c r="T86" i="9"/>
  <c r="L86" i="9"/>
  <c r="X85" i="9"/>
  <c r="P85" i="9"/>
  <c r="AB84" i="9"/>
  <c r="T84" i="9"/>
  <c r="L84" i="9"/>
  <c r="X83" i="9"/>
  <c r="P83" i="9"/>
  <c r="AB82" i="9"/>
  <c r="T82" i="9"/>
  <c r="L82" i="9"/>
  <c r="X81" i="9"/>
  <c r="P81" i="9"/>
  <c r="AB79" i="9"/>
  <c r="T79" i="9"/>
  <c r="L79" i="9"/>
  <c r="X78" i="9"/>
  <c r="P78" i="9"/>
  <c r="J78" i="9"/>
  <c r="Z77" i="9"/>
  <c r="V77" i="9"/>
  <c r="R77" i="9"/>
  <c r="N77" i="9"/>
  <c r="J77" i="9"/>
  <c r="Z76" i="9"/>
  <c r="V76" i="9"/>
  <c r="R76" i="9"/>
  <c r="N76" i="9"/>
  <c r="J76" i="9"/>
  <c r="Z75" i="9"/>
  <c r="V75" i="9"/>
  <c r="R75" i="9"/>
  <c r="N75" i="9"/>
  <c r="J75" i="9"/>
  <c r="Z74" i="9"/>
  <c r="V74" i="9"/>
  <c r="R74" i="9"/>
  <c r="N74" i="9"/>
  <c r="J74" i="9"/>
  <c r="Z73" i="9"/>
  <c r="V73" i="9"/>
  <c r="R73" i="9"/>
  <c r="N73" i="9"/>
  <c r="J73" i="9"/>
  <c r="Z72" i="9"/>
  <c r="V72" i="9"/>
  <c r="R72" i="9"/>
  <c r="N72" i="9"/>
  <c r="J72" i="9"/>
  <c r="Z71" i="9"/>
  <c r="V71" i="9"/>
  <c r="R71" i="9"/>
  <c r="N71" i="9"/>
  <c r="J71" i="9"/>
  <c r="Z80" i="9"/>
  <c r="V80" i="9"/>
  <c r="R80" i="9"/>
  <c r="N80" i="9"/>
  <c r="J80" i="9"/>
  <c r="Z70" i="9"/>
  <c r="V70" i="9"/>
  <c r="R70" i="9"/>
  <c r="N70" i="9"/>
  <c r="J70" i="9"/>
  <c r="Z69" i="9"/>
  <c r="V69" i="9"/>
  <c r="R69" i="9"/>
  <c r="N69" i="9"/>
  <c r="J69" i="9"/>
  <c r="Z68" i="9"/>
  <c r="V68" i="9"/>
  <c r="R68" i="9"/>
  <c r="N68" i="9"/>
  <c r="J68" i="9"/>
  <c r="Z67" i="9"/>
  <c r="V67" i="9"/>
  <c r="R67" i="9"/>
  <c r="N67" i="9"/>
  <c r="J67" i="9"/>
  <c r="Z66" i="9"/>
  <c r="V66" i="9"/>
  <c r="R66" i="9"/>
  <c r="N66" i="9"/>
  <c r="J66" i="9"/>
  <c r="Z65" i="9"/>
  <c r="V65" i="9"/>
  <c r="R65" i="9"/>
  <c r="N65" i="9"/>
  <c r="J65" i="9"/>
  <c r="Z64" i="9"/>
  <c r="V64" i="9"/>
  <c r="R64" i="9"/>
  <c r="N64" i="9"/>
  <c r="J64" i="9"/>
  <c r="Z63" i="9"/>
  <c r="V63" i="9"/>
  <c r="R63" i="9"/>
  <c r="N63" i="9"/>
  <c r="J63" i="9"/>
  <c r="Z62" i="9"/>
  <c r="V62" i="9"/>
  <c r="R62" i="9"/>
  <c r="N62" i="9"/>
  <c r="K156" i="9"/>
  <c r="V149" i="9"/>
  <c r="N143" i="9"/>
  <c r="R139" i="9"/>
  <c r="N136" i="9"/>
  <c r="L133" i="9"/>
  <c r="J131" i="9"/>
  <c r="X110" i="9"/>
  <c r="V108" i="9"/>
  <c r="S106" i="9"/>
  <c r="O103" i="9"/>
  <c r="Q102" i="9"/>
  <c r="U101" i="9"/>
  <c r="Y100" i="9"/>
  <c r="I100" i="9"/>
  <c r="M99" i="9"/>
  <c r="Q98" i="9"/>
  <c r="U97" i="9"/>
  <c r="Y96" i="9"/>
  <c r="I96" i="9"/>
  <c r="M95" i="9"/>
  <c r="Q94" i="9"/>
  <c r="U93" i="9"/>
  <c r="Y92" i="9"/>
  <c r="I92" i="9"/>
  <c r="M91" i="9"/>
  <c r="Q90" i="9"/>
  <c r="U89" i="9"/>
  <c r="Y88" i="9"/>
  <c r="I88" i="9"/>
  <c r="M87" i="9"/>
  <c r="Q86" i="9"/>
  <c r="U85" i="9"/>
  <c r="Y84" i="9"/>
  <c r="I84" i="9"/>
  <c r="M83" i="9"/>
  <c r="Q82" i="9"/>
  <c r="U81" i="9"/>
  <c r="Y79" i="9"/>
  <c r="I79" i="9"/>
  <c r="M78" i="9"/>
  <c r="Y77" i="9"/>
  <c r="Q77" i="9"/>
  <c r="I77" i="9"/>
  <c r="U76" i="9"/>
  <c r="M76" i="9"/>
  <c r="Y75" i="9"/>
  <c r="Q75" i="9"/>
  <c r="I75" i="9"/>
  <c r="U74" i="9"/>
  <c r="M74" i="9"/>
  <c r="Y73" i="9"/>
  <c r="Q73" i="9"/>
  <c r="I73" i="9"/>
  <c r="U72" i="9"/>
  <c r="M72" i="9"/>
  <c r="Y71" i="9"/>
  <c r="Q71" i="9"/>
  <c r="I71" i="9"/>
  <c r="U80" i="9"/>
  <c r="M80" i="9"/>
  <c r="Y70" i="9"/>
  <c r="Q70" i="9"/>
  <c r="I70" i="9"/>
  <c r="U69" i="9"/>
  <c r="M69" i="9"/>
  <c r="Y68" i="9"/>
  <c r="Q68" i="9"/>
  <c r="I68" i="9"/>
  <c r="U67" i="9"/>
  <c r="M67" i="9"/>
  <c r="Y66" i="9"/>
  <c r="Q66" i="9"/>
  <c r="I66" i="9"/>
  <c r="U65" i="9"/>
  <c r="M65" i="9"/>
  <c r="Y64" i="9"/>
  <c r="Q64" i="9"/>
  <c r="I64" i="9"/>
  <c r="U63" i="9"/>
  <c r="M63" i="9"/>
  <c r="AB62" i="9"/>
  <c r="W62" i="9"/>
  <c r="Q62" i="9"/>
  <c r="L62" i="9"/>
  <c r="AB61" i="9"/>
  <c r="X61" i="9"/>
  <c r="T61" i="9"/>
  <c r="P61" i="9"/>
  <c r="L61" i="9"/>
  <c r="AB60" i="9"/>
  <c r="X60" i="9"/>
  <c r="T60" i="9"/>
  <c r="P60" i="9"/>
  <c r="L60" i="9"/>
  <c r="AB59" i="9"/>
  <c r="X59" i="9"/>
  <c r="T59" i="9"/>
  <c r="P59" i="9"/>
  <c r="L59" i="9"/>
  <c r="AB58" i="9"/>
  <c r="X58" i="9"/>
  <c r="T58" i="9"/>
  <c r="P58" i="9"/>
  <c r="L58" i="9"/>
  <c r="AB57" i="9"/>
  <c r="X57" i="9"/>
  <c r="T57" i="9"/>
  <c r="P57" i="9"/>
  <c r="L57" i="9"/>
  <c r="AB56" i="9"/>
  <c r="X56" i="9"/>
  <c r="T56" i="9"/>
  <c r="P56" i="9"/>
  <c r="L56" i="9"/>
  <c r="AB55" i="9"/>
  <c r="X55" i="9"/>
  <c r="T55" i="9"/>
  <c r="P55" i="9"/>
  <c r="L55" i="9"/>
  <c r="AB54" i="9"/>
  <c r="X54" i="9"/>
  <c r="T54" i="9"/>
  <c r="P54" i="9"/>
  <c r="L54" i="9"/>
  <c r="AB53" i="9"/>
  <c r="X53" i="9"/>
  <c r="T53" i="9"/>
  <c r="P53" i="9"/>
  <c r="L53" i="9"/>
  <c r="AB52" i="9"/>
  <c r="X52" i="9"/>
  <c r="T52" i="9"/>
  <c r="P52" i="9"/>
  <c r="L52" i="9"/>
  <c r="AB51" i="9"/>
  <c r="X51" i="9"/>
  <c r="T51" i="9"/>
  <c r="P51" i="9"/>
  <c r="L51" i="9"/>
  <c r="AB50" i="9"/>
  <c r="X50" i="9"/>
  <c r="T50" i="9"/>
  <c r="P50" i="9"/>
  <c r="L50" i="9"/>
  <c r="AB49" i="9"/>
  <c r="X49" i="9"/>
  <c r="T49" i="9"/>
  <c r="P49" i="9"/>
  <c r="L49" i="9"/>
  <c r="AB48" i="9"/>
  <c r="X48" i="9"/>
  <c r="T48" i="9"/>
  <c r="P48" i="9"/>
  <c r="L48" i="9"/>
  <c r="AB47" i="9"/>
  <c r="X47" i="9"/>
  <c r="T47" i="9"/>
  <c r="Z152" i="9"/>
  <c r="R146" i="9"/>
  <c r="J141" i="9"/>
  <c r="Z137" i="9"/>
  <c r="V134" i="9"/>
  <c r="K132" i="9"/>
  <c r="AB129" i="9"/>
  <c r="Z111" i="9"/>
  <c r="W109" i="9"/>
  <c r="T107" i="9"/>
  <c r="Z103" i="9"/>
  <c r="Y102" i="9"/>
  <c r="I102" i="9"/>
  <c r="M101" i="9"/>
  <c r="Q100" i="9"/>
  <c r="U99" i="9"/>
  <c r="Y98" i="9"/>
  <c r="I98" i="9"/>
  <c r="M97" i="9"/>
  <c r="Q96" i="9"/>
  <c r="U95" i="9"/>
  <c r="Y94" i="9"/>
  <c r="I94" i="9"/>
  <c r="M93" i="9"/>
  <c r="Q92" i="9"/>
  <c r="U91" i="9"/>
  <c r="Y90" i="9"/>
  <c r="I90" i="9"/>
  <c r="M89" i="9"/>
  <c r="Q88" i="9"/>
  <c r="U87" i="9"/>
  <c r="Y86" i="9"/>
  <c r="I86" i="9"/>
  <c r="M85" i="9"/>
  <c r="Q84" i="9"/>
  <c r="U83" i="9"/>
  <c r="Y82" i="9"/>
  <c r="I82" i="9"/>
  <c r="M81" i="9"/>
  <c r="Q79" i="9"/>
  <c r="U78" i="9"/>
  <c r="I78" i="9"/>
  <c r="U77" i="9"/>
  <c r="M77" i="9"/>
  <c r="Y76" i="9"/>
  <c r="Q76" i="9"/>
  <c r="I76" i="9"/>
  <c r="U75" i="9"/>
  <c r="M75" i="9"/>
  <c r="Y74" i="9"/>
  <c r="Q74" i="9"/>
  <c r="I74" i="9"/>
  <c r="U73" i="9"/>
  <c r="M73" i="9"/>
  <c r="Y72" i="9"/>
  <c r="Q72" i="9"/>
  <c r="I72" i="9"/>
  <c r="U71" i="9"/>
  <c r="M71" i="9"/>
  <c r="Y80" i="9"/>
  <c r="Q80" i="9"/>
  <c r="I80" i="9"/>
  <c r="U70" i="9"/>
  <c r="M70" i="9"/>
  <c r="Y69" i="9"/>
  <c r="Q69" i="9"/>
  <c r="I69" i="9"/>
  <c r="U68" i="9"/>
  <c r="M68" i="9"/>
  <c r="Y67" i="9"/>
  <c r="Q67" i="9"/>
  <c r="I67" i="9"/>
  <c r="U66" i="9"/>
  <c r="M66" i="9"/>
  <c r="Y65" i="9"/>
  <c r="Q65" i="9"/>
  <c r="I65" i="9"/>
  <c r="U64" i="9"/>
  <c r="M64" i="9"/>
  <c r="Y63" i="9"/>
  <c r="Q63" i="9"/>
  <c r="K63" i="9"/>
  <c r="Y62" i="9"/>
  <c r="T62" i="9"/>
  <c r="O62" i="9"/>
  <c r="J62" i="9"/>
  <c r="Z61" i="9"/>
  <c r="V61" i="9"/>
  <c r="R61" i="9"/>
  <c r="N61" i="9"/>
  <c r="J61" i="9"/>
  <c r="Z60" i="9"/>
  <c r="V60" i="9"/>
  <c r="R60" i="9"/>
  <c r="N60" i="9"/>
  <c r="J60" i="9"/>
  <c r="Z59" i="9"/>
  <c r="V59" i="9"/>
  <c r="R59" i="9"/>
  <c r="N59" i="9"/>
  <c r="J59" i="9"/>
  <c r="Z58" i="9"/>
  <c r="V58" i="9"/>
  <c r="R58" i="9"/>
  <c r="N58" i="9"/>
  <c r="J58" i="9"/>
  <c r="Z57" i="9"/>
  <c r="V57" i="9"/>
  <c r="R57" i="9"/>
  <c r="N57" i="9"/>
  <c r="J57" i="9"/>
  <c r="Z56" i="9"/>
  <c r="V56" i="9"/>
  <c r="R56" i="9"/>
  <c r="N56" i="9"/>
  <c r="J56" i="9"/>
  <c r="Z55" i="9"/>
  <c r="V55" i="9"/>
  <c r="R55" i="9"/>
  <c r="N55" i="9"/>
  <c r="J55" i="9"/>
  <c r="Z54" i="9"/>
  <c r="V54" i="9"/>
  <c r="R54" i="9"/>
  <c r="N54" i="9"/>
  <c r="J54" i="9"/>
  <c r="Z53" i="9"/>
  <c r="V53" i="9"/>
  <c r="R53" i="9"/>
  <c r="N53" i="9"/>
  <c r="J53" i="9"/>
  <c r="Z52" i="9"/>
  <c r="V52" i="9"/>
  <c r="R52" i="9"/>
  <c r="N52" i="9"/>
  <c r="J52" i="9"/>
  <c r="Z51" i="9"/>
  <c r="V51" i="9"/>
  <c r="R51" i="9"/>
  <c r="N51" i="9"/>
  <c r="J51" i="9"/>
  <c r="Z50" i="9"/>
  <c r="V50" i="9"/>
  <c r="R50" i="9"/>
  <c r="N50" i="9"/>
  <c r="J50" i="9"/>
  <c r="Z49" i="9"/>
  <c r="V49" i="9"/>
  <c r="R49" i="9"/>
  <c r="N49" i="9"/>
  <c r="J49" i="9"/>
  <c r="Z48" i="9"/>
  <c r="V48" i="9"/>
  <c r="R48" i="9"/>
  <c r="N48" i="9"/>
  <c r="J48" i="9"/>
  <c r="Z47" i="9"/>
  <c r="V47" i="9"/>
  <c r="R47" i="9"/>
  <c r="N47" i="9"/>
  <c r="J47" i="9"/>
  <c r="Z46" i="9"/>
  <c r="V46" i="9"/>
  <c r="R46" i="9"/>
  <c r="N46" i="9"/>
  <c r="J46" i="9"/>
  <c r="Z45" i="9"/>
  <c r="V45" i="9"/>
  <c r="R45" i="9"/>
  <c r="J29" i="9"/>
  <c r="N29" i="9"/>
  <c r="R29" i="9"/>
  <c r="V29" i="9"/>
  <c r="Z29" i="9"/>
  <c r="J30" i="9"/>
  <c r="N30" i="9"/>
  <c r="R30" i="9"/>
  <c r="V30" i="9"/>
  <c r="Z30" i="9"/>
  <c r="J31" i="9"/>
  <c r="N31" i="9"/>
  <c r="R31" i="9"/>
  <c r="V31" i="9"/>
  <c r="Z31" i="9"/>
  <c r="J32" i="9"/>
  <c r="N32" i="9"/>
  <c r="R32" i="9"/>
  <c r="V32" i="9"/>
  <c r="Z32" i="9"/>
  <c r="J33" i="9"/>
  <c r="N33" i="9"/>
  <c r="R33" i="9"/>
  <c r="V33" i="9"/>
  <c r="Z33" i="9"/>
  <c r="J34" i="9"/>
  <c r="N34" i="9"/>
  <c r="R34" i="9"/>
  <c r="V34" i="9"/>
  <c r="Z34" i="9"/>
  <c r="J35" i="9"/>
  <c r="N35" i="9"/>
  <c r="R35" i="9"/>
  <c r="V35" i="9"/>
  <c r="Z35" i="9"/>
  <c r="J36" i="9"/>
  <c r="N36" i="9"/>
  <c r="R36" i="9"/>
  <c r="V36" i="9"/>
  <c r="Z36" i="9"/>
  <c r="J37" i="9"/>
  <c r="N37" i="9"/>
  <c r="R37" i="9"/>
  <c r="V37" i="9"/>
  <c r="Z37" i="9"/>
  <c r="J38" i="9"/>
  <c r="N38" i="9"/>
  <c r="R38" i="9"/>
  <c r="V38" i="9"/>
  <c r="Z38" i="9"/>
  <c r="J39" i="9"/>
  <c r="N39" i="9"/>
  <c r="R39" i="9"/>
  <c r="V39" i="9"/>
  <c r="Z39" i="9"/>
  <c r="J40" i="9"/>
  <c r="N40" i="9"/>
  <c r="R40" i="9"/>
  <c r="V40" i="9"/>
  <c r="Z40" i="9"/>
  <c r="J41" i="9"/>
  <c r="N41" i="9"/>
  <c r="R41" i="9"/>
  <c r="V41" i="9"/>
  <c r="Z41" i="9"/>
  <c r="J42" i="9"/>
  <c r="N42" i="9"/>
  <c r="R42" i="9"/>
  <c r="V42" i="9"/>
  <c r="Z42" i="9"/>
  <c r="J43" i="9"/>
  <c r="N43" i="9"/>
  <c r="R43" i="9"/>
  <c r="V43" i="9"/>
  <c r="Z43" i="9"/>
  <c r="J44" i="9"/>
  <c r="N44" i="9"/>
  <c r="R44" i="9"/>
  <c r="V44" i="9"/>
  <c r="Z44" i="9"/>
  <c r="J45" i="9"/>
  <c r="N45" i="9"/>
  <c r="S45" i="9"/>
  <c r="X45" i="9"/>
  <c r="I46" i="9"/>
  <c r="O46" i="9"/>
  <c r="T46" i="9"/>
  <c r="Y46" i="9"/>
  <c r="K47" i="9"/>
  <c r="P47" i="9"/>
  <c r="W47" i="9"/>
  <c r="K48" i="9"/>
  <c r="S48" i="9"/>
  <c r="AA48" i="9"/>
  <c r="O49" i="9"/>
  <c r="W49" i="9"/>
  <c r="K50" i="9"/>
  <c r="S50" i="9"/>
  <c r="AA50" i="9"/>
  <c r="O51" i="9"/>
  <c r="W51" i="9"/>
  <c r="K52" i="9"/>
  <c r="S52" i="9"/>
  <c r="AA52" i="9"/>
  <c r="O53" i="9"/>
  <c r="W53" i="9"/>
  <c r="K54" i="9"/>
  <c r="S54" i="9"/>
  <c r="AA54" i="9"/>
  <c r="O55" i="9"/>
  <c r="W55" i="9"/>
  <c r="K56" i="9"/>
  <c r="S56" i="9"/>
  <c r="AA56" i="9"/>
  <c r="O57" i="9"/>
  <c r="W57" i="9"/>
  <c r="K58" i="9"/>
  <c r="S58" i="9"/>
  <c r="AA58" i="9"/>
  <c r="O59" i="9"/>
  <c r="W59" i="9"/>
  <c r="K60" i="9"/>
  <c r="S60" i="9"/>
  <c r="AA60" i="9"/>
  <c r="O61" i="9"/>
  <c r="W61" i="9"/>
  <c r="K62" i="9"/>
  <c r="U62" i="9"/>
  <c r="L63" i="9"/>
  <c r="AB63" i="9"/>
  <c r="X64" i="9"/>
  <c r="T65" i="9"/>
  <c r="P66" i="9"/>
  <c r="L67" i="9"/>
  <c r="AB67" i="9"/>
  <c r="X68" i="9"/>
  <c r="T69" i="9"/>
  <c r="P70" i="9"/>
  <c r="L80" i="9"/>
  <c r="AB80" i="9"/>
  <c r="X71" i="9"/>
  <c r="T72" i="9"/>
  <c r="P73" i="9"/>
  <c r="L74" i="9"/>
  <c r="AB74" i="9"/>
  <c r="X75" i="9"/>
  <c r="T76" i="9"/>
  <c r="P77" i="9"/>
  <c r="L78" i="9"/>
  <c r="X79" i="9"/>
  <c r="P82" i="9"/>
  <c r="AB83" i="9"/>
  <c r="T85" i="9"/>
  <c r="L87" i="9"/>
  <c r="X88" i="9"/>
  <c r="P90" i="9"/>
  <c r="AB91" i="9"/>
  <c r="T93" i="9"/>
  <c r="L95" i="9"/>
  <c r="X96" i="9"/>
  <c r="P98" i="9"/>
  <c r="AB99" i="9"/>
  <c r="T101" i="9"/>
  <c r="N103" i="9"/>
  <c r="R106" i="9"/>
  <c r="W110" i="9"/>
  <c r="AB130" i="9"/>
  <c r="K136" i="9"/>
  <c r="I143" i="9"/>
  <c r="Z155" i="9"/>
  <c r="E32" i="54"/>
  <c r="E35" i="54" s="1"/>
  <c r="E37" i="54" s="1"/>
  <c r="F88" i="54"/>
  <c r="F91" i="54" s="1"/>
  <c r="E88" i="54"/>
  <c r="E91" i="54" s="1"/>
  <c r="F32" i="54"/>
  <c r="F35" i="54" s="1"/>
  <c r="F37" i="54" s="1"/>
  <c r="AC96" i="54"/>
  <c r="M96" i="54" s="1"/>
  <c r="AC98" i="54"/>
  <c r="N98" i="54" s="1"/>
  <c r="AC97" i="54"/>
  <c r="M97" i="54" s="1"/>
  <c r="X41" i="54"/>
  <c r="AC42" i="54"/>
  <c r="N42" i="54" s="1"/>
  <c r="N46" i="54" s="1"/>
  <c r="L96" i="54" l="1"/>
  <c r="H96" i="54"/>
  <c r="O96" i="54"/>
  <c r="J96" i="54"/>
  <c r="K96" i="54"/>
  <c r="H97" i="54"/>
  <c r="G96" i="54"/>
  <c r="N96" i="54"/>
  <c r="O97" i="54"/>
  <c r="I96" i="54"/>
  <c r="P96" i="54"/>
  <c r="L97" i="54"/>
  <c r="V41" i="54"/>
  <c r="W41" i="54"/>
  <c r="T41" i="54"/>
  <c r="J98" i="54"/>
  <c r="O98" i="54"/>
  <c r="H98" i="54"/>
  <c r="G98" i="54"/>
  <c r="I41" i="54"/>
  <c r="U41" i="54"/>
  <c r="I98" i="54"/>
  <c r="P98" i="54"/>
  <c r="Q98" i="54" s="1"/>
  <c r="R98" i="54" s="1"/>
  <c r="S98" i="54" s="1"/>
  <c r="T98" i="54" s="1"/>
  <c r="U98" i="54" s="1"/>
  <c r="V98" i="54" s="1"/>
  <c r="W98" i="54" s="1"/>
  <c r="X98" i="54" s="1"/>
  <c r="Y98" i="54" s="1"/>
  <c r="Z98" i="54" s="1"/>
  <c r="M98" i="54"/>
  <c r="M41" i="4" s="1"/>
  <c r="K98" i="54"/>
  <c r="G41" i="54"/>
  <c r="J41" i="54"/>
  <c r="Z41" i="54"/>
  <c r="M41" i="54"/>
  <c r="H41" i="54"/>
  <c r="L41" i="54"/>
  <c r="N41" i="54"/>
  <c r="O41" i="54"/>
  <c r="Y41" i="54"/>
  <c r="Q96" i="54"/>
  <c r="K97" i="54"/>
  <c r="N97" i="54"/>
  <c r="Q41" i="54"/>
  <c r="R41" i="54"/>
  <c r="P41" i="54"/>
  <c r="S41" i="54"/>
  <c r="K41" i="54"/>
  <c r="I97" i="54"/>
  <c r="P97" i="54"/>
  <c r="Q97" i="54" s="1"/>
  <c r="R97" i="54" s="1"/>
  <c r="S97" i="54" s="1"/>
  <c r="T97" i="54" s="1"/>
  <c r="U97" i="54" s="1"/>
  <c r="V97" i="54" s="1"/>
  <c r="W97" i="54" s="1"/>
  <c r="X97" i="54" s="1"/>
  <c r="Y97" i="54" s="1"/>
  <c r="Z97" i="54" s="1"/>
  <c r="L98" i="54"/>
  <c r="G97" i="54"/>
  <c r="J97" i="54"/>
  <c r="P42" i="54"/>
  <c r="P46" i="54" s="1"/>
  <c r="U42" i="54"/>
  <c r="U46" i="54" s="1"/>
  <c r="T42" i="54"/>
  <c r="T46" i="54" s="1"/>
  <c r="R42" i="54"/>
  <c r="R46" i="54" s="1"/>
  <c r="Y42" i="54"/>
  <c r="Y46" i="54" s="1"/>
  <c r="J42" i="54"/>
  <c r="J46" i="54" s="1"/>
  <c r="S42" i="54"/>
  <c r="S46" i="54" s="1"/>
  <c r="W42" i="54"/>
  <c r="W46" i="54" s="1"/>
  <c r="I42" i="54"/>
  <c r="I46" i="54" s="1"/>
  <c r="O42" i="54"/>
  <c r="O46" i="54" s="1"/>
  <c r="V42" i="54"/>
  <c r="V46" i="54" s="1"/>
  <c r="H42" i="54"/>
  <c r="H46" i="54" s="1"/>
  <c r="G42" i="54"/>
  <c r="G46" i="54" s="1"/>
  <c r="Q42" i="54"/>
  <c r="Q46" i="54" s="1"/>
  <c r="Z42" i="54"/>
  <c r="Z46" i="54" s="1"/>
  <c r="L42" i="54"/>
  <c r="L46" i="54" s="1"/>
  <c r="M42" i="54"/>
  <c r="M46" i="54" s="1"/>
  <c r="K42" i="54"/>
  <c r="K46" i="54" s="1"/>
  <c r="X42" i="54"/>
  <c r="X46" i="54" s="1"/>
  <c r="G41" i="4" l="1"/>
  <c r="K41" i="4"/>
  <c r="L41" i="4"/>
  <c r="J41" i="4"/>
  <c r="N41" i="4"/>
  <c r="O41" i="4"/>
  <c r="I41" i="4"/>
  <c r="H41" i="4"/>
  <c r="P41" i="4"/>
  <c r="R96" i="54"/>
  <c r="Q41" i="4"/>
  <c r="S96" i="54" l="1"/>
  <c r="R41" i="4"/>
  <c r="T96" i="54" l="1"/>
  <c r="S41" i="4"/>
  <c r="U96" i="54" l="1"/>
  <c r="T41" i="4"/>
  <c r="K7" i="5"/>
  <c r="V96" i="54" l="1"/>
  <c r="U41" i="4"/>
  <c r="W96" i="54" l="1"/>
  <c r="V41" i="4"/>
  <c r="X96" i="54" l="1"/>
  <c r="W41" i="4"/>
  <c r="Y96" i="54" l="1"/>
  <c r="X41" i="4"/>
  <c r="Z96" i="54" l="1"/>
  <c r="Z41" i="4" s="1"/>
  <c r="Y41" i="4"/>
  <c r="N2" i="10" l="1"/>
  <c r="Z56" i="4"/>
  <c r="Y56" i="4"/>
  <c r="X56" i="4"/>
  <c r="W56" i="4"/>
  <c r="V56" i="4"/>
  <c r="U56" i="4"/>
  <c r="T56" i="4"/>
  <c r="S56" i="4"/>
  <c r="R56" i="4"/>
  <c r="Q56" i="4"/>
  <c r="Z55" i="4"/>
  <c r="Y55" i="4"/>
  <c r="X55" i="4"/>
  <c r="W55" i="4"/>
  <c r="V55" i="4"/>
  <c r="U55" i="4"/>
  <c r="T55" i="4"/>
  <c r="S55" i="4"/>
  <c r="R55" i="4"/>
  <c r="Q55" i="4"/>
  <c r="Z53" i="4"/>
  <c r="Y53" i="4"/>
  <c r="X53" i="4"/>
  <c r="W53" i="4"/>
  <c r="V53" i="4"/>
  <c r="U53" i="4"/>
  <c r="T53" i="4"/>
  <c r="S53" i="4"/>
  <c r="R53" i="4"/>
  <c r="Q53" i="4"/>
  <c r="Z52" i="4"/>
  <c r="Y52" i="4"/>
  <c r="X52" i="4"/>
  <c r="W52" i="4"/>
  <c r="V52" i="4"/>
  <c r="U52" i="4"/>
  <c r="T52" i="4"/>
  <c r="S52" i="4"/>
  <c r="S57" i="4" s="1"/>
  <c r="R52" i="4"/>
  <c r="Q52" i="4"/>
  <c r="S74" i="4" l="1"/>
  <c r="W57" i="4"/>
  <c r="T57" i="4"/>
  <c r="X57" i="4"/>
  <c r="Q57" i="4"/>
  <c r="U57" i="4"/>
  <c r="Y57" i="4"/>
  <c r="R57" i="4"/>
  <c r="V57" i="4"/>
  <c r="Z57" i="4"/>
  <c r="O2" i="10"/>
  <c r="P56" i="4"/>
  <c r="O56" i="4"/>
  <c r="N56" i="4"/>
  <c r="M56" i="4"/>
  <c r="L56" i="4"/>
  <c r="K56" i="4"/>
  <c r="J56" i="4"/>
  <c r="I56" i="4"/>
  <c r="H56" i="4"/>
  <c r="P55" i="4"/>
  <c r="O55" i="4"/>
  <c r="N55" i="4"/>
  <c r="M55" i="4"/>
  <c r="L55" i="4"/>
  <c r="K55" i="4"/>
  <c r="J55" i="4"/>
  <c r="I55" i="4"/>
  <c r="H55" i="4"/>
  <c r="G56" i="4"/>
  <c r="G55" i="4"/>
  <c r="C6" i="5"/>
  <c r="Y74" i="4" l="1"/>
  <c r="T74" i="4"/>
  <c r="Z74" i="4"/>
  <c r="U74" i="4"/>
  <c r="W74" i="4"/>
  <c r="V74" i="4"/>
  <c r="Q74" i="4"/>
  <c r="R74" i="4"/>
  <c r="X74" i="4"/>
  <c r="P2" i="10"/>
  <c r="P53" i="4"/>
  <c r="O53" i="4"/>
  <c r="N53" i="4"/>
  <c r="M53" i="4"/>
  <c r="L53" i="4"/>
  <c r="K53" i="4"/>
  <c r="J53" i="4"/>
  <c r="I53" i="4"/>
  <c r="H53" i="4"/>
  <c r="P52" i="4"/>
  <c r="O52" i="4"/>
  <c r="N52" i="4"/>
  <c r="M52" i="4"/>
  <c r="L52" i="4"/>
  <c r="K52" i="4"/>
  <c r="J52" i="4"/>
  <c r="I52" i="4"/>
  <c r="H52" i="4"/>
  <c r="G53" i="4"/>
  <c r="G52" i="4"/>
  <c r="K10" i="5"/>
  <c r="W39" i="10" l="1" a="1"/>
  <c r="W39" i="10" s="1"/>
  <c r="U39" i="10" a="1"/>
  <c r="U39" i="10" s="1"/>
  <c r="S39" i="10" a="1"/>
  <c r="S39" i="10" s="1"/>
  <c r="Q39" i="10" a="1"/>
  <c r="Q39" i="10" s="1"/>
  <c r="O39" i="10" a="1"/>
  <c r="O39" i="10" s="1"/>
  <c r="M39" i="10" a="1"/>
  <c r="M39" i="10" s="1"/>
  <c r="K39" i="10" a="1"/>
  <c r="K39" i="10" s="1"/>
  <c r="I39" i="10" a="1"/>
  <c r="I39" i="10" s="1"/>
  <c r="G39" i="10" a="1"/>
  <c r="G39" i="10" s="1"/>
  <c r="E39" i="10" a="1"/>
  <c r="E39" i="10" s="1"/>
  <c r="W38" i="10" a="1"/>
  <c r="W38" i="10" s="1"/>
  <c r="U38" i="10" a="1"/>
  <c r="U38" i="10" s="1"/>
  <c r="S38" i="10" a="1"/>
  <c r="S38" i="10" s="1"/>
  <c r="Q38" i="10" a="1"/>
  <c r="Q38" i="10" s="1"/>
  <c r="O38" i="10" a="1"/>
  <c r="O38" i="10" s="1"/>
  <c r="M38" i="10" a="1"/>
  <c r="M38" i="10" s="1"/>
  <c r="K38" i="10" a="1"/>
  <c r="K38" i="10" s="1"/>
  <c r="I38" i="10" a="1"/>
  <c r="I38" i="10" s="1"/>
  <c r="G38" i="10" a="1"/>
  <c r="G38" i="10" s="1"/>
  <c r="E38" i="10" a="1"/>
  <c r="E38" i="10" s="1"/>
  <c r="W37" i="10" a="1"/>
  <c r="W37" i="10" s="1"/>
  <c r="U37" i="10" a="1"/>
  <c r="U37" i="10" s="1"/>
  <c r="S37" i="10" a="1"/>
  <c r="S37" i="10" s="1"/>
  <c r="Q37" i="10" a="1"/>
  <c r="Q37" i="10" s="1"/>
  <c r="O37" i="10" a="1"/>
  <c r="O37" i="10" s="1"/>
  <c r="M37" i="10" a="1"/>
  <c r="M37" i="10" s="1"/>
  <c r="K37" i="10" a="1"/>
  <c r="K37" i="10" s="1"/>
  <c r="I37" i="10" a="1"/>
  <c r="I37" i="10" s="1"/>
  <c r="G37" i="10" a="1"/>
  <c r="G37" i="10" s="1"/>
  <c r="E37" i="10" a="1"/>
  <c r="E37" i="10" s="1"/>
  <c r="W36" i="10" a="1"/>
  <c r="W36" i="10" s="1"/>
  <c r="U36" i="10" a="1"/>
  <c r="U36" i="10" s="1"/>
  <c r="S36" i="10" a="1"/>
  <c r="S36" i="10" s="1"/>
  <c r="Q36" i="10" a="1"/>
  <c r="Q36" i="10" s="1"/>
  <c r="O36" i="10" a="1"/>
  <c r="O36" i="10" s="1"/>
  <c r="M36" i="10" a="1"/>
  <c r="M36" i="10" s="1"/>
  <c r="K36" i="10" a="1"/>
  <c r="K36" i="10" s="1"/>
  <c r="I36" i="10" a="1"/>
  <c r="I36" i="10" s="1"/>
  <c r="G36" i="10" a="1"/>
  <c r="G36" i="10" s="1"/>
  <c r="E36" i="10" a="1"/>
  <c r="E36" i="10" s="1"/>
  <c r="W35" i="10" a="1"/>
  <c r="W35" i="10" s="1"/>
  <c r="U35" i="10" a="1"/>
  <c r="U35" i="10" s="1"/>
  <c r="S35" i="10" a="1"/>
  <c r="S35" i="10" s="1"/>
  <c r="Q35" i="10" a="1"/>
  <c r="Q35" i="10" s="1"/>
  <c r="O35" i="10" a="1"/>
  <c r="O35" i="10" s="1"/>
  <c r="M35" i="10" a="1"/>
  <c r="M35" i="10" s="1"/>
  <c r="K35" i="10" a="1"/>
  <c r="K35" i="10" s="1"/>
  <c r="I35" i="10" a="1"/>
  <c r="I35" i="10" s="1"/>
  <c r="G35" i="10" a="1"/>
  <c r="G35" i="10" s="1"/>
  <c r="E35" i="10" a="1"/>
  <c r="E35" i="10" s="1"/>
  <c r="W34" i="10" a="1"/>
  <c r="W34" i="10" s="1"/>
  <c r="U34" i="10" a="1"/>
  <c r="U34" i="10" s="1"/>
  <c r="S34" i="10" a="1"/>
  <c r="S34" i="10" s="1"/>
  <c r="Q34" i="10" a="1"/>
  <c r="Q34" i="10" s="1"/>
  <c r="O34" i="10" a="1"/>
  <c r="O34" i="10" s="1"/>
  <c r="M34" i="10" a="1"/>
  <c r="M34" i="10" s="1"/>
  <c r="K34" i="10" a="1"/>
  <c r="K34" i="10" s="1"/>
  <c r="I34" i="10" a="1"/>
  <c r="I34" i="10" s="1"/>
  <c r="G34" i="10" a="1"/>
  <c r="G34" i="10" s="1"/>
  <c r="E34" i="10" a="1"/>
  <c r="E34" i="10" s="1"/>
  <c r="W33" i="10" a="1"/>
  <c r="W33" i="10" s="1"/>
  <c r="U33" i="10" a="1"/>
  <c r="U33" i="10" s="1"/>
  <c r="S33" i="10" a="1"/>
  <c r="S33" i="10" s="1"/>
  <c r="Q33" i="10" a="1"/>
  <c r="Q33" i="10" s="1"/>
  <c r="O33" i="10" a="1"/>
  <c r="O33" i="10" s="1"/>
  <c r="M33" i="10" a="1"/>
  <c r="M33" i="10" s="1"/>
  <c r="K33" i="10" a="1"/>
  <c r="K33" i="10" s="1"/>
  <c r="I33" i="10" a="1"/>
  <c r="I33" i="10" s="1"/>
  <c r="G33" i="10" a="1"/>
  <c r="G33" i="10" s="1"/>
  <c r="E33" i="10" a="1"/>
  <c r="E33" i="10" s="1"/>
  <c r="W32" i="10" a="1"/>
  <c r="W32" i="10" s="1"/>
  <c r="U32" i="10" a="1"/>
  <c r="U32" i="10" s="1"/>
  <c r="S32" i="10" a="1"/>
  <c r="S32" i="10" s="1"/>
  <c r="Q32" i="10" a="1"/>
  <c r="Q32" i="10" s="1"/>
  <c r="O32" i="10" a="1"/>
  <c r="O32" i="10" s="1"/>
  <c r="M32" i="10" a="1"/>
  <c r="M32" i="10" s="1"/>
  <c r="K32" i="10" a="1"/>
  <c r="K32" i="10" s="1"/>
  <c r="I32" i="10" a="1"/>
  <c r="I32" i="10" s="1"/>
  <c r="G32" i="10" a="1"/>
  <c r="G32" i="10" s="1"/>
  <c r="E32" i="10" a="1"/>
  <c r="E32" i="10" s="1"/>
  <c r="V28" i="10" a="1"/>
  <c r="V28" i="10" s="1"/>
  <c r="T28" i="10" a="1"/>
  <c r="T28" i="10" s="1"/>
  <c r="R28" i="10" a="1"/>
  <c r="R28" i="10" s="1"/>
  <c r="P28" i="10" a="1"/>
  <c r="P28" i="10" s="1"/>
  <c r="V39" i="10" a="1"/>
  <c r="V39" i="10" s="1"/>
  <c r="T39" i="10" a="1"/>
  <c r="T39" i="10" s="1"/>
  <c r="R39" i="10" a="1"/>
  <c r="R39" i="10" s="1"/>
  <c r="P39" i="10" a="1"/>
  <c r="P39" i="10" s="1"/>
  <c r="N39" i="10" a="1"/>
  <c r="N39" i="10" s="1"/>
  <c r="L39" i="10" a="1"/>
  <c r="L39" i="10" s="1"/>
  <c r="J39" i="10" a="1"/>
  <c r="J39" i="10" s="1"/>
  <c r="H39" i="10" a="1"/>
  <c r="H39" i="10" s="1"/>
  <c r="F39" i="10" a="1"/>
  <c r="F39" i="10" s="1"/>
  <c r="D39" i="10" a="1"/>
  <c r="D39" i="10" s="1"/>
  <c r="V38" i="10" a="1"/>
  <c r="V38" i="10" s="1"/>
  <c r="T38" i="10" a="1"/>
  <c r="T38" i="10" s="1"/>
  <c r="R38" i="10" a="1"/>
  <c r="R38" i="10" s="1"/>
  <c r="P38" i="10" a="1"/>
  <c r="P38" i="10" s="1"/>
  <c r="N38" i="10" a="1"/>
  <c r="N38" i="10" s="1"/>
  <c r="L38" i="10" a="1"/>
  <c r="L38" i="10" s="1"/>
  <c r="J38" i="10" a="1"/>
  <c r="J38" i="10" s="1"/>
  <c r="H38" i="10" a="1"/>
  <c r="H38" i="10" s="1"/>
  <c r="F38" i="10" a="1"/>
  <c r="F38" i="10" s="1"/>
  <c r="D38" i="10" a="1"/>
  <c r="D38" i="10" s="1"/>
  <c r="V37" i="10" a="1"/>
  <c r="V37" i="10" s="1"/>
  <c r="T37" i="10" a="1"/>
  <c r="T37" i="10" s="1"/>
  <c r="R37" i="10" a="1"/>
  <c r="R37" i="10" s="1"/>
  <c r="P37" i="10" a="1"/>
  <c r="P37" i="10" s="1"/>
  <c r="N37" i="10" a="1"/>
  <c r="N37" i="10" s="1"/>
  <c r="L37" i="10" a="1"/>
  <c r="L37" i="10" s="1"/>
  <c r="J37" i="10" a="1"/>
  <c r="J37" i="10" s="1"/>
  <c r="H37" i="10" a="1"/>
  <c r="H37" i="10" s="1"/>
  <c r="F37" i="10" a="1"/>
  <c r="F37" i="10" s="1"/>
  <c r="D37" i="10" a="1"/>
  <c r="D37" i="10" s="1"/>
  <c r="V36" i="10" a="1"/>
  <c r="V36" i="10" s="1"/>
  <c r="T36" i="10" a="1"/>
  <c r="T36" i="10" s="1"/>
  <c r="R36" i="10" a="1"/>
  <c r="R36" i="10" s="1"/>
  <c r="P36" i="10" a="1"/>
  <c r="P36" i="10" s="1"/>
  <c r="N36" i="10" a="1"/>
  <c r="N36" i="10" s="1"/>
  <c r="L36" i="10" a="1"/>
  <c r="L36" i="10" s="1"/>
  <c r="J36" i="10" a="1"/>
  <c r="J36" i="10" s="1"/>
  <c r="H36" i="10" a="1"/>
  <c r="H36" i="10" s="1"/>
  <c r="F36" i="10" a="1"/>
  <c r="F36" i="10" s="1"/>
  <c r="D36" i="10" a="1"/>
  <c r="D36" i="10" s="1"/>
  <c r="V35" i="10" a="1"/>
  <c r="V35" i="10" s="1"/>
  <c r="T35" i="10" a="1"/>
  <c r="T35" i="10" s="1"/>
  <c r="R35" i="10" a="1"/>
  <c r="R35" i="10" s="1"/>
  <c r="P35" i="10" a="1"/>
  <c r="P35" i="10" s="1"/>
  <c r="N35" i="10" a="1"/>
  <c r="N35" i="10" s="1"/>
  <c r="L35" i="10" a="1"/>
  <c r="L35" i="10" s="1"/>
  <c r="J35" i="10" a="1"/>
  <c r="J35" i="10" s="1"/>
  <c r="H35" i="10" a="1"/>
  <c r="H35" i="10" s="1"/>
  <c r="F35" i="10" a="1"/>
  <c r="F35" i="10" s="1"/>
  <c r="D35" i="10" a="1"/>
  <c r="D35" i="10" s="1"/>
  <c r="V34" i="10" a="1"/>
  <c r="V34" i="10" s="1"/>
  <c r="T34" i="10" a="1"/>
  <c r="T34" i="10" s="1"/>
  <c r="R34" i="10" a="1"/>
  <c r="R34" i="10" s="1"/>
  <c r="P34" i="10" a="1"/>
  <c r="P34" i="10" s="1"/>
  <c r="N34" i="10" a="1"/>
  <c r="N34" i="10" s="1"/>
  <c r="L34" i="10" a="1"/>
  <c r="L34" i="10" s="1"/>
  <c r="J34" i="10" a="1"/>
  <c r="J34" i="10" s="1"/>
  <c r="H34" i="10" a="1"/>
  <c r="H34" i="10" s="1"/>
  <c r="F34" i="10" a="1"/>
  <c r="F34" i="10" s="1"/>
  <c r="D34" i="10" a="1"/>
  <c r="D34" i="10" s="1"/>
  <c r="V33" i="10" a="1"/>
  <c r="V33" i="10" s="1"/>
  <c r="T33" i="10" a="1"/>
  <c r="T33" i="10" s="1"/>
  <c r="R33" i="10" a="1"/>
  <c r="R33" i="10" s="1"/>
  <c r="P33" i="10" a="1"/>
  <c r="P33" i="10" s="1"/>
  <c r="N33" i="10" a="1"/>
  <c r="N33" i="10" s="1"/>
  <c r="L33" i="10" a="1"/>
  <c r="L33" i="10" s="1"/>
  <c r="J33" i="10" a="1"/>
  <c r="J33" i="10" s="1"/>
  <c r="H33" i="10" a="1"/>
  <c r="H33" i="10" s="1"/>
  <c r="F33" i="10" a="1"/>
  <c r="F33" i="10" s="1"/>
  <c r="D33" i="10" a="1"/>
  <c r="D33" i="10" s="1"/>
  <c r="V32" i="10" a="1"/>
  <c r="V32" i="10" s="1"/>
  <c r="T32" i="10" a="1"/>
  <c r="T32" i="10" s="1"/>
  <c r="R32" i="10" a="1"/>
  <c r="R32" i="10" s="1"/>
  <c r="P32" i="10" a="1"/>
  <c r="P32" i="10" s="1"/>
  <c r="N32" i="10" a="1"/>
  <c r="N32" i="10" s="1"/>
  <c r="L32" i="10" a="1"/>
  <c r="L32" i="10" s="1"/>
  <c r="J32" i="10" a="1"/>
  <c r="J32" i="10" s="1"/>
  <c r="H32" i="10" a="1"/>
  <c r="H32" i="10" s="1"/>
  <c r="F32" i="10" a="1"/>
  <c r="F32" i="10" s="1"/>
  <c r="D32" i="10" a="1"/>
  <c r="D32" i="10" s="1"/>
  <c r="W28" i="10" a="1"/>
  <c r="W28" i="10" s="1"/>
  <c r="U28" i="10" a="1"/>
  <c r="U28" i="10" s="1"/>
  <c r="S28" i="10" a="1"/>
  <c r="S28" i="10" s="1"/>
  <c r="Q28" i="10" a="1"/>
  <c r="Q28" i="10" s="1"/>
  <c r="O28" i="10" a="1"/>
  <c r="O28" i="10" s="1"/>
  <c r="N28" i="10" a="1"/>
  <c r="N28" i="10" s="1"/>
  <c r="L28" i="10" a="1"/>
  <c r="L28" i="10" s="1"/>
  <c r="J28" i="10" a="1"/>
  <c r="J28" i="10" s="1"/>
  <c r="H28" i="10" a="1"/>
  <c r="H28" i="10" s="1"/>
  <c r="F28" i="10" a="1"/>
  <c r="F28" i="10" s="1"/>
  <c r="D28" i="10" a="1"/>
  <c r="D28" i="10" s="1"/>
  <c r="V27" i="10" a="1"/>
  <c r="V27" i="10" s="1"/>
  <c r="T27" i="10" a="1"/>
  <c r="T27" i="10" s="1"/>
  <c r="R27" i="10" a="1"/>
  <c r="R27" i="10" s="1"/>
  <c r="P27" i="10" a="1"/>
  <c r="P27" i="10" s="1"/>
  <c r="N27" i="10" a="1"/>
  <c r="N27" i="10" s="1"/>
  <c r="L27" i="10" a="1"/>
  <c r="L27" i="10" s="1"/>
  <c r="J27" i="10" a="1"/>
  <c r="J27" i="10" s="1"/>
  <c r="H27" i="10" a="1"/>
  <c r="H27" i="10" s="1"/>
  <c r="F27" i="10" a="1"/>
  <c r="F27" i="10" s="1"/>
  <c r="D27" i="10" a="1"/>
  <c r="D27" i="10" s="1"/>
  <c r="V26" i="10" a="1"/>
  <c r="V26" i="10" s="1"/>
  <c r="T26" i="10" a="1"/>
  <c r="T26" i="10" s="1"/>
  <c r="R26" i="10" a="1"/>
  <c r="R26" i="10" s="1"/>
  <c r="P26" i="10" a="1"/>
  <c r="P26" i="10" s="1"/>
  <c r="N26" i="10" a="1"/>
  <c r="N26" i="10" s="1"/>
  <c r="L26" i="10" a="1"/>
  <c r="L26" i="10" s="1"/>
  <c r="J26" i="10" a="1"/>
  <c r="J26" i="10" s="1"/>
  <c r="H26" i="10" a="1"/>
  <c r="H26" i="10" s="1"/>
  <c r="F26" i="10" a="1"/>
  <c r="F26" i="10" s="1"/>
  <c r="D26" i="10" a="1"/>
  <c r="D26" i="10" s="1"/>
  <c r="V25" i="10" a="1"/>
  <c r="V25" i="10" s="1"/>
  <c r="T25" i="10" a="1"/>
  <c r="T25" i="10" s="1"/>
  <c r="R25" i="10" a="1"/>
  <c r="R25" i="10" s="1"/>
  <c r="P25" i="10" a="1"/>
  <c r="P25" i="10" s="1"/>
  <c r="N25" i="10" a="1"/>
  <c r="N25" i="10" s="1"/>
  <c r="L25" i="10" a="1"/>
  <c r="L25" i="10" s="1"/>
  <c r="J25" i="10" a="1"/>
  <c r="J25" i="10" s="1"/>
  <c r="H25" i="10" a="1"/>
  <c r="H25" i="10" s="1"/>
  <c r="F25" i="10" a="1"/>
  <c r="F25" i="10" s="1"/>
  <c r="D25" i="10" a="1"/>
  <c r="D25" i="10" s="1"/>
  <c r="V24" i="10" a="1"/>
  <c r="V24" i="10" s="1"/>
  <c r="T24" i="10" a="1"/>
  <c r="T24" i="10" s="1"/>
  <c r="R24" i="10" a="1"/>
  <c r="R24" i="10" s="1"/>
  <c r="P24" i="10" a="1"/>
  <c r="P24" i="10" s="1"/>
  <c r="N24" i="10" a="1"/>
  <c r="N24" i="10" s="1"/>
  <c r="L24" i="10" a="1"/>
  <c r="L24" i="10" s="1"/>
  <c r="J24" i="10" a="1"/>
  <c r="J24" i="10" s="1"/>
  <c r="H24" i="10" a="1"/>
  <c r="H24" i="10" s="1"/>
  <c r="F24" i="10" a="1"/>
  <c r="F24" i="10" s="1"/>
  <c r="D24" i="10" a="1"/>
  <c r="D24" i="10" s="1"/>
  <c r="V23" i="10" a="1"/>
  <c r="V23" i="10" s="1"/>
  <c r="T23" i="10" a="1"/>
  <c r="T23" i="10" s="1"/>
  <c r="R23" i="10" a="1"/>
  <c r="R23" i="10" s="1"/>
  <c r="P23" i="10" a="1"/>
  <c r="P23" i="10" s="1"/>
  <c r="N23" i="10" a="1"/>
  <c r="N23" i="10" s="1"/>
  <c r="L23" i="10" a="1"/>
  <c r="L23" i="10" s="1"/>
  <c r="J23" i="10" a="1"/>
  <c r="J23" i="10" s="1"/>
  <c r="H23" i="10" a="1"/>
  <c r="H23" i="10" s="1"/>
  <c r="F23" i="10" a="1"/>
  <c r="F23" i="10" s="1"/>
  <c r="D23" i="10" a="1"/>
  <c r="D23" i="10" s="1"/>
  <c r="V22" i="10" a="1"/>
  <c r="V22" i="10" s="1"/>
  <c r="T22" i="10" a="1"/>
  <c r="T22" i="10" s="1"/>
  <c r="R22" i="10" a="1"/>
  <c r="R22" i="10" s="1"/>
  <c r="P22" i="10" a="1"/>
  <c r="P22" i="10" s="1"/>
  <c r="N22" i="10" a="1"/>
  <c r="N22" i="10" s="1"/>
  <c r="L22" i="10" a="1"/>
  <c r="L22" i="10" s="1"/>
  <c r="J22" i="10" a="1"/>
  <c r="J22" i="10" s="1"/>
  <c r="H22" i="10" a="1"/>
  <c r="H22" i="10" s="1"/>
  <c r="F22" i="10" a="1"/>
  <c r="F22" i="10" s="1"/>
  <c r="D22" i="10" a="1"/>
  <c r="D22" i="10" s="1"/>
  <c r="V21" i="10" a="1"/>
  <c r="V21" i="10" s="1"/>
  <c r="T21" i="10" a="1"/>
  <c r="T21" i="10" s="1"/>
  <c r="R21" i="10" a="1"/>
  <c r="R21" i="10" s="1"/>
  <c r="P21" i="10" a="1"/>
  <c r="P21" i="10" s="1"/>
  <c r="N21" i="10" a="1"/>
  <c r="N21" i="10" s="1"/>
  <c r="L21" i="10" a="1"/>
  <c r="L21" i="10" s="1"/>
  <c r="J21" i="10" a="1"/>
  <c r="J21" i="10" s="1"/>
  <c r="H21" i="10" a="1"/>
  <c r="H21" i="10" s="1"/>
  <c r="F21" i="10" a="1"/>
  <c r="F21" i="10" s="1"/>
  <c r="D21" i="10" a="1"/>
  <c r="D21" i="10" s="1"/>
  <c r="V17" i="10" a="1"/>
  <c r="V17" i="10" s="1"/>
  <c r="T17" i="10" a="1"/>
  <c r="T17" i="10" s="1"/>
  <c r="R17" i="10" a="1"/>
  <c r="R17" i="10" s="1"/>
  <c r="P17" i="10" a="1"/>
  <c r="P17" i="10" s="1"/>
  <c r="N17" i="10" a="1"/>
  <c r="N17" i="10" s="1"/>
  <c r="L17" i="10" a="1"/>
  <c r="L17" i="10" s="1"/>
  <c r="J17" i="10" a="1"/>
  <c r="J17" i="10" s="1"/>
  <c r="H17" i="10" a="1"/>
  <c r="H17" i="10" s="1"/>
  <c r="F17" i="10" a="1"/>
  <c r="F17" i="10" s="1"/>
  <c r="W16" i="10" a="1"/>
  <c r="W16" i="10" s="1"/>
  <c r="U16" i="10" a="1"/>
  <c r="U16" i="10" s="1"/>
  <c r="S16" i="10" a="1"/>
  <c r="S16" i="10" s="1"/>
  <c r="Q16" i="10" a="1"/>
  <c r="Q16" i="10" s="1"/>
  <c r="O16" i="10" a="1"/>
  <c r="O16" i="10" s="1"/>
  <c r="M16" i="10" a="1"/>
  <c r="M16" i="10" s="1"/>
  <c r="K16" i="10" a="1"/>
  <c r="K16" i="10" s="1"/>
  <c r="I16" i="10" a="1"/>
  <c r="I16" i="10" s="1"/>
  <c r="G16" i="10" a="1"/>
  <c r="G16" i="10" s="1"/>
  <c r="E16" i="10" a="1"/>
  <c r="E16" i="10" s="1"/>
  <c r="V15" i="10" a="1"/>
  <c r="V15" i="10" s="1"/>
  <c r="T15" i="10" a="1"/>
  <c r="T15" i="10" s="1"/>
  <c r="R15" i="10" a="1"/>
  <c r="R15" i="10" s="1"/>
  <c r="P15" i="10" a="1"/>
  <c r="P15" i="10" s="1"/>
  <c r="N15" i="10" a="1"/>
  <c r="N15" i="10" s="1"/>
  <c r="L15" i="10" a="1"/>
  <c r="L15" i="10" s="1"/>
  <c r="J15" i="10" a="1"/>
  <c r="J15" i="10" s="1"/>
  <c r="H15" i="10" a="1"/>
  <c r="H15" i="10" s="1"/>
  <c r="F15" i="10" a="1"/>
  <c r="F15" i="10" s="1"/>
  <c r="W14" i="10" a="1"/>
  <c r="W14" i="10" s="1"/>
  <c r="U14" i="10" a="1"/>
  <c r="U14" i="10" s="1"/>
  <c r="S14" i="10" a="1"/>
  <c r="S14" i="10" s="1"/>
  <c r="Q14" i="10" a="1"/>
  <c r="Q14" i="10" s="1"/>
  <c r="O14" i="10" a="1"/>
  <c r="O14" i="10" s="1"/>
  <c r="M14" i="10" a="1"/>
  <c r="M14" i="10" s="1"/>
  <c r="K14" i="10" a="1"/>
  <c r="K14" i="10" s="1"/>
  <c r="I14" i="10" a="1"/>
  <c r="I14" i="10" s="1"/>
  <c r="G14" i="10" a="1"/>
  <c r="G14" i="10" s="1"/>
  <c r="E14" i="10" a="1"/>
  <c r="E14" i="10" s="1"/>
  <c r="V13" i="10" a="1"/>
  <c r="V13" i="10" s="1"/>
  <c r="T13" i="10" a="1"/>
  <c r="T13" i="10" s="1"/>
  <c r="R13" i="10" a="1"/>
  <c r="R13" i="10" s="1"/>
  <c r="P13" i="10" a="1"/>
  <c r="P13" i="10" s="1"/>
  <c r="N13" i="10" a="1"/>
  <c r="N13" i="10" s="1"/>
  <c r="L13" i="10" a="1"/>
  <c r="L13" i="10" s="1"/>
  <c r="J13" i="10" a="1"/>
  <c r="J13" i="10" s="1"/>
  <c r="H13" i="10" a="1"/>
  <c r="H13" i="10" s="1"/>
  <c r="F13" i="10" a="1"/>
  <c r="F13" i="10" s="1"/>
  <c r="W12" i="10" a="1"/>
  <c r="W12" i="10" s="1"/>
  <c r="U12" i="10" a="1"/>
  <c r="U12" i="10" s="1"/>
  <c r="S12" i="10" a="1"/>
  <c r="S12" i="10" s="1"/>
  <c r="Q12" i="10" a="1"/>
  <c r="Q12" i="10" s="1"/>
  <c r="O12" i="10" a="1"/>
  <c r="O12" i="10" s="1"/>
  <c r="M12" i="10" a="1"/>
  <c r="M12" i="10" s="1"/>
  <c r="K12" i="10" a="1"/>
  <c r="K12" i="10" s="1"/>
  <c r="I12" i="10" a="1"/>
  <c r="I12" i="10" s="1"/>
  <c r="G12" i="10" a="1"/>
  <c r="G12" i="10" s="1"/>
  <c r="E12" i="10" a="1"/>
  <c r="E12" i="10" s="1"/>
  <c r="V11" i="10" a="1"/>
  <c r="V11" i="10" s="1"/>
  <c r="T11" i="10" a="1"/>
  <c r="T11" i="10" s="1"/>
  <c r="R11" i="10" a="1"/>
  <c r="R11" i="10" s="1"/>
  <c r="P11" i="10" a="1"/>
  <c r="P11" i="10" s="1"/>
  <c r="N11" i="10" a="1"/>
  <c r="N11" i="10" s="1"/>
  <c r="L11" i="10" a="1"/>
  <c r="L11" i="10" s="1"/>
  <c r="J11" i="10" a="1"/>
  <c r="J11" i="10" s="1"/>
  <c r="H11" i="10" a="1"/>
  <c r="H11" i="10" s="1"/>
  <c r="F11" i="10" a="1"/>
  <c r="F11" i="10" s="1"/>
  <c r="W10" i="10" a="1"/>
  <c r="W10" i="10" s="1"/>
  <c r="U10" i="10" a="1"/>
  <c r="U10" i="10" s="1"/>
  <c r="S10" i="10" a="1"/>
  <c r="S10" i="10" s="1"/>
  <c r="Q10" i="10" a="1"/>
  <c r="Q10" i="10" s="1"/>
  <c r="O10" i="10" a="1"/>
  <c r="O10" i="10" s="1"/>
  <c r="M10" i="10" a="1"/>
  <c r="M10" i="10" s="1"/>
  <c r="K10" i="10" a="1"/>
  <c r="K10" i="10" s="1"/>
  <c r="I10" i="10" a="1"/>
  <c r="I10" i="10" s="1"/>
  <c r="G10" i="10" a="1"/>
  <c r="G10" i="10" s="1"/>
  <c r="E10" i="10" a="1"/>
  <c r="E10" i="10" s="1"/>
  <c r="D16" i="10" a="1"/>
  <c r="D16" i="10" s="1"/>
  <c r="D14" i="10" a="1"/>
  <c r="D14" i="10" s="1"/>
  <c r="D12" i="10" a="1"/>
  <c r="D12" i="10" s="1"/>
  <c r="D10" i="10" a="1"/>
  <c r="D10" i="10" s="1"/>
  <c r="M28" i="10" a="1"/>
  <c r="M28" i="10" s="1"/>
  <c r="K28" i="10" a="1"/>
  <c r="K28" i="10" s="1"/>
  <c r="I28" i="10" a="1"/>
  <c r="I28" i="10" s="1"/>
  <c r="G28" i="10" a="1"/>
  <c r="G28" i="10" s="1"/>
  <c r="E28" i="10" a="1"/>
  <c r="E28" i="10" s="1"/>
  <c r="W27" i="10" a="1"/>
  <c r="W27" i="10" s="1"/>
  <c r="U27" i="10" a="1"/>
  <c r="U27" i="10" s="1"/>
  <c r="S27" i="10" a="1"/>
  <c r="S27" i="10" s="1"/>
  <c r="Q27" i="10" a="1"/>
  <c r="Q27" i="10" s="1"/>
  <c r="O27" i="10" a="1"/>
  <c r="O27" i="10" s="1"/>
  <c r="M27" i="10" a="1"/>
  <c r="M27" i="10" s="1"/>
  <c r="K27" i="10" a="1"/>
  <c r="K27" i="10" s="1"/>
  <c r="I27" i="10" a="1"/>
  <c r="I27" i="10" s="1"/>
  <c r="G27" i="10" a="1"/>
  <c r="G27" i="10" s="1"/>
  <c r="E27" i="10" a="1"/>
  <c r="E27" i="10" s="1"/>
  <c r="W26" i="10" a="1"/>
  <c r="W26" i="10" s="1"/>
  <c r="U26" i="10" a="1"/>
  <c r="U26" i="10" s="1"/>
  <c r="S26" i="10" a="1"/>
  <c r="S26" i="10" s="1"/>
  <c r="Q26" i="10" a="1"/>
  <c r="Q26" i="10" s="1"/>
  <c r="O26" i="10" a="1"/>
  <c r="O26" i="10" s="1"/>
  <c r="M26" i="10" a="1"/>
  <c r="M26" i="10" s="1"/>
  <c r="K26" i="10" a="1"/>
  <c r="K26" i="10" s="1"/>
  <c r="I26" i="10" a="1"/>
  <c r="I26" i="10" s="1"/>
  <c r="G26" i="10" a="1"/>
  <c r="G26" i="10" s="1"/>
  <c r="E26" i="10" a="1"/>
  <c r="E26" i="10" s="1"/>
  <c r="W25" i="10" a="1"/>
  <c r="W25" i="10" s="1"/>
  <c r="U25" i="10" a="1"/>
  <c r="U25" i="10" s="1"/>
  <c r="S25" i="10" a="1"/>
  <c r="S25" i="10" s="1"/>
  <c r="Q25" i="10" a="1"/>
  <c r="Q25" i="10" s="1"/>
  <c r="O25" i="10" a="1"/>
  <c r="O25" i="10" s="1"/>
  <c r="M25" i="10" a="1"/>
  <c r="M25" i="10" s="1"/>
  <c r="K25" i="10" a="1"/>
  <c r="K25" i="10" s="1"/>
  <c r="I25" i="10" a="1"/>
  <c r="I25" i="10" s="1"/>
  <c r="G25" i="10" a="1"/>
  <c r="G25" i="10" s="1"/>
  <c r="E25" i="10" a="1"/>
  <c r="E25" i="10" s="1"/>
  <c r="W24" i="10" a="1"/>
  <c r="W24" i="10" s="1"/>
  <c r="U24" i="10" a="1"/>
  <c r="U24" i="10" s="1"/>
  <c r="S24" i="10" a="1"/>
  <c r="S24" i="10" s="1"/>
  <c r="Q24" i="10" a="1"/>
  <c r="Q24" i="10" s="1"/>
  <c r="O24" i="10" a="1"/>
  <c r="O24" i="10" s="1"/>
  <c r="M24" i="10" a="1"/>
  <c r="M24" i="10" s="1"/>
  <c r="K24" i="10" a="1"/>
  <c r="K24" i="10" s="1"/>
  <c r="I24" i="10" a="1"/>
  <c r="I24" i="10" s="1"/>
  <c r="G24" i="10" a="1"/>
  <c r="G24" i="10" s="1"/>
  <c r="E24" i="10" a="1"/>
  <c r="E24" i="10" s="1"/>
  <c r="W23" i="10" a="1"/>
  <c r="W23" i="10" s="1"/>
  <c r="U23" i="10" a="1"/>
  <c r="U23" i="10" s="1"/>
  <c r="S23" i="10" a="1"/>
  <c r="S23" i="10" s="1"/>
  <c r="Q23" i="10" a="1"/>
  <c r="Q23" i="10" s="1"/>
  <c r="O23" i="10" a="1"/>
  <c r="O23" i="10" s="1"/>
  <c r="M23" i="10" a="1"/>
  <c r="M23" i="10" s="1"/>
  <c r="K23" i="10" a="1"/>
  <c r="K23" i="10" s="1"/>
  <c r="I23" i="10" a="1"/>
  <c r="I23" i="10" s="1"/>
  <c r="G23" i="10" a="1"/>
  <c r="G23" i="10" s="1"/>
  <c r="E23" i="10" a="1"/>
  <c r="E23" i="10" s="1"/>
  <c r="W22" i="10" a="1"/>
  <c r="W22" i="10" s="1"/>
  <c r="U22" i="10" a="1"/>
  <c r="U22" i="10" s="1"/>
  <c r="S22" i="10" a="1"/>
  <c r="S22" i="10" s="1"/>
  <c r="Q22" i="10" a="1"/>
  <c r="Q22" i="10" s="1"/>
  <c r="O22" i="10" a="1"/>
  <c r="O22" i="10" s="1"/>
  <c r="M22" i="10" a="1"/>
  <c r="M22" i="10" s="1"/>
  <c r="K22" i="10" a="1"/>
  <c r="K22" i="10" s="1"/>
  <c r="I22" i="10" a="1"/>
  <c r="I22" i="10" s="1"/>
  <c r="G22" i="10" a="1"/>
  <c r="G22" i="10" s="1"/>
  <c r="E22" i="10" a="1"/>
  <c r="E22" i="10" s="1"/>
  <c r="W21" i="10" a="1"/>
  <c r="W21" i="10" s="1"/>
  <c r="U21" i="10" a="1"/>
  <c r="U21" i="10" s="1"/>
  <c r="S21" i="10" a="1"/>
  <c r="S21" i="10" s="1"/>
  <c r="Q21" i="10" a="1"/>
  <c r="Q21" i="10" s="1"/>
  <c r="O21" i="10" a="1"/>
  <c r="O21" i="10" s="1"/>
  <c r="M21" i="10" a="1"/>
  <c r="M21" i="10" s="1"/>
  <c r="K21" i="10" a="1"/>
  <c r="K21" i="10" s="1"/>
  <c r="I21" i="10" a="1"/>
  <c r="I21" i="10" s="1"/>
  <c r="G21" i="10" a="1"/>
  <c r="G21" i="10" s="1"/>
  <c r="E21" i="10" a="1"/>
  <c r="E21" i="10" s="1"/>
  <c r="W17" i="10" a="1"/>
  <c r="W17" i="10" s="1"/>
  <c r="U17" i="10" a="1"/>
  <c r="U17" i="10" s="1"/>
  <c r="S17" i="10" a="1"/>
  <c r="S17" i="10" s="1"/>
  <c r="Q17" i="10" a="1"/>
  <c r="Q17" i="10" s="1"/>
  <c r="O17" i="10" a="1"/>
  <c r="O17" i="10" s="1"/>
  <c r="M17" i="10" a="1"/>
  <c r="M17" i="10" s="1"/>
  <c r="K17" i="10" a="1"/>
  <c r="K17" i="10" s="1"/>
  <c r="I17" i="10" a="1"/>
  <c r="I17" i="10" s="1"/>
  <c r="G17" i="10" a="1"/>
  <c r="G17" i="10" s="1"/>
  <c r="E17" i="10" a="1"/>
  <c r="E17" i="10" s="1"/>
  <c r="V16" i="10" a="1"/>
  <c r="V16" i="10" s="1"/>
  <c r="R16" i="10" a="1"/>
  <c r="R16" i="10" s="1"/>
  <c r="N16" i="10" a="1"/>
  <c r="N16" i="10" s="1"/>
  <c r="J16" i="10" a="1"/>
  <c r="J16" i="10" s="1"/>
  <c r="F16" i="10" a="1"/>
  <c r="F16" i="10" s="1"/>
  <c r="U15" i="10" a="1"/>
  <c r="U15" i="10" s="1"/>
  <c r="Q15" i="10" a="1"/>
  <c r="Q15" i="10" s="1"/>
  <c r="M15" i="10" a="1"/>
  <c r="M15" i="10" s="1"/>
  <c r="I15" i="10" a="1"/>
  <c r="I15" i="10" s="1"/>
  <c r="E15" i="10" a="1"/>
  <c r="E15" i="10" s="1"/>
  <c r="T14" i="10" a="1"/>
  <c r="T14" i="10" s="1"/>
  <c r="P14" i="10" a="1"/>
  <c r="P14" i="10" s="1"/>
  <c r="L14" i="10" a="1"/>
  <c r="L14" i="10" s="1"/>
  <c r="H14" i="10" a="1"/>
  <c r="H14" i="10" s="1"/>
  <c r="W13" i="10" a="1"/>
  <c r="W13" i="10" s="1"/>
  <c r="S13" i="10" a="1"/>
  <c r="S13" i="10" s="1"/>
  <c r="O13" i="10" a="1"/>
  <c r="O13" i="10" s="1"/>
  <c r="K13" i="10" a="1"/>
  <c r="K13" i="10" s="1"/>
  <c r="G13" i="10" a="1"/>
  <c r="G13" i="10" s="1"/>
  <c r="V12" i="10" a="1"/>
  <c r="V12" i="10" s="1"/>
  <c r="R12" i="10" a="1"/>
  <c r="R12" i="10" s="1"/>
  <c r="N12" i="10" a="1"/>
  <c r="N12" i="10" s="1"/>
  <c r="J12" i="10" a="1"/>
  <c r="J12" i="10" s="1"/>
  <c r="F12" i="10" a="1"/>
  <c r="F12" i="10" s="1"/>
  <c r="U11" i="10" a="1"/>
  <c r="U11" i="10" s="1"/>
  <c r="Q11" i="10" a="1"/>
  <c r="Q11" i="10" s="1"/>
  <c r="M11" i="10" a="1"/>
  <c r="M11" i="10" s="1"/>
  <c r="I11" i="10" a="1"/>
  <c r="I11" i="10" s="1"/>
  <c r="E11" i="10" a="1"/>
  <c r="E11" i="10" s="1"/>
  <c r="T10" i="10" a="1"/>
  <c r="T10" i="10" s="1"/>
  <c r="P10" i="10" a="1"/>
  <c r="P10" i="10" s="1"/>
  <c r="L10" i="10" a="1"/>
  <c r="L10" i="10" s="1"/>
  <c r="H10" i="10" a="1"/>
  <c r="H10" i="10" s="1"/>
  <c r="D17" i="10" a="1"/>
  <c r="D17" i="10" s="1"/>
  <c r="D13" i="10" a="1"/>
  <c r="D13" i="10" s="1"/>
  <c r="T16" i="10" a="1"/>
  <c r="T16" i="10" s="1"/>
  <c r="P16" i="10" a="1"/>
  <c r="P16" i="10" s="1"/>
  <c r="L16" i="10" a="1"/>
  <c r="L16" i="10" s="1"/>
  <c r="H16" i="10" a="1"/>
  <c r="H16" i="10" s="1"/>
  <c r="W15" i="10" a="1"/>
  <c r="W15" i="10" s="1"/>
  <c r="S15" i="10" a="1"/>
  <c r="S15" i="10" s="1"/>
  <c r="O15" i="10" a="1"/>
  <c r="O15" i="10" s="1"/>
  <c r="K15" i="10" a="1"/>
  <c r="K15" i="10" s="1"/>
  <c r="G15" i="10" a="1"/>
  <c r="G15" i="10" s="1"/>
  <c r="V14" i="10" a="1"/>
  <c r="V14" i="10" s="1"/>
  <c r="R14" i="10" a="1"/>
  <c r="R14" i="10" s="1"/>
  <c r="N14" i="10" a="1"/>
  <c r="N14" i="10" s="1"/>
  <c r="J14" i="10" a="1"/>
  <c r="J14" i="10" s="1"/>
  <c r="F14" i="10" a="1"/>
  <c r="F14" i="10" s="1"/>
  <c r="U13" i="10" a="1"/>
  <c r="U13" i="10" s="1"/>
  <c r="Q13" i="10" a="1"/>
  <c r="Q13" i="10" s="1"/>
  <c r="M13" i="10" a="1"/>
  <c r="M13" i="10" s="1"/>
  <c r="I13" i="10" a="1"/>
  <c r="I13" i="10" s="1"/>
  <c r="E13" i="10" a="1"/>
  <c r="E13" i="10" s="1"/>
  <c r="T12" i="10" a="1"/>
  <c r="T12" i="10" s="1"/>
  <c r="P12" i="10" a="1"/>
  <c r="P12" i="10" s="1"/>
  <c r="L12" i="10" a="1"/>
  <c r="L12" i="10" s="1"/>
  <c r="H12" i="10" a="1"/>
  <c r="H12" i="10" s="1"/>
  <c r="W11" i="10" a="1"/>
  <c r="W11" i="10" s="1"/>
  <c r="S11" i="10" a="1"/>
  <c r="S11" i="10" s="1"/>
  <c r="O11" i="10" a="1"/>
  <c r="O11" i="10" s="1"/>
  <c r="K11" i="10" a="1"/>
  <c r="K11" i="10" s="1"/>
  <c r="G11" i="10" a="1"/>
  <c r="G11" i="10" s="1"/>
  <c r="V10" i="10" a="1"/>
  <c r="V10" i="10" s="1"/>
  <c r="R10" i="10" a="1"/>
  <c r="R10" i="10" s="1"/>
  <c r="N10" i="10" a="1"/>
  <c r="N10" i="10" s="1"/>
  <c r="J10" i="10" a="1"/>
  <c r="J10" i="10" s="1"/>
  <c r="F10" i="10" a="1"/>
  <c r="F10" i="10" s="1"/>
  <c r="D15" i="10" a="1"/>
  <c r="D15" i="10" s="1"/>
  <c r="D11" i="10" a="1"/>
  <c r="D11" i="10" s="1"/>
  <c r="C4" i="48" a="1"/>
  <c r="C4" i="48" s="1"/>
  <c r="C7" i="48" a="1"/>
  <c r="C7" i="48" s="1"/>
  <c r="C6" i="48" a="1"/>
  <c r="C6" i="48" s="1"/>
  <c r="C5" i="48" a="1"/>
  <c r="C5" i="48" s="1"/>
  <c r="Q2" i="10"/>
  <c r="R2" i="10" l="1"/>
  <c r="T40" i="10"/>
  <c r="P40" i="10"/>
  <c r="V40" i="10"/>
  <c r="R40" i="10"/>
  <c r="U18" i="10"/>
  <c r="Q18" i="10"/>
  <c r="P29" i="10"/>
  <c r="U40" i="10"/>
  <c r="Q40" i="10"/>
  <c r="T18" i="10"/>
  <c r="P18" i="10"/>
  <c r="U29" i="10"/>
  <c r="Q29" i="10"/>
  <c r="W18" i="10"/>
  <c r="S18" i="10"/>
  <c r="O18" i="10"/>
  <c r="T29" i="10"/>
  <c r="V29" i="10"/>
  <c r="R29" i="10"/>
  <c r="N29" i="10"/>
  <c r="W40" i="10"/>
  <c r="S40" i="10"/>
  <c r="O40" i="10"/>
  <c r="V18" i="10"/>
  <c r="R18" i="10"/>
  <c r="N18" i="10"/>
  <c r="W29" i="10"/>
  <c r="S29" i="10"/>
  <c r="O29" i="10"/>
  <c r="N40" i="10"/>
  <c r="H18" i="10"/>
  <c r="L18" i="10"/>
  <c r="D18" i="10"/>
  <c r="J18" i="10"/>
  <c r="F18" i="10"/>
  <c r="M29" i="10"/>
  <c r="G18" i="10"/>
  <c r="K18" i="10"/>
  <c r="E18" i="10"/>
  <c r="I18" i="10"/>
  <c r="M18" i="10"/>
  <c r="L40" i="10"/>
  <c r="F40" i="10"/>
  <c r="J40" i="10"/>
  <c r="G29" i="10"/>
  <c r="K29" i="10"/>
  <c r="G40" i="10"/>
  <c r="K40" i="10"/>
  <c r="D29" i="10"/>
  <c r="H29" i="10"/>
  <c r="L29" i="10"/>
  <c r="D40" i="10"/>
  <c r="H40" i="10"/>
  <c r="F29" i="10"/>
  <c r="J29" i="10"/>
  <c r="E29" i="10"/>
  <c r="I29" i="10"/>
  <c r="E40" i="10"/>
  <c r="I40" i="10"/>
  <c r="M40" i="10"/>
  <c r="S2" i="10" l="1"/>
  <c r="T2" i="10" l="1"/>
  <c r="P57" i="4"/>
  <c r="P74" i="4" l="1"/>
  <c r="U2" i="10"/>
  <c r="G57" i="4"/>
  <c r="H57" i="4"/>
  <c r="J57" i="4"/>
  <c r="L57" i="4"/>
  <c r="N57" i="4"/>
  <c r="I57" i="4"/>
  <c r="K57" i="4"/>
  <c r="M57" i="4"/>
  <c r="O57" i="4"/>
  <c r="G74" i="4" l="1"/>
  <c r="I74" i="4"/>
  <c r="J74" i="4"/>
  <c r="M74" i="4"/>
  <c r="N74" i="4"/>
  <c r="O74" i="4"/>
  <c r="H74" i="4"/>
  <c r="K74" i="4"/>
  <c r="L74" i="4"/>
  <c r="V2" i="10"/>
  <c r="W2" i="10" l="1"/>
  <c r="K8" i="5" l="1"/>
  <c r="E14" i="6" l="1"/>
  <c r="D15" i="6"/>
  <c r="F15" i="6"/>
  <c r="E16" i="6"/>
  <c r="D17" i="6"/>
  <c r="F17" i="6"/>
  <c r="F30" i="6" s="1"/>
  <c r="E18" i="6"/>
  <c r="D19" i="6"/>
  <c r="F19" i="6"/>
  <c r="E20" i="6"/>
  <c r="D21" i="6"/>
  <c r="F21" i="6"/>
  <c r="E22" i="6"/>
  <c r="D23" i="6"/>
  <c r="F23" i="6"/>
  <c r="F14" i="6"/>
  <c r="E15" i="6"/>
  <c r="D16" i="6"/>
  <c r="F16" i="6"/>
  <c r="E17" i="6"/>
  <c r="E30" i="6" s="1"/>
  <c r="D18" i="6"/>
  <c r="F18" i="6"/>
  <c r="E19" i="6"/>
  <c r="D20" i="6"/>
  <c r="F20" i="6"/>
  <c r="E21" i="6"/>
  <c r="D22" i="6"/>
  <c r="F22" i="6"/>
  <c r="E23" i="6"/>
  <c r="D14" i="6"/>
  <c r="W17" i="4" l="1"/>
  <c r="S17" i="4"/>
  <c r="O17" i="4"/>
  <c r="K17" i="4"/>
  <c r="G17" i="4"/>
  <c r="Y17" i="4"/>
  <c r="Q17" i="4"/>
  <c r="I17" i="4"/>
  <c r="Z17" i="4"/>
  <c r="V17" i="4"/>
  <c r="R17" i="4"/>
  <c r="N17" i="4"/>
  <c r="J17" i="4"/>
  <c r="U17" i="4"/>
  <c r="M17" i="4"/>
  <c r="T17" i="4"/>
  <c r="X17" i="4"/>
  <c r="H17" i="4"/>
  <c r="P17" i="4"/>
  <c r="L17" i="4"/>
  <c r="W24" i="4"/>
  <c r="S24" i="4"/>
  <c r="O24" i="4"/>
  <c r="K24" i="4"/>
  <c r="G24" i="4"/>
  <c r="Y24" i="4"/>
  <c r="Q24" i="4"/>
  <c r="I24" i="4"/>
  <c r="Z24" i="4"/>
  <c r="V24" i="4"/>
  <c r="R24" i="4"/>
  <c r="N24" i="4"/>
  <c r="J24" i="4"/>
  <c r="U24" i="4"/>
  <c r="M24" i="4"/>
  <c r="L24" i="4"/>
  <c r="X24" i="4"/>
  <c r="H24" i="4"/>
  <c r="T24" i="4"/>
  <c r="P24" i="4"/>
  <c r="W18" i="4"/>
  <c r="S18" i="4"/>
  <c r="O18" i="4"/>
  <c r="K18" i="4"/>
  <c r="G18" i="4"/>
  <c r="U18" i="4"/>
  <c r="M18" i="4"/>
  <c r="Z18" i="4"/>
  <c r="V18" i="4"/>
  <c r="R18" i="4"/>
  <c r="N18" i="4"/>
  <c r="J18" i="4"/>
  <c r="Y18" i="4"/>
  <c r="Q18" i="4"/>
  <c r="I18" i="4"/>
  <c r="P18" i="4"/>
  <c r="H18" i="4"/>
  <c r="T18" i="4"/>
  <c r="L18" i="4"/>
  <c r="X18" i="4"/>
  <c r="W21" i="4"/>
  <c r="S21" i="4"/>
  <c r="O21" i="4"/>
  <c r="K21" i="4"/>
  <c r="G21" i="4"/>
  <c r="U21" i="4"/>
  <c r="M21" i="4"/>
  <c r="Z21" i="4"/>
  <c r="V21" i="4"/>
  <c r="R21" i="4"/>
  <c r="N21" i="4"/>
  <c r="J21" i="4"/>
  <c r="Y21" i="4"/>
  <c r="Q21" i="4"/>
  <c r="I21" i="4"/>
  <c r="X21" i="4"/>
  <c r="H21" i="4"/>
  <c r="T21" i="4"/>
  <c r="P21" i="4"/>
  <c r="L21" i="4"/>
  <c r="W22" i="4"/>
  <c r="S22" i="4"/>
  <c r="O22" i="4"/>
  <c r="K22" i="4"/>
  <c r="G22" i="4"/>
  <c r="Y22" i="4"/>
  <c r="U22" i="4"/>
  <c r="M22" i="4"/>
  <c r="Z22" i="4"/>
  <c r="V22" i="4"/>
  <c r="R22" i="4"/>
  <c r="N22" i="4"/>
  <c r="J22" i="4"/>
  <c r="Q22" i="4"/>
  <c r="I22" i="4"/>
  <c r="T22" i="4"/>
  <c r="H22" i="4"/>
  <c r="P22" i="4"/>
  <c r="L22" i="4"/>
  <c r="X22" i="4"/>
  <c r="W19" i="4"/>
  <c r="W75" i="4" s="1"/>
  <c r="V20" i="3" s="1"/>
  <c r="S19" i="4"/>
  <c r="S75" i="4" s="1"/>
  <c r="R20" i="3" s="1"/>
  <c r="O19" i="4"/>
  <c r="O75" i="4" s="1"/>
  <c r="N20" i="3" s="1"/>
  <c r="K19" i="4"/>
  <c r="K75" i="4" s="1"/>
  <c r="J20" i="3" s="1"/>
  <c r="G19" i="4"/>
  <c r="G75" i="4" s="1"/>
  <c r="F20" i="3" s="1"/>
  <c r="Y19" i="4"/>
  <c r="Y75" i="4" s="1"/>
  <c r="X20" i="3" s="1"/>
  <c r="Q19" i="4"/>
  <c r="Q75" i="4" s="1"/>
  <c r="P20" i="3" s="1"/>
  <c r="I19" i="4"/>
  <c r="I75" i="4" s="1"/>
  <c r="H20" i="3" s="1"/>
  <c r="Z19" i="4"/>
  <c r="Z75" i="4" s="1"/>
  <c r="Y20" i="3" s="1"/>
  <c r="V19" i="4"/>
  <c r="V75" i="4" s="1"/>
  <c r="U20" i="3" s="1"/>
  <c r="R19" i="4"/>
  <c r="R75" i="4" s="1"/>
  <c r="Q20" i="3" s="1"/>
  <c r="N19" i="4"/>
  <c r="N75" i="4" s="1"/>
  <c r="M20" i="3" s="1"/>
  <c r="J19" i="4"/>
  <c r="J75" i="4" s="1"/>
  <c r="I20" i="3" s="1"/>
  <c r="U19" i="4"/>
  <c r="U75" i="4" s="1"/>
  <c r="T20" i="3" s="1"/>
  <c r="M19" i="4"/>
  <c r="M75" i="4" s="1"/>
  <c r="L20" i="3" s="1"/>
  <c r="L19" i="4"/>
  <c r="L75" i="4" s="1"/>
  <c r="K20" i="3" s="1"/>
  <c r="X19" i="4"/>
  <c r="X75" i="4" s="1"/>
  <c r="W20" i="3" s="1"/>
  <c r="H19" i="4"/>
  <c r="H75" i="4" s="1"/>
  <c r="G20" i="3" s="1"/>
  <c r="T19" i="4"/>
  <c r="T75" i="4" s="1"/>
  <c r="S20" i="3" s="1"/>
  <c r="P19" i="4"/>
  <c r="P75" i="4" s="1"/>
  <c r="O20" i="3" s="1"/>
  <c r="W14" i="4"/>
  <c r="S14" i="4"/>
  <c r="O14" i="4"/>
  <c r="K14" i="4"/>
  <c r="G14" i="4"/>
  <c r="U14" i="4"/>
  <c r="M14" i="4"/>
  <c r="Z14" i="4"/>
  <c r="V14" i="4"/>
  <c r="R14" i="4"/>
  <c r="N14" i="4"/>
  <c r="J14" i="4"/>
  <c r="Y14" i="4"/>
  <c r="Q14" i="4"/>
  <c r="I14" i="4"/>
  <c r="P14" i="4"/>
  <c r="X14" i="4"/>
  <c r="T14" i="4"/>
  <c r="L14" i="4"/>
  <c r="H14" i="4"/>
  <c r="W23" i="4"/>
  <c r="S23" i="4"/>
  <c r="O23" i="4"/>
  <c r="K23" i="4"/>
  <c r="G23" i="4"/>
  <c r="Y23" i="4"/>
  <c r="Q23" i="4"/>
  <c r="Z23" i="4"/>
  <c r="V23" i="4"/>
  <c r="R23" i="4"/>
  <c r="N23" i="4"/>
  <c r="J23" i="4"/>
  <c r="U23" i="4"/>
  <c r="M23" i="4"/>
  <c r="I23" i="4"/>
  <c r="P23" i="4"/>
  <c r="T23" i="4"/>
  <c r="L23" i="4"/>
  <c r="X23" i="4"/>
  <c r="H23" i="4"/>
  <c r="W16" i="4"/>
  <c r="S16" i="4"/>
  <c r="O16" i="4"/>
  <c r="K16" i="4"/>
  <c r="G16" i="4"/>
  <c r="U16" i="4"/>
  <c r="M16" i="4"/>
  <c r="Z16" i="4"/>
  <c r="V16" i="4"/>
  <c r="R16" i="4"/>
  <c r="N16" i="4"/>
  <c r="J16" i="4"/>
  <c r="Y16" i="4"/>
  <c r="Q16" i="4"/>
  <c r="I16" i="4"/>
  <c r="X16" i="4"/>
  <c r="H16" i="4"/>
  <c r="L16" i="4"/>
  <c r="T16" i="4"/>
  <c r="P16" i="4"/>
  <c r="W15" i="4"/>
  <c r="S15" i="4"/>
  <c r="O15" i="4"/>
  <c r="K15" i="4"/>
  <c r="G15" i="4"/>
  <c r="Y15" i="4"/>
  <c r="Q15" i="4"/>
  <c r="I15" i="4"/>
  <c r="Z15" i="4"/>
  <c r="V15" i="4"/>
  <c r="R15" i="4"/>
  <c r="N15" i="4"/>
  <c r="J15" i="4"/>
  <c r="U15" i="4"/>
  <c r="M15" i="4"/>
  <c r="L15" i="4"/>
  <c r="P15" i="4"/>
  <c r="X15" i="4"/>
  <c r="H15" i="4"/>
  <c r="T15" i="4"/>
  <c r="D30" i="6"/>
  <c r="D31" i="6"/>
  <c r="E31" i="6"/>
  <c r="F31" i="6"/>
  <c r="F29" i="6"/>
  <c r="D29" i="6"/>
  <c r="E29" i="6"/>
  <c r="L26" i="4" l="1"/>
  <c r="M26" i="4"/>
  <c r="T26" i="4"/>
  <c r="Q26" i="4"/>
  <c r="R26" i="4"/>
  <c r="U26" i="4"/>
  <c r="S26" i="4"/>
  <c r="N26" i="4"/>
  <c r="X26" i="4"/>
  <c r="Y26" i="4"/>
  <c r="V26" i="4"/>
  <c r="G26" i="4"/>
  <c r="W26" i="4"/>
  <c r="I26" i="4"/>
  <c r="O26" i="4"/>
  <c r="H26" i="4"/>
  <c r="P26" i="4"/>
  <c r="J26" i="4"/>
  <c r="Z26" i="4"/>
  <c r="K26" i="4"/>
  <c r="K5" i="5" l="1"/>
  <c r="K6" i="5"/>
  <c r="N13" i="9" l="1" a="1"/>
  <c r="N13" i="9" s="1"/>
  <c r="J13" i="9" a="1"/>
  <c r="J13" i="9" s="1"/>
  <c r="Z12" i="9" a="1"/>
  <c r="Z12" i="9" s="1"/>
  <c r="V12" i="9" a="1"/>
  <c r="V12" i="9" s="1"/>
  <c r="R12" i="9" a="1"/>
  <c r="R12" i="9" s="1"/>
  <c r="N12" i="9" a="1"/>
  <c r="N12" i="9" s="1"/>
  <c r="J12" i="9" a="1"/>
  <c r="J12" i="9" s="1"/>
  <c r="Z11" i="9" a="1"/>
  <c r="Z11" i="9" s="1"/>
  <c r="V11" i="9" a="1"/>
  <c r="V11" i="9" s="1"/>
  <c r="R11" i="9" a="1"/>
  <c r="R11" i="9" s="1"/>
  <c r="N11" i="9" a="1"/>
  <c r="N11" i="9" s="1"/>
  <c r="J11" i="9" a="1"/>
  <c r="J11" i="9" s="1"/>
  <c r="Z10" i="9" a="1"/>
  <c r="Z10" i="9" s="1"/>
  <c r="V10" i="9" a="1"/>
  <c r="V10" i="9" s="1"/>
  <c r="R10" i="9" a="1"/>
  <c r="R10" i="9" s="1"/>
  <c r="N10" i="9" a="1"/>
  <c r="N10" i="9" s="1"/>
  <c r="J10" i="9" a="1"/>
  <c r="J10" i="9" s="1"/>
  <c r="Z9" i="9" a="1"/>
  <c r="Z9" i="9" s="1"/>
  <c r="V9" i="9" a="1"/>
  <c r="V9" i="9" s="1"/>
  <c r="R9" i="9" a="1"/>
  <c r="R9" i="9" s="1"/>
  <c r="N9" i="9" a="1"/>
  <c r="N9" i="9" s="1"/>
  <c r="J9" i="9" a="1"/>
  <c r="J9" i="9" s="1"/>
  <c r="Z8" i="9" a="1"/>
  <c r="Z8" i="9" s="1"/>
  <c r="X29" i="4" s="1"/>
  <c r="V8" i="9" a="1"/>
  <c r="V8" i="9" s="1"/>
  <c r="T29" i="4" s="1"/>
  <c r="R8" i="9" a="1"/>
  <c r="R8" i="9" s="1"/>
  <c r="N8" i="9" a="1"/>
  <c r="N8" i="9" s="1"/>
  <c r="L29" i="4" s="1"/>
  <c r="J8" i="9" a="1"/>
  <c r="J8" i="9" s="1"/>
  <c r="Z7" i="9" a="1"/>
  <c r="Z7" i="9" s="1"/>
  <c r="V7" i="9" a="1"/>
  <c r="V7" i="9" s="1"/>
  <c r="R7" i="9" a="1"/>
  <c r="R7" i="9" s="1"/>
  <c r="N7" i="9" a="1"/>
  <c r="N7" i="9" s="1"/>
  <c r="J7" i="9" a="1"/>
  <c r="J7" i="9" s="1"/>
  <c r="L13" i="9" a="1"/>
  <c r="L13" i="9" s="1"/>
  <c r="AB12" i="9" a="1"/>
  <c r="AB12" i="9" s="1"/>
  <c r="X12" i="9" a="1"/>
  <c r="X12" i="9" s="1"/>
  <c r="T12" i="9" a="1"/>
  <c r="T12" i="9" s="1"/>
  <c r="P12" i="9" a="1"/>
  <c r="P12" i="9" s="1"/>
  <c r="L12" i="9" a="1"/>
  <c r="L12" i="9" s="1"/>
  <c r="AB11" i="9" a="1"/>
  <c r="AB11" i="9" s="1"/>
  <c r="X11" i="9" a="1"/>
  <c r="X11" i="9" s="1"/>
  <c r="T11" i="9" a="1"/>
  <c r="T11" i="9" s="1"/>
  <c r="P11" i="9" a="1"/>
  <c r="P11" i="9" s="1"/>
  <c r="L11" i="9" a="1"/>
  <c r="L11" i="9" s="1"/>
  <c r="AB10" i="9" a="1"/>
  <c r="AB10" i="9" s="1"/>
  <c r="X10" i="9" a="1"/>
  <c r="X10" i="9" s="1"/>
  <c r="T10" i="9" a="1"/>
  <c r="T10" i="9" s="1"/>
  <c r="P10" i="9" a="1"/>
  <c r="P10" i="9" s="1"/>
  <c r="L10" i="9" a="1"/>
  <c r="L10" i="9" s="1"/>
  <c r="AB9" i="9" a="1"/>
  <c r="AB9" i="9" s="1"/>
  <c r="X9" i="9" a="1"/>
  <c r="X9" i="9" s="1"/>
  <c r="T9" i="9" a="1"/>
  <c r="T9" i="9" s="1"/>
  <c r="P9" i="9" a="1"/>
  <c r="P9" i="9" s="1"/>
  <c r="L9" i="9" a="1"/>
  <c r="L9" i="9" s="1"/>
  <c r="AB8" i="9" a="1"/>
  <c r="AB8" i="9" s="1"/>
  <c r="Z29" i="4" s="1"/>
  <c r="X8" i="9" a="1"/>
  <c r="X8" i="9" s="1"/>
  <c r="V29" i="4" s="1"/>
  <c r="T8" i="9" a="1"/>
  <c r="T8" i="9" s="1"/>
  <c r="P8" i="9" a="1"/>
  <c r="P8" i="9" s="1"/>
  <c r="L8" i="9" a="1"/>
  <c r="L8" i="9" s="1"/>
  <c r="AB7" i="9" a="1"/>
  <c r="AB7" i="9" s="1"/>
  <c r="X7" i="9" a="1"/>
  <c r="X7" i="9" s="1"/>
  <c r="T7" i="9" a="1"/>
  <c r="T7" i="9" s="1"/>
  <c r="P7" i="9" a="1"/>
  <c r="P7" i="9" s="1"/>
  <c r="L7" i="9" a="1"/>
  <c r="L7" i="9" s="1"/>
  <c r="K26" i="9" a="1"/>
  <c r="K26" i="9" s="1"/>
  <c r="K24" i="9" a="1"/>
  <c r="K24" i="9" s="1"/>
  <c r="K22" i="9" a="1"/>
  <c r="K22" i="9" s="1"/>
  <c r="K20" i="9" a="1"/>
  <c r="K20" i="9" s="1"/>
  <c r="O26" i="9" a="1"/>
  <c r="O26" i="9" s="1"/>
  <c r="O24" i="9" a="1"/>
  <c r="O24" i="9" s="1"/>
  <c r="O22" i="9" a="1"/>
  <c r="O22" i="9" s="1"/>
  <c r="O18" i="9" a="1"/>
  <c r="O18" i="9" s="1"/>
  <c r="S24" i="9" a="1"/>
  <c r="S24" i="9" s="1"/>
  <c r="S20" i="9" a="1"/>
  <c r="S20" i="9" s="1"/>
  <c r="S16" i="9" a="1"/>
  <c r="S16" i="9" s="1"/>
  <c r="W23" i="9" a="1"/>
  <c r="W23" i="9" s="1"/>
  <c r="W19" i="9" a="1"/>
  <c r="W19" i="9" s="1"/>
  <c r="AA26" i="9" a="1"/>
  <c r="AA26" i="9" s="1"/>
  <c r="AA22" i="9" a="1"/>
  <c r="AA22" i="9" s="1"/>
  <c r="AA18" i="9" a="1"/>
  <c r="AA18" i="9" s="1"/>
  <c r="Q7" i="9" a="1"/>
  <c r="Q7" i="9" s="1"/>
  <c r="O8" i="9" a="1"/>
  <c r="O8" i="9" s="1"/>
  <c r="I9" i="9" a="1"/>
  <c r="I9" i="9" s="1"/>
  <c r="Y9" i="9" a="1"/>
  <c r="Y9" i="9" s="1"/>
  <c r="S10" i="9" a="1"/>
  <c r="S10" i="9" s="1"/>
  <c r="M11" i="9" a="1"/>
  <c r="M11" i="9" s="1"/>
  <c r="AA11" i="9" a="1"/>
  <c r="AA11" i="9" s="1"/>
  <c r="W12" i="9" a="1"/>
  <c r="W12" i="9" s="1"/>
  <c r="M13" i="9" a="1"/>
  <c r="M13" i="9" s="1"/>
  <c r="R13" i="9" a="1"/>
  <c r="R13" i="9" s="1"/>
  <c r="V13" i="9" a="1"/>
  <c r="V13" i="9" s="1"/>
  <c r="Z13" i="9" a="1"/>
  <c r="Z13" i="9" s="1"/>
  <c r="J14" i="9" a="1"/>
  <c r="J14" i="9" s="1"/>
  <c r="N14" i="9" a="1"/>
  <c r="N14" i="9" s="1"/>
  <c r="S14" i="9" a="1"/>
  <c r="S14" i="9" s="1"/>
  <c r="X14" i="9" a="1"/>
  <c r="X14" i="9" s="1"/>
  <c r="J15" i="9" a="1"/>
  <c r="J15" i="9" s="1"/>
  <c r="I26" i="9" a="1"/>
  <c r="I26" i="9" s="1"/>
  <c r="I22" i="9" a="1"/>
  <c r="I22" i="9" s="1"/>
  <c r="I18" i="9" a="1"/>
  <c r="I18" i="9" s="1"/>
  <c r="M24" i="9" a="1"/>
  <c r="M24" i="9" s="1"/>
  <c r="M20" i="9" a="1"/>
  <c r="M20" i="9" s="1"/>
  <c r="M18" i="9" a="1"/>
  <c r="M18" i="9" s="1"/>
  <c r="Q24" i="9" a="1"/>
  <c r="Q24" i="9" s="1"/>
  <c r="Q18" i="9" a="1"/>
  <c r="Q18" i="9" s="1"/>
  <c r="U25" i="9" a="1"/>
  <c r="U25" i="9" s="1"/>
  <c r="U21" i="9" a="1"/>
  <c r="U21" i="9" s="1"/>
  <c r="U17" i="9" a="1"/>
  <c r="U17" i="9" s="1"/>
  <c r="Y24" i="9" a="1"/>
  <c r="Y24" i="9" s="1"/>
  <c r="Y20" i="9" a="1"/>
  <c r="Y20" i="9" s="1"/>
  <c r="Y16" i="9" a="1"/>
  <c r="Y16" i="9" s="1"/>
  <c r="W7" i="9" a="1"/>
  <c r="W7" i="9" s="1"/>
  <c r="Q8" i="9" a="1"/>
  <c r="Q8" i="9" s="1"/>
  <c r="O9" i="9" a="1"/>
  <c r="O9" i="9" s="1"/>
  <c r="M10" i="9" a="1"/>
  <c r="M10" i="9" s="1"/>
  <c r="K11" i="9" a="1"/>
  <c r="K11" i="9" s="1"/>
  <c r="I12" i="9" a="1"/>
  <c r="I12" i="9" s="1"/>
  <c r="I13" i="9" a="1"/>
  <c r="I13" i="9" s="1"/>
  <c r="J23" i="9" a="1"/>
  <c r="J23" i="9" s="1"/>
  <c r="J19" i="9" a="1"/>
  <c r="J19" i="9" s="1"/>
  <c r="L25" i="9" a="1"/>
  <c r="L25" i="9" s="1"/>
  <c r="L21" i="9" a="1"/>
  <c r="L21" i="9" s="1"/>
  <c r="L17" i="9" a="1"/>
  <c r="L17" i="9" s="1"/>
  <c r="N23" i="9" a="1"/>
  <c r="N23" i="9" s="1"/>
  <c r="N19" i="9" a="1"/>
  <c r="N19" i="9" s="1"/>
  <c r="P25" i="9" a="1"/>
  <c r="P25" i="9" s="1"/>
  <c r="P21" i="9" a="1"/>
  <c r="P21" i="9" s="1"/>
  <c r="P17" i="9" a="1"/>
  <c r="P17" i="9" s="1"/>
  <c r="R24" i="9" a="1"/>
  <c r="R24" i="9" s="1"/>
  <c r="R20" i="9" a="1"/>
  <c r="R20" i="9" s="1"/>
  <c r="R16" i="9" a="1"/>
  <c r="R16" i="9" s="1"/>
  <c r="T23" i="9" a="1"/>
  <c r="T23" i="9" s="1"/>
  <c r="T19" i="9" a="1"/>
  <c r="T19" i="9" s="1"/>
  <c r="V26" i="9" a="1"/>
  <c r="V26" i="9" s="1"/>
  <c r="V22" i="9" a="1"/>
  <c r="V22" i="9" s="1"/>
  <c r="V18" i="9" a="1"/>
  <c r="V18" i="9" s="1"/>
  <c r="X25" i="9" a="1"/>
  <c r="X25" i="9" s="1"/>
  <c r="X21" i="9" a="1"/>
  <c r="X21" i="9" s="1"/>
  <c r="X17" i="9" a="1"/>
  <c r="X17" i="9" s="1"/>
  <c r="Z24" i="9" a="1"/>
  <c r="Z24" i="9" s="1"/>
  <c r="Z20" i="9" a="1"/>
  <c r="Z20" i="9" s="1"/>
  <c r="Z16" i="9" a="1"/>
  <c r="Z16" i="9" s="1"/>
  <c r="AB23" i="9" a="1"/>
  <c r="AB23" i="9" s="1"/>
  <c r="AB19" i="9" a="1"/>
  <c r="AB19" i="9" s="1"/>
  <c r="I7" i="9" a="1"/>
  <c r="I7" i="9" s="1"/>
  <c r="Q15" i="9" a="1"/>
  <c r="Q15" i="9" s="1"/>
  <c r="Y15" i="9" a="1"/>
  <c r="Y15" i="9" s="1"/>
  <c r="M16" i="9" a="1"/>
  <c r="M16" i="9" s="1"/>
  <c r="K25" i="9" a="1"/>
  <c r="K25" i="9" s="1"/>
  <c r="K23" i="9" a="1"/>
  <c r="K23" i="9" s="1"/>
  <c r="K21" i="9" a="1"/>
  <c r="K21" i="9" s="1"/>
  <c r="K19" i="9" a="1"/>
  <c r="K19" i="9" s="1"/>
  <c r="K17" i="9" a="1"/>
  <c r="K17" i="9" s="1"/>
  <c r="O25" i="9" a="1"/>
  <c r="O25" i="9" s="1"/>
  <c r="O23" i="9" a="1"/>
  <c r="O23" i="9" s="1"/>
  <c r="O21" i="9" a="1"/>
  <c r="O21" i="9" s="1"/>
  <c r="O19" i="9" a="1"/>
  <c r="O19" i="9" s="1"/>
  <c r="O17" i="9" a="1"/>
  <c r="O17" i="9" s="1"/>
  <c r="S25" i="9" a="1"/>
  <c r="S25" i="9" s="1"/>
  <c r="S23" i="9" a="1"/>
  <c r="S23" i="9" s="1"/>
  <c r="S21" i="9" a="1"/>
  <c r="S21" i="9" s="1"/>
  <c r="S19" i="9" a="1"/>
  <c r="S19" i="9" s="1"/>
  <c r="S17" i="9" a="1"/>
  <c r="S17" i="9" s="1"/>
  <c r="W26" i="9" a="1"/>
  <c r="W26" i="9" s="1"/>
  <c r="W24" i="9" a="1"/>
  <c r="W24" i="9" s="1"/>
  <c r="W22" i="9" a="1"/>
  <c r="W22" i="9" s="1"/>
  <c r="W20" i="9" a="1"/>
  <c r="W20" i="9" s="1"/>
  <c r="W18" i="9" a="1"/>
  <c r="W18" i="9" s="1"/>
  <c r="W16" i="9" a="1"/>
  <c r="W16" i="9" s="1"/>
  <c r="AA25" i="9" a="1"/>
  <c r="AA25" i="9" s="1"/>
  <c r="AA23" i="9" a="1"/>
  <c r="AA23" i="9" s="1"/>
  <c r="AA21" i="9" a="1"/>
  <c r="AA21" i="9" s="1"/>
  <c r="AA19" i="9" a="1"/>
  <c r="AA19" i="9" s="1"/>
  <c r="AA17" i="9" a="1"/>
  <c r="AA17" i="9" s="1"/>
  <c r="K7" i="9" a="1"/>
  <c r="K7" i="9" s="1"/>
  <c r="U7" i="9" a="1"/>
  <c r="U7" i="9" s="1"/>
  <c r="I8" i="9" a="1"/>
  <c r="I8" i="9" s="1"/>
  <c r="S8" i="9" a="1"/>
  <c r="S8" i="9" s="1"/>
  <c r="Y8" i="9" a="1"/>
  <c r="Y8" i="9" s="1"/>
  <c r="M9" i="9" a="1"/>
  <c r="M9" i="9" s="1"/>
  <c r="U9" i="9" a="1"/>
  <c r="U9" i="9" s="1"/>
  <c r="AA9" i="9" a="1"/>
  <c r="AA9" i="9" s="1"/>
  <c r="O10" i="9" a="1"/>
  <c r="O10" i="9" s="1"/>
  <c r="W10" i="9" a="1"/>
  <c r="W10" i="9" s="1"/>
  <c r="I11" i="9" a="1"/>
  <c r="I11" i="9" s="1"/>
  <c r="Q11" i="9" a="1"/>
  <c r="Q11" i="9" s="1"/>
  <c r="Y11" i="9" a="1"/>
  <c r="Y11" i="9" s="1"/>
  <c r="K12" i="9" a="1"/>
  <c r="K12" i="9" s="1"/>
  <c r="S12" i="9" a="1"/>
  <c r="S12" i="9" s="1"/>
  <c r="Y12" i="9" a="1"/>
  <c r="Y12" i="9" s="1"/>
  <c r="K13" i="9" a="1"/>
  <c r="K13" i="9" s="1"/>
  <c r="O13" i="9" a="1"/>
  <c r="O13" i="9" s="1"/>
  <c r="Q13" i="9" a="1"/>
  <c r="Q13" i="9" s="1"/>
  <c r="S13" i="9" a="1"/>
  <c r="S13" i="9" s="1"/>
  <c r="U13" i="9" a="1"/>
  <c r="U13" i="9" s="1"/>
  <c r="W13" i="9" a="1"/>
  <c r="W13" i="9" s="1"/>
  <c r="Y13" i="9" a="1"/>
  <c r="Y13" i="9" s="1"/>
  <c r="AA13" i="9" a="1"/>
  <c r="AA13" i="9" s="1"/>
  <c r="I14" i="9" a="1"/>
  <c r="I14" i="9" s="1"/>
  <c r="K14" i="9" a="1"/>
  <c r="K14" i="9" s="1"/>
  <c r="M14" i="9" a="1"/>
  <c r="M14" i="9" s="1"/>
  <c r="O14" i="9" a="1"/>
  <c r="O14" i="9" s="1"/>
  <c r="R14" i="9" a="1"/>
  <c r="R14" i="9" s="1"/>
  <c r="T14" i="9" a="1"/>
  <c r="T14" i="9" s="1"/>
  <c r="W14" i="9" a="1"/>
  <c r="W14" i="9" s="1"/>
  <c r="Z14" i="9" a="1"/>
  <c r="Z14" i="9" s="1"/>
  <c r="AB14" i="9" a="1"/>
  <c r="AB14" i="9" s="1"/>
  <c r="K15" i="9" a="1"/>
  <c r="K15" i="9" s="1"/>
  <c r="N15" i="9" a="1"/>
  <c r="N15" i="9" s="1"/>
  <c r="I25" i="9" a="1"/>
  <c r="I25" i="9" s="1"/>
  <c r="I23" i="9" a="1"/>
  <c r="I23" i="9" s="1"/>
  <c r="I21" i="9" a="1"/>
  <c r="I21" i="9" s="1"/>
  <c r="I19" i="9" a="1"/>
  <c r="I19" i="9" s="1"/>
  <c r="I17" i="9" a="1"/>
  <c r="I17" i="9" s="1"/>
  <c r="M25" i="9" a="1"/>
  <c r="M25" i="9" s="1"/>
  <c r="M23" i="9" a="1"/>
  <c r="M23" i="9" s="1"/>
  <c r="M21" i="9" a="1"/>
  <c r="M21" i="9" s="1"/>
  <c r="M19" i="9" a="1"/>
  <c r="M19" i="9" s="1"/>
  <c r="M17" i="9" a="1"/>
  <c r="M17" i="9" s="1"/>
  <c r="Q25" i="9" a="1"/>
  <c r="Q25" i="9" s="1"/>
  <c r="Q23" i="9" a="1"/>
  <c r="Q23" i="9" s="1"/>
  <c r="Q21" i="9" a="1"/>
  <c r="Q21" i="9" s="1"/>
  <c r="Q19" i="9" a="1"/>
  <c r="Q19" i="9" s="1"/>
  <c r="Q17" i="9" a="1"/>
  <c r="Q17" i="9" s="1"/>
  <c r="U26" i="9" a="1"/>
  <c r="U26" i="9" s="1"/>
  <c r="U24" i="9" a="1"/>
  <c r="U24" i="9" s="1"/>
  <c r="U22" i="9" a="1"/>
  <c r="U22" i="9" s="1"/>
  <c r="U20" i="9" a="1"/>
  <c r="U20" i="9" s="1"/>
  <c r="U18" i="9" a="1"/>
  <c r="U18" i="9" s="1"/>
  <c r="U16" i="9" a="1"/>
  <c r="U16" i="9" s="1"/>
  <c r="Y25" i="9" a="1"/>
  <c r="Y25" i="9" s="1"/>
  <c r="Y23" i="9" a="1"/>
  <c r="Y23" i="9" s="1"/>
  <c r="Y21" i="9" a="1"/>
  <c r="Y21" i="9" s="1"/>
  <c r="Y19" i="9" a="1"/>
  <c r="Y19" i="9" s="1"/>
  <c r="Y17" i="9" a="1"/>
  <c r="Y17" i="9" s="1"/>
  <c r="M7" i="9" a="1"/>
  <c r="M7" i="9" s="1"/>
  <c r="S7" i="9" a="1"/>
  <c r="S7" i="9" s="1"/>
  <c r="AA7" i="9" a="1"/>
  <c r="AA7" i="9" s="1"/>
  <c r="M8" i="9" a="1"/>
  <c r="M8" i="9" s="1"/>
  <c r="U8" i="9" a="1"/>
  <c r="U8" i="9" s="1"/>
  <c r="K9" i="9" a="1"/>
  <c r="K9" i="9" s="1"/>
  <c r="S9" i="9" a="1"/>
  <c r="S9" i="9" s="1"/>
  <c r="I10" i="9" a="1"/>
  <c r="I10" i="9" s="1"/>
  <c r="Q10" i="9" a="1"/>
  <c r="Q10" i="9" s="1"/>
  <c r="Y10" i="9" a="1"/>
  <c r="Y10" i="9" s="1"/>
  <c r="O11" i="9" a="1"/>
  <c r="O11" i="9" s="1"/>
  <c r="W11" i="9" a="1"/>
  <c r="W11" i="9" s="1"/>
  <c r="M12" i="9" a="1"/>
  <c r="M12" i="9" s="1"/>
  <c r="U12" i="9" a="1"/>
  <c r="U12" i="9" s="1"/>
  <c r="J26" i="9" a="1"/>
  <c r="J26" i="9" s="1"/>
  <c r="J24" i="9" a="1"/>
  <c r="J24" i="9" s="1"/>
  <c r="J22" i="9" a="1"/>
  <c r="J22" i="9" s="1"/>
  <c r="J20" i="9" a="1"/>
  <c r="J20" i="9" s="1"/>
  <c r="J18" i="9" a="1"/>
  <c r="J18" i="9" s="1"/>
  <c r="L26" i="9" a="1"/>
  <c r="L26" i="9" s="1"/>
  <c r="L24" i="9" a="1"/>
  <c r="L24" i="9" s="1"/>
  <c r="L22" i="9" a="1"/>
  <c r="L22" i="9" s="1"/>
  <c r="L20" i="9" a="1"/>
  <c r="L20" i="9" s="1"/>
  <c r="L18" i="9" a="1"/>
  <c r="L18" i="9" s="1"/>
  <c r="N26" i="9" a="1"/>
  <c r="N26" i="9" s="1"/>
  <c r="N24" i="9" a="1"/>
  <c r="N24" i="9" s="1"/>
  <c r="N22" i="9" a="1"/>
  <c r="N22" i="9" s="1"/>
  <c r="N20" i="9" a="1"/>
  <c r="N20" i="9" s="1"/>
  <c r="N18" i="9" a="1"/>
  <c r="N18" i="9" s="1"/>
  <c r="P26" i="9" a="1"/>
  <c r="P26" i="9" s="1"/>
  <c r="P24" i="9" a="1"/>
  <c r="P24" i="9" s="1"/>
  <c r="P22" i="9" a="1"/>
  <c r="P22" i="9" s="1"/>
  <c r="P20" i="9" a="1"/>
  <c r="P20" i="9" s="1"/>
  <c r="P18" i="9" a="1"/>
  <c r="P18" i="9" s="1"/>
  <c r="P16" i="9" a="1"/>
  <c r="P16" i="9" s="1"/>
  <c r="R25" i="9" a="1"/>
  <c r="R25" i="9" s="1"/>
  <c r="R23" i="9" a="1"/>
  <c r="R23" i="9" s="1"/>
  <c r="R21" i="9" a="1"/>
  <c r="R21" i="9" s="1"/>
  <c r="R19" i="9" a="1"/>
  <c r="R19" i="9" s="1"/>
  <c r="R17" i="9" a="1"/>
  <c r="R17" i="9" s="1"/>
  <c r="T26" i="9" a="1"/>
  <c r="T26" i="9" s="1"/>
  <c r="T24" i="9" a="1"/>
  <c r="T24" i="9" s="1"/>
  <c r="T22" i="9" a="1"/>
  <c r="T22" i="9" s="1"/>
  <c r="T20" i="9" a="1"/>
  <c r="T20" i="9" s="1"/>
  <c r="T18" i="9" a="1"/>
  <c r="T18" i="9" s="1"/>
  <c r="T16" i="9" a="1"/>
  <c r="T16" i="9" s="1"/>
  <c r="V25" i="9" a="1"/>
  <c r="V25" i="9" s="1"/>
  <c r="V23" i="9" a="1"/>
  <c r="V23" i="9" s="1"/>
  <c r="V21" i="9" a="1"/>
  <c r="V21" i="9" s="1"/>
  <c r="V19" i="9" a="1"/>
  <c r="V19" i="9" s="1"/>
  <c r="V17" i="9" a="1"/>
  <c r="V17" i="9" s="1"/>
  <c r="X26" i="9" a="1"/>
  <c r="X26" i="9" s="1"/>
  <c r="X24" i="9" a="1"/>
  <c r="X24" i="9" s="1"/>
  <c r="X22" i="9" a="1"/>
  <c r="X22" i="9" s="1"/>
  <c r="X20" i="9" a="1"/>
  <c r="X20" i="9" s="1"/>
  <c r="X18" i="9" a="1"/>
  <c r="X18" i="9" s="1"/>
  <c r="X16" i="9" a="1"/>
  <c r="X16" i="9" s="1"/>
  <c r="Z25" i="9" a="1"/>
  <c r="Z25" i="9" s="1"/>
  <c r="Z23" i="9" a="1"/>
  <c r="Z23" i="9" s="1"/>
  <c r="Z21" i="9" a="1"/>
  <c r="Z21" i="9" s="1"/>
  <c r="Z19" i="9" a="1"/>
  <c r="Z19" i="9" s="1"/>
  <c r="Z17" i="9" a="1"/>
  <c r="Z17" i="9" s="1"/>
  <c r="AB26" i="9" a="1"/>
  <c r="AB26" i="9" s="1"/>
  <c r="AB24" i="9" a="1"/>
  <c r="AB24" i="9" s="1"/>
  <c r="AB22" i="9" a="1"/>
  <c r="AB22" i="9" s="1"/>
  <c r="AB20" i="9" a="1"/>
  <c r="AB20" i="9" s="1"/>
  <c r="AB18" i="9" a="1"/>
  <c r="AB18" i="9" s="1"/>
  <c r="AB16" i="9" a="1"/>
  <c r="AB16" i="9" s="1"/>
  <c r="O15" i="9" a="1"/>
  <c r="O15" i="9" s="1"/>
  <c r="S15" i="9" a="1"/>
  <c r="S15" i="9" s="1"/>
  <c r="W15" i="9" a="1"/>
  <c r="W15" i="9" s="1"/>
  <c r="AA15" i="9" a="1"/>
  <c r="AA15" i="9" s="1"/>
  <c r="K16" i="9" a="1"/>
  <c r="K16" i="9" s="1"/>
  <c r="O16" i="9" a="1"/>
  <c r="O16" i="9" s="1"/>
  <c r="K18" i="9" a="1"/>
  <c r="K18" i="9" s="1"/>
  <c r="O20" i="9" a="1"/>
  <c r="O20" i="9" s="1"/>
  <c r="S26" i="9" a="1"/>
  <c r="S26" i="9" s="1"/>
  <c r="S22" i="9" a="1"/>
  <c r="S22" i="9" s="1"/>
  <c r="S18" i="9" a="1"/>
  <c r="S18" i="9" s="1"/>
  <c r="W25" i="9" a="1"/>
  <c r="W25" i="9" s="1"/>
  <c r="W21" i="9" a="1"/>
  <c r="W21" i="9" s="1"/>
  <c r="W17" i="9" a="1"/>
  <c r="W17" i="9" s="1"/>
  <c r="AA24" i="9" a="1"/>
  <c r="AA24" i="9" s="1"/>
  <c r="AA20" i="9" a="1"/>
  <c r="AA20" i="9" s="1"/>
  <c r="AA16" i="9" a="1"/>
  <c r="AA16" i="9" s="1"/>
  <c r="Y7" i="9" a="1"/>
  <c r="Y7" i="9" s="1"/>
  <c r="W8" i="9" a="1"/>
  <c r="W8" i="9" s="1"/>
  <c r="Q9" i="9" a="1"/>
  <c r="Q9" i="9" s="1"/>
  <c r="K10" i="9" a="1"/>
  <c r="K10" i="9" s="1"/>
  <c r="AA10" i="9" a="1"/>
  <c r="AA10" i="9" s="1"/>
  <c r="U11" i="9" a="1"/>
  <c r="U11" i="9" s="1"/>
  <c r="O12" i="9" a="1"/>
  <c r="O12" i="9" s="1"/>
  <c r="AA12" i="9" a="1"/>
  <c r="AA12" i="9" s="1"/>
  <c r="P13" i="9" a="1"/>
  <c r="P13" i="9" s="1"/>
  <c r="T13" i="9" a="1"/>
  <c r="T13" i="9" s="1"/>
  <c r="X13" i="9" a="1"/>
  <c r="X13" i="9" s="1"/>
  <c r="V30" i="4" s="1"/>
  <c r="AB13" i="9" a="1"/>
  <c r="AB13" i="9" s="1"/>
  <c r="L14" i="9" a="1"/>
  <c r="L14" i="9" s="1"/>
  <c r="P14" i="9" a="1"/>
  <c r="P14" i="9" s="1"/>
  <c r="V14" i="9" a="1"/>
  <c r="V14" i="9" s="1"/>
  <c r="AA14" i="9" a="1"/>
  <c r="AA14" i="9" s="1"/>
  <c r="L15" i="9" a="1"/>
  <c r="L15" i="9" s="1"/>
  <c r="I24" i="9" a="1"/>
  <c r="I24" i="9" s="1"/>
  <c r="I20" i="9" a="1"/>
  <c r="I20" i="9" s="1"/>
  <c r="M26" i="9" a="1"/>
  <c r="M26" i="9" s="1"/>
  <c r="M22" i="9" a="1"/>
  <c r="M22" i="9" s="1"/>
  <c r="Q26" i="9" a="1"/>
  <c r="Q26" i="9" s="1"/>
  <c r="Q22" i="9" a="1"/>
  <c r="Q22" i="9" s="1"/>
  <c r="Q20" i="9" a="1"/>
  <c r="Q20" i="9" s="1"/>
  <c r="Q16" i="9" a="1"/>
  <c r="Q16" i="9" s="1"/>
  <c r="U23" i="9" a="1"/>
  <c r="U23" i="9" s="1"/>
  <c r="U19" i="9" a="1"/>
  <c r="U19" i="9" s="1"/>
  <c r="Y26" i="9" a="1"/>
  <c r="Y26" i="9" s="1"/>
  <c r="Y22" i="9" a="1"/>
  <c r="Y22" i="9" s="1"/>
  <c r="Y18" i="9" a="1"/>
  <c r="Y18" i="9" s="1"/>
  <c r="O7" i="9" a="1"/>
  <c r="O7" i="9" s="1"/>
  <c r="K8" i="9" a="1"/>
  <c r="K8" i="9" s="1"/>
  <c r="AA8" i="9" a="1"/>
  <c r="AA8" i="9" s="1"/>
  <c r="W9" i="9" a="1"/>
  <c r="W9" i="9" s="1"/>
  <c r="U10" i="9" a="1"/>
  <c r="U10" i="9" s="1"/>
  <c r="S11" i="9" a="1"/>
  <c r="S11" i="9" s="1"/>
  <c r="Q12" i="9" a="1"/>
  <c r="Q12" i="9" s="1"/>
  <c r="J25" i="9" a="1"/>
  <c r="J25" i="9" s="1"/>
  <c r="J21" i="9" a="1"/>
  <c r="J21" i="9" s="1"/>
  <c r="J17" i="9" a="1"/>
  <c r="J17" i="9" s="1"/>
  <c r="L23" i="9" a="1"/>
  <c r="L23" i="9" s="1"/>
  <c r="L19" i="9" a="1"/>
  <c r="L19" i="9" s="1"/>
  <c r="N25" i="9" a="1"/>
  <c r="N25" i="9" s="1"/>
  <c r="N21" i="9" a="1"/>
  <c r="N21" i="9" s="1"/>
  <c r="N17" i="9" a="1"/>
  <c r="N17" i="9" s="1"/>
  <c r="P23" i="9" a="1"/>
  <c r="P23" i="9" s="1"/>
  <c r="P19" i="9" a="1"/>
  <c r="P19" i="9" s="1"/>
  <c r="R26" i="9" a="1"/>
  <c r="R26" i="9" s="1"/>
  <c r="R22" i="9" a="1"/>
  <c r="R22" i="9" s="1"/>
  <c r="R18" i="9" a="1"/>
  <c r="R18" i="9" s="1"/>
  <c r="T25" i="9" a="1"/>
  <c r="T25" i="9" s="1"/>
  <c r="T21" i="9" a="1"/>
  <c r="T21" i="9" s="1"/>
  <c r="T17" i="9" a="1"/>
  <c r="T17" i="9" s="1"/>
  <c r="V24" i="9" a="1"/>
  <c r="V24" i="9" s="1"/>
  <c r="V20" i="9" a="1"/>
  <c r="V20" i="9" s="1"/>
  <c r="V16" i="9" a="1"/>
  <c r="V16" i="9" s="1"/>
  <c r="X23" i="9" a="1"/>
  <c r="X23" i="9" s="1"/>
  <c r="X19" i="9" a="1"/>
  <c r="X19" i="9" s="1"/>
  <c r="Z26" i="9" a="1"/>
  <c r="Z26" i="9" s="1"/>
  <c r="Z22" i="9" a="1"/>
  <c r="Z22" i="9" s="1"/>
  <c r="Z18" i="9" a="1"/>
  <c r="Z18" i="9" s="1"/>
  <c r="AB25" i="9" a="1"/>
  <c r="AB25" i="9" s="1"/>
  <c r="AB21" i="9" a="1"/>
  <c r="AB21" i="9" s="1"/>
  <c r="AB17" i="9" a="1"/>
  <c r="AB17" i="9" s="1"/>
  <c r="U15" i="9" a="1"/>
  <c r="U15" i="9" s="1"/>
  <c r="I16" i="9" a="1"/>
  <c r="I16" i="9" s="1"/>
  <c r="Y14" i="9" a="1"/>
  <c r="Y14" i="9" s="1"/>
  <c r="Q14" i="9" a="1"/>
  <c r="Q14" i="9" s="1"/>
  <c r="I15" i="9" a="1"/>
  <c r="I15" i="9" s="1"/>
  <c r="V15" i="9" a="1"/>
  <c r="V15" i="9" s="1"/>
  <c r="N16" i="9" a="1"/>
  <c r="N16" i="9" s="1"/>
  <c r="AB15" i="9" a="1"/>
  <c r="AB15" i="9" s="1"/>
  <c r="T15" i="9" a="1"/>
  <c r="T15" i="9" s="1"/>
  <c r="L16" i="9" a="1"/>
  <c r="L16" i="9" s="1"/>
  <c r="U14" i="9" a="1"/>
  <c r="U14" i="9" s="1"/>
  <c r="M15" i="9" a="1"/>
  <c r="M15" i="9" s="1"/>
  <c r="Z15" i="9" a="1"/>
  <c r="Z15" i="9" s="1"/>
  <c r="R15" i="9" a="1"/>
  <c r="R15" i="9" s="1"/>
  <c r="J16" i="9" a="1"/>
  <c r="J16" i="9" s="1"/>
  <c r="X15" i="9" a="1"/>
  <c r="X15" i="9" s="1"/>
  <c r="P15" i="9" a="1"/>
  <c r="P15" i="9" s="1"/>
  <c r="H29" i="4"/>
  <c r="L30" i="4"/>
  <c r="Y30" i="4"/>
  <c r="Q30" i="4"/>
  <c r="P29" i="4"/>
  <c r="N29" i="4"/>
  <c r="I36" i="4" l="1"/>
  <c r="V31" i="4"/>
  <c r="M29" i="4"/>
  <c r="M31" i="4"/>
  <c r="T31" i="4"/>
  <c r="Z35" i="4"/>
  <c r="R31" i="4"/>
  <c r="K35" i="4"/>
  <c r="I35" i="4"/>
  <c r="M30" i="4"/>
  <c r="G35" i="4"/>
  <c r="N38" i="4"/>
  <c r="S38" i="4"/>
  <c r="L31" i="4"/>
  <c r="X37" i="4"/>
  <c r="R36" i="4"/>
  <c r="U36" i="4"/>
  <c r="I37" i="4"/>
  <c r="Q29" i="4"/>
  <c r="U29" i="4"/>
  <c r="N31" i="4"/>
  <c r="T30" i="4"/>
  <c r="S30" i="4"/>
  <c r="W31" i="4"/>
  <c r="N30" i="4"/>
  <c r="J31" i="4"/>
  <c r="V36" i="4"/>
  <c r="R38" i="4"/>
  <c r="L38" i="4"/>
  <c r="O37" i="4"/>
  <c r="U38" i="4"/>
  <c r="O31" i="4"/>
  <c r="S29" i="4"/>
  <c r="U30" i="4"/>
  <c r="U31" i="4"/>
  <c r="K30" i="4"/>
  <c r="R30" i="4"/>
  <c r="H36" i="4"/>
  <c r="H67" i="4" s="1"/>
  <c r="G18" i="3" s="1"/>
  <c r="L36" i="4"/>
  <c r="Y35" i="4"/>
  <c r="W37" i="4"/>
  <c r="K37" i="4"/>
  <c r="Q37" i="4"/>
  <c r="I38" i="4"/>
  <c r="X35" i="4"/>
  <c r="R35" i="4"/>
  <c r="Q35" i="4"/>
  <c r="L35" i="4"/>
  <c r="Z36" i="4"/>
  <c r="V38" i="4"/>
  <c r="P37" i="4"/>
  <c r="J38" i="4"/>
  <c r="P35" i="4"/>
  <c r="J36" i="4"/>
  <c r="U35" i="4"/>
  <c r="Z38" i="4"/>
  <c r="T37" i="4"/>
  <c r="N36" i="4"/>
  <c r="H38" i="4"/>
  <c r="S36" i="4"/>
  <c r="G37" i="4"/>
  <c r="Y37" i="4"/>
  <c r="M37" i="4"/>
  <c r="Y29" i="4"/>
  <c r="S31" i="4"/>
  <c r="V35" i="4"/>
  <c r="T35" i="4"/>
  <c r="G36" i="4"/>
  <c r="M35" i="4"/>
  <c r="K36" i="4"/>
  <c r="Y38" i="4"/>
  <c r="M38" i="4"/>
  <c r="X36" i="4"/>
  <c r="N37" i="4"/>
  <c r="S37" i="4"/>
  <c r="G38" i="4"/>
  <c r="Z37" i="4"/>
  <c r="T36" i="4"/>
  <c r="P38" i="4"/>
  <c r="H37" i="4"/>
  <c r="W38" i="4"/>
  <c r="Y36" i="4"/>
  <c r="Q38" i="4"/>
  <c r="T38" i="4"/>
  <c r="N35" i="4"/>
  <c r="S35" i="4"/>
  <c r="X38" i="4"/>
  <c r="R37" i="4"/>
  <c r="L37" i="4"/>
  <c r="O36" i="4"/>
  <c r="U37" i="4"/>
  <c r="V37" i="4"/>
  <c r="V40" i="4" s="1"/>
  <c r="P36" i="4"/>
  <c r="J37" i="4"/>
  <c r="W36" i="4"/>
  <c r="J35" i="4"/>
  <c r="M36" i="4"/>
  <c r="W35" i="4"/>
  <c r="O38" i="4"/>
  <c r="K38" i="4"/>
  <c r="H35" i="4"/>
  <c r="Q36" i="4"/>
  <c r="O35" i="4"/>
  <c r="G29" i="4"/>
  <c r="X31" i="4"/>
  <c r="Y31" i="4"/>
  <c r="Z31" i="4"/>
  <c r="P31" i="4"/>
  <c r="Q31" i="4"/>
  <c r="I31" i="4"/>
  <c r="K29" i="4"/>
  <c r="R29" i="4"/>
  <c r="W30" i="4"/>
  <c r="W29" i="4"/>
  <c r="X30" i="4"/>
  <c r="Z30" i="4"/>
  <c r="I29" i="4"/>
  <c r="G30" i="4"/>
  <c r="G31" i="4"/>
  <c r="J30" i="4"/>
  <c r="I30" i="4"/>
  <c r="O30" i="4"/>
  <c r="O29" i="4"/>
  <c r="P30" i="4"/>
  <c r="K31" i="4"/>
  <c r="H30" i="4"/>
  <c r="H31" i="4"/>
  <c r="J29" i="4"/>
  <c r="J40" i="4" l="1"/>
  <c r="R40" i="4"/>
  <c r="H40" i="4"/>
  <c r="N40" i="4"/>
  <c r="Z40" i="4"/>
  <c r="U40" i="4"/>
  <c r="L40" i="4"/>
  <c r="S40" i="4"/>
  <c r="Y40" i="4"/>
  <c r="M40" i="4"/>
  <c r="I40" i="4"/>
  <c r="G40" i="4"/>
  <c r="P40" i="4"/>
  <c r="Q40" i="4"/>
  <c r="X40" i="4"/>
  <c r="K40" i="4"/>
  <c r="O40" i="4"/>
  <c r="T40" i="4"/>
  <c r="W40" i="4"/>
  <c r="W67" i="4"/>
  <c r="V18" i="3" s="1"/>
  <c r="Y68" i="4"/>
  <c r="X19" i="3" s="1"/>
  <c r="U67" i="4"/>
  <c r="T18" i="3" s="1"/>
  <c r="G68" i="4"/>
  <c r="F19" i="3" s="1"/>
  <c r="Y67" i="4"/>
  <c r="X18" i="3" s="1"/>
  <c r="O67" i="4"/>
  <c r="N18" i="3" s="1"/>
  <c r="G67" i="4"/>
  <c r="F18" i="3" s="1"/>
  <c r="V67" i="4"/>
  <c r="U18" i="3" s="1"/>
  <c r="L68" i="4"/>
  <c r="K19" i="3" s="1"/>
  <c r="N67" i="4"/>
  <c r="M18" i="3" s="1"/>
  <c r="J67" i="4"/>
  <c r="I18" i="3" s="1"/>
  <c r="P68" i="4"/>
  <c r="O19" i="3" s="1"/>
  <c r="Q68" i="4"/>
  <c r="P19" i="3" s="1"/>
  <c r="V68" i="4"/>
  <c r="U19" i="3" s="1"/>
  <c r="Q67" i="4"/>
  <c r="P18" i="3" s="1"/>
  <c r="M67" i="4"/>
  <c r="L18" i="3" s="1"/>
  <c r="I68" i="4"/>
  <c r="H19" i="3" s="1"/>
  <c r="I67" i="4"/>
  <c r="H18" i="3" s="1"/>
  <c r="S68" i="4"/>
  <c r="R19" i="3" s="1"/>
  <c r="J68" i="4"/>
  <c r="I19" i="3" s="1"/>
  <c r="Z68" i="4"/>
  <c r="Y19" i="3" s="1"/>
  <c r="R67" i="4"/>
  <c r="Q18" i="3" s="1"/>
  <c r="U68" i="4"/>
  <c r="T19" i="3" s="1"/>
  <c r="T68" i="4"/>
  <c r="S19" i="3" s="1"/>
  <c r="M68" i="4"/>
  <c r="L19" i="3" s="1"/>
  <c r="T67" i="4"/>
  <c r="S18" i="3" s="1"/>
  <c r="P67" i="4"/>
  <c r="O18" i="3" s="1"/>
  <c r="K68" i="4"/>
  <c r="J19" i="3" s="1"/>
  <c r="W68" i="4"/>
  <c r="V19" i="3" s="1"/>
  <c r="H68" i="4"/>
  <c r="G19" i="3" s="1"/>
  <c r="O68" i="4"/>
  <c r="N19" i="3" s="1"/>
  <c r="X68" i="4"/>
  <c r="W19" i="3" s="1"/>
  <c r="K67" i="4"/>
  <c r="J18" i="3" s="1"/>
  <c r="R68" i="4"/>
  <c r="Q19" i="3" s="1"/>
  <c r="S67" i="4"/>
  <c r="R18" i="3" s="1"/>
  <c r="N68" i="4"/>
  <c r="M19" i="3" s="1"/>
  <c r="L67" i="4"/>
  <c r="K18" i="3" s="1"/>
  <c r="X67" i="4"/>
  <c r="W18" i="3" s="1"/>
  <c r="Z67" i="4"/>
  <c r="Y18" i="3" s="1"/>
  <c r="I39" i="4"/>
  <c r="G39" i="4"/>
  <c r="Z39" i="4"/>
  <c r="L39" i="4"/>
  <c r="Q39" i="4"/>
  <c r="U39" i="4"/>
  <c r="V39" i="4"/>
  <c r="K39" i="4"/>
  <c r="N39" i="4"/>
  <c r="X39" i="4"/>
  <c r="S39" i="4"/>
  <c r="T39" i="4"/>
  <c r="R39" i="4"/>
  <c r="P39" i="4"/>
  <c r="Y39" i="4"/>
  <c r="H39" i="4"/>
  <c r="O39" i="4"/>
  <c r="M39" i="4"/>
  <c r="W39" i="4"/>
  <c r="J39" i="4"/>
  <c r="G32" i="4"/>
  <c r="E32" i="6"/>
  <c r="F32" i="6"/>
  <c r="D32" i="6"/>
  <c r="F33" i="6" l="1"/>
  <c r="E33" i="6"/>
  <c r="D33" i="6" l="1"/>
  <c r="H1" i="4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G7" i="3" l="1"/>
  <c r="H7" i="3" s="1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T7" i="3" s="1"/>
  <c r="U7" i="3" s="1"/>
  <c r="V7" i="3" s="1"/>
  <c r="W7" i="3" s="1"/>
  <c r="X7" i="3" s="1"/>
  <c r="Y7" i="3" s="1"/>
  <c r="E2" i="2" l="1"/>
  <c r="F2" i="2" l="1"/>
  <c r="G2" i="2" l="1"/>
  <c r="H32" i="4" l="1"/>
  <c r="H2" i="2"/>
  <c r="I32" i="4" l="1"/>
  <c r="I2" i="2"/>
  <c r="J32" i="4" l="1"/>
  <c r="J2" i="2"/>
  <c r="K32" i="4" l="1"/>
  <c r="K2" i="2"/>
  <c r="L32" i="4" l="1"/>
  <c r="L2" i="2"/>
  <c r="M32" i="4" l="1"/>
  <c r="M2" i="2"/>
  <c r="N2" i="2" s="1"/>
  <c r="O2" i="2" l="1"/>
  <c r="N32" i="4"/>
  <c r="P2" i="2" l="1"/>
  <c r="O32" i="4"/>
  <c r="Q32" i="4" l="1"/>
  <c r="Q2" i="2"/>
  <c r="P32" i="4"/>
  <c r="R32" i="4" l="1"/>
  <c r="R2" i="2"/>
  <c r="S32" i="4" l="1"/>
  <c r="S2" i="2"/>
  <c r="T32" i="4" l="1"/>
  <c r="T2" i="2"/>
  <c r="U32" i="4" l="1"/>
  <c r="U2" i="2"/>
  <c r="V32" i="4" l="1"/>
  <c r="V2" i="2"/>
  <c r="W32" i="4" l="1"/>
  <c r="W2" i="2"/>
  <c r="X32" i="4" l="1"/>
  <c r="Y32" i="4" l="1"/>
  <c r="Z32" i="4" l="1"/>
  <c r="AC80" i="54" l="1"/>
  <c r="AC72" i="54"/>
  <c r="AC77" i="54"/>
  <c r="AC71" i="54"/>
  <c r="AC76" i="54"/>
  <c r="AC82" i="54"/>
  <c r="AC81" i="54"/>
  <c r="AC75" i="54"/>
  <c r="AC64" i="54"/>
  <c r="AC63" i="54"/>
  <c r="AC62" i="54"/>
  <c r="AC67" i="54"/>
  <c r="AC21" i="54"/>
  <c r="AC14" i="54"/>
  <c r="AC26" i="54"/>
  <c r="AC25" i="54"/>
  <c r="AC24" i="54"/>
  <c r="AC70" i="54"/>
  <c r="AC13" i="54"/>
  <c r="AC12" i="54"/>
  <c r="AC20" i="54"/>
  <c r="AC19" i="54"/>
  <c r="AC16" i="54"/>
  <c r="N16" i="54" l="1"/>
  <c r="J16" i="54"/>
  <c r="O16" i="54"/>
  <c r="I16" i="54"/>
  <c r="L16" i="54"/>
  <c r="G16" i="54"/>
  <c r="H16" i="54"/>
  <c r="P16" i="54"/>
  <c r="Q16" i="54" s="1"/>
  <c r="R16" i="54" s="1"/>
  <c r="S16" i="54" s="1"/>
  <c r="T16" i="54" s="1"/>
  <c r="U16" i="54" s="1"/>
  <c r="V16" i="54" s="1"/>
  <c r="W16" i="54" s="1"/>
  <c r="X16" i="54" s="1"/>
  <c r="Y16" i="54" s="1"/>
  <c r="Z16" i="54" s="1"/>
  <c r="M16" i="54"/>
  <c r="K16" i="54"/>
  <c r="M12" i="54"/>
  <c r="I12" i="54"/>
  <c r="N12" i="54"/>
  <c r="H12" i="54"/>
  <c r="P12" i="54"/>
  <c r="Q12" i="54" s="1"/>
  <c r="R12" i="54" s="1"/>
  <c r="S12" i="54" s="1"/>
  <c r="T12" i="54" s="1"/>
  <c r="U12" i="54" s="1"/>
  <c r="V12" i="54" s="1"/>
  <c r="W12" i="54" s="1"/>
  <c r="X12" i="54" s="1"/>
  <c r="Y12" i="54" s="1"/>
  <c r="Z12" i="54" s="1"/>
  <c r="K12" i="54"/>
  <c r="G12" i="54"/>
  <c r="O12" i="54"/>
  <c r="L12" i="54"/>
  <c r="J12" i="54"/>
  <c r="N24" i="54"/>
  <c r="J24" i="54"/>
  <c r="P24" i="54"/>
  <c r="Q24" i="54" s="1"/>
  <c r="R24" i="54" s="1"/>
  <c r="S24" i="54" s="1"/>
  <c r="T24" i="54" s="1"/>
  <c r="U24" i="54" s="1"/>
  <c r="V24" i="54" s="1"/>
  <c r="W24" i="54" s="1"/>
  <c r="X24" i="54" s="1"/>
  <c r="Y24" i="54" s="1"/>
  <c r="Z24" i="54" s="1"/>
  <c r="K24" i="54"/>
  <c r="M24" i="54"/>
  <c r="H24" i="54"/>
  <c r="I24" i="54"/>
  <c r="G24" i="54"/>
  <c r="O24" i="54"/>
  <c r="L24" i="54"/>
  <c r="N75" i="54"/>
  <c r="J75" i="54"/>
  <c r="M75" i="54"/>
  <c r="I75" i="54"/>
  <c r="P75" i="54"/>
  <c r="Q75" i="54" s="1"/>
  <c r="R75" i="54" s="1"/>
  <c r="S75" i="54" s="1"/>
  <c r="T75" i="54" s="1"/>
  <c r="U75" i="54" s="1"/>
  <c r="V75" i="54" s="1"/>
  <c r="W75" i="54" s="1"/>
  <c r="X75" i="54" s="1"/>
  <c r="Y75" i="54" s="1"/>
  <c r="Z75" i="54" s="1"/>
  <c r="H75" i="54"/>
  <c r="O75" i="54"/>
  <c r="L75" i="54"/>
  <c r="G75" i="54"/>
  <c r="K75" i="54"/>
  <c r="P71" i="54"/>
  <c r="Q71" i="54" s="1"/>
  <c r="R71" i="54" s="1"/>
  <c r="S71" i="54" s="1"/>
  <c r="T71" i="54" s="1"/>
  <c r="U71" i="54" s="1"/>
  <c r="V71" i="54" s="1"/>
  <c r="W71" i="54" s="1"/>
  <c r="X71" i="54" s="1"/>
  <c r="Y71" i="54" s="1"/>
  <c r="Z71" i="54" s="1"/>
  <c r="L71" i="54"/>
  <c r="H71" i="54"/>
  <c r="O71" i="54"/>
  <c r="K71" i="54"/>
  <c r="G71" i="54"/>
  <c r="J71" i="54"/>
  <c r="N71" i="54"/>
  <c r="M71" i="54"/>
  <c r="I71" i="54"/>
  <c r="M19" i="54"/>
  <c r="I19" i="54"/>
  <c r="O19" i="54"/>
  <c r="J19" i="54"/>
  <c r="L19" i="54"/>
  <c r="G19" i="54"/>
  <c r="H19" i="54"/>
  <c r="P19" i="54"/>
  <c r="Q19" i="54" s="1"/>
  <c r="R19" i="54" s="1"/>
  <c r="S19" i="54" s="1"/>
  <c r="T19" i="54" s="1"/>
  <c r="U19" i="54" s="1"/>
  <c r="V19" i="54" s="1"/>
  <c r="W19" i="54" s="1"/>
  <c r="X19" i="54" s="1"/>
  <c r="Y19" i="54" s="1"/>
  <c r="Z19" i="54" s="1"/>
  <c r="N19" i="54"/>
  <c r="K19" i="54"/>
  <c r="P13" i="54"/>
  <c r="Q13" i="54" s="1"/>
  <c r="R13" i="54" s="1"/>
  <c r="S13" i="54" s="1"/>
  <c r="T13" i="54" s="1"/>
  <c r="U13" i="54" s="1"/>
  <c r="V13" i="54" s="1"/>
  <c r="W13" i="54" s="1"/>
  <c r="X13" i="54" s="1"/>
  <c r="Y13" i="54" s="1"/>
  <c r="Z13" i="54" s="1"/>
  <c r="L13" i="54"/>
  <c r="H13" i="54"/>
  <c r="N13" i="54"/>
  <c r="I13" i="54"/>
  <c r="K13" i="54"/>
  <c r="G13" i="54"/>
  <c r="O13" i="54"/>
  <c r="M13" i="54"/>
  <c r="J13" i="54"/>
  <c r="M25" i="54"/>
  <c r="I25" i="54"/>
  <c r="P25" i="54"/>
  <c r="Q25" i="54" s="1"/>
  <c r="R25" i="54" s="1"/>
  <c r="S25" i="54" s="1"/>
  <c r="T25" i="54" s="1"/>
  <c r="U25" i="54" s="1"/>
  <c r="V25" i="54" s="1"/>
  <c r="W25" i="54" s="1"/>
  <c r="X25" i="54" s="1"/>
  <c r="Y25" i="54" s="1"/>
  <c r="Z25" i="54" s="1"/>
  <c r="K25" i="54"/>
  <c r="N25" i="54"/>
  <c r="H25" i="54"/>
  <c r="J25" i="54"/>
  <c r="G25" i="54"/>
  <c r="O25" i="54"/>
  <c r="L25" i="54"/>
  <c r="O14" i="54"/>
  <c r="K14" i="54"/>
  <c r="G14" i="54"/>
  <c r="N14" i="54"/>
  <c r="I14" i="54"/>
  <c r="L14" i="54"/>
  <c r="H14" i="54"/>
  <c r="P14" i="54"/>
  <c r="Q14" i="54" s="1"/>
  <c r="R14" i="54" s="1"/>
  <c r="S14" i="54" s="1"/>
  <c r="T14" i="54" s="1"/>
  <c r="U14" i="54" s="1"/>
  <c r="V14" i="54" s="1"/>
  <c r="W14" i="54" s="1"/>
  <c r="X14" i="54" s="1"/>
  <c r="Y14" i="54" s="1"/>
  <c r="Z14" i="54" s="1"/>
  <c r="M14" i="54"/>
  <c r="J14" i="54"/>
  <c r="N62" i="54"/>
  <c r="J62" i="54"/>
  <c r="P62" i="54"/>
  <c r="Q62" i="54" s="1"/>
  <c r="R62" i="54" s="1"/>
  <c r="S62" i="54" s="1"/>
  <c r="T62" i="54" s="1"/>
  <c r="U62" i="54" s="1"/>
  <c r="V62" i="54" s="1"/>
  <c r="W62" i="54" s="1"/>
  <c r="X62" i="54" s="1"/>
  <c r="Y62" i="54" s="1"/>
  <c r="Z62" i="54" s="1"/>
  <c r="K62" i="54"/>
  <c r="L62" i="54"/>
  <c r="I62" i="54"/>
  <c r="G62" i="54"/>
  <c r="O62" i="54"/>
  <c r="M62" i="54"/>
  <c r="H62" i="54"/>
  <c r="N81" i="54"/>
  <c r="J81" i="54"/>
  <c r="M81" i="54"/>
  <c r="I81" i="54"/>
  <c r="L81" i="54"/>
  <c r="P81" i="54"/>
  <c r="Q81" i="54" s="1"/>
  <c r="R81" i="54" s="1"/>
  <c r="S81" i="54" s="1"/>
  <c r="T81" i="54" s="1"/>
  <c r="U81" i="54" s="1"/>
  <c r="V81" i="54" s="1"/>
  <c r="W81" i="54" s="1"/>
  <c r="X81" i="54" s="1"/>
  <c r="Y81" i="54" s="1"/>
  <c r="Z81" i="54" s="1"/>
  <c r="G81" i="54"/>
  <c r="O81" i="54"/>
  <c r="H81" i="54"/>
  <c r="K81" i="54"/>
  <c r="P77" i="54"/>
  <c r="Q77" i="54" s="1"/>
  <c r="R77" i="54" s="1"/>
  <c r="S77" i="54" s="1"/>
  <c r="T77" i="54" s="1"/>
  <c r="U77" i="54" s="1"/>
  <c r="V77" i="54" s="1"/>
  <c r="W77" i="54" s="1"/>
  <c r="X77" i="54" s="1"/>
  <c r="Y77" i="54" s="1"/>
  <c r="Z77" i="54" s="1"/>
  <c r="L77" i="54"/>
  <c r="H77" i="54"/>
  <c r="O77" i="54"/>
  <c r="K77" i="54"/>
  <c r="G77" i="54"/>
  <c r="N77" i="54"/>
  <c r="M77" i="54"/>
  <c r="J77" i="54"/>
  <c r="I77" i="54"/>
  <c r="P20" i="54"/>
  <c r="Q20" i="54" s="1"/>
  <c r="R20" i="54" s="1"/>
  <c r="S20" i="54" s="1"/>
  <c r="T20" i="54" s="1"/>
  <c r="U20" i="54" s="1"/>
  <c r="V20" i="54" s="1"/>
  <c r="W20" i="54" s="1"/>
  <c r="X20" i="54" s="1"/>
  <c r="Y20" i="54" s="1"/>
  <c r="Z20" i="54" s="1"/>
  <c r="L20" i="54"/>
  <c r="H20" i="54"/>
  <c r="O20" i="54"/>
  <c r="J20" i="54"/>
  <c r="M20" i="54"/>
  <c r="G20" i="54"/>
  <c r="I20" i="54"/>
  <c r="N20" i="54"/>
  <c r="K20" i="54"/>
  <c r="P26" i="54"/>
  <c r="Q26" i="54" s="1"/>
  <c r="R26" i="54" s="1"/>
  <c r="S26" i="54" s="1"/>
  <c r="T26" i="54" s="1"/>
  <c r="U26" i="54" s="1"/>
  <c r="V26" i="54" s="1"/>
  <c r="W26" i="54" s="1"/>
  <c r="X26" i="54" s="1"/>
  <c r="Y26" i="54" s="1"/>
  <c r="Z26" i="54" s="1"/>
  <c r="L26" i="54"/>
  <c r="H26" i="54"/>
  <c r="K26" i="54"/>
  <c r="N26" i="54"/>
  <c r="I26" i="54"/>
  <c r="J26" i="54"/>
  <c r="G26" i="54"/>
  <c r="O26" i="54"/>
  <c r="M26" i="54"/>
  <c r="O21" i="54"/>
  <c r="K21" i="54"/>
  <c r="G21" i="54"/>
  <c r="P21" i="54"/>
  <c r="Q21" i="54" s="1"/>
  <c r="R21" i="54" s="1"/>
  <c r="S21" i="54" s="1"/>
  <c r="T21" i="54" s="1"/>
  <c r="U21" i="54" s="1"/>
  <c r="V21" i="54" s="1"/>
  <c r="W21" i="54" s="1"/>
  <c r="X21" i="54" s="1"/>
  <c r="Y21" i="54" s="1"/>
  <c r="Z21" i="54" s="1"/>
  <c r="J21" i="54"/>
  <c r="M21" i="54"/>
  <c r="H21" i="54"/>
  <c r="I21" i="54"/>
  <c r="N21" i="54"/>
  <c r="L21" i="54"/>
  <c r="M67" i="54"/>
  <c r="M3" i="4" s="1"/>
  <c r="I67" i="54"/>
  <c r="I3" i="4" s="1"/>
  <c r="N67" i="54"/>
  <c r="N3" i="4" s="1"/>
  <c r="H67" i="54"/>
  <c r="H3" i="4" s="1"/>
  <c r="O67" i="54"/>
  <c r="O3" i="4" s="1"/>
  <c r="G67" i="54"/>
  <c r="G3" i="4" s="1"/>
  <c r="P67" i="54"/>
  <c r="L67" i="54"/>
  <c r="L3" i="4" s="1"/>
  <c r="J67" i="54"/>
  <c r="J3" i="4" s="1"/>
  <c r="K67" i="54"/>
  <c r="K3" i="4" s="1"/>
  <c r="M63" i="54"/>
  <c r="I63" i="54"/>
  <c r="P63" i="54"/>
  <c r="Q63" i="54" s="1"/>
  <c r="R63" i="54" s="1"/>
  <c r="S63" i="54" s="1"/>
  <c r="T63" i="54" s="1"/>
  <c r="U63" i="54" s="1"/>
  <c r="V63" i="54" s="1"/>
  <c r="W63" i="54" s="1"/>
  <c r="X63" i="54" s="1"/>
  <c r="Y63" i="54" s="1"/>
  <c r="Z63" i="54" s="1"/>
  <c r="K63" i="54"/>
  <c r="L63" i="54"/>
  <c r="J63" i="54"/>
  <c r="N63" i="54"/>
  <c r="H63" i="54"/>
  <c r="O63" i="54"/>
  <c r="G63" i="54"/>
  <c r="M82" i="54"/>
  <c r="I82" i="54"/>
  <c r="P82" i="54"/>
  <c r="Q82" i="54" s="1"/>
  <c r="R82" i="54" s="1"/>
  <c r="S82" i="54" s="1"/>
  <c r="T82" i="54" s="1"/>
  <c r="U82" i="54" s="1"/>
  <c r="V82" i="54" s="1"/>
  <c r="W82" i="54" s="1"/>
  <c r="X82" i="54" s="1"/>
  <c r="Y82" i="54" s="1"/>
  <c r="Z82" i="54" s="1"/>
  <c r="L82" i="54"/>
  <c r="H82" i="54"/>
  <c r="O82" i="54"/>
  <c r="G82" i="54"/>
  <c r="K82" i="54"/>
  <c r="J82" i="54"/>
  <c r="N82" i="54"/>
  <c r="O72" i="54"/>
  <c r="K72" i="54"/>
  <c r="G72" i="54"/>
  <c r="N72" i="54"/>
  <c r="J72" i="54"/>
  <c r="M72" i="54"/>
  <c r="P72" i="54"/>
  <c r="Q72" i="54" s="1"/>
  <c r="R72" i="54" s="1"/>
  <c r="S72" i="54" s="1"/>
  <c r="T72" i="54" s="1"/>
  <c r="U72" i="54" s="1"/>
  <c r="V72" i="54" s="1"/>
  <c r="W72" i="54" s="1"/>
  <c r="X72" i="54" s="1"/>
  <c r="Y72" i="54" s="1"/>
  <c r="Z72" i="54" s="1"/>
  <c r="I72" i="54"/>
  <c r="H72" i="54"/>
  <c r="L72" i="54"/>
  <c r="M70" i="54"/>
  <c r="I70" i="54"/>
  <c r="P70" i="54"/>
  <c r="Q70" i="54" s="1"/>
  <c r="R70" i="54" s="1"/>
  <c r="S70" i="54" s="1"/>
  <c r="T70" i="54" s="1"/>
  <c r="U70" i="54" s="1"/>
  <c r="V70" i="54" s="1"/>
  <c r="W70" i="54" s="1"/>
  <c r="X70" i="54" s="1"/>
  <c r="Y70" i="54" s="1"/>
  <c r="Z70" i="54" s="1"/>
  <c r="L70" i="54"/>
  <c r="H70" i="54"/>
  <c r="O70" i="54"/>
  <c r="G70" i="54"/>
  <c r="N70" i="54"/>
  <c r="J70" i="54"/>
  <c r="K70" i="54"/>
  <c r="P64" i="54"/>
  <c r="Q64" i="54" s="1"/>
  <c r="R64" i="54" s="1"/>
  <c r="S64" i="54" s="1"/>
  <c r="T64" i="54" s="1"/>
  <c r="U64" i="54" s="1"/>
  <c r="V64" i="54" s="1"/>
  <c r="W64" i="54" s="1"/>
  <c r="X64" i="54" s="1"/>
  <c r="Y64" i="54" s="1"/>
  <c r="Z64" i="54" s="1"/>
  <c r="L64" i="54"/>
  <c r="H64" i="54"/>
  <c r="K64" i="54"/>
  <c r="M64" i="54"/>
  <c r="J64" i="54"/>
  <c r="G64" i="54"/>
  <c r="O64" i="54"/>
  <c r="I64" i="54"/>
  <c r="N64" i="54"/>
  <c r="M76" i="54"/>
  <c r="I76" i="54"/>
  <c r="P76" i="54"/>
  <c r="Q76" i="54" s="1"/>
  <c r="R76" i="54" s="1"/>
  <c r="S76" i="54" s="1"/>
  <c r="T76" i="54" s="1"/>
  <c r="U76" i="54" s="1"/>
  <c r="V76" i="54" s="1"/>
  <c r="W76" i="54" s="1"/>
  <c r="X76" i="54" s="1"/>
  <c r="Y76" i="54" s="1"/>
  <c r="Z76" i="54" s="1"/>
  <c r="L76" i="54"/>
  <c r="H76" i="54"/>
  <c r="K76" i="54"/>
  <c r="O76" i="54"/>
  <c r="J76" i="54"/>
  <c r="G76" i="54"/>
  <c r="N76" i="54"/>
  <c r="O80" i="54"/>
  <c r="K80" i="54"/>
  <c r="G80" i="54"/>
  <c r="N80" i="54"/>
  <c r="J80" i="54"/>
  <c r="I80" i="54"/>
  <c r="P80" i="54"/>
  <c r="Q80" i="54" s="1"/>
  <c r="R80" i="54" s="1"/>
  <c r="S80" i="54" s="1"/>
  <c r="T80" i="54" s="1"/>
  <c r="U80" i="54" s="1"/>
  <c r="V80" i="54" s="1"/>
  <c r="W80" i="54" s="1"/>
  <c r="X80" i="54" s="1"/>
  <c r="Y80" i="54" s="1"/>
  <c r="Z80" i="54" s="1"/>
  <c r="L80" i="54"/>
  <c r="H80" i="54"/>
  <c r="M80" i="54"/>
  <c r="G6" i="4" l="1"/>
  <c r="H6" i="4"/>
  <c r="H5" i="4"/>
  <c r="I6" i="4"/>
  <c r="G5" i="4"/>
  <c r="P3" i="4"/>
  <c r="Q67" i="54"/>
  <c r="R67" i="54" s="1"/>
  <c r="S67" i="54" s="1"/>
  <c r="T67" i="54" s="1"/>
  <c r="U67" i="54" s="1"/>
  <c r="V67" i="54" s="1"/>
  <c r="W67" i="54" s="1"/>
  <c r="X67" i="54" s="1"/>
  <c r="Y67" i="54" s="1"/>
  <c r="Z67" i="54" s="1"/>
  <c r="N87" i="54"/>
  <c r="J87" i="54"/>
  <c r="L87" i="54"/>
  <c r="I5" i="4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H7" i="4"/>
  <c r="G7" i="4"/>
  <c r="I7" i="4"/>
  <c r="J7" i="4" s="1"/>
  <c r="K7" i="4" s="1"/>
  <c r="L7" i="4" s="1"/>
  <c r="M7" i="4" s="1"/>
  <c r="N7" i="4" s="1"/>
  <c r="O7" i="4" s="1"/>
  <c r="P7" i="4" s="1"/>
  <c r="Q7" i="4" s="1"/>
  <c r="R7" i="4" s="1"/>
  <c r="S7" i="4" s="1"/>
  <c r="T7" i="4" s="1"/>
  <c r="U7" i="4" s="1"/>
  <c r="V7" i="4" s="1"/>
  <c r="W7" i="4" s="1"/>
  <c r="X7" i="4" s="1"/>
  <c r="Y7" i="4" s="1"/>
  <c r="Z7" i="4" s="1"/>
  <c r="M87" i="54"/>
  <c r="O87" i="54"/>
  <c r="K87" i="54"/>
  <c r="I87" i="54"/>
  <c r="G87" i="54"/>
  <c r="H87" i="54"/>
  <c r="H86" i="54"/>
  <c r="K86" i="54"/>
  <c r="K90" i="54"/>
  <c r="G90" i="54"/>
  <c r="I90" i="54"/>
  <c r="H85" i="54"/>
  <c r="H65" i="54"/>
  <c r="I85" i="54"/>
  <c r="I65" i="54"/>
  <c r="J85" i="54"/>
  <c r="J65" i="54"/>
  <c r="P31" i="54"/>
  <c r="N31" i="54"/>
  <c r="O30" i="54"/>
  <c r="N30" i="54"/>
  <c r="J29" i="54"/>
  <c r="K29" i="54"/>
  <c r="I29" i="54"/>
  <c r="P36" i="54"/>
  <c r="I36" i="54"/>
  <c r="P87" i="54"/>
  <c r="N86" i="54"/>
  <c r="P86" i="54"/>
  <c r="J90" i="54"/>
  <c r="O90" i="54"/>
  <c r="M90" i="54"/>
  <c r="M85" i="54"/>
  <c r="M65" i="54"/>
  <c r="L85" i="54"/>
  <c r="L65" i="54"/>
  <c r="N85" i="54"/>
  <c r="N65" i="54"/>
  <c r="H31" i="54"/>
  <c r="G31" i="54"/>
  <c r="G30" i="54"/>
  <c r="H30" i="54"/>
  <c r="L29" i="54"/>
  <c r="P29" i="54"/>
  <c r="M29" i="54"/>
  <c r="H36" i="54"/>
  <c r="O36" i="54"/>
  <c r="G86" i="54"/>
  <c r="J86" i="54"/>
  <c r="I86" i="54"/>
  <c r="L90" i="54"/>
  <c r="H90" i="54"/>
  <c r="O65" i="54"/>
  <c r="O85" i="54"/>
  <c r="K85" i="54"/>
  <c r="K65" i="54"/>
  <c r="J31" i="54"/>
  <c r="L31" i="54"/>
  <c r="K31" i="54"/>
  <c r="J30" i="54"/>
  <c r="K30" i="54"/>
  <c r="L30" i="54"/>
  <c r="O29" i="54"/>
  <c r="H29" i="54"/>
  <c r="K36" i="54"/>
  <c r="G36" i="54"/>
  <c r="J36" i="54"/>
  <c r="O86" i="54"/>
  <c r="L86" i="54"/>
  <c r="M86" i="54"/>
  <c r="P90" i="54"/>
  <c r="N90" i="54"/>
  <c r="G85" i="54"/>
  <c r="G65" i="54"/>
  <c r="P65" i="54"/>
  <c r="P85" i="54"/>
  <c r="M31" i="54"/>
  <c r="I31" i="54"/>
  <c r="O31" i="54"/>
  <c r="M30" i="54"/>
  <c r="I30" i="54"/>
  <c r="P30" i="54"/>
  <c r="G29" i="54"/>
  <c r="N29" i="54"/>
  <c r="M36" i="54"/>
  <c r="L36" i="54"/>
  <c r="N36" i="54"/>
  <c r="Q3" i="4" l="1"/>
  <c r="I8" i="4"/>
  <c r="I10" i="4" s="1"/>
  <c r="G8" i="4"/>
  <c r="G10" i="4" s="1"/>
  <c r="H8" i="4"/>
  <c r="H10" i="4" s="1"/>
  <c r="K8" i="4"/>
  <c r="K10" i="4" s="1"/>
  <c r="M8" i="4"/>
  <c r="M10" i="4" s="1"/>
  <c r="L8" i="4"/>
  <c r="L10" i="4" s="1"/>
  <c r="J8" i="4"/>
  <c r="J10" i="4" s="1"/>
  <c r="O8" i="4"/>
  <c r="O10" i="4" s="1"/>
  <c r="N8" i="4"/>
  <c r="N10" i="4" s="1"/>
  <c r="P8" i="4"/>
  <c r="P10" i="4" s="1"/>
  <c r="O12" i="3" s="1"/>
  <c r="O13" i="3" s="1"/>
  <c r="N32" i="54"/>
  <c r="N45" i="54" s="1"/>
  <c r="P88" i="54"/>
  <c r="P91" i="54" s="1"/>
  <c r="G32" i="54"/>
  <c r="G45" i="54" s="1"/>
  <c r="G88" i="54"/>
  <c r="G91" i="54" s="1"/>
  <c r="H32" i="54"/>
  <c r="H45" i="54" s="1"/>
  <c r="K88" i="54"/>
  <c r="K91" i="54" s="1"/>
  <c r="N88" i="54"/>
  <c r="N91" i="54" s="1"/>
  <c r="H88" i="54"/>
  <c r="H91" i="54" s="1"/>
  <c r="R3" i="4"/>
  <c r="Q90" i="54"/>
  <c r="P32" i="54"/>
  <c r="L88" i="54"/>
  <c r="L91" i="54" s="1"/>
  <c r="J88" i="54"/>
  <c r="J91" i="54" s="1"/>
  <c r="O32" i="54"/>
  <c r="O88" i="54"/>
  <c r="O91" i="54" s="1"/>
  <c r="Q29" i="54"/>
  <c r="Q87" i="54"/>
  <c r="I32" i="54"/>
  <c r="Q31" i="54"/>
  <c r="Q30" i="54"/>
  <c r="Q85" i="54"/>
  <c r="Q65" i="54"/>
  <c r="L32" i="54"/>
  <c r="M88" i="54"/>
  <c r="M91" i="54" s="1"/>
  <c r="Q86" i="54"/>
  <c r="K32" i="54"/>
  <c r="I88" i="54"/>
  <c r="I91" i="54" s="1"/>
  <c r="M32" i="54"/>
  <c r="Q36" i="54"/>
  <c r="J32" i="54"/>
  <c r="N61" i="4" l="1"/>
  <c r="M12" i="3"/>
  <c r="M13" i="3" s="1"/>
  <c r="I54" i="3"/>
  <c r="I55" i="3" s="1"/>
  <c r="I56" i="3" s="1"/>
  <c r="I12" i="3"/>
  <c r="I13" i="3" s="1"/>
  <c r="M61" i="4"/>
  <c r="L12" i="3"/>
  <c r="L13" i="3" s="1"/>
  <c r="G54" i="3"/>
  <c r="G55" i="3" s="1"/>
  <c r="G56" i="3" s="1"/>
  <c r="G12" i="3"/>
  <c r="G13" i="3" s="1"/>
  <c r="I61" i="4"/>
  <c r="H12" i="3"/>
  <c r="H13" i="3" s="1"/>
  <c r="O61" i="4"/>
  <c r="N12" i="3"/>
  <c r="N13" i="3" s="1"/>
  <c r="L61" i="4"/>
  <c r="K12" i="3"/>
  <c r="K13" i="3" s="1"/>
  <c r="K61" i="4"/>
  <c r="J12" i="3"/>
  <c r="J13" i="3" s="1"/>
  <c r="G61" i="4"/>
  <c r="F12" i="3"/>
  <c r="F13" i="3" s="1"/>
  <c r="H54" i="3"/>
  <c r="H55" i="3" s="1"/>
  <c r="H56" i="3" s="1"/>
  <c r="F54" i="3"/>
  <c r="F55" i="3" s="1"/>
  <c r="F56" i="3" s="1"/>
  <c r="H61" i="4"/>
  <c r="M54" i="3"/>
  <c r="M55" i="3" s="1"/>
  <c r="M56" i="3" s="1"/>
  <c r="L54" i="3"/>
  <c r="L55" i="3" s="1"/>
  <c r="L56" i="3" s="1"/>
  <c r="K54" i="3"/>
  <c r="K55" i="3" s="1"/>
  <c r="K56" i="3" s="1"/>
  <c r="J54" i="3"/>
  <c r="J55" i="3" s="1"/>
  <c r="J56" i="3" s="1"/>
  <c r="J61" i="4"/>
  <c r="N54" i="3"/>
  <c r="N55" i="3" s="1"/>
  <c r="N56" i="3" s="1"/>
  <c r="G35" i="54"/>
  <c r="G37" i="54" s="1"/>
  <c r="N35" i="54"/>
  <c r="N37" i="54" s="1"/>
  <c r="Q8" i="4"/>
  <c r="Q10" i="4" s="1"/>
  <c r="O54" i="3"/>
  <c r="O55" i="3" s="1"/>
  <c r="O56" i="3" s="1"/>
  <c r="P61" i="4"/>
  <c r="H35" i="54"/>
  <c r="Q88" i="54"/>
  <c r="Q91" i="54" s="1"/>
  <c r="J35" i="54"/>
  <c r="J45" i="54"/>
  <c r="M45" i="54"/>
  <c r="M35" i="54"/>
  <c r="R31" i="54"/>
  <c r="Q32" i="54"/>
  <c r="R86" i="54"/>
  <c r="R90" i="54"/>
  <c r="S3" i="4"/>
  <c r="R36" i="54"/>
  <c r="K35" i="54"/>
  <c r="K45" i="54"/>
  <c r="I35" i="54"/>
  <c r="I45" i="54"/>
  <c r="L45" i="54"/>
  <c r="L35" i="54"/>
  <c r="R85" i="54"/>
  <c r="R65" i="54"/>
  <c r="R30" i="54"/>
  <c r="R87" i="54"/>
  <c r="R29" i="54"/>
  <c r="O35" i="54"/>
  <c r="O45" i="54"/>
  <c r="P45" i="54"/>
  <c r="P35" i="54"/>
  <c r="D46" i="10" l="1"/>
  <c r="D54" i="10" s="1"/>
  <c r="D66" i="10" s="1"/>
  <c r="P54" i="3"/>
  <c r="P55" i="3" s="1"/>
  <c r="P56" i="3" s="1"/>
  <c r="P12" i="3"/>
  <c r="P13" i="3" s="1"/>
  <c r="D5" i="48"/>
  <c r="U47" i="54" s="1" a="1"/>
  <c r="U47" i="54" s="1"/>
  <c r="D6" i="48"/>
  <c r="V47" i="54" s="1" a="1"/>
  <c r="V47" i="54" s="1"/>
  <c r="Q61" i="4"/>
  <c r="I37" i="54"/>
  <c r="F46" i="10"/>
  <c r="M37" i="54"/>
  <c r="J46" i="10"/>
  <c r="K46" i="10"/>
  <c r="O37" i="54"/>
  <c r="L46" i="10"/>
  <c r="H37" i="54"/>
  <c r="E46" i="10"/>
  <c r="R8" i="4"/>
  <c r="R10" i="4" s="1"/>
  <c r="Q12" i="3" s="1"/>
  <c r="Q13" i="3" s="1"/>
  <c r="P37" i="54"/>
  <c r="M46" i="10"/>
  <c r="K37" i="54"/>
  <c r="H46" i="10"/>
  <c r="S47" i="54" a="1"/>
  <c r="S47" i="54" s="1"/>
  <c r="R47" i="54" a="1"/>
  <c r="R47" i="54" s="1"/>
  <c r="L37" i="54"/>
  <c r="I46" i="10"/>
  <c r="J37" i="54"/>
  <c r="G46" i="10"/>
  <c r="R32" i="54"/>
  <c r="R35" i="54" s="1"/>
  <c r="R37" i="54" s="1"/>
  <c r="R88" i="54"/>
  <c r="R91" i="54" s="1"/>
  <c r="S30" i="54"/>
  <c r="S36" i="54"/>
  <c r="S29" i="54"/>
  <c r="T3" i="4"/>
  <c r="S90" i="54"/>
  <c r="S31" i="54"/>
  <c r="S87" i="54"/>
  <c r="S85" i="54"/>
  <c r="S65" i="54"/>
  <c r="S86" i="54"/>
  <c r="Q35" i="54"/>
  <c r="Q45" i="54"/>
  <c r="D51" i="10" l="1"/>
  <c r="D63" i="10" s="1"/>
  <c r="D73" i="10" s="1"/>
  <c r="G45" i="4" s="1"/>
  <c r="D50" i="10"/>
  <c r="D62" i="10" s="1"/>
  <c r="D53" i="10"/>
  <c r="D65" i="10" s="1"/>
  <c r="D56" i="10"/>
  <c r="D68" i="10" s="1"/>
  <c r="D76" i="10" s="1"/>
  <c r="G48" i="4" s="1"/>
  <c r="D49" i="10"/>
  <c r="D55" i="10"/>
  <c r="D67" i="10" s="1"/>
  <c r="D52" i="10"/>
  <c r="D64" i="10" s="1"/>
  <c r="D74" i="10" s="1"/>
  <c r="G46" i="4" s="1"/>
  <c r="G69" i="4" s="1"/>
  <c r="F21" i="3" s="1"/>
  <c r="O47" i="54" a="1"/>
  <c r="O47" i="54" s="1"/>
  <c r="X47" i="54" a="1"/>
  <c r="X47" i="54" s="1"/>
  <c r="Z47" i="54" a="1"/>
  <c r="Z47" i="54" s="1"/>
  <c r="W47" i="54" a="1"/>
  <c r="W47" i="54" s="1"/>
  <c r="T47" i="54" a="1"/>
  <c r="T47" i="54" s="1"/>
  <c r="K47" i="54" a="1"/>
  <c r="K47" i="54" s="1"/>
  <c r="G47" i="54" a="1"/>
  <c r="G47" i="54" s="1"/>
  <c r="I47" i="54" a="1"/>
  <c r="I47" i="54" s="1"/>
  <c r="J47" i="54" a="1"/>
  <c r="J47" i="54" s="1"/>
  <c r="Q47" i="54" a="1"/>
  <c r="Q47" i="54" s="1"/>
  <c r="L47" i="54" a="1"/>
  <c r="L47" i="54" s="1"/>
  <c r="N47" i="54" a="1"/>
  <c r="N47" i="54" s="1"/>
  <c r="P47" i="54" a="1"/>
  <c r="P47" i="54" s="1"/>
  <c r="Y47" i="54" a="1"/>
  <c r="Y47" i="54" s="1"/>
  <c r="M47" i="54" a="1"/>
  <c r="M47" i="54" s="1"/>
  <c r="H47" i="54" a="1"/>
  <c r="H47" i="54" s="1"/>
  <c r="G73" i="4"/>
  <c r="F25" i="3" s="1"/>
  <c r="G71" i="4"/>
  <c r="F23" i="3" s="1"/>
  <c r="D75" i="10"/>
  <c r="G47" i="4" s="1"/>
  <c r="G55" i="10"/>
  <c r="G67" i="10" s="1"/>
  <c r="G56" i="10"/>
  <c r="G68" i="10" s="1"/>
  <c r="G76" i="10" s="1"/>
  <c r="J48" i="4" s="1"/>
  <c r="G53" i="10"/>
  <c r="G65" i="10" s="1"/>
  <c r="G54" i="10"/>
  <c r="G66" i="10" s="1"/>
  <c r="G49" i="10"/>
  <c r="G50" i="10"/>
  <c r="G62" i="10" s="1"/>
  <c r="G51" i="10"/>
  <c r="G63" i="10" s="1"/>
  <c r="G73" i="10" s="1"/>
  <c r="J45" i="4" s="1"/>
  <c r="G52" i="10"/>
  <c r="G64" i="10" s="1"/>
  <c r="G74" i="10" s="1"/>
  <c r="J46" i="4" s="1"/>
  <c r="E55" i="10"/>
  <c r="E67" i="10" s="1"/>
  <c r="E56" i="10"/>
  <c r="E68" i="10" s="1"/>
  <c r="E76" i="10" s="1"/>
  <c r="H48" i="4" s="1"/>
  <c r="E53" i="10"/>
  <c r="E65" i="10" s="1"/>
  <c r="E54" i="10"/>
  <c r="E66" i="10" s="1"/>
  <c r="E49" i="10"/>
  <c r="E50" i="10"/>
  <c r="E62" i="10" s="1"/>
  <c r="E51" i="10"/>
  <c r="E63" i="10" s="1"/>
  <c r="E73" i="10" s="1"/>
  <c r="H45" i="4" s="1"/>
  <c r="E52" i="10"/>
  <c r="E64" i="10" s="1"/>
  <c r="E74" i="10" s="1"/>
  <c r="H46" i="4" s="1"/>
  <c r="J55" i="10"/>
  <c r="J67" i="10" s="1"/>
  <c r="J56" i="10"/>
  <c r="J68" i="10" s="1"/>
  <c r="J76" i="10" s="1"/>
  <c r="M48" i="4" s="1"/>
  <c r="J53" i="10"/>
  <c r="J65" i="10" s="1"/>
  <c r="J54" i="10"/>
  <c r="J66" i="10" s="1"/>
  <c r="J49" i="10"/>
  <c r="J50" i="10"/>
  <c r="J62" i="10" s="1"/>
  <c r="J51" i="10"/>
  <c r="J63" i="10" s="1"/>
  <c r="J73" i="10" s="1"/>
  <c r="M45" i="4" s="1"/>
  <c r="J52" i="10"/>
  <c r="J64" i="10" s="1"/>
  <c r="J74" i="10" s="1"/>
  <c r="M46" i="4" s="1"/>
  <c r="S8" i="4"/>
  <c r="S10" i="4" s="1"/>
  <c r="R12" i="3" s="1"/>
  <c r="R13" i="3" s="1"/>
  <c r="M53" i="10"/>
  <c r="M65" i="10" s="1"/>
  <c r="M55" i="10"/>
  <c r="M67" i="10" s="1"/>
  <c r="M51" i="10"/>
  <c r="M63" i="10" s="1"/>
  <c r="M73" i="10" s="1"/>
  <c r="P45" i="4" s="1"/>
  <c r="M56" i="10"/>
  <c r="M68" i="10" s="1"/>
  <c r="M76" i="10" s="1"/>
  <c r="P48" i="4" s="1"/>
  <c r="M49" i="10"/>
  <c r="M52" i="10"/>
  <c r="M64" i="10" s="1"/>
  <c r="M74" i="10" s="1"/>
  <c r="P46" i="4" s="1"/>
  <c r="M54" i="10"/>
  <c r="M66" i="10" s="1"/>
  <c r="M50" i="10"/>
  <c r="M62" i="10" s="1"/>
  <c r="Q37" i="54"/>
  <c r="N46" i="10"/>
  <c r="O46" i="10"/>
  <c r="F55" i="10"/>
  <c r="F67" i="10" s="1"/>
  <c r="F56" i="10"/>
  <c r="F68" i="10" s="1"/>
  <c r="F76" i="10" s="1"/>
  <c r="I48" i="4" s="1"/>
  <c r="F53" i="10"/>
  <c r="F65" i="10" s="1"/>
  <c r="F54" i="10"/>
  <c r="F66" i="10" s="1"/>
  <c r="F49" i="10"/>
  <c r="F50" i="10"/>
  <c r="F62" i="10" s="1"/>
  <c r="F51" i="10"/>
  <c r="F63" i="10" s="1"/>
  <c r="F73" i="10" s="1"/>
  <c r="I45" i="4" s="1"/>
  <c r="F52" i="10"/>
  <c r="F64" i="10" s="1"/>
  <c r="F74" i="10" s="1"/>
  <c r="I46" i="4" s="1"/>
  <c r="I55" i="10"/>
  <c r="I67" i="10" s="1"/>
  <c r="I56" i="10"/>
  <c r="I68" i="10" s="1"/>
  <c r="I76" i="10" s="1"/>
  <c r="L48" i="4" s="1"/>
  <c r="I53" i="10"/>
  <c r="I65" i="10" s="1"/>
  <c r="I54" i="10"/>
  <c r="I66" i="10" s="1"/>
  <c r="I49" i="10"/>
  <c r="I50" i="10"/>
  <c r="I62" i="10" s="1"/>
  <c r="I51" i="10"/>
  <c r="I63" i="10" s="1"/>
  <c r="I73" i="10" s="1"/>
  <c r="L45" i="4" s="1"/>
  <c r="I52" i="10"/>
  <c r="I64" i="10" s="1"/>
  <c r="I74" i="10" s="1"/>
  <c r="L46" i="4" s="1"/>
  <c r="H55" i="10"/>
  <c r="H67" i="10" s="1"/>
  <c r="H56" i="10"/>
  <c r="H68" i="10" s="1"/>
  <c r="H76" i="10" s="1"/>
  <c r="K48" i="4" s="1"/>
  <c r="H53" i="10"/>
  <c r="H65" i="10" s="1"/>
  <c r="H54" i="10"/>
  <c r="H66" i="10" s="1"/>
  <c r="H49" i="10"/>
  <c r="H50" i="10"/>
  <c r="H62" i="10" s="1"/>
  <c r="H51" i="10"/>
  <c r="H63" i="10" s="1"/>
  <c r="H73" i="10" s="1"/>
  <c r="K45" i="4" s="1"/>
  <c r="H52" i="10"/>
  <c r="H64" i="10" s="1"/>
  <c r="H74" i="10" s="1"/>
  <c r="K46" i="4" s="1"/>
  <c r="Q54" i="3"/>
  <c r="Q55" i="3" s="1"/>
  <c r="Q56" i="3" s="1"/>
  <c r="R61" i="4"/>
  <c r="L55" i="10"/>
  <c r="L67" i="10" s="1"/>
  <c r="L56" i="10"/>
  <c r="L68" i="10" s="1"/>
  <c r="L76" i="10" s="1"/>
  <c r="O48" i="4" s="1"/>
  <c r="L53" i="10"/>
  <c r="L65" i="10" s="1"/>
  <c r="L54" i="10"/>
  <c r="L66" i="10" s="1"/>
  <c r="L49" i="10"/>
  <c r="L50" i="10"/>
  <c r="L62" i="10" s="1"/>
  <c r="L51" i="10"/>
  <c r="L63" i="10" s="1"/>
  <c r="L73" i="10" s="1"/>
  <c r="O45" i="4" s="1"/>
  <c r="L52" i="10"/>
  <c r="L64" i="10" s="1"/>
  <c r="L74" i="10" s="1"/>
  <c r="O46" i="4" s="1"/>
  <c r="K55" i="10"/>
  <c r="K67" i="10" s="1"/>
  <c r="K56" i="10"/>
  <c r="K68" i="10" s="1"/>
  <c r="K76" i="10" s="1"/>
  <c r="N48" i="4" s="1"/>
  <c r="K53" i="10"/>
  <c r="K65" i="10" s="1"/>
  <c r="K54" i="10"/>
  <c r="K66" i="10" s="1"/>
  <c r="K49" i="10"/>
  <c r="K50" i="10"/>
  <c r="K62" i="10" s="1"/>
  <c r="K51" i="10"/>
  <c r="K63" i="10" s="1"/>
  <c r="K73" i="10" s="1"/>
  <c r="N45" i="4" s="1"/>
  <c r="K52" i="10"/>
  <c r="K64" i="10" s="1"/>
  <c r="K74" i="10" s="1"/>
  <c r="N46" i="4" s="1"/>
  <c r="D61" i="10"/>
  <c r="R45" i="54"/>
  <c r="T85" i="54"/>
  <c r="T65" i="54"/>
  <c r="T36" i="54"/>
  <c r="T86" i="54"/>
  <c r="S88" i="54"/>
  <c r="S91" i="54" s="1"/>
  <c r="T29" i="54"/>
  <c r="T30" i="54"/>
  <c r="T87" i="54"/>
  <c r="T31" i="54"/>
  <c r="U3" i="4"/>
  <c r="T90" i="54"/>
  <c r="S32" i="54"/>
  <c r="D57" i="10" l="1"/>
  <c r="K73" i="4"/>
  <c r="J25" i="3" s="1"/>
  <c r="L73" i="4"/>
  <c r="K25" i="3" s="1"/>
  <c r="P73" i="4"/>
  <c r="O25" i="3" s="1"/>
  <c r="I73" i="4"/>
  <c r="H25" i="3" s="1"/>
  <c r="N73" i="4"/>
  <c r="M25" i="3" s="1"/>
  <c r="O73" i="4"/>
  <c r="N25" i="3" s="1"/>
  <c r="M73" i="4"/>
  <c r="L25" i="3" s="1"/>
  <c r="H73" i="4"/>
  <c r="G25" i="3" s="1"/>
  <c r="J73" i="4"/>
  <c r="I25" i="3" s="1"/>
  <c r="K71" i="4"/>
  <c r="J23" i="3" s="1"/>
  <c r="L71" i="4"/>
  <c r="K23" i="3" s="1"/>
  <c r="I69" i="4"/>
  <c r="H21" i="3" s="1"/>
  <c r="N69" i="4"/>
  <c r="M21" i="3" s="1"/>
  <c r="O69" i="4"/>
  <c r="N21" i="3" s="1"/>
  <c r="I71" i="4"/>
  <c r="H23" i="3" s="1"/>
  <c r="K69" i="4"/>
  <c r="J21" i="3" s="1"/>
  <c r="L69" i="4"/>
  <c r="K21" i="3" s="1"/>
  <c r="P69" i="4"/>
  <c r="O21" i="3" s="1"/>
  <c r="M71" i="4"/>
  <c r="L23" i="3" s="1"/>
  <c r="H71" i="4"/>
  <c r="G23" i="3" s="1"/>
  <c r="J71" i="4"/>
  <c r="I23" i="3" s="1"/>
  <c r="N71" i="4"/>
  <c r="M23" i="3" s="1"/>
  <c r="O71" i="4"/>
  <c r="N23" i="3" s="1"/>
  <c r="P71" i="4"/>
  <c r="O23" i="3" s="1"/>
  <c r="M69" i="4"/>
  <c r="L21" i="3" s="1"/>
  <c r="H69" i="4"/>
  <c r="G21" i="3" s="1"/>
  <c r="J69" i="4"/>
  <c r="I21" i="3" s="1"/>
  <c r="G72" i="4"/>
  <c r="F24" i="3" s="1"/>
  <c r="G75" i="10"/>
  <c r="J47" i="4" s="1"/>
  <c r="F75" i="10"/>
  <c r="I47" i="4" s="1"/>
  <c r="F57" i="10"/>
  <c r="F61" i="10"/>
  <c r="T8" i="4"/>
  <c r="T10" i="4" s="1"/>
  <c r="S12" i="3" s="1"/>
  <c r="S13" i="3" s="1"/>
  <c r="D69" i="10"/>
  <c r="D72" i="10"/>
  <c r="G44" i="4" s="1"/>
  <c r="G70" i="4" s="1"/>
  <c r="K61" i="10"/>
  <c r="K57" i="10"/>
  <c r="L61" i="10"/>
  <c r="L57" i="10"/>
  <c r="H75" i="10"/>
  <c r="K47" i="4" s="1"/>
  <c r="I57" i="10"/>
  <c r="I61" i="10"/>
  <c r="M61" i="10"/>
  <c r="M57" i="10"/>
  <c r="M75" i="10"/>
  <c r="P47" i="4" s="1"/>
  <c r="J61" i="10"/>
  <c r="J57" i="10"/>
  <c r="E61" i="10"/>
  <c r="E57" i="10"/>
  <c r="R54" i="3"/>
  <c r="R55" i="3" s="1"/>
  <c r="R56" i="3" s="1"/>
  <c r="S61" i="4"/>
  <c r="K75" i="10"/>
  <c r="N47" i="4" s="1"/>
  <c r="L75" i="10"/>
  <c r="O47" i="4" s="1"/>
  <c r="H57" i="10"/>
  <c r="H61" i="10"/>
  <c r="I75" i="10"/>
  <c r="L47" i="4" s="1"/>
  <c r="J75" i="10"/>
  <c r="M47" i="4" s="1"/>
  <c r="E75" i="10"/>
  <c r="H47" i="4" s="1"/>
  <c r="G61" i="10"/>
  <c r="G57" i="10"/>
  <c r="U31" i="54"/>
  <c r="U30" i="54"/>
  <c r="T32" i="54"/>
  <c r="U87" i="54"/>
  <c r="S35" i="54"/>
  <c r="S45" i="54"/>
  <c r="U29" i="54"/>
  <c r="U86" i="54"/>
  <c r="U36" i="54"/>
  <c r="U85" i="54"/>
  <c r="U65" i="54"/>
  <c r="V3" i="4"/>
  <c r="U90" i="54"/>
  <c r="T88" i="54"/>
  <c r="T91" i="54" s="1"/>
  <c r="M72" i="4" l="1"/>
  <c r="L24" i="3" s="1"/>
  <c r="K72" i="4"/>
  <c r="J24" i="3" s="1"/>
  <c r="L72" i="4"/>
  <c r="K24" i="3" s="1"/>
  <c r="N72" i="4"/>
  <c r="M24" i="3" s="1"/>
  <c r="P72" i="4"/>
  <c r="O24" i="3" s="1"/>
  <c r="I72" i="4"/>
  <c r="H24" i="3" s="1"/>
  <c r="H72" i="4"/>
  <c r="G24" i="3" s="1"/>
  <c r="J72" i="4"/>
  <c r="I24" i="3" s="1"/>
  <c r="O72" i="4"/>
  <c r="N24" i="3" s="1"/>
  <c r="H72" i="10"/>
  <c r="K44" i="4" s="1"/>
  <c r="K70" i="4" s="1"/>
  <c r="H69" i="10"/>
  <c r="E69" i="10"/>
  <c r="E72" i="10"/>
  <c r="H44" i="4" s="1"/>
  <c r="H70" i="4" s="1"/>
  <c r="F22" i="3"/>
  <c r="G49" i="4"/>
  <c r="G59" i="4" s="1"/>
  <c r="S54" i="3"/>
  <c r="S55" i="3" s="1"/>
  <c r="S56" i="3" s="1"/>
  <c r="T61" i="4"/>
  <c r="S37" i="54"/>
  <c r="P46" i="10"/>
  <c r="G72" i="10"/>
  <c r="J44" i="4" s="1"/>
  <c r="J70" i="4" s="1"/>
  <c r="G69" i="10"/>
  <c r="M69" i="10"/>
  <c r="M72" i="10"/>
  <c r="P44" i="4" s="1"/>
  <c r="P70" i="4" s="1"/>
  <c r="I72" i="10"/>
  <c r="L44" i="4" s="1"/>
  <c r="L70" i="4" s="1"/>
  <c r="I69" i="10"/>
  <c r="L72" i="10"/>
  <c r="O44" i="4" s="1"/>
  <c r="O70" i="4" s="1"/>
  <c r="L69" i="10"/>
  <c r="F72" i="10"/>
  <c r="I44" i="4" s="1"/>
  <c r="I70" i="4" s="1"/>
  <c r="F69" i="10"/>
  <c r="J69" i="10"/>
  <c r="J72" i="10"/>
  <c r="M44" i="4" s="1"/>
  <c r="M70" i="4" s="1"/>
  <c r="U8" i="4"/>
  <c r="U10" i="4" s="1"/>
  <c r="T12" i="3" s="1"/>
  <c r="T13" i="3" s="1"/>
  <c r="K72" i="10"/>
  <c r="N44" i="4" s="1"/>
  <c r="N70" i="4" s="1"/>
  <c r="K69" i="10"/>
  <c r="U88" i="54"/>
  <c r="U91" i="54" s="1"/>
  <c r="U32" i="54"/>
  <c r="U45" i="54" s="1"/>
  <c r="V85" i="54"/>
  <c r="V65" i="54"/>
  <c r="V36" i="54"/>
  <c r="V30" i="54"/>
  <c r="V90" i="54"/>
  <c r="W3" i="4"/>
  <c r="V87" i="54"/>
  <c r="V86" i="54"/>
  <c r="V31" i="54"/>
  <c r="V29" i="54"/>
  <c r="T45" i="54"/>
  <c r="T35" i="54"/>
  <c r="F27" i="3" l="1"/>
  <c r="U35" i="54"/>
  <c r="U37" i="54" s="1"/>
  <c r="V32" i="54"/>
  <c r="V45" i="54" s="1"/>
  <c r="O22" i="3"/>
  <c r="P49" i="4"/>
  <c r="P59" i="4" s="1"/>
  <c r="J22" i="3"/>
  <c r="K49" i="4"/>
  <c r="K59" i="4" s="1"/>
  <c r="T54" i="3"/>
  <c r="T55" i="3" s="1"/>
  <c r="T56" i="3" s="1"/>
  <c r="U61" i="4"/>
  <c r="N22" i="3"/>
  <c r="O49" i="4"/>
  <c r="O59" i="4" s="1"/>
  <c r="I22" i="3"/>
  <c r="J49" i="4"/>
  <c r="J59" i="4" s="1"/>
  <c r="G22" i="3"/>
  <c r="H49" i="4"/>
  <c r="H59" i="4" s="1"/>
  <c r="T37" i="54"/>
  <c r="Q46" i="10"/>
  <c r="N49" i="4"/>
  <c r="N59" i="4" s="1"/>
  <c r="M22" i="3"/>
  <c r="L22" i="3"/>
  <c r="M49" i="4"/>
  <c r="M59" i="4" s="1"/>
  <c r="V8" i="4"/>
  <c r="V10" i="4" s="1"/>
  <c r="U12" i="3" s="1"/>
  <c r="U13" i="3" s="1"/>
  <c r="H22" i="3"/>
  <c r="I49" i="4"/>
  <c r="I59" i="4" s="1"/>
  <c r="K22" i="3"/>
  <c r="L49" i="4"/>
  <c r="L59" i="4" s="1"/>
  <c r="F11" i="3"/>
  <c r="F15" i="3" s="1"/>
  <c r="G63" i="4"/>
  <c r="W29" i="54"/>
  <c r="W86" i="54"/>
  <c r="W90" i="54"/>
  <c r="X3" i="4"/>
  <c r="W65" i="54"/>
  <c r="W85" i="54"/>
  <c r="W31" i="54"/>
  <c r="W87" i="54"/>
  <c r="W30" i="54"/>
  <c r="W36" i="54"/>
  <c r="V88" i="54"/>
  <c r="V91" i="54" s="1"/>
  <c r="K27" i="3" l="1"/>
  <c r="J27" i="3"/>
  <c r="L27" i="3"/>
  <c r="I27" i="3"/>
  <c r="H27" i="3"/>
  <c r="M27" i="3"/>
  <c r="O27" i="3"/>
  <c r="G27" i="3"/>
  <c r="N27" i="3"/>
  <c r="R46" i="10"/>
  <c r="F14" i="3"/>
  <c r="V35" i="54"/>
  <c r="V37" i="54" s="1"/>
  <c r="I63" i="4"/>
  <c r="H11" i="3"/>
  <c r="H15" i="3" s="1"/>
  <c r="M11" i="3"/>
  <c r="M15" i="3" s="1"/>
  <c r="N63" i="4"/>
  <c r="P63" i="4"/>
  <c r="O11" i="3"/>
  <c r="O15" i="3" s="1"/>
  <c r="M63" i="4"/>
  <c r="L11" i="3"/>
  <c r="L15" i="3" s="1"/>
  <c r="J63" i="4"/>
  <c r="I11" i="3"/>
  <c r="I15" i="3" s="1"/>
  <c r="K11" i="3"/>
  <c r="K15" i="3" s="1"/>
  <c r="L63" i="4"/>
  <c r="U54" i="3"/>
  <c r="U55" i="3" s="1"/>
  <c r="U56" i="3" s="1"/>
  <c r="V61" i="4"/>
  <c r="K63" i="4"/>
  <c r="J11" i="3"/>
  <c r="J15" i="3" s="1"/>
  <c r="W8" i="4"/>
  <c r="W10" i="4" s="1"/>
  <c r="V12" i="3" s="1"/>
  <c r="V13" i="3" s="1"/>
  <c r="G11" i="3"/>
  <c r="G15" i="3" s="1"/>
  <c r="H63" i="4"/>
  <c r="O63" i="4"/>
  <c r="N11" i="3"/>
  <c r="N15" i="3" s="1"/>
  <c r="W88" i="54"/>
  <c r="W91" i="54" s="1"/>
  <c r="X87" i="54"/>
  <c r="X36" i="54"/>
  <c r="X31" i="54"/>
  <c r="Y3" i="4"/>
  <c r="X90" i="54"/>
  <c r="X86" i="54"/>
  <c r="W32" i="54"/>
  <c r="X30" i="54"/>
  <c r="X85" i="54"/>
  <c r="X65" i="54"/>
  <c r="X29" i="54"/>
  <c r="G14" i="3" l="1"/>
  <c r="J14" i="3"/>
  <c r="N14" i="3"/>
  <c r="I14" i="3"/>
  <c r="L14" i="3"/>
  <c r="M14" i="3"/>
  <c r="K14" i="3"/>
  <c r="O14" i="3"/>
  <c r="H14" i="3"/>
  <c r="S46" i="10"/>
  <c r="X8" i="4"/>
  <c r="X10" i="4" s="1"/>
  <c r="V54" i="3"/>
  <c r="V55" i="3" s="1"/>
  <c r="V56" i="3" s="1"/>
  <c r="W61" i="4"/>
  <c r="X32" i="54"/>
  <c r="X45" i="54" s="1"/>
  <c r="X88" i="54"/>
  <c r="X91" i="54" s="1"/>
  <c r="Y86" i="54"/>
  <c r="Z86" i="54"/>
  <c r="Z36" i="54"/>
  <c r="Y36" i="54"/>
  <c r="Y29" i="54"/>
  <c r="Z29" i="54"/>
  <c r="Z30" i="54"/>
  <c r="Y30" i="54"/>
  <c r="Y31" i="54"/>
  <c r="Z31" i="54"/>
  <c r="Y87" i="54"/>
  <c r="Z87" i="54"/>
  <c r="Y85" i="54"/>
  <c r="Y65" i="54"/>
  <c r="W45" i="54"/>
  <c r="W35" i="54"/>
  <c r="Y90" i="54"/>
  <c r="W54" i="3" l="1"/>
  <c r="W55" i="3" s="1"/>
  <c r="W56" i="3" s="1"/>
  <c r="W12" i="3"/>
  <c r="W13" i="3" s="1"/>
  <c r="X61" i="4"/>
  <c r="Y8" i="4"/>
  <c r="Y10" i="4" s="1"/>
  <c r="Z8" i="4"/>
  <c r="W37" i="54"/>
  <c r="T46" i="10"/>
  <c r="Z90" i="54"/>
  <c r="Z3" i="4"/>
  <c r="X35" i="54"/>
  <c r="Y88" i="54"/>
  <c r="Y91" i="54" s="1"/>
  <c r="Z85" i="54"/>
  <c r="Z88" i="54" s="1"/>
  <c r="Z65" i="54"/>
  <c r="Z32" i="54"/>
  <c r="Y32" i="54"/>
  <c r="Y61" i="4" l="1"/>
  <c r="X12" i="3"/>
  <c r="X13" i="3" s="1"/>
  <c r="Z10" i="4"/>
  <c r="X54" i="3"/>
  <c r="X55" i="3" s="1"/>
  <c r="X56" i="3" s="1"/>
  <c r="X37" i="54"/>
  <c r="U46" i="10"/>
  <c r="Z91" i="54"/>
  <c r="Y45" i="54"/>
  <c r="Y35" i="54"/>
  <c r="Z35" i="54"/>
  <c r="Z45" i="54"/>
  <c r="Z61" i="4" l="1"/>
  <c r="Y12" i="3"/>
  <c r="Y13" i="3" s="1"/>
  <c r="Y54" i="3"/>
  <c r="Y55" i="3" s="1"/>
  <c r="Y56" i="3" s="1"/>
  <c r="Y37" i="54"/>
  <c r="V46" i="10"/>
  <c r="Z37" i="54"/>
  <c r="W46" i="10"/>
  <c r="J48" i="54" l="1"/>
  <c r="R48" i="54"/>
  <c r="Y48" i="54"/>
  <c r="U48" i="54"/>
  <c r="S48" i="54"/>
  <c r="O48" i="54"/>
  <c r="W48" i="54"/>
  <c r="H48" i="54"/>
  <c r="X48" i="54"/>
  <c r="V48" i="54"/>
  <c r="L48" i="54"/>
  <c r="I48" i="54"/>
  <c r="M48" i="54"/>
  <c r="K48" i="54"/>
  <c r="Z48" i="54"/>
  <c r="G48" i="54"/>
  <c r="Q48" i="54"/>
  <c r="T48" i="54"/>
  <c r="P48" i="54"/>
  <c r="N48" i="54"/>
  <c r="G53" i="54" l="1"/>
  <c r="G56" i="54" s="1"/>
  <c r="G52" i="54"/>
  <c r="U52" i="54"/>
  <c r="P52" i="54"/>
  <c r="Z52" i="54"/>
  <c r="L52" i="54"/>
  <c r="W52" i="54"/>
  <c r="Y52" i="54"/>
  <c r="N52" i="54"/>
  <c r="H52" i="54"/>
  <c r="T52" i="54"/>
  <c r="K52" i="54"/>
  <c r="V52" i="54"/>
  <c r="O52" i="54"/>
  <c r="R52" i="54"/>
  <c r="I52" i="54"/>
  <c r="Q52" i="54"/>
  <c r="M52" i="54"/>
  <c r="X52" i="54"/>
  <c r="S52" i="54"/>
  <c r="J52" i="54"/>
  <c r="G54" i="54" l="1"/>
  <c r="H51" i="54" s="1"/>
  <c r="H53" i="54" l="1"/>
  <c r="H56" i="54" s="1"/>
  <c r="H54" i="54" l="1"/>
  <c r="I51" i="54" s="1"/>
  <c r="I53" i="54" l="1"/>
  <c r="I54" i="54" l="1"/>
  <c r="J51" i="54" s="1"/>
  <c r="J53" i="54" s="1"/>
  <c r="J56" i="54" s="1"/>
  <c r="I56" i="54"/>
  <c r="J54" i="54" l="1"/>
  <c r="K51" i="54" s="1"/>
  <c r="K53" i="54" s="1"/>
  <c r="K56" i="54" s="1"/>
  <c r="K54" i="54" l="1"/>
  <c r="L51" i="54" s="1"/>
  <c r="L53" i="54" s="1"/>
  <c r="L56" i="54" s="1"/>
  <c r="L54" i="54" l="1"/>
  <c r="M51" i="54" s="1"/>
  <c r="M53" i="54" s="1"/>
  <c r="M56" i="54" s="1"/>
  <c r="M54" i="54" l="1"/>
  <c r="N51" i="54" s="1"/>
  <c r="N53" i="54" s="1"/>
  <c r="N56" i="54" s="1"/>
  <c r="N54" i="54" l="1"/>
  <c r="O51" i="54" s="1"/>
  <c r="O53" i="54" s="1"/>
  <c r="O56" i="54" s="1"/>
  <c r="O54" i="54" l="1"/>
  <c r="P51" i="54" s="1"/>
  <c r="P53" i="54" s="1"/>
  <c r="P56" i="54" s="1"/>
  <c r="P54" i="54" l="1"/>
  <c r="Q51" i="54" s="1"/>
  <c r="Q53" i="54" s="1"/>
  <c r="Q56" i="54" s="1"/>
  <c r="N45" i="10" s="1"/>
  <c r="N55" i="10" l="1"/>
  <c r="N67" i="10" s="1"/>
  <c r="N49" i="10"/>
  <c r="N56" i="10"/>
  <c r="N68" i="10" s="1"/>
  <c r="N76" i="10" s="1"/>
  <c r="Q48" i="4" s="1"/>
  <c r="N54" i="10"/>
  <c r="N66" i="10" s="1"/>
  <c r="N50" i="10"/>
  <c r="N62" i="10" s="1"/>
  <c r="N52" i="10"/>
  <c r="N64" i="10" s="1"/>
  <c r="N74" i="10" s="1"/>
  <c r="Q46" i="4" s="1"/>
  <c r="N53" i="10"/>
  <c r="N65" i="10" s="1"/>
  <c r="N51" i="10"/>
  <c r="N63" i="10" s="1"/>
  <c r="N73" i="10" s="1"/>
  <c r="Q45" i="4" s="1"/>
  <c r="Q54" i="54"/>
  <c r="R51" i="54" s="1"/>
  <c r="R53" i="54" s="1"/>
  <c r="R56" i="54" s="1"/>
  <c r="Q73" i="4" l="1"/>
  <c r="P25" i="3" s="1"/>
  <c r="Q71" i="4"/>
  <c r="P23" i="3" s="1"/>
  <c r="Q69" i="4"/>
  <c r="P21" i="3" s="1"/>
  <c r="N75" i="10"/>
  <c r="Q47" i="4" s="1"/>
  <c r="N61" i="10"/>
  <c r="N57" i="10"/>
  <c r="O45" i="10"/>
  <c r="Q72" i="4" l="1"/>
  <c r="P24" i="3" s="1"/>
  <c r="O53" i="10"/>
  <c r="O65" i="10" s="1"/>
  <c r="O55" i="10"/>
  <c r="O67" i="10" s="1"/>
  <c r="O49" i="10"/>
  <c r="O51" i="10"/>
  <c r="O63" i="10" s="1"/>
  <c r="O73" i="10" s="1"/>
  <c r="R45" i="4" s="1"/>
  <c r="O54" i="10"/>
  <c r="O66" i="10" s="1"/>
  <c r="O50" i="10"/>
  <c r="O62" i="10" s="1"/>
  <c r="O52" i="10"/>
  <c r="O64" i="10" s="1"/>
  <c r="O74" i="10" s="1"/>
  <c r="R46" i="4" s="1"/>
  <c r="O56" i="10"/>
  <c r="O68" i="10" s="1"/>
  <c r="O76" i="10" s="1"/>
  <c r="R48" i="4" s="1"/>
  <c r="N72" i="10"/>
  <c r="Q44" i="4" s="1"/>
  <c r="Q70" i="4" s="1"/>
  <c r="N69" i="10"/>
  <c r="R54" i="54"/>
  <c r="S51" i="54" s="1"/>
  <c r="S53" i="54" s="1"/>
  <c r="S56" i="54" s="1"/>
  <c r="R73" i="4" l="1"/>
  <c r="Q25" i="3" s="1"/>
  <c r="R71" i="4"/>
  <c r="Q23" i="3" s="1"/>
  <c r="R69" i="4"/>
  <c r="Q21" i="3" s="1"/>
  <c r="O61" i="10"/>
  <c r="O57" i="10"/>
  <c r="P22" i="3"/>
  <c r="P27" i="3" s="1"/>
  <c r="Q49" i="4"/>
  <c r="Q59" i="4" s="1"/>
  <c r="O75" i="10"/>
  <c r="R47" i="4" s="1"/>
  <c r="P45" i="10"/>
  <c r="R72" i="4" l="1"/>
  <c r="Q24" i="3" s="1"/>
  <c r="Q63" i="4"/>
  <c r="P11" i="3"/>
  <c r="P15" i="3" s="1"/>
  <c r="P55" i="10"/>
  <c r="P67" i="10" s="1"/>
  <c r="P49" i="10"/>
  <c r="P53" i="10"/>
  <c r="P65" i="10" s="1"/>
  <c r="P51" i="10"/>
  <c r="P63" i="10" s="1"/>
  <c r="P73" i="10" s="1"/>
  <c r="S45" i="4" s="1"/>
  <c r="P54" i="10"/>
  <c r="P66" i="10" s="1"/>
  <c r="P56" i="10"/>
  <c r="P68" i="10" s="1"/>
  <c r="P76" i="10" s="1"/>
  <c r="S48" i="4" s="1"/>
  <c r="P52" i="10"/>
  <c r="P64" i="10" s="1"/>
  <c r="P74" i="10" s="1"/>
  <c r="S46" i="4" s="1"/>
  <c r="P50" i="10"/>
  <c r="P62" i="10" s="1"/>
  <c r="O69" i="10"/>
  <c r="O72" i="10"/>
  <c r="R44" i="4" s="1"/>
  <c r="R70" i="4" s="1"/>
  <c r="S54" i="54"/>
  <c r="T51" i="54" s="1"/>
  <c r="T53" i="54" s="1"/>
  <c r="T56" i="54" s="1"/>
  <c r="P14" i="3" l="1"/>
  <c r="S73" i="4"/>
  <c r="R25" i="3" s="1"/>
  <c r="S71" i="4"/>
  <c r="R23" i="3" s="1"/>
  <c r="S69" i="4"/>
  <c r="R21" i="3" s="1"/>
  <c r="P75" i="10"/>
  <c r="S47" i="4" s="1"/>
  <c r="P61" i="10"/>
  <c r="P57" i="10"/>
  <c r="Q22" i="3"/>
  <c r="Q27" i="3" s="1"/>
  <c r="R49" i="4"/>
  <c r="R59" i="4" s="1"/>
  <c r="Q45" i="10"/>
  <c r="S72" i="4" l="1"/>
  <c r="R24" i="3" s="1"/>
  <c r="Q50" i="10"/>
  <c r="Q62" i="10" s="1"/>
  <c r="Q52" i="10"/>
  <c r="Q64" i="10" s="1"/>
  <c r="Q74" i="10" s="1"/>
  <c r="T46" i="4" s="1"/>
  <c r="Q51" i="10"/>
  <c r="Q63" i="10" s="1"/>
  <c r="Q73" i="10" s="1"/>
  <c r="T45" i="4" s="1"/>
  <c r="Q55" i="10"/>
  <c r="Q67" i="10" s="1"/>
  <c r="Q54" i="10"/>
  <c r="Q66" i="10" s="1"/>
  <c r="Q56" i="10"/>
  <c r="Q68" i="10" s="1"/>
  <c r="Q76" i="10" s="1"/>
  <c r="T48" i="4" s="1"/>
  <c r="Q53" i="10"/>
  <c r="Q65" i="10" s="1"/>
  <c r="Q49" i="10"/>
  <c r="Q11" i="3"/>
  <c r="Q15" i="3" s="1"/>
  <c r="R63" i="4"/>
  <c r="P69" i="10"/>
  <c r="P72" i="10"/>
  <c r="S44" i="4" s="1"/>
  <c r="S70" i="4" s="1"/>
  <c r="T54" i="54"/>
  <c r="U51" i="54" s="1"/>
  <c r="U53" i="54" s="1"/>
  <c r="U56" i="54" s="1"/>
  <c r="Q14" i="3" l="1"/>
  <c r="T73" i="4"/>
  <c r="S25" i="3" s="1"/>
  <c r="T69" i="4"/>
  <c r="S21" i="3" s="1"/>
  <c r="T71" i="4"/>
  <c r="S23" i="3" s="1"/>
  <c r="R22" i="3"/>
  <c r="R27" i="3" s="1"/>
  <c r="S49" i="4"/>
  <c r="S59" i="4" s="1"/>
  <c r="Q75" i="10"/>
  <c r="T47" i="4" s="1"/>
  <c r="Q61" i="10"/>
  <c r="Q57" i="10"/>
  <c r="R45" i="10"/>
  <c r="T72" i="4" l="1"/>
  <c r="S24" i="3" s="1"/>
  <c r="Q72" i="10"/>
  <c r="T44" i="4" s="1"/>
  <c r="T70" i="4" s="1"/>
  <c r="Q69" i="10"/>
  <c r="R11" i="3"/>
  <c r="R15" i="3" s="1"/>
  <c r="S63" i="4"/>
  <c r="R51" i="10"/>
  <c r="R63" i="10" s="1"/>
  <c r="R73" i="10" s="1"/>
  <c r="U45" i="4" s="1"/>
  <c r="R55" i="10"/>
  <c r="R67" i="10" s="1"/>
  <c r="R53" i="10"/>
  <c r="R65" i="10" s="1"/>
  <c r="R49" i="10"/>
  <c r="R54" i="10"/>
  <c r="R66" i="10" s="1"/>
  <c r="R56" i="10"/>
  <c r="R68" i="10" s="1"/>
  <c r="R76" i="10" s="1"/>
  <c r="U48" i="4" s="1"/>
  <c r="R50" i="10"/>
  <c r="R62" i="10" s="1"/>
  <c r="R52" i="10"/>
  <c r="R64" i="10" s="1"/>
  <c r="R74" i="10" s="1"/>
  <c r="U46" i="4" s="1"/>
  <c r="U54" i="54"/>
  <c r="V51" i="54" s="1"/>
  <c r="V53" i="54" s="1"/>
  <c r="V56" i="54" s="1"/>
  <c r="R14" i="3" l="1"/>
  <c r="U73" i="4"/>
  <c r="T25" i="3" s="1"/>
  <c r="U71" i="4"/>
  <c r="T23" i="3" s="1"/>
  <c r="U69" i="4"/>
  <c r="T21" i="3" s="1"/>
  <c r="R61" i="10"/>
  <c r="R57" i="10"/>
  <c r="R75" i="10"/>
  <c r="U47" i="4" s="1"/>
  <c r="S22" i="3"/>
  <c r="S27" i="3" s="1"/>
  <c r="T49" i="4"/>
  <c r="T59" i="4" s="1"/>
  <c r="S45" i="10"/>
  <c r="U72" i="4" l="1"/>
  <c r="T24" i="3" s="1"/>
  <c r="S53" i="10"/>
  <c r="S65" i="10" s="1"/>
  <c r="S55" i="10"/>
  <c r="S67" i="10" s="1"/>
  <c r="S49" i="10"/>
  <c r="S51" i="10"/>
  <c r="S63" i="10" s="1"/>
  <c r="S73" i="10" s="1"/>
  <c r="V45" i="4" s="1"/>
  <c r="S54" i="10"/>
  <c r="S66" i="10" s="1"/>
  <c r="S56" i="10"/>
  <c r="S68" i="10" s="1"/>
  <c r="S76" i="10" s="1"/>
  <c r="V48" i="4" s="1"/>
  <c r="S50" i="10"/>
  <c r="S62" i="10" s="1"/>
  <c r="S52" i="10"/>
  <c r="S64" i="10" s="1"/>
  <c r="S74" i="10" s="1"/>
  <c r="V46" i="4" s="1"/>
  <c r="T63" i="4"/>
  <c r="S11" i="3"/>
  <c r="S15" i="3" s="1"/>
  <c r="R69" i="10"/>
  <c r="R72" i="10"/>
  <c r="U44" i="4" s="1"/>
  <c r="U70" i="4" s="1"/>
  <c r="V54" i="54"/>
  <c r="W51" i="54" s="1"/>
  <c r="W53" i="54" s="1"/>
  <c r="W56" i="54" s="1"/>
  <c r="S14" i="3" l="1"/>
  <c r="V73" i="4"/>
  <c r="U25" i="3" s="1"/>
  <c r="V69" i="4"/>
  <c r="U21" i="3" s="1"/>
  <c r="V71" i="4"/>
  <c r="U23" i="3" s="1"/>
  <c r="S57" i="10"/>
  <c r="S61" i="10"/>
  <c r="T22" i="3"/>
  <c r="T27" i="3" s="1"/>
  <c r="U49" i="4"/>
  <c r="U59" i="4" s="1"/>
  <c r="S75" i="10"/>
  <c r="V47" i="4" s="1"/>
  <c r="T45" i="10"/>
  <c r="V72" i="4" l="1"/>
  <c r="U24" i="3" s="1"/>
  <c r="T51" i="10"/>
  <c r="T63" i="10" s="1"/>
  <c r="T73" i="10" s="1"/>
  <c r="W45" i="4" s="1"/>
  <c r="T55" i="10"/>
  <c r="T67" i="10" s="1"/>
  <c r="T52" i="10"/>
  <c r="T64" i="10" s="1"/>
  <c r="T74" i="10" s="1"/>
  <c r="W46" i="4" s="1"/>
  <c r="T54" i="10"/>
  <c r="T66" i="10" s="1"/>
  <c r="T56" i="10"/>
  <c r="T68" i="10" s="1"/>
  <c r="T76" i="10" s="1"/>
  <c r="W48" i="4" s="1"/>
  <c r="T49" i="10"/>
  <c r="T53" i="10"/>
  <c r="T65" i="10" s="1"/>
  <c r="T50" i="10"/>
  <c r="T62" i="10" s="1"/>
  <c r="U63" i="4"/>
  <c r="T11" i="3"/>
  <c r="T15" i="3" s="1"/>
  <c r="S69" i="10"/>
  <c r="S72" i="10"/>
  <c r="V44" i="4" s="1"/>
  <c r="V70" i="4" s="1"/>
  <c r="W54" i="54"/>
  <c r="X51" i="54" s="1"/>
  <c r="X53" i="54" s="1"/>
  <c r="X56" i="54" s="1"/>
  <c r="T14" i="3" l="1"/>
  <c r="W73" i="4"/>
  <c r="V25" i="3" s="1"/>
  <c r="W71" i="4"/>
  <c r="V23" i="3" s="1"/>
  <c r="W69" i="4"/>
  <c r="V21" i="3" s="1"/>
  <c r="V49" i="4"/>
  <c r="V59" i="4" s="1"/>
  <c r="U22" i="3"/>
  <c r="U27" i="3" s="1"/>
  <c r="T75" i="10"/>
  <c r="W47" i="4" s="1"/>
  <c r="T61" i="10"/>
  <c r="T57" i="10"/>
  <c r="U45" i="10"/>
  <c r="W72" i="4" l="1"/>
  <c r="V24" i="3" s="1"/>
  <c r="U56" i="10"/>
  <c r="U68" i="10" s="1"/>
  <c r="U76" i="10" s="1"/>
  <c r="X48" i="4" s="1"/>
  <c r="U53" i="10"/>
  <c r="U65" i="10" s="1"/>
  <c r="U49" i="10"/>
  <c r="U52" i="10"/>
  <c r="U64" i="10" s="1"/>
  <c r="U74" i="10" s="1"/>
  <c r="X46" i="4" s="1"/>
  <c r="U54" i="10"/>
  <c r="U66" i="10" s="1"/>
  <c r="U51" i="10"/>
  <c r="U63" i="10" s="1"/>
  <c r="U73" i="10" s="1"/>
  <c r="X45" i="4" s="1"/>
  <c r="U55" i="10"/>
  <c r="U67" i="10" s="1"/>
  <c r="U50" i="10"/>
  <c r="U62" i="10" s="1"/>
  <c r="T72" i="10"/>
  <c r="W44" i="4" s="1"/>
  <c r="W70" i="4" s="1"/>
  <c r="T69" i="10"/>
  <c r="U11" i="3"/>
  <c r="U15" i="3" s="1"/>
  <c r="V63" i="4"/>
  <c r="X54" i="54"/>
  <c r="Y51" i="54" s="1"/>
  <c r="Y53" i="54" s="1"/>
  <c r="Y56" i="54" s="1"/>
  <c r="U14" i="3" l="1"/>
  <c r="X73" i="4"/>
  <c r="W25" i="3" s="1"/>
  <c r="X71" i="4"/>
  <c r="W23" i="3" s="1"/>
  <c r="X69" i="4"/>
  <c r="W21" i="3" s="1"/>
  <c r="U61" i="10"/>
  <c r="U57" i="10"/>
  <c r="U75" i="10"/>
  <c r="X47" i="4" s="1"/>
  <c r="V22" i="3"/>
  <c r="V27" i="3" s="1"/>
  <c r="W49" i="4"/>
  <c r="W59" i="4" s="1"/>
  <c r="V45" i="10"/>
  <c r="X72" i="4" l="1"/>
  <c r="W24" i="3" s="1"/>
  <c r="V53" i="10"/>
  <c r="V65" i="10" s="1"/>
  <c r="V55" i="10"/>
  <c r="V67" i="10" s="1"/>
  <c r="V49" i="10"/>
  <c r="V51" i="10"/>
  <c r="V63" i="10" s="1"/>
  <c r="V73" i="10" s="1"/>
  <c r="Y45" i="4" s="1"/>
  <c r="V54" i="10"/>
  <c r="V66" i="10" s="1"/>
  <c r="V56" i="10"/>
  <c r="V68" i="10" s="1"/>
  <c r="V76" i="10" s="1"/>
  <c r="Y48" i="4" s="1"/>
  <c r="V50" i="10"/>
  <c r="V62" i="10" s="1"/>
  <c r="V52" i="10"/>
  <c r="V64" i="10" s="1"/>
  <c r="V74" i="10" s="1"/>
  <c r="Y46" i="4" s="1"/>
  <c r="V11" i="3"/>
  <c r="V15" i="3" s="1"/>
  <c r="W63" i="4"/>
  <c r="U72" i="10"/>
  <c r="X44" i="4" s="1"/>
  <c r="X70" i="4" s="1"/>
  <c r="U69" i="10"/>
  <c r="Y54" i="54"/>
  <c r="Z51" i="54" s="1"/>
  <c r="Z53" i="54" s="1"/>
  <c r="Z56" i="54" s="1"/>
  <c r="V14" i="3" l="1"/>
  <c r="Y73" i="4"/>
  <c r="X25" i="3" s="1"/>
  <c r="Y69" i="4"/>
  <c r="X21" i="3" s="1"/>
  <c r="Y71" i="4"/>
  <c r="X23" i="3" s="1"/>
  <c r="X49" i="4"/>
  <c r="X59" i="4" s="1"/>
  <c r="W22" i="3"/>
  <c r="W27" i="3" s="1"/>
  <c r="V61" i="10"/>
  <c r="V57" i="10"/>
  <c r="V75" i="10"/>
  <c r="Y47" i="4" s="1"/>
  <c r="W45" i="10"/>
  <c r="Y72" i="4" l="1"/>
  <c r="X24" i="3" s="1"/>
  <c r="V69" i="10"/>
  <c r="V72" i="10"/>
  <c r="Y44" i="4" s="1"/>
  <c r="Y70" i="4" s="1"/>
  <c r="W55" i="10"/>
  <c r="W67" i="10" s="1"/>
  <c r="W53" i="10"/>
  <c r="W65" i="10" s="1"/>
  <c r="W51" i="10"/>
  <c r="W63" i="10" s="1"/>
  <c r="W73" i="10" s="1"/>
  <c r="Z45" i="4" s="1"/>
  <c r="W49" i="10"/>
  <c r="W56" i="10"/>
  <c r="W68" i="10" s="1"/>
  <c r="W76" i="10" s="1"/>
  <c r="Z48" i="4" s="1"/>
  <c r="W54" i="10"/>
  <c r="W66" i="10" s="1"/>
  <c r="W52" i="10"/>
  <c r="W64" i="10" s="1"/>
  <c r="W74" i="10" s="1"/>
  <c r="Z46" i="4" s="1"/>
  <c r="W50" i="10"/>
  <c r="W62" i="10" s="1"/>
  <c r="W11" i="3"/>
  <c r="W15" i="3" s="1"/>
  <c r="X63" i="4"/>
  <c r="Z54" i="54"/>
  <c r="W14" i="3" l="1"/>
  <c r="Z73" i="4"/>
  <c r="Y25" i="3" s="1"/>
  <c r="Z69" i="4"/>
  <c r="Y21" i="3" s="1"/>
  <c r="Z71" i="4"/>
  <c r="Y23" i="3" s="1"/>
  <c r="W75" i="10"/>
  <c r="Z47" i="4" s="1"/>
  <c r="W61" i="10"/>
  <c r="W57" i="10"/>
  <c r="Y49" i="4"/>
  <c r="Y59" i="4" s="1"/>
  <c r="X22" i="3"/>
  <c r="X27" i="3" s="1"/>
  <c r="Z72" i="4" l="1"/>
  <c r="Y24" i="3" s="1"/>
  <c r="W69" i="10"/>
  <c r="W72" i="10"/>
  <c r="Z44" i="4" s="1"/>
  <c r="Z70" i="4" s="1"/>
  <c r="Y63" i="4"/>
  <c r="X11" i="3"/>
  <c r="X15" i="3" s="1"/>
  <c r="X14" i="3" l="1"/>
  <c r="Y22" i="3"/>
  <c r="Y27" i="3" s="1"/>
  <c r="Z49" i="4"/>
  <c r="Z59" i="4" s="1"/>
  <c r="Z63" i="4" l="1"/>
  <c r="Y11" i="3"/>
  <c r="Y15" i="3" s="1"/>
  <c r="Y14" i="3" l="1"/>
</calcChain>
</file>

<file path=xl/comments1.xml><?xml version="1.0" encoding="utf-8"?>
<comments xmlns="http://schemas.openxmlformats.org/spreadsheetml/2006/main">
  <authors>
    <author>ggrotta</author>
    <author>DBR</author>
  </authors>
  <commentList>
    <comment ref="U2" authorId="0">
      <text>
        <r>
          <rPr>
            <sz val="8"/>
            <color indexed="81"/>
            <rFont val="Tahoma"/>
            <family val="2"/>
          </rPr>
          <t xml:space="preserve">
Provided persuant to CAISO Tariff 40.4.6.1.</t>
        </r>
      </text>
    </comment>
    <comment ref="D329" authorId="1">
      <text>
        <r>
          <rPr>
            <b/>
            <sz val="8"/>
            <color indexed="81"/>
            <rFont val="Tahoma"/>
            <family val="2"/>
          </rPr>
          <t>DBR:</t>
        </r>
        <r>
          <rPr>
            <sz val="8"/>
            <color indexed="81"/>
            <rFont val="Tahoma"/>
            <family val="2"/>
          </rPr>
          <t xml:space="preserve">
Changed to San Diego service territory</t>
        </r>
      </text>
    </comment>
    <comment ref="D578" authorId="1">
      <text>
        <r>
          <rPr>
            <b/>
            <sz val="8"/>
            <color indexed="81"/>
            <rFont val="Tahoma"/>
            <family val="2"/>
          </rPr>
          <t>DBR:</t>
        </r>
        <r>
          <rPr>
            <sz val="8"/>
            <color indexed="81"/>
            <rFont val="Tahoma"/>
            <family val="2"/>
          </rPr>
          <t xml:space="preserve">
Changed to San Diego service territory</t>
        </r>
      </text>
    </comment>
  </commentList>
</comments>
</file>

<file path=xl/sharedStrings.xml><?xml version="1.0" encoding="utf-8"?>
<sst xmlns="http://schemas.openxmlformats.org/spreadsheetml/2006/main" count="19066" uniqueCount="2430">
  <si>
    <t>Forecasted Systemwide Load - Peak Demand</t>
  </si>
  <si>
    <t>System 1-in-2 Peak Summer Demand</t>
  </si>
  <si>
    <t>Total Demand Side Reductions</t>
  </si>
  <si>
    <t>Net Peak Summer Demand</t>
  </si>
  <si>
    <t>CHP</t>
  </si>
  <si>
    <t>Net Interchange (Sum of Lines 18 &amp; 19)</t>
  </si>
  <si>
    <t>OTC Retirements</t>
  </si>
  <si>
    <t>Retirements</t>
  </si>
  <si>
    <t>Capacity Resources</t>
  </si>
  <si>
    <t>Supply-Side CHP</t>
  </si>
  <si>
    <t>North</t>
  </si>
  <si>
    <t>San Diego</t>
  </si>
  <si>
    <t>South</t>
  </si>
  <si>
    <t>Line Loss Factors</t>
  </si>
  <si>
    <t>Energy Efficiency</t>
  </si>
  <si>
    <t>Demand Response</t>
  </si>
  <si>
    <t xml:space="preserve">South </t>
  </si>
  <si>
    <t>Renewable</t>
  </si>
  <si>
    <t>Hydro</t>
  </si>
  <si>
    <t>Thermal</t>
  </si>
  <si>
    <t>Peaker</t>
  </si>
  <si>
    <t>Nuclear</t>
  </si>
  <si>
    <t>Various</t>
  </si>
  <si>
    <t>Other Retirements</t>
  </si>
  <si>
    <t>RPS Scenario</t>
  </si>
  <si>
    <t>Interchange Data</t>
  </si>
  <si>
    <t>Total Available Generation</t>
  </si>
  <si>
    <t>PRM</t>
  </si>
  <si>
    <t>Surplus (Shortage)</t>
  </si>
  <si>
    <t>Summary Results</t>
  </si>
  <si>
    <t>Unit Name</t>
  </si>
  <si>
    <t>POTRERO UNIT 3</t>
  </si>
  <si>
    <t>Bay Area</t>
  </si>
  <si>
    <t>Humboldt</t>
  </si>
  <si>
    <t>CONTRA COSTA UNIT 6</t>
  </si>
  <si>
    <t>CONTRA COSTA UNIT 7</t>
  </si>
  <si>
    <t>MORRO BAY UNIT 3</t>
  </si>
  <si>
    <t>MORRO BAY UNIT 4</t>
  </si>
  <si>
    <t>PITTSBURG UNIT 5</t>
  </si>
  <si>
    <t>PITTSBURG UNIT 6</t>
  </si>
  <si>
    <t>MOSS LANDING UNIT 6</t>
  </si>
  <si>
    <t>MOSS LANDING UNIT 7</t>
  </si>
  <si>
    <t>Diablo Canyon Unit 1</t>
  </si>
  <si>
    <t>Diablo Canyon Unit 2</t>
  </si>
  <si>
    <t>MOSS LANDING POWER BLOCK 1</t>
  </si>
  <si>
    <t>MOSS LANDING POWER BLOCK 2</t>
  </si>
  <si>
    <t>HUNTINGTON BEACH GEN STA. UNIT 3</t>
  </si>
  <si>
    <t>LA Basin</t>
  </si>
  <si>
    <t>HUNTINGTON BEACH GEN STA. UNIT 4</t>
  </si>
  <si>
    <t>EL SEGUNDO GEN STA. UNIT 3</t>
  </si>
  <si>
    <t>EL SEGUNDO GEN STA. UNIT 4</t>
  </si>
  <si>
    <t>MANDALAY GEN STA. UNIT 1</t>
  </si>
  <si>
    <t>Big Creek-Ventura</t>
  </si>
  <si>
    <t>MANDALAY GEN STA. UNIT 2</t>
  </si>
  <si>
    <t>MANDALAY GEN STA. UNIT 3</t>
  </si>
  <si>
    <t>ORMOND BEACH GEN STA. UNIT 1</t>
  </si>
  <si>
    <t>ORMOND BEACH GEN STA. UNIT 2</t>
  </si>
  <si>
    <t>Alamitos 1</t>
  </si>
  <si>
    <t>Alamitos 2</t>
  </si>
  <si>
    <t>Alamitos 3</t>
  </si>
  <si>
    <t>Alamitos 4</t>
  </si>
  <si>
    <t>Alamitos 5</t>
  </si>
  <si>
    <t>Alamitos 6</t>
  </si>
  <si>
    <t>HUNTINGTON BEACH GEN STA. UNIT 1</t>
  </si>
  <si>
    <t>HUNTINGTON BEACH GEN STA. UNIT 2</t>
  </si>
  <si>
    <t>REDONDO GEN STA. UNIT 5</t>
  </si>
  <si>
    <t>REDONDO GEN STA. UNIT 6</t>
  </si>
  <si>
    <t>REDONDO GEN STA. UNIT 7</t>
  </si>
  <si>
    <t>REDONDO GEN STA. UNIT 8</t>
  </si>
  <si>
    <t>SAN ONOFRE NUCLEAR UNIT 2</t>
  </si>
  <si>
    <t>SAN ONOFRE NUCLEAR UNIT 3</t>
  </si>
  <si>
    <t>SOUTHBAY GAS TURBINE 1</t>
  </si>
  <si>
    <t>SOUTHBAY UNIT 1</t>
  </si>
  <si>
    <t>SOUTHBAY UNIT 2</t>
  </si>
  <si>
    <t>ENCINA GAS TURBINE UNIT 1</t>
  </si>
  <si>
    <t>ENCINA UNIT 1</t>
  </si>
  <si>
    <t>ENCINA UNIT 2</t>
  </si>
  <si>
    <t>ENCINA UNIT 3</t>
  </si>
  <si>
    <t>ENCINA UNIT 4</t>
  </si>
  <si>
    <t>ENCINA UNIT 5</t>
  </si>
  <si>
    <t>POTRERO UNIT 4</t>
  </si>
  <si>
    <t>POTRERO UNIT 5</t>
  </si>
  <si>
    <t>POTRERO UNIT 6</t>
  </si>
  <si>
    <t>OAKLAND STATION C GT UNIT 1</t>
  </si>
  <si>
    <t>OAKLAND STATION C GT UNIT 2</t>
  </si>
  <si>
    <t>OAKLAND STATION C GT UNIT 3</t>
  </si>
  <si>
    <t>PITTSBURG UNIT 7</t>
  </si>
  <si>
    <t>COOLWATER GEN STA. UNIT 1</t>
  </si>
  <si>
    <t>CAISO System</t>
  </si>
  <si>
    <t>COOLWATER GEN STA. UNIT 2</t>
  </si>
  <si>
    <t>COOLWATER STATION 3 AGGREGATE</t>
  </si>
  <si>
    <t>COOLWATER STATION 4 AGGREGATE</t>
  </si>
  <si>
    <t>ETIWANDA GEN STA. UNIT 3</t>
  </si>
  <si>
    <t>ETIWANDA GEN STA. UNIT 4</t>
  </si>
  <si>
    <t>Humboldt 1-3</t>
  </si>
  <si>
    <t>Colusa</t>
  </si>
  <si>
    <t>Avenal Energy Center</t>
  </si>
  <si>
    <t>Lodi NCPA</t>
  </si>
  <si>
    <t>Russell City</t>
  </si>
  <si>
    <t>Mariposa Peaker Project</t>
  </si>
  <si>
    <t>Tracy</t>
  </si>
  <si>
    <t>Los Esteros</t>
  </si>
  <si>
    <t>Marsh Landing</t>
  </si>
  <si>
    <t>Riverside Energy Resource units 3 and 4</t>
  </si>
  <si>
    <t>Victorville Hybrid</t>
  </si>
  <si>
    <t>Canyon Power Plant</t>
  </si>
  <si>
    <t>El Segundo Repower</t>
  </si>
  <si>
    <t>FPL Blythe II</t>
  </si>
  <si>
    <t>Walnut Creek Energy Center</t>
  </si>
  <si>
    <t>Delano 2</t>
  </si>
  <si>
    <t>Sentinel</t>
  </si>
  <si>
    <t>Olivenhain-Hodges Pumped Storage -
Unit 1/San Diego County Water
Authority</t>
  </si>
  <si>
    <t>Olivenhain-Hodges Pumped Storage -
Unit 2/San Diego County Water
Authority</t>
  </si>
  <si>
    <t>Region</t>
  </si>
  <si>
    <t>Type</t>
  </si>
  <si>
    <t>Year of Addition/Retirement</t>
  </si>
  <si>
    <t>LA Basin Gradual OTC Retirement - 2016</t>
  </si>
  <si>
    <t>LA Basin Gradual OTC Retirement - 2017</t>
  </si>
  <si>
    <t>LA Basin Gradual OTC Retirement - 2018</t>
  </si>
  <si>
    <t>LA Basin Gradual OTC Retirement - 2019</t>
  </si>
  <si>
    <t>Incremental Uncommitted EE</t>
  </si>
  <si>
    <t>Total DR</t>
  </si>
  <si>
    <t>Incremental Demand-Side CHP</t>
  </si>
  <si>
    <t>Total Capacity Requirement</t>
  </si>
  <si>
    <t>Peak Summer Demand</t>
  </si>
  <si>
    <t>Total Existing Resources</t>
  </si>
  <si>
    <t>Total Retirements</t>
  </si>
  <si>
    <t>Total Resources</t>
  </si>
  <si>
    <t>Available RA Capacity by Type</t>
  </si>
  <si>
    <t>High Probability Additions</t>
  </si>
  <si>
    <t>Utility Planned Additions</t>
  </si>
  <si>
    <t>Other Additions</t>
  </si>
  <si>
    <t>chgType</t>
  </si>
  <si>
    <t>region</t>
  </si>
  <si>
    <t>Minimum PRM Requirement</t>
  </si>
  <si>
    <t>PRM Capacity Requirements (MW)</t>
  </si>
  <si>
    <t>Geothermal</t>
  </si>
  <si>
    <t>Wind</t>
  </si>
  <si>
    <t>Solar</t>
  </si>
  <si>
    <t>Biomass</t>
  </si>
  <si>
    <t>Other</t>
  </si>
  <si>
    <t>OTC</t>
  </si>
  <si>
    <t>Existing OTC Generation</t>
  </si>
  <si>
    <t>Source: ARB Climate Change Scoping Plan, December 2008, footnote 37</t>
  </si>
  <si>
    <r>
      <t xml:space="preserve">Source: </t>
    </r>
    <r>
      <rPr>
        <i/>
        <sz val="10"/>
        <color theme="1"/>
        <rFont val="Calibri"/>
        <family val="2"/>
        <scheme val="minor"/>
      </rPr>
      <t>CED 2010-2020, page 50.</t>
    </r>
  </si>
  <si>
    <r>
      <t>Source</t>
    </r>
    <r>
      <rPr>
        <i/>
        <sz val="10"/>
        <color theme="1"/>
        <rFont val="Calibri"/>
        <family val="2"/>
        <scheme val="minor"/>
      </rPr>
      <t>: http://www.cpuc.ca.gov/NR/rdonlyres/786A98AC-9F92-4D8D-A071-6A8065944CCE/0/2011IOUDRProgramTotalsFinal728.xls</t>
    </r>
  </si>
  <si>
    <t>Load-Resource Table Inputs</t>
  </si>
  <si>
    <t>ACTIVE SCENARIO NQC ADDITIONS OF RENEWABLE CAPACITY (all values in MW)</t>
  </si>
  <si>
    <t>POU</t>
  </si>
  <si>
    <t>Named Variables</t>
  </si>
  <si>
    <t>Dropdown Menus</t>
  </si>
  <si>
    <t>Data Validation Ranges</t>
  </si>
  <si>
    <t>Alberta</t>
  </si>
  <si>
    <t>Arizona</t>
  </si>
  <si>
    <t>British Columbia</t>
  </si>
  <si>
    <t>Carrizo South</t>
  </si>
  <si>
    <t>Colorado</t>
  </si>
  <si>
    <t>Distributed Solar - PG&amp;E</t>
  </si>
  <si>
    <t>Distributed Solar - SCE</t>
  </si>
  <si>
    <t>Distributed Solar - SDGE</t>
  </si>
  <si>
    <t>Distributed Solar - Other</t>
  </si>
  <si>
    <t>Imperial</t>
  </si>
  <si>
    <t>Kramer</t>
  </si>
  <si>
    <t>Montana</t>
  </si>
  <si>
    <t>Mountain Pass</t>
  </si>
  <si>
    <t>Nevada C</t>
  </si>
  <si>
    <t>New Mexico</t>
  </si>
  <si>
    <t>NonCREZ</t>
  </si>
  <si>
    <t>Northwest</t>
  </si>
  <si>
    <t>Palm Springs</t>
  </si>
  <si>
    <t>Pisgah</t>
  </si>
  <si>
    <t>Remote DG (Brownfield) - PG&amp;E</t>
  </si>
  <si>
    <t>Remote DG (Brownfield) - SCE</t>
  </si>
  <si>
    <t>Remote DG (Brownfield) - SDGE</t>
  </si>
  <si>
    <t>Remote DG (Brownfield) - Other</t>
  </si>
  <si>
    <t>Riverside East</t>
  </si>
  <si>
    <t>Round Mountain</t>
  </si>
  <si>
    <t>San Bernardino - Lucerne</t>
  </si>
  <si>
    <t>San Diego South</t>
  </si>
  <si>
    <t>Solano</t>
  </si>
  <si>
    <t>Tehachapi</t>
  </si>
  <si>
    <t>Utah-Southern Idaho</t>
  </si>
  <si>
    <t>Westlands</t>
  </si>
  <si>
    <t>Wyoming</t>
  </si>
  <si>
    <t>Biogas</t>
  </si>
  <si>
    <t>Large Scale Solar PV</t>
  </si>
  <si>
    <t>Small Solar PV</t>
  </si>
  <si>
    <t>Solar Thermal</t>
  </si>
  <si>
    <t>Project Information</t>
  </si>
  <si>
    <t>Capacity (MW)</t>
  </si>
  <si>
    <t>PG0509</t>
  </si>
  <si>
    <t/>
  </si>
  <si>
    <t>CA</t>
  </si>
  <si>
    <t>Crystalline Tracking</t>
  </si>
  <si>
    <t>Desert</t>
  </si>
  <si>
    <t>PG0717</t>
  </si>
  <si>
    <t>PG0718-1</t>
  </si>
  <si>
    <t>PG0718-2</t>
  </si>
  <si>
    <t>PG0806</t>
  </si>
  <si>
    <t>NW</t>
  </si>
  <si>
    <t>PG0810</t>
  </si>
  <si>
    <t>AZ</t>
  </si>
  <si>
    <t>PG0811</t>
  </si>
  <si>
    <t>Central Valley</t>
  </si>
  <si>
    <t>PG0821</t>
  </si>
  <si>
    <t>Thin-Film</t>
  </si>
  <si>
    <t>PG0824</t>
  </si>
  <si>
    <t>PG0911</t>
  </si>
  <si>
    <t>PG0912</t>
  </si>
  <si>
    <t>w/ storage</t>
  </si>
  <si>
    <t>PG0942</t>
  </si>
  <si>
    <t>PG0943</t>
  </si>
  <si>
    <t>PG0959</t>
  </si>
  <si>
    <t>Intl</t>
  </si>
  <si>
    <t>AB</t>
  </si>
  <si>
    <t>PG0960</t>
  </si>
  <si>
    <t>PG0961</t>
  </si>
  <si>
    <t>PG0962</t>
  </si>
  <si>
    <t>Large Ground</t>
  </si>
  <si>
    <t>PG0963</t>
  </si>
  <si>
    <t>PG0964</t>
  </si>
  <si>
    <t>PG0965</t>
  </si>
  <si>
    <t>PG0966</t>
  </si>
  <si>
    <t>PG0967</t>
  </si>
  <si>
    <t>PG0968</t>
  </si>
  <si>
    <t>BC</t>
  </si>
  <si>
    <t>SC0805</t>
  </si>
  <si>
    <t>SC0810</t>
  </si>
  <si>
    <t>SC0832A</t>
  </si>
  <si>
    <t>SC0832B</t>
  </si>
  <si>
    <t>SC0832C</t>
  </si>
  <si>
    <t>SC0832D</t>
  </si>
  <si>
    <t>SC0832E</t>
  </si>
  <si>
    <t>SC0832F</t>
  </si>
  <si>
    <t>SC0832G</t>
  </si>
  <si>
    <t>SC0836</t>
  </si>
  <si>
    <t>NM</t>
  </si>
  <si>
    <t>SC0844 &amp; SC0845</t>
  </si>
  <si>
    <t>SC0903</t>
  </si>
  <si>
    <t>SC0910</t>
  </si>
  <si>
    <t>SC0912</t>
  </si>
  <si>
    <t>SC0939</t>
  </si>
  <si>
    <t>South Coast</t>
  </si>
  <si>
    <t>SC0940</t>
  </si>
  <si>
    <t>Mojave Desert</t>
  </si>
  <si>
    <t>SC0941</t>
  </si>
  <si>
    <t>SC0942</t>
  </si>
  <si>
    <t>SC0943</t>
  </si>
  <si>
    <t>SC0944</t>
  </si>
  <si>
    <t>SC0945</t>
  </si>
  <si>
    <t>SC0946</t>
  </si>
  <si>
    <t>SC0947</t>
  </si>
  <si>
    <t>SD0810</t>
  </si>
  <si>
    <t>SD0913</t>
  </si>
  <si>
    <t>PG0403</t>
  </si>
  <si>
    <t>PG0505</t>
  </si>
  <si>
    <t>PG0506</t>
  </si>
  <si>
    <t>PG0508</t>
  </si>
  <si>
    <t>PG0607</t>
  </si>
  <si>
    <t>Mid Ground</t>
  </si>
  <si>
    <t>North Coast</t>
  </si>
  <si>
    <t>PG0613</t>
  </si>
  <si>
    <t>PG0614A</t>
  </si>
  <si>
    <t>PG0614B</t>
  </si>
  <si>
    <t>PG0614D</t>
  </si>
  <si>
    <t>PG0614E</t>
  </si>
  <si>
    <t>PG0702A</t>
  </si>
  <si>
    <t>PG0707-1</t>
  </si>
  <si>
    <t>PG0707-2</t>
  </si>
  <si>
    <t>PG0711-1</t>
  </si>
  <si>
    <t>PG0711-2</t>
  </si>
  <si>
    <t>PG0711-3</t>
  </si>
  <si>
    <t>PG0712A</t>
  </si>
  <si>
    <t>PG0830-1</t>
  </si>
  <si>
    <t>PG0830-2</t>
  </si>
  <si>
    <t>SC0302</t>
  </si>
  <si>
    <t>SC0304</t>
  </si>
  <si>
    <t>SC0306</t>
  </si>
  <si>
    <t>SC0510</t>
  </si>
  <si>
    <t>SC0511</t>
  </si>
  <si>
    <t>SC0512</t>
  </si>
  <si>
    <t>SC0513</t>
  </si>
  <si>
    <t>SC0514</t>
  </si>
  <si>
    <t>SC0604</t>
  </si>
  <si>
    <t>Landfill</t>
  </si>
  <si>
    <t>SC0606</t>
  </si>
  <si>
    <t>SC0704</t>
  </si>
  <si>
    <t>SC0706</t>
  </si>
  <si>
    <t>SC0707</t>
  </si>
  <si>
    <t>SC0718</t>
  </si>
  <si>
    <t>SC0727</t>
  </si>
  <si>
    <t>SC0801</t>
  </si>
  <si>
    <t>SC0802</t>
  </si>
  <si>
    <t>SC0830</t>
  </si>
  <si>
    <t>UT</t>
  </si>
  <si>
    <t>SC0838</t>
  </si>
  <si>
    <t>SD0404A</t>
  </si>
  <si>
    <t>SD0404B</t>
  </si>
  <si>
    <t>SD0405</t>
  </si>
  <si>
    <t>SD0406</t>
  </si>
  <si>
    <t>SD0502</t>
  </si>
  <si>
    <t>SD0504</t>
  </si>
  <si>
    <t>SD0505</t>
  </si>
  <si>
    <t>SD0801</t>
  </si>
  <si>
    <t>SD0805</t>
  </si>
  <si>
    <t>SD0813</t>
  </si>
  <si>
    <t>MT</t>
  </si>
  <si>
    <t>EDNeg1</t>
  </si>
  <si>
    <t>EDNeg2</t>
  </si>
  <si>
    <t>EDNeg3</t>
  </si>
  <si>
    <t>EDNeg4</t>
  </si>
  <si>
    <t>EDNeg5</t>
  </si>
  <si>
    <t>EDNeg6</t>
  </si>
  <si>
    <t>CO</t>
  </si>
  <si>
    <t>EDNeg7</t>
  </si>
  <si>
    <t>EDNeg8</t>
  </si>
  <si>
    <t>EDNeg9</t>
  </si>
  <si>
    <t>EDNeg10</t>
  </si>
  <si>
    <t>EDNeg11</t>
  </si>
  <si>
    <t>POU_1</t>
  </si>
  <si>
    <t>POU_2</t>
  </si>
  <si>
    <t>POU_3</t>
  </si>
  <si>
    <t>POU_4</t>
  </si>
  <si>
    <t>POU_5</t>
  </si>
  <si>
    <t>POU_7</t>
  </si>
  <si>
    <t>Small</t>
  </si>
  <si>
    <t>POU_8</t>
  </si>
  <si>
    <t>POU_9</t>
  </si>
  <si>
    <t>POU_10</t>
  </si>
  <si>
    <t>WY</t>
  </si>
  <si>
    <t>POU_11</t>
  </si>
  <si>
    <t>POU_12</t>
  </si>
  <si>
    <t>POU_13</t>
  </si>
  <si>
    <t>PGE_PV_1.1.3.1</t>
  </si>
  <si>
    <t>Large Rooftop</t>
  </si>
  <si>
    <t>PGE_PV_1.1.3.2</t>
  </si>
  <si>
    <t>PGE_PV_1.1.3.3</t>
  </si>
  <si>
    <t>PGE_PV_1.1.3.4</t>
  </si>
  <si>
    <t>PGE_PV_1.1.3.5</t>
  </si>
  <si>
    <t>PGE_PV_1.4.3.1</t>
  </si>
  <si>
    <t>PGE_PV_1.4.2.1</t>
  </si>
  <si>
    <t>PGE_PV_1.4.3.2</t>
  </si>
  <si>
    <t>PGE_PV_1.4.2.2</t>
  </si>
  <si>
    <t>PGE_PV_1.4.3.3</t>
  </si>
  <si>
    <t>PGE_PV_1.4.2.3</t>
  </si>
  <si>
    <t>PGE_PV_1.4.3.4</t>
  </si>
  <si>
    <t>PGE_PV_1.4.2.4</t>
  </si>
  <si>
    <t>PGE_PV_1.4.3.5</t>
  </si>
  <si>
    <t>PGE_PV_1.4.2.5</t>
  </si>
  <si>
    <t>SCE_PV_2.1.4.1</t>
  </si>
  <si>
    <t>SCE_PV_2.1.4.2</t>
  </si>
  <si>
    <t>SCE_PV_2.1.4.3</t>
  </si>
  <si>
    <t>SCE_PV_2.1.4.4</t>
  </si>
  <si>
    <t>SCE_PV_2.1.4.5</t>
  </si>
  <si>
    <t>SDGE_PV_3.1.4.1</t>
  </si>
  <si>
    <t>SDGE_PV_3.1.1.1</t>
  </si>
  <si>
    <t>SDGE_PV_3.1.4.2</t>
  </si>
  <si>
    <t>SDGE_PV_3.1.1.2</t>
  </si>
  <si>
    <t>SDGE_PV_3.1.4.3</t>
  </si>
  <si>
    <t>SDGE_PV_3.1.1.3</t>
  </si>
  <si>
    <t>SDGE_PV_3.1.4.4</t>
  </si>
  <si>
    <t>SDGE_PV_3.1.1.4</t>
  </si>
  <si>
    <t>SDGE_PV_3.1.4.5</t>
  </si>
  <si>
    <t>SDGE_PV_3.1.1.5</t>
  </si>
  <si>
    <t>State</t>
  </si>
  <si>
    <t>Resource ID</t>
  </si>
  <si>
    <t>CASingle6</t>
  </si>
  <si>
    <t>CASingle13</t>
  </si>
  <si>
    <t>CASingle19</t>
  </si>
  <si>
    <t>CASingle20</t>
  </si>
  <si>
    <t>CASingle23</t>
  </si>
  <si>
    <t>CAMulti3</t>
  </si>
  <si>
    <t>ORSingle1</t>
  </si>
  <si>
    <t>ORSingle3</t>
  </si>
  <si>
    <t>ORMulti3</t>
  </si>
  <si>
    <t>geo_4</t>
  </si>
  <si>
    <t>geo_5</t>
  </si>
  <si>
    <t>geo_12</t>
  </si>
  <si>
    <t>geo_7</t>
  </si>
  <si>
    <t>geo_8</t>
  </si>
  <si>
    <t>Alkali Hot Springs</t>
  </si>
  <si>
    <t>Beatty</t>
  </si>
  <si>
    <t>Excelsior</t>
  </si>
  <si>
    <t>Hot Creek Ranch</t>
  </si>
  <si>
    <t>Indian Creek</t>
  </si>
  <si>
    <t>Pearl Hot Springs</t>
  </si>
  <si>
    <t>Preston Springs</t>
  </si>
  <si>
    <t>Rock Hill (aka Candelaria)</t>
  </si>
  <si>
    <t>Silver Peak</t>
  </si>
  <si>
    <t>Teels Marsh</t>
  </si>
  <si>
    <t>Walker Warm Springs</t>
  </si>
  <si>
    <t>Warm Springs</t>
  </si>
  <si>
    <t>03Aug2008_80</t>
  </si>
  <si>
    <t>03Aug2008_72</t>
  </si>
  <si>
    <t>14Aug2008_207</t>
  </si>
  <si>
    <t>03Aug2008_81</t>
  </si>
  <si>
    <t>03Aug2008_132</t>
  </si>
  <si>
    <t>03Aug2008_133</t>
  </si>
  <si>
    <t>03Aug2008_134</t>
  </si>
  <si>
    <t>03Aug2008_135</t>
  </si>
  <si>
    <t>03Aug2008_136</t>
  </si>
  <si>
    <t>03Aug2008_141</t>
  </si>
  <si>
    <t>03Aug2008_142</t>
  </si>
  <si>
    <t>03Aug2008_158</t>
  </si>
  <si>
    <t>03Aug2008_160</t>
  </si>
  <si>
    <t>03Aug2008_27</t>
  </si>
  <si>
    <t>03Aug2008_28</t>
  </si>
  <si>
    <t>03Aug2008_37</t>
  </si>
  <si>
    <t>03Aug2008_38</t>
  </si>
  <si>
    <t>03Aug2008_51</t>
  </si>
  <si>
    <t>03Aug2008_52</t>
  </si>
  <si>
    <t>03Aug2008_56</t>
  </si>
  <si>
    <t>03Aug2008_6</t>
  </si>
  <si>
    <t>03Aug2008_7</t>
  </si>
  <si>
    <t>Cabazon</t>
  </si>
  <si>
    <t>13Aug2008_169</t>
  </si>
  <si>
    <t>03Sept2008_173</t>
  </si>
  <si>
    <t>03Sept2008_174</t>
  </si>
  <si>
    <t>03Sept2008_175</t>
  </si>
  <si>
    <t>03Sept2008_180</t>
  </si>
  <si>
    <t>stcec2-2</t>
  </si>
  <si>
    <t>stcec2-74</t>
  </si>
  <si>
    <t>st25968</t>
  </si>
  <si>
    <t>st26180</t>
  </si>
  <si>
    <t>st22862</t>
  </si>
  <si>
    <t>CACA 049561</t>
  </si>
  <si>
    <t>CACA 049493</t>
  </si>
  <si>
    <t>CACA 049491</t>
  </si>
  <si>
    <t>E3_002</t>
  </si>
  <si>
    <t>E3_008</t>
  </si>
  <si>
    <t>E3_009</t>
  </si>
  <si>
    <t>E3_016</t>
  </si>
  <si>
    <t>E3_017</t>
  </si>
  <si>
    <t>E3_028</t>
  </si>
  <si>
    <t>E3_148</t>
  </si>
  <si>
    <t>E3_153</t>
  </si>
  <si>
    <t>E3_156</t>
  </si>
  <si>
    <t>E3_159</t>
  </si>
  <si>
    <t>E3_164</t>
  </si>
  <si>
    <t>E3_169</t>
  </si>
  <si>
    <t>E3_170</t>
  </si>
  <si>
    <t>E3_171</t>
  </si>
  <si>
    <t>E3_172</t>
  </si>
  <si>
    <t>E3_173</t>
  </si>
  <si>
    <t>E3_174</t>
  </si>
  <si>
    <t>E3_175</t>
  </si>
  <si>
    <t>E3_176</t>
  </si>
  <si>
    <t>E3_177</t>
  </si>
  <si>
    <t>E3_178</t>
  </si>
  <si>
    <t>E3_179</t>
  </si>
  <si>
    <t>E3_180</t>
  </si>
  <si>
    <t>E3_181</t>
  </si>
  <si>
    <t>E3_182</t>
  </si>
  <si>
    <t>E3_187</t>
  </si>
  <si>
    <t>E3_194</t>
  </si>
  <si>
    <t>E3_195</t>
  </si>
  <si>
    <t>E3_196</t>
  </si>
  <si>
    <t>E3_198</t>
  </si>
  <si>
    <t>E3_199</t>
  </si>
  <si>
    <t>E3_203</t>
  </si>
  <si>
    <t>E3_206</t>
  </si>
  <si>
    <t>E3_207</t>
  </si>
  <si>
    <t>E3_209</t>
  </si>
  <si>
    <t>E3_210</t>
  </si>
  <si>
    <t>E3_211</t>
  </si>
  <si>
    <t>E3_213</t>
  </si>
  <si>
    <t>E3_214</t>
  </si>
  <si>
    <t>E3_215</t>
  </si>
  <si>
    <t>E3_216</t>
  </si>
  <si>
    <t>E3_217</t>
  </si>
  <si>
    <t>E3_218</t>
  </si>
  <si>
    <t>E3_219</t>
  </si>
  <si>
    <t>E3_220</t>
  </si>
  <si>
    <t>E3_221</t>
  </si>
  <si>
    <t>E3_222</t>
  </si>
  <si>
    <t>E3_223</t>
  </si>
  <si>
    <t>E3_238</t>
  </si>
  <si>
    <t>E3_311</t>
  </si>
  <si>
    <t>E3_312</t>
  </si>
  <si>
    <t>E3_329</t>
  </si>
  <si>
    <t>E3_330</t>
  </si>
  <si>
    <t>E3_365</t>
  </si>
  <si>
    <t>E3_510</t>
  </si>
  <si>
    <t>WDG_1.1.3.4</t>
  </si>
  <si>
    <t>WDG_1.1.3.5</t>
  </si>
  <si>
    <t>WDG_1.1.3.6</t>
  </si>
  <si>
    <t>WDG_1.1.3.7</t>
  </si>
  <si>
    <t>WDG_1.1.3.8</t>
  </si>
  <si>
    <t>WDG_1.1.3.9</t>
  </si>
  <si>
    <t>WDG_1.1.3.10</t>
  </si>
  <si>
    <t>WDG_1.2.2.4</t>
  </si>
  <si>
    <t>Small Ground</t>
  </si>
  <si>
    <t>WDG_1.2.2.5</t>
  </si>
  <si>
    <t>WDG_1.2.2.6</t>
  </si>
  <si>
    <t>WDG_1.2.2.7</t>
  </si>
  <si>
    <t>WDG_1.2.2.8</t>
  </si>
  <si>
    <t>WDG_1.2.2.9</t>
  </si>
  <si>
    <t>WDG_1.2.2.10</t>
  </si>
  <si>
    <t>WDG_1.2.3.4</t>
  </si>
  <si>
    <t>WDG_1.2.3.5</t>
  </si>
  <si>
    <t>WDG_1.2.3.6</t>
  </si>
  <si>
    <t>WDG_1.2.3.7</t>
  </si>
  <si>
    <t>WDG_1.2.3.8</t>
  </si>
  <si>
    <t>WDG_1.2.3.9</t>
  </si>
  <si>
    <t>WDG_1.2.3.10</t>
  </si>
  <si>
    <t>WDG_1.3.2.4</t>
  </si>
  <si>
    <t>WDG_1.3.2.5</t>
  </si>
  <si>
    <t>WDG_1.3.2.6</t>
  </si>
  <si>
    <t>WDG_1.3.2.7</t>
  </si>
  <si>
    <t>WDG_1.3.2.8</t>
  </si>
  <si>
    <t>WDG_1.3.2.9</t>
  </si>
  <si>
    <t>WDG_1.3.2.10</t>
  </si>
  <si>
    <t>WDG_1.3.3.4</t>
  </si>
  <si>
    <t>WDG_1.3.3.5</t>
  </si>
  <si>
    <t>WDG_1.3.3.6</t>
  </si>
  <si>
    <t>WDG_1.3.3.7</t>
  </si>
  <si>
    <t>WDG_1.3.3.8</t>
  </si>
  <si>
    <t>WDG_1.3.3.9</t>
  </si>
  <si>
    <t>WDG_1.3.3.10</t>
  </si>
  <si>
    <t>WDG_1.4.2.4</t>
  </si>
  <si>
    <t>WDG_1.4.2.5</t>
  </si>
  <si>
    <t>WDG_1.4.2.6</t>
  </si>
  <si>
    <t>WDG_1.4.2.7</t>
  </si>
  <si>
    <t>WDG_1.4.2.8</t>
  </si>
  <si>
    <t>WDG_1.4.2.9</t>
  </si>
  <si>
    <t>WDG_1.4.2.10</t>
  </si>
  <si>
    <t>WDG_1.4.3.4</t>
  </si>
  <si>
    <t>WDG_1.4.3.5</t>
  </si>
  <si>
    <t>WDG_1.4.3.6</t>
  </si>
  <si>
    <t>WDG_1.4.3.7</t>
  </si>
  <si>
    <t>WDG_1.4.3.8</t>
  </si>
  <si>
    <t>WDG_1.4.3.9</t>
  </si>
  <si>
    <t>WDG_1.4.3.10</t>
  </si>
  <si>
    <t>WDG_2.1.4.4</t>
  </si>
  <si>
    <t>WDG_2.1.4.5</t>
  </si>
  <si>
    <t>WDG_2.1.4.6</t>
  </si>
  <si>
    <t>WDG_2.1.4.7</t>
  </si>
  <si>
    <t>WDG_2.1.4.8</t>
  </si>
  <si>
    <t>WDG_2.1.4.9</t>
  </si>
  <si>
    <t>WDG_2.1.4.10</t>
  </si>
  <si>
    <t>WDG_2.2.1.4</t>
  </si>
  <si>
    <t>WDG_2.2.1.5</t>
  </si>
  <si>
    <t>WDG_2.2.1.6</t>
  </si>
  <si>
    <t>WDG_2.2.1.7</t>
  </si>
  <si>
    <t>WDG_2.2.1.8</t>
  </si>
  <si>
    <t>WDG_2.2.1.9</t>
  </si>
  <si>
    <t>WDG_2.2.1.10</t>
  </si>
  <si>
    <t>WDG_2.2.2.4</t>
  </si>
  <si>
    <t>WDG_2.2.2.5</t>
  </si>
  <si>
    <t>WDG_2.2.2.6</t>
  </si>
  <si>
    <t>WDG_2.2.2.7</t>
  </si>
  <si>
    <t>WDG_2.2.2.8</t>
  </si>
  <si>
    <t>WDG_2.2.2.9</t>
  </si>
  <si>
    <t>WDG_2.2.2.10</t>
  </si>
  <si>
    <t>WDG_2.2.4.4</t>
  </si>
  <si>
    <t>WDG_2.2.4.5</t>
  </si>
  <si>
    <t>WDG_2.2.4.6</t>
  </si>
  <si>
    <t>WDG_2.2.4.7</t>
  </si>
  <si>
    <t>WDG_2.2.4.8</t>
  </si>
  <si>
    <t>WDG_2.2.4.9</t>
  </si>
  <si>
    <t>WDG_2.2.4.10</t>
  </si>
  <si>
    <t>WDG_2.3.1.4</t>
  </si>
  <si>
    <t>WDG_2.3.1.5</t>
  </si>
  <si>
    <t>WDG_2.3.1.6</t>
  </si>
  <si>
    <t>WDG_2.3.1.7</t>
  </si>
  <si>
    <t>WDG_2.3.1.8</t>
  </si>
  <si>
    <t>WDG_2.3.1.9</t>
  </si>
  <si>
    <t>WDG_2.3.1.10</t>
  </si>
  <si>
    <t>WDG_2.3.2.4</t>
  </si>
  <si>
    <t>WDG_2.3.2.5</t>
  </si>
  <si>
    <t>WDG_2.3.2.6</t>
  </si>
  <si>
    <t>WDG_2.3.2.7</t>
  </si>
  <si>
    <t>WDG_2.3.2.8</t>
  </si>
  <si>
    <t>WDG_2.3.2.9</t>
  </si>
  <si>
    <t>WDG_2.3.2.10</t>
  </si>
  <si>
    <t>WDG_2.3.4.4</t>
  </si>
  <si>
    <t>WDG_2.3.4.5</t>
  </si>
  <si>
    <t>WDG_2.3.4.6</t>
  </si>
  <si>
    <t>WDG_2.3.4.7</t>
  </si>
  <si>
    <t>WDG_2.3.4.8</t>
  </si>
  <si>
    <t>WDG_2.3.4.9</t>
  </si>
  <si>
    <t>WDG_2.3.4.10</t>
  </si>
  <si>
    <t>WDG_2.4.1.4</t>
  </si>
  <si>
    <t>WDG_2.4.1.5</t>
  </si>
  <si>
    <t>WDG_2.4.1.6</t>
  </si>
  <si>
    <t>WDG_2.4.1.7</t>
  </si>
  <si>
    <t>WDG_2.4.1.8</t>
  </si>
  <si>
    <t>WDG_2.4.1.9</t>
  </si>
  <si>
    <t>WDG_2.4.1.10</t>
  </si>
  <si>
    <t>WDG_2.4.2.4</t>
  </si>
  <si>
    <t>WDG_2.4.2.5</t>
  </si>
  <si>
    <t>WDG_2.4.2.6</t>
  </si>
  <si>
    <t>WDG_2.4.2.7</t>
  </si>
  <si>
    <t>WDG_2.4.2.8</t>
  </si>
  <si>
    <t>WDG_2.4.2.9</t>
  </si>
  <si>
    <t>WDG_2.4.2.10</t>
  </si>
  <si>
    <t>WDG_2.4.4.4</t>
  </si>
  <si>
    <t>WDG_2.4.4.5</t>
  </si>
  <si>
    <t>WDG_2.4.4.6</t>
  </si>
  <si>
    <t>WDG_2.4.4.7</t>
  </si>
  <si>
    <t>WDG_2.4.4.8</t>
  </si>
  <si>
    <t>WDG_2.4.4.9</t>
  </si>
  <si>
    <t>WDG_2.4.4.10</t>
  </si>
  <si>
    <t>WDG_3.1.1.4</t>
  </si>
  <si>
    <t>WDG_3.1.1.5</t>
  </si>
  <si>
    <t>WDG_3.1.1.6</t>
  </si>
  <si>
    <t>WDG_3.1.1.7</t>
  </si>
  <si>
    <t>WDG_3.1.1.8</t>
  </si>
  <si>
    <t>WDG_3.1.1.9</t>
  </si>
  <si>
    <t>WDG_3.1.1.10</t>
  </si>
  <si>
    <t>WDG_3.1.4.4</t>
  </si>
  <si>
    <t>WDG_3.1.4.5</t>
  </si>
  <si>
    <t>WDG_3.1.4.6</t>
  </si>
  <si>
    <t>WDG_3.1.4.7</t>
  </si>
  <si>
    <t>WDG_3.1.4.8</t>
  </si>
  <si>
    <t>WDG_3.1.4.9</t>
  </si>
  <si>
    <t>WDG_3.1.4.10</t>
  </si>
  <si>
    <t>WDG_3.2.1.4</t>
  </si>
  <si>
    <t>WDG_3.2.1.5</t>
  </si>
  <si>
    <t>WDG_3.2.1.6</t>
  </si>
  <si>
    <t>WDG_3.2.1.7</t>
  </si>
  <si>
    <t>WDG_3.2.1.8</t>
  </si>
  <si>
    <t>WDG_3.2.1.9</t>
  </si>
  <si>
    <t>WDG_3.2.1.10</t>
  </si>
  <si>
    <t>WDG_3.2.4.4</t>
  </si>
  <si>
    <t>WDG_3.2.4.5</t>
  </si>
  <si>
    <t>WDG_3.2.4.6</t>
  </si>
  <si>
    <t>WDG_3.2.4.7</t>
  </si>
  <si>
    <t>WDG_3.2.4.8</t>
  </si>
  <si>
    <t>WDG_3.2.4.9</t>
  </si>
  <si>
    <t>WDG_3.2.4.10</t>
  </si>
  <si>
    <t>WDG_3.3.1.4</t>
  </si>
  <si>
    <t>WDG_3.3.1.5</t>
  </si>
  <si>
    <t>WDG_3.3.1.6</t>
  </si>
  <si>
    <t>WDG_3.3.1.7</t>
  </si>
  <si>
    <t>WDG_3.3.1.8</t>
  </si>
  <si>
    <t>WDG_3.3.1.9</t>
  </si>
  <si>
    <t>WDG_3.3.1.10</t>
  </si>
  <si>
    <t>WDG_3.3.4.4</t>
  </si>
  <si>
    <t>WDG_3.3.4.5</t>
  </si>
  <si>
    <t>WDG_3.3.4.6</t>
  </si>
  <si>
    <t>WDG_3.3.4.7</t>
  </si>
  <si>
    <t>WDG_3.3.4.8</t>
  </si>
  <si>
    <t>WDG_3.3.4.9</t>
  </si>
  <si>
    <t>WDG_3.3.4.10</t>
  </si>
  <si>
    <t>WDG_3.4.1.4</t>
  </si>
  <si>
    <t>WDG_3.4.1.5</t>
  </si>
  <si>
    <t>WDG_3.4.1.6</t>
  </si>
  <si>
    <t>WDG_3.4.1.7</t>
  </si>
  <si>
    <t>WDG_3.4.1.8</t>
  </si>
  <si>
    <t>WDG_3.4.1.9</t>
  </si>
  <si>
    <t>WDG_3.4.1.10</t>
  </si>
  <si>
    <t>WDG_3.4.4.4</t>
  </si>
  <si>
    <t>WDG_3.4.4.5</t>
  </si>
  <si>
    <t>WDG_3.4.4.6</t>
  </si>
  <si>
    <t>WDG_3.4.4.7</t>
  </si>
  <si>
    <t>WDG_3.4.4.8</t>
  </si>
  <si>
    <t>WDG_3.4.4.9</t>
  </si>
  <si>
    <t>WDG_3.4.4.10</t>
  </si>
  <si>
    <t>WDG_4.1.1.4</t>
  </si>
  <si>
    <t>WDG_4.1.1.5</t>
  </si>
  <si>
    <t>WDG_4.1.1.6</t>
  </si>
  <si>
    <t>WDG_4.1.1.7</t>
  </si>
  <si>
    <t>WDG_4.1.1.8</t>
  </si>
  <si>
    <t>WDG_4.1.1.9</t>
  </si>
  <si>
    <t>WDG_4.1.1.10</t>
  </si>
  <si>
    <t>WDG_4.1.2.4</t>
  </si>
  <si>
    <t>WDG_4.1.2.5</t>
  </si>
  <si>
    <t>WDG_4.1.2.6</t>
  </si>
  <si>
    <t>WDG_4.1.2.7</t>
  </si>
  <si>
    <t>WDG_4.1.2.8</t>
  </si>
  <si>
    <t>WDG_4.1.2.9</t>
  </si>
  <si>
    <t>WDG_4.1.2.10</t>
  </si>
  <si>
    <t>WDG_4.1.3.4</t>
  </si>
  <si>
    <t>WDG_4.1.3.5</t>
  </si>
  <si>
    <t>WDG_4.1.3.6</t>
  </si>
  <si>
    <t>WDG_4.1.3.7</t>
  </si>
  <si>
    <t>WDG_4.1.3.8</t>
  </si>
  <si>
    <t>WDG_4.1.3.9</t>
  </si>
  <si>
    <t>WDG_4.1.3.10</t>
  </si>
  <si>
    <t>WDG_4.2.1.4</t>
  </si>
  <si>
    <t>WDG_4.2.1.5</t>
  </si>
  <si>
    <t>WDG_4.2.1.6</t>
  </si>
  <si>
    <t>WDG_4.2.1.7</t>
  </si>
  <si>
    <t>WDG_4.2.1.8</t>
  </si>
  <si>
    <t>WDG_4.2.1.9</t>
  </si>
  <si>
    <t>WDG_4.2.1.10</t>
  </si>
  <si>
    <t>WDG_4.2.2.4</t>
  </si>
  <si>
    <t>WDG_4.2.2.5</t>
  </si>
  <si>
    <t>WDG_4.2.2.6</t>
  </si>
  <si>
    <t>WDG_4.2.2.7</t>
  </si>
  <si>
    <t>WDG_4.2.2.8</t>
  </si>
  <si>
    <t>WDG_4.2.2.9</t>
  </si>
  <si>
    <t>WDG_4.2.2.10</t>
  </si>
  <si>
    <t>WDG_4.2.3.4</t>
  </si>
  <si>
    <t>WDG_4.2.3.5</t>
  </si>
  <si>
    <t>WDG_4.2.3.6</t>
  </si>
  <si>
    <t>WDG_4.2.3.7</t>
  </si>
  <si>
    <t>WDG_4.2.3.8</t>
  </si>
  <si>
    <t>WDG_4.2.3.9</t>
  </si>
  <si>
    <t>WDG_4.2.3.10</t>
  </si>
  <si>
    <t>WDG_4.3.1.4</t>
  </si>
  <si>
    <t>WDG_4.3.1.5</t>
  </si>
  <si>
    <t>WDG_4.3.1.6</t>
  </si>
  <si>
    <t>WDG_4.3.1.7</t>
  </si>
  <si>
    <t>WDG_4.3.1.8</t>
  </si>
  <si>
    <t>WDG_4.3.1.9</t>
  </si>
  <si>
    <t>WDG_4.3.1.10</t>
  </si>
  <si>
    <t>WDG_4.3.2.4</t>
  </si>
  <si>
    <t>WDG_4.3.2.5</t>
  </si>
  <si>
    <t>WDG_4.3.2.6</t>
  </si>
  <si>
    <t>WDG_4.3.2.7</t>
  </si>
  <si>
    <t>WDG_4.3.2.8</t>
  </si>
  <si>
    <t>WDG_4.3.2.9</t>
  </si>
  <si>
    <t>WDG_4.3.2.10</t>
  </si>
  <si>
    <t>WDG_4.3.3.4</t>
  </si>
  <si>
    <t>WDG_4.3.3.5</t>
  </si>
  <si>
    <t>WDG_4.3.3.6</t>
  </si>
  <si>
    <t>WDG_4.3.3.7</t>
  </si>
  <si>
    <t>WDG_4.3.3.8</t>
  </si>
  <si>
    <t>WDG_4.3.3.9</t>
  </si>
  <si>
    <t>WDG_4.3.3.10</t>
  </si>
  <si>
    <t>WDG_4.4.1.4</t>
  </si>
  <si>
    <t>WDG_4.4.1.5</t>
  </si>
  <si>
    <t>WDG_4.4.1.6</t>
  </si>
  <si>
    <t>WDG_4.4.1.7</t>
  </si>
  <si>
    <t>WDG_4.4.1.8</t>
  </si>
  <si>
    <t>WDG_4.4.1.9</t>
  </si>
  <si>
    <t>WDG_4.4.1.10</t>
  </si>
  <si>
    <t>WDG_4.4.2.4</t>
  </si>
  <si>
    <t>WDG_4.4.2.5</t>
  </si>
  <si>
    <t>WDG_4.4.2.6</t>
  </si>
  <si>
    <t>WDG_4.4.2.7</t>
  </si>
  <si>
    <t>WDG_4.4.2.8</t>
  </si>
  <si>
    <t>WDG_4.4.2.9</t>
  </si>
  <si>
    <t>WDG_4.4.2.10</t>
  </si>
  <si>
    <t>WDG_4.4.3.4</t>
  </si>
  <si>
    <t>WDG_4.4.3.5</t>
  </si>
  <si>
    <t>WDG_4.4.3.6</t>
  </si>
  <si>
    <t>WDG_4.4.3.7</t>
  </si>
  <si>
    <t>WDG_4.4.3.8</t>
  </si>
  <si>
    <t>WDG_4.4.3.9</t>
  </si>
  <si>
    <t>WDG_4.4.3.10</t>
  </si>
  <si>
    <t>WDG_1.5.2.5</t>
  </si>
  <si>
    <t>WDG_1.5.2.6</t>
  </si>
  <si>
    <t>WDG_1.5.2.7</t>
  </si>
  <si>
    <t>WDG_1.5.2.8</t>
  </si>
  <si>
    <t>WDG_1.5.2.9</t>
  </si>
  <si>
    <t>WDG_1.5.2.10</t>
  </si>
  <si>
    <t>WDG_1.5.3.5</t>
  </si>
  <si>
    <t>WDG_1.5.3.6</t>
  </si>
  <si>
    <t>WDG_1.5.3.7</t>
  </si>
  <si>
    <t>WDG_1.5.3.8</t>
  </si>
  <si>
    <t>WDG_1.5.3.9</t>
  </si>
  <si>
    <t>WDG_1.5.3.10</t>
  </si>
  <si>
    <t>WDG_2.5.1.5</t>
  </si>
  <si>
    <t>WDG_2.5.1.6</t>
  </si>
  <si>
    <t>WDG_2.5.1.7</t>
  </si>
  <si>
    <t>WDG_2.5.1.8</t>
  </si>
  <si>
    <t>WDG_2.5.1.9</t>
  </si>
  <si>
    <t>WDG_2.5.1.10</t>
  </si>
  <si>
    <t>WDG_2.5.2.5</t>
  </si>
  <si>
    <t>WDG_2.5.2.6</t>
  </si>
  <si>
    <t>WDG_2.5.2.7</t>
  </si>
  <si>
    <t>WDG_2.5.2.8</t>
  </si>
  <si>
    <t>WDG_2.5.2.9</t>
  </si>
  <si>
    <t>WDG_2.5.2.10</t>
  </si>
  <si>
    <t>WDG_2.5.4.5</t>
  </si>
  <si>
    <t>WDG_2.5.4.6</t>
  </si>
  <si>
    <t>WDG_2.5.4.7</t>
  </si>
  <si>
    <t>WDG_2.5.4.8</t>
  </si>
  <si>
    <t>WDG_2.5.4.9</t>
  </si>
  <si>
    <t>WDG_2.5.4.10</t>
  </si>
  <si>
    <t>WDG_3.5.1.5</t>
  </si>
  <si>
    <t>WDG_3.5.1.6</t>
  </si>
  <si>
    <t>WDG_3.5.1.7</t>
  </si>
  <si>
    <t>WDG_3.5.1.8</t>
  </si>
  <si>
    <t>WDG_3.5.1.9</t>
  </si>
  <si>
    <t>WDG_3.5.1.10</t>
  </si>
  <si>
    <t>WDG_3.5.4.5</t>
  </si>
  <si>
    <t>WDG_3.5.4.6</t>
  </si>
  <si>
    <t>WDG_3.5.4.7</t>
  </si>
  <si>
    <t>WDG_3.5.4.8</t>
  </si>
  <si>
    <t>WDG_3.5.4.9</t>
  </si>
  <si>
    <t>WDG_3.5.4.10</t>
  </si>
  <si>
    <t>WDG_4.5.1.5</t>
  </si>
  <si>
    <t>WDG_4.5.1.6</t>
  </si>
  <si>
    <t>WDG_4.5.1.7</t>
  </si>
  <si>
    <t>WDG_4.5.1.8</t>
  </si>
  <si>
    <t>WDG_4.5.1.9</t>
  </si>
  <si>
    <t>WDG_4.5.1.10</t>
  </si>
  <si>
    <t>WDG_4.5.2.5</t>
  </si>
  <si>
    <t>WDG_4.5.2.6</t>
  </si>
  <si>
    <t>WDG_4.5.2.7</t>
  </si>
  <si>
    <t>WDG_4.5.2.8</t>
  </si>
  <si>
    <t>WDG_4.5.2.9</t>
  </si>
  <si>
    <t>WDG_4.5.2.10</t>
  </si>
  <si>
    <t>WDG_4.5.3.5</t>
  </si>
  <si>
    <t>WDG_4.5.3.6</t>
  </si>
  <si>
    <t>WDG_4.5.3.7</t>
  </si>
  <si>
    <t>WDG_4.5.3.8</t>
  </si>
  <si>
    <t>WDG_4.5.3.9</t>
  </si>
  <si>
    <t>WDG_4.5.3.10</t>
  </si>
  <si>
    <t>RA Zone</t>
  </si>
  <si>
    <t>SCE</t>
  </si>
  <si>
    <t>PG&amp;E</t>
  </si>
  <si>
    <t>Project-Specific</t>
  </si>
  <si>
    <t>SDG&amp;E</t>
  </si>
  <si>
    <t>ctRPSsupply</t>
  </si>
  <si>
    <t>Location</t>
  </si>
  <si>
    <t>Proxy Plant Type</t>
  </si>
  <si>
    <t>SVP</t>
  </si>
  <si>
    <t>WIND</t>
  </si>
  <si>
    <t>ZOND WINDSYSTEMS INC.</t>
  </si>
  <si>
    <t>ZOND_6_UNIT</t>
  </si>
  <si>
    <t>ISO</t>
  </si>
  <si>
    <t>PEAKER</t>
  </si>
  <si>
    <t>Sierra</t>
  </si>
  <si>
    <t>Yuba City Energy Center (Calpine)</t>
  </si>
  <si>
    <t>YUBACT_6_UNITA1</t>
  </si>
  <si>
    <t>CPUC</t>
  </si>
  <si>
    <t>COGENERATION</t>
  </si>
  <si>
    <t>YUBA CITY COGEN</t>
  </si>
  <si>
    <t>YUBACT_1_SUNSWT</t>
  </si>
  <si>
    <t>BIOMASS</t>
  </si>
  <si>
    <t>WHEELABRATOR SHASTA UNITS 1-3 AGGREGATE</t>
  </si>
  <si>
    <t>WSENGY_1_UNIT 1</t>
  </si>
  <si>
    <t>HYDRO</t>
  </si>
  <si>
    <t>Fresno</t>
  </si>
  <si>
    <t>SMALL QF AGGREGATION - LOS BANOS</t>
  </si>
  <si>
    <t>WRGHTP_7_AMENGY</t>
  </si>
  <si>
    <t>Wolfskill Energy Center, Unit #1</t>
  </si>
  <si>
    <t>WOLFSK_1_UNITA1</t>
  </si>
  <si>
    <t>BUENA VISTA ENERGY, LLC</t>
  </si>
  <si>
    <t>WNDMAS_2_UNIT 1</t>
  </si>
  <si>
    <t>CEDAR FLAT HYDRO QF AGGREGATION</t>
  </si>
  <si>
    <t>WLLWCR_6_CEDRFL</t>
  </si>
  <si>
    <t>Wishon/San Joaquin  #1-A AGGREGATE</t>
  </si>
  <si>
    <t>WISHON_6_UNITS</t>
  </si>
  <si>
    <t>WISE HYDRO UNIT 2</t>
  </si>
  <si>
    <t>WISE_1_UNIT 2</t>
  </si>
  <si>
    <t>Wise Hydro Unit 1</t>
  </si>
  <si>
    <t>WISE_1_UNIT 1</t>
  </si>
  <si>
    <t>Whitewater Hill Wind Project</t>
  </si>
  <si>
    <t>WHTWTR_1_WINDA1</t>
  </si>
  <si>
    <t>G2 ENERGY, OSTROM ROAD LLC</t>
  </si>
  <si>
    <t>WHEATL_6_LNDFIL</t>
  </si>
  <si>
    <t>West Point Hydro Plant</t>
  </si>
  <si>
    <t>WESTPT_2_UNIT</t>
  </si>
  <si>
    <t>WOODLEAF HYDRO</t>
  </si>
  <si>
    <t>WDLEAF_7_UNIT 1</t>
  </si>
  <si>
    <t>GEOTHERMAL</t>
  </si>
  <si>
    <t>NCNB</t>
  </si>
  <si>
    <t>WEST FORD FLAT AGGREGATE</t>
  </si>
  <si>
    <t>WDFRDF_2_UNITS</t>
  </si>
  <si>
    <t>CDWR</t>
  </si>
  <si>
    <t>WARNE HYDRO AGGREGATE</t>
  </si>
  <si>
    <t>WARNE_2_UNIT</t>
  </si>
  <si>
    <t>WALNUT_7_WCOVST</t>
  </si>
  <si>
    <t>WALNUT_7_WCOVCT</t>
  </si>
  <si>
    <t>L.A. COUNTY SANITATION DISTRICT</t>
  </si>
  <si>
    <t>WALNUT_6_HILLGEN</t>
  </si>
  <si>
    <t>WADHAM ENERGY LTD. PART.</t>
  </si>
  <si>
    <t>WADHAM_6_UNIT</t>
  </si>
  <si>
    <t>VOLTA_7_QFUNTS</t>
  </si>
  <si>
    <t>Volta Hydro Unit 2</t>
  </si>
  <si>
    <t>VOLTA_2_UNIT 2</t>
  </si>
  <si>
    <t>VOLTA HYDRO UNIT 1</t>
  </si>
  <si>
    <t>VOLTA_2_UNIT 1</t>
  </si>
  <si>
    <t>Stockton</t>
  </si>
  <si>
    <t>SOUTH SAN JOAQUIN ID (WOODWARD)</t>
  </si>
  <si>
    <t>VLYHOM_7_SSJID</t>
  </si>
  <si>
    <t>VARIOUS</t>
  </si>
  <si>
    <t>VISTA QFS</t>
  </si>
  <si>
    <t>VISTA_6_QF</t>
  </si>
  <si>
    <t>Oasis Power Plant</t>
  </si>
  <si>
    <t>VINCNT_2_WESTWD</t>
  </si>
  <si>
    <t>VINCENT QFS</t>
  </si>
  <si>
    <t>VINCNT_2_QF</t>
  </si>
  <si>
    <t>Yorba Linda Hydroelectric Recovery Plant</t>
  </si>
  <si>
    <t>VILLPK_6_MWDYOR</t>
  </si>
  <si>
    <t>ANHM</t>
  </si>
  <si>
    <t>MWD Valley View Hydroelectric Recovery P</t>
  </si>
  <si>
    <t>VILLPK_2_VALLYV</t>
  </si>
  <si>
    <t>VICTOR QFS</t>
  </si>
  <si>
    <t>VICTOR_1_QF</t>
  </si>
  <si>
    <t>SIERRA POWER CORPORATION</t>
  </si>
  <si>
    <t>VESTAL_6_WDFIRE</t>
  </si>
  <si>
    <t>RIO BRAVO JASMIN</t>
  </si>
  <si>
    <t>VESTAL_6_ULTRGN</t>
  </si>
  <si>
    <t>VESTAL QFS</t>
  </si>
  <si>
    <t>VESTAL_6_QF</t>
  </si>
  <si>
    <t>KERN RIVER PH 3 UNITS 1 &amp; 2 AGGREGATE</t>
  </si>
  <si>
    <t>VESTAL_2_KERN</t>
  </si>
  <si>
    <t>THERMAL</t>
  </si>
  <si>
    <t>Malburg Generating Station</t>
  </si>
  <si>
    <t>VERNON_6_MALBRG</t>
  </si>
  <si>
    <t>H. Gonzales Unit #2</t>
  </si>
  <si>
    <t>VERNON_6_GONZL2</t>
  </si>
  <si>
    <t>H. Gonzales Unit #1</t>
  </si>
  <si>
    <t>VERNON_6_GONZL1</t>
  </si>
  <si>
    <t>Kern</t>
  </si>
  <si>
    <t>TEXACO EXPLORATION &amp; PROD (SE KERN RIVER</t>
  </si>
  <si>
    <t>VEDDER_1_SEKERN</t>
  </si>
  <si>
    <t>WM Energy, El Sobrante Landfill</t>
  </si>
  <si>
    <t>VALLEY_7_UNITA1</t>
  </si>
  <si>
    <t>VALLEY_7_BADLND</t>
  </si>
  <si>
    <t xml:space="preserve">MWD Red Mountain Hydroelectric Recovery </t>
  </si>
  <si>
    <t>VALLEY_5_REDMTN</t>
  </si>
  <si>
    <t>MWD Perris Hydroelectric Recovery Plant</t>
  </si>
  <si>
    <t>VALLEY_5_PERRIS</t>
  </si>
  <si>
    <t>CalPeak Power - Vaca Dixon LLC</t>
  </si>
  <si>
    <t>VACADX_1_UNITA1</t>
  </si>
  <si>
    <t>SOLAR</t>
  </si>
  <si>
    <t>Vaca Dixon Solar Station</t>
  </si>
  <si>
    <t>VACADX_1_SOLAR</t>
  </si>
  <si>
    <t>SMALL QF AGGREGATION - VACAVILLE</t>
  </si>
  <si>
    <t>VACADX_1_QF</t>
  </si>
  <si>
    <t>US WIND POWER#3(J.W. RANCH)</t>
  </si>
  <si>
    <t>USWPJR_2_UNITS</t>
  </si>
  <si>
    <t>GREEN RIDGE POWER LLC (FRICK)</t>
  </si>
  <si>
    <t>USWPFK_6_FRICK</t>
  </si>
  <si>
    <t>US WIND POWER(RUSSELL)</t>
  </si>
  <si>
    <t>USWNDR_2_UNITS</t>
  </si>
  <si>
    <t>SOLANO WIND FARM</t>
  </si>
  <si>
    <t>USWNDR_2_SMUD</t>
  </si>
  <si>
    <t>US WIND POWER#4(RALPH)</t>
  </si>
  <si>
    <t>USWND4_2_UNITS</t>
  </si>
  <si>
    <t>US WIND POWER#2(PATTERSON)</t>
  </si>
  <si>
    <t>USWND2_1_UNITS</t>
  </si>
  <si>
    <t>US WIND POWER#1(WALKER)</t>
  </si>
  <si>
    <t>USWND1_2_UNITS</t>
  </si>
  <si>
    <t>BERRY PETROLEUM COGEN 38</t>
  </si>
  <si>
    <t>UNVRSY_1_UNIT 1</t>
  </si>
  <si>
    <t>UNITED AIRLINES (COGEN)</t>
  </si>
  <si>
    <t>UNTDQF_7_UNITS</t>
  </si>
  <si>
    <t>TOSCO (RODEO PLANT)</t>
  </si>
  <si>
    <t>UNOCAL_1_UNITS</t>
  </si>
  <si>
    <t>CONTRA COSTA CARBON PLANT</t>
  </si>
  <si>
    <t>UNCHEM_1_UNIT</t>
  </si>
  <si>
    <t>Rio Bravo Rocklin</t>
  </si>
  <si>
    <t>ULTRCK_2_UNIT</t>
  </si>
  <si>
    <t>RIO BRAVO FRESNO (AKA ULTRAPOWER)</t>
  </si>
  <si>
    <t>ULTPFR_1_UNIT 1</t>
  </si>
  <si>
    <t>OGDEN POWER PACIFIC (CHINESE STATION)</t>
  </si>
  <si>
    <t>ULTPCH_1_UNIT 1</t>
  </si>
  <si>
    <t>RIO BRAVO POSO</t>
  </si>
  <si>
    <t>ULTOGL_1_POSO</t>
  </si>
  <si>
    <t>NCPA</t>
  </si>
  <si>
    <t>UKIAH LAKE MENDOCINO HYDRO</t>
  </si>
  <si>
    <t>UKIAH_7_LAKEMN</t>
  </si>
  <si>
    <t>NORTH MIDWAY COGENERATION AGGREGATE</t>
  </si>
  <si>
    <t>TXNMID_1_UNIT 2</t>
  </si>
  <si>
    <t>TEXACO INC. (MCKITTRICK)</t>
  </si>
  <si>
    <t>TXMCKT_6_UNIT</t>
  </si>
  <si>
    <t>TULLOCH HYDRO AGGREGATE</t>
  </si>
  <si>
    <t>TULLCK_7_UNITS</t>
  </si>
  <si>
    <t>TOAD TOWN</t>
  </si>
  <si>
    <t>TOADTW_6_UNIT</t>
  </si>
  <si>
    <t>TKO POWER</t>
  </si>
  <si>
    <t>TKOPWR_2_UNIT</t>
  </si>
  <si>
    <t>TIGER CREEK HYDRO AGGREGATE</t>
  </si>
  <si>
    <t>TIGRCK_7_UNITS</t>
  </si>
  <si>
    <t>TIFFNY_1_DILLON</t>
  </si>
  <si>
    <t>MARTINEZ COGEN LIMITED PARTNERSHIP</t>
  </si>
  <si>
    <t>TIDWTR_2_UNITS</t>
  </si>
  <si>
    <t>THERMAL ENERGY DEV. CORP.</t>
  </si>
  <si>
    <t>THMENG_1_UNIT 1</t>
  </si>
  <si>
    <t>SMALL QF AGGREGATION - STOCKTON</t>
  </si>
  <si>
    <t>TESLA_1_QF</t>
  </si>
  <si>
    <t>TERMOELECTRICA DE MEXICALI 1</t>
  </si>
  <si>
    <t>TERMEX_2_PL1X3</t>
  </si>
  <si>
    <t>Berry Petroleum Placerita</t>
  </si>
  <si>
    <t>TENGEN_2_PL1X2</t>
  </si>
  <si>
    <t>NUEVO ENERGY COMPANY  (WELPORT)</t>
  </si>
  <si>
    <t>TEMBLR_7_WELLPT</t>
  </si>
  <si>
    <t>SMALL QF AGGREGATION - PARADISE</t>
  </si>
  <si>
    <t>TBLMTN_6_QF</t>
  </si>
  <si>
    <t>BERRY PETROLEUM COGEN 18 AGGREGATE</t>
  </si>
  <si>
    <t>TANHIL_6_SOLART</t>
  </si>
  <si>
    <t>SYCAMORE COGENNERATION AGGREGATE</t>
  </si>
  <si>
    <t>SYCAMR_2_UNITS</t>
  </si>
  <si>
    <t>CAISO Import</t>
  </si>
  <si>
    <t>SUTTER POWER PLANT AGGREGATE</t>
  </si>
  <si>
    <t>SUTTER_2_PL1X3</t>
  </si>
  <si>
    <t>MIDWAY SUNSET COGENERATION PLANT</t>
  </si>
  <si>
    <t>SUNSET_2_UNITS</t>
  </si>
  <si>
    <t>Sunrise Power Project AGGREGATE II</t>
  </si>
  <si>
    <t>SUNRIS_2_PL1X3</t>
  </si>
  <si>
    <t>CITY OF FAIRFIELD GENERATION AGGREGATE</t>
  </si>
  <si>
    <t>SUISUN_7_CTYFAI</t>
  </si>
  <si>
    <t>MADERA CHOWCHILLA</t>
  </si>
  <si>
    <t>STOREY_7_MDRCHW</t>
  </si>
  <si>
    <t>STOCKTON COGEN CO.</t>
  </si>
  <si>
    <t>STOKCG_1_UNIT 1</t>
  </si>
  <si>
    <t>CHEVRON RICHMOND REFINERY</t>
  </si>
  <si>
    <t>STOILS_1_UNITS</t>
  </si>
  <si>
    <t>STANISLAUS WASTE ENERGY CO.</t>
  </si>
  <si>
    <t>STNRES_1_UNIT</t>
  </si>
  <si>
    <t>LODI STIG UNIT</t>
  </si>
  <si>
    <t>STIGCT_2_LODI</t>
  </si>
  <si>
    <t>RHODIA INC. (RHONE-POULENC)</t>
  </si>
  <si>
    <t>STAUFF_1_UNIT</t>
  </si>
  <si>
    <t>STANISLAUS HYDRO</t>
  </si>
  <si>
    <t>STANIS_7_UNIT 1</t>
  </si>
  <si>
    <t>SRI INTERNATIONAL</t>
  </si>
  <si>
    <t>SRINTL_6_UNIT</t>
  </si>
  <si>
    <t>TULE RIVER HYDRO PLANT (SCE)</t>
  </si>
  <si>
    <t>SPRGVL_2_TULESC</t>
  </si>
  <si>
    <t>TULE RIVER HYDRO PLANT (PG&amp;E)</t>
  </si>
  <si>
    <t>SPRGVL_2_TULE</t>
  </si>
  <si>
    <t>SPRINGVILLE QFS</t>
  </si>
  <si>
    <t>SPRGVL_2_QF</t>
  </si>
  <si>
    <t>SPRING GAP HYDRO</t>
  </si>
  <si>
    <t>SPRGAP_1_UNIT 1</t>
  </si>
  <si>
    <t>SIERRA PACIFIC IND. (QUINCY)</t>
  </si>
  <si>
    <t>SPQUIN_6_SRPCQU</t>
  </si>
  <si>
    <t>SIERRA PACIFIC IND. (SONORA)</t>
  </si>
  <si>
    <t>SPIFBD_1_PL1X2</t>
  </si>
  <si>
    <t>SPICER HYDRO UNITS 1-3 AGGREGATE</t>
  </si>
  <si>
    <t>SPICER_1_UNITS</t>
  </si>
  <si>
    <t>SIERRA PACIFIC IND. (ANDERSON)</t>
  </si>
  <si>
    <t>SPIAND_1_UNIT</t>
  </si>
  <si>
    <t>SIERRA PACIFIC IND. (LINCOLN)</t>
  </si>
  <si>
    <t>SPI LI_2_UNIT 1</t>
  </si>
  <si>
    <t>SPBURN_7_SNOWMT</t>
  </si>
  <si>
    <t>SIERRA PACIFIC IND. (BURNEY)</t>
  </si>
  <si>
    <t>SPBURN_2_UNIT 1</t>
  </si>
  <si>
    <t>SPAULDING HYDRO PH 1 &amp; 2 AGGREGATE</t>
  </si>
  <si>
    <t>SPAULD_6_UNIT12</t>
  </si>
  <si>
    <t>SPAULDING HYDRO PH 3 UNIT</t>
  </si>
  <si>
    <t>SPAULD_6_UNIT 3</t>
  </si>
  <si>
    <t>SOUTH HYDRO</t>
  </si>
  <si>
    <t>SOUTH_2_UNIT</t>
  </si>
  <si>
    <t>NUCLEAR</t>
  </si>
  <si>
    <t>SONGS_7_UNIT 3</t>
  </si>
  <si>
    <t>SONGS_7_UNIT 2</t>
  </si>
  <si>
    <t>SOBAY_7_SY2</t>
  </si>
  <si>
    <t>SOBAY_7_SY1</t>
  </si>
  <si>
    <t>SOBAY_7_GT1</t>
  </si>
  <si>
    <t>Sonoma County Landfill</t>
  </si>
  <si>
    <t>SNMALF_6_UNITS</t>
  </si>
  <si>
    <t>SAND BAR HYDRO</t>
  </si>
  <si>
    <t>SNDBAR_7_UNIT 1</t>
  </si>
  <si>
    <t>WILLIAMETTE</t>
  </si>
  <si>
    <t>SNCLRA_6_WILLMT</t>
  </si>
  <si>
    <t>SANTA CLARA QFS</t>
  </si>
  <si>
    <t>SNCLRA_6_QF</t>
  </si>
  <si>
    <t>PROCTER  AND  GAMBLE OXNARD II</t>
  </si>
  <si>
    <t>SNCLRA_6_PROCGN</t>
  </si>
  <si>
    <t>E.F. OXNARD INCORPORATED</t>
  </si>
  <si>
    <t>SNCLRA_6_OXGEN</t>
  </si>
  <si>
    <t>SONOMA POWER PLANT</t>
  </si>
  <si>
    <t>SMUDGO_7_UNIT 1</t>
  </si>
  <si>
    <t>SAN MARCOS LANDFILL BIO-GAS</t>
  </si>
  <si>
    <t>SMRCOS_6_UNIT 1</t>
  </si>
  <si>
    <t>RIPON COGENERATION, INC.</t>
  </si>
  <si>
    <t>SMPRIP_1_SMPSON</t>
  </si>
  <si>
    <t>WHEELABRATOR LASSEN INC.</t>
  </si>
  <si>
    <t>SMPAND_7_UNIT</t>
  </si>
  <si>
    <t>SANTA MARIA COGEN</t>
  </si>
  <si>
    <t>SMARQF_1_UNIT 1</t>
  </si>
  <si>
    <t>SLY CREEK HYDRO</t>
  </si>
  <si>
    <t>SLYCRK_1_UNIT 1</t>
  </si>
  <si>
    <t>SAN LUIS (GIANELLI) PUMP-GEN (AGGREGATE)</t>
  </si>
  <si>
    <t>SLUISP_2_UNITS</t>
  </si>
  <si>
    <t>HIGH SIERRA LIMITED</t>
  </si>
  <si>
    <t>SIERRA_1_UNITS</t>
  </si>
  <si>
    <t>DYNAMIS COGEN</t>
  </si>
  <si>
    <t>SGREGY_6_SANGER</t>
  </si>
  <si>
    <t>SUNRAY ENERGY, INC. - SEGS 2</t>
  </si>
  <si>
    <t>SEGS_1_SEGS2</t>
  </si>
  <si>
    <t>SEA WEST WIND QF AGGREGATION</t>
  </si>
  <si>
    <t>SEAWST_6_LAPOS</t>
  </si>
  <si>
    <t>NORTH AMERICAN WESTEND</t>
  </si>
  <si>
    <t>SEARLS_7_WESTEN</t>
  </si>
  <si>
    <t>NORTH AMERICAN ARGUS</t>
  </si>
  <si>
    <t>SEARLS_7_ARGUS</t>
  </si>
  <si>
    <t>Tracy Unit 2 Peaking Project</t>
  </si>
  <si>
    <t>SCHLTE_1_UNITA2</t>
  </si>
  <si>
    <t>Tracy Unit 1 Peaking Project</t>
  </si>
  <si>
    <t>SCHLTE_1_UNITA1</t>
  </si>
  <si>
    <t>MILL CREEK PSP</t>
  </si>
  <si>
    <t>SBERDO_6_MILLCK</t>
  </si>
  <si>
    <t>SANTA ANA PSP</t>
  </si>
  <si>
    <t>SBERDO_2_SNTANA</t>
  </si>
  <si>
    <t>SAN BERADINO QFS</t>
  </si>
  <si>
    <t>SBERDO_2_QF</t>
  </si>
  <si>
    <t>Mountainview Gen Sta. Unit 4</t>
  </si>
  <si>
    <t>SBERDO_2_PSP4</t>
  </si>
  <si>
    <t>Mountainview Gen Sta. Unit 3</t>
  </si>
  <si>
    <t>SBERDO_2_PSP3</t>
  </si>
  <si>
    <t>MM Lopez Energy</t>
  </si>
  <si>
    <t>SAUGUS_7_LOPEZ</t>
  </si>
  <si>
    <t>SAUGUS QFS</t>
  </si>
  <si>
    <t>SAUGUS_6_QF</t>
  </si>
  <si>
    <t>COUNTY OF LOS ANGELES -- PITCHLE</t>
  </si>
  <si>
    <t>SAUGUS_6_PTCHGN</t>
  </si>
  <si>
    <t>Foothill Hydroelectric Recovery Plant</t>
  </si>
  <si>
    <t>SAUGUS_6_MWDFTH</t>
  </si>
  <si>
    <t>SARGENT CANYON COGEN. COMPANY</t>
  </si>
  <si>
    <t>SARGNT_2_UNIT</t>
  </si>
  <si>
    <t>GAS RECOVERY SYS. (COYOTE CANYON)</t>
  </si>
  <si>
    <t>SANTGO_6_COYOTE</t>
  </si>
  <si>
    <t>GEYSERS POWER COMPANY, LLC</t>
  </si>
  <si>
    <t>SANTFG_7_UNITS</t>
  </si>
  <si>
    <t>SAN JOAQUIN COGEN</t>
  </si>
  <si>
    <t>SANJOA_1_UNIT 1</t>
  </si>
  <si>
    <t>KELCO QUALIFYING FACILITY</t>
  </si>
  <si>
    <t>SAMPSN_6_KELCO1</t>
  </si>
  <si>
    <t>SALT SPRINGS HYDRO AGGREGATE</t>
  </si>
  <si>
    <t>SALTSP_7_UNITS</t>
  </si>
  <si>
    <t>SALINAS RIVER COGEN CO.</t>
  </si>
  <si>
    <t>SALIRV_2_UNIT</t>
  </si>
  <si>
    <t>SPRINGS GENERATION PROJECT AGGREGATE</t>
  </si>
  <si>
    <t>RVSIDE_6_SPRING</t>
  </si>
  <si>
    <t>Riverside Energy Res. Ctr Unit 2</t>
  </si>
  <si>
    <t>RVSIDE_6_RERCU2</t>
  </si>
  <si>
    <t>Riverside Energy Res. Ctr Unit 1</t>
  </si>
  <si>
    <t>RVSIDE_6_RERCU1</t>
  </si>
  <si>
    <t>Riverview Energy Center (GP Antioch)</t>
  </si>
  <si>
    <t>RVRVEW_1_UNITA1</t>
  </si>
  <si>
    <t>ROLLINS HYDRO</t>
  </si>
  <si>
    <t>ROLLIN_6_UNIT</t>
  </si>
  <si>
    <t>SMALL QF AGGREGATION - GRASS VALLEY</t>
  </si>
  <si>
    <t>RIOOSO_1_QF</t>
  </si>
  <si>
    <t>RIO BRAVO FRESNO</t>
  </si>
  <si>
    <t>RIOBRV_6_UNIT 1</t>
  </si>
  <si>
    <t>BAY ENVIRONMENTAL (NOVE POWER)</t>
  </si>
  <si>
    <t>RICHMN_7_BAYENV</t>
  </si>
  <si>
    <t>Puente Hills GTE Facility Phase II</t>
  </si>
  <si>
    <t>RHONDO_6_PUENTE</t>
  </si>
  <si>
    <t>RIO HONDO QFS</t>
  </si>
  <si>
    <t>RHONDO_2_QF</t>
  </si>
  <si>
    <t>REDOND_7_UNIT 8</t>
  </si>
  <si>
    <t>REDOND_7_UNIT 7</t>
  </si>
  <si>
    <t>REDOND_7_UNIT 6</t>
  </si>
  <si>
    <t>REDOND_7_UNIT 5</t>
  </si>
  <si>
    <t>RED BLUFF PEAKER PLANT</t>
  </si>
  <si>
    <t>REDBLF_6_UNIT</t>
  </si>
  <si>
    <t>RECTOR_7_TULARE</t>
  </si>
  <si>
    <t>RECTOR QFS</t>
  </si>
  <si>
    <t>RECTOR_2_QF</t>
  </si>
  <si>
    <t>KAWEAH PH 1 UNIT 1</t>
  </si>
  <si>
    <t>RECTOR_2_KAWH 1</t>
  </si>
  <si>
    <t>KAWEAH PH 2 &amp; 3 PSP AGGREGATE</t>
  </si>
  <si>
    <t>RECTOR_2_KAWEAH</t>
  </si>
  <si>
    <t>ROCK CREEK HYDRO UNIT 2</t>
  </si>
  <si>
    <t>RCKCRK_7_UNIT 2</t>
  </si>
  <si>
    <t>ROCK CREEK HYDRO UNIT 1</t>
  </si>
  <si>
    <t>RCKCRK_7_UNIT 1</t>
  </si>
  <si>
    <t>PACIFIC WEST 1 WIND GENERATION</t>
  </si>
  <si>
    <t>PWEST_1_UNIT</t>
  </si>
  <si>
    <t>NTC/MCRD COGENERATION</t>
  </si>
  <si>
    <t>PTLOMA_6_NTCQF</t>
  </si>
  <si>
    <t>AEI MCRD STEAM TURBINE</t>
  </si>
  <si>
    <t>PTLOMA_6_NTCCGN</t>
  </si>
  <si>
    <t>PSWEET_7_QFUNTS</t>
  </si>
  <si>
    <t>Vecino Vineyards LLC</t>
  </si>
  <si>
    <t>POTTER_7_VECINO</t>
  </si>
  <si>
    <t>Potter Valley</t>
  </si>
  <si>
    <t>POTTER_6_UNITS</t>
  </si>
  <si>
    <t>POTRPP_7_UNIT 6</t>
  </si>
  <si>
    <t>POTRPP_7_UNIT 5</t>
  </si>
  <si>
    <t>POTRPP_7_UNIT 4</t>
  </si>
  <si>
    <t>POTRPP_7_UNIT 3</t>
  </si>
  <si>
    <t>POE HYDRO UNIT 2</t>
  </si>
  <si>
    <t>POEPH_7_UNIT 2</t>
  </si>
  <si>
    <t>POE HYDRO UNIT 1</t>
  </si>
  <si>
    <t>POEPH_7_UNIT 1</t>
  </si>
  <si>
    <t>CalPeak Power - Panoche LLC</t>
  </si>
  <si>
    <t>PNOCHE_1_UNITA1</t>
  </si>
  <si>
    <t>Panoche Peaker</t>
  </si>
  <si>
    <t>PNOCHE_1_PL1X2</t>
  </si>
  <si>
    <t>STARWOOD POWER - MIDWAY LLC</t>
  </si>
  <si>
    <t>PNCHPP_1_PL1X2</t>
  </si>
  <si>
    <t>PANOCHE ENERGY CENTER (Aggregated)</t>
  </si>
  <si>
    <t>PNCHEG_2_PL1X4</t>
  </si>
  <si>
    <t>Lincoln Landfill Power Plant</t>
  </si>
  <si>
    <t>PLSNTG_7_LNCLND</t>
  </si>
  <si>
    <t>PLACER UNIT (ROCK CREEK)</t>
  </si>
  <si>
    <t>PLACVL_1_RCKCRE</t>
  </si>
  <si>
    <t>Chili Bar Hydro</t>
  </si>
  <si>
    <t>PLACVL_1_CHILIB</t>
  </si>
  <si>
    <t>PITTSP_7_UNIT 7</t>
  </si>
  <si>
    <t>PITTSP_7_UNIT 6</t>
  </si>
  <si>
    <t>PITTSP_7_UNIT 5</t>
  </si>
  <si>
    <t>PIT PH 7 UNIT 2</t>
  </si>
  <si>
    <t>PIT7_7_UNIT 2</t>
  </si>
  <si>
    <t>PIT PH 7 UNIT 1</t>
  </si>
  <si>
    <t>PIT7_7_UNIT 1</t>
  </si>
  <si>
    <t>PIT PH 6 UNIT 2</t>
  </si>
  <si>
    <t>PIT6_7_UNIT 2</t>
  </si>
  <si>
    <t>PIT PH 6 UNIT 1</t>
  </si>
  <si>
    <t>PIT6_7_UNIT 1</t>
  </si>
  <si>
    <t>PIT 5 HYDRO QF UNITS</t>
  </si>
  <si>
    <t>PIT5_7_QFUNTS</t>
  </si>
  <si>
    <t>PIT PH 5 UNITS 3 &amp; 4 AGGREGATE</t>
  </si>
  <si>
    <t>PIT5_7_PL3X4</t>
  </si>
  <si>
    <t>PIT PH 5 UNITS 1 &amp; 2 AGGREGATE</t>
  </si>
  <si>
    <t>PIT5_7_PL1X2</t>
  </si>
  <si>
    <t>PIT PH 4 UNITS 1 &amp; 2 AGGREGATE</t>
  </si>
  <si>
    <t>PIT4_7_PL1X2</t>
  </si>
  <si>
    <t>PIT PH 3 UNITS 1, 2 &amp; 3 AGGREGATE</t>
  </si>
  <si>
    <t>PIT3_7_PL1X3</t>
  </si>
  <si>
    <t>PIT PH 1 UNIT 2</t>
  </si>
  <si>
    <t>PIT1_7_UNIT 2</t>
  </si>
  <si>
    <t>PIT PH 1 UNIT 1</t>
  </si>
  <si>
    <t>PIT1_7_UNIT 1</t>
  </si>
  <si>
    <t>PINE FLAT HYDRO AGGREGATE</t>
  </si>
  <si>
    <t>PINFLT_7_UNITS</t>
  </si>
  <si>
    <t>PHOENIX PH</t>
  </si>
  <si>
    <t>PHOENX_1_UNIT</t>
  </si>
  <si>
    <t>PEARBL_2_NSPIN</t>
  </si>
  <si>
    <t>DELANO ENERGY COMPANY AGGREGATE</t>
  </si>
  <si>
    <t>PANDOL_6_UNIT</t>
  </si>
  <si>
    <t>Palomar Energy Center</t>
  </si>
  <si>
    <t>PALOMR_2_PL1X3</t>
  </si>
  <si>
    <t>Cooperatively Owned Back Up Generator</t>
  </si>
  <si>
    <t>PALALT_7_COBUG</t>
  </si>
  <si>
    <t>San Dimas Wash Hydro</t>
  </si>
  <si>
    <t>PADUA_7_SDIMAS</t>
  </si>
  <si>
    <t>PADUA QFS</t>
  </si>
  <si>
    <t>PADUA_6_QF</t>
  </si>
  <si>
    <t>San Dimas Hydroelectric Recovery Plant</t>
  </si>
  <si>
    <t>PADUA_6_MWDSDM</t>
  </si>
  <si>
    <t>ONTARIO/SIERRA HYDRO PSP</t>
  </si>
  <si>
    <t>PADUA_2_ONTARO</t>
  </si>
  <si>
    <t>OGDEN POWER PACIFIC, INC. (OROVILLE)</t>
  </si>
  <si>
    <t>PACORO_6_UNIT</t>
  </si>
  <si>
    <t>PACIFIC LUMBER (HUMBOLDT)</t>
  </si>
  <si>
    <t>PACLUM_6_UNIT</t>
  </si>
  <si>
    <t>Ox Mountain Landfill Generating Plant</t>
  </si>
  <si>
    <t>OXMTN_6_LNDFIL</t>
  </si>
  <si>
    <t>OXBOW HYDRO</t>
  </si>
  <si>
    <t>OXBOW_6_DRUM</t>
  </si>
  <si>
    <t>OTAY MESA</t>
  </si>
  <si>
    <t>OTMESA_2_PL1X3</t>
  </si>
  <si>
    <t>Otay 3</t>
  </si>
  <si>
    <t>OTAY_7_UNITC1</t>
  </si>
  <si>
    <t>OTAY LANDFILL UNITS AGGREGATE</t>
  </si>
  <si>
    <t>OTAY_6_UNITB1</t>
  </si>
  <si>
    <t>MMC Chula Vista Aggregate</t>
  </si>
  <si>
    <t>OTAY_6_PL1X2</t>
  </si>
  <si>
    <t>OSO_6_NSPIN</t>
  </si>
  <si>
    <t>OROVILLE COGEN</t>
  </si>
  <si>
    <t>OROVIL_6_UNIT</t>
  </si>
  <si>
    <t>ORMOND_7_UNIT 2</t>
  </si>
  <si>
    <t>ORMOND_7_UNIT 1</t>
  </si>
  <si>
    <t>KERN RIVER COGENERATION CO. AGGREGATE</t>
  </si>
  <si>
    <t>OMAR_2_UNIT 4</t>
  </si>
  <si>
    <t>OMAR_2_UNIT 3</t>
  </si>
  <si>
    <t>OMAR_2_UNIT 2</t>
  </si>
  <si>
    <t>OMAR_2_UNIT 1</t>
  </si>
  <si>
    <t>OLSEN POWER PARTNERS</t>
  </si>
  <si>
    <t>OLSEN_2_UNIT</t>
  </si>
  <si>
    <t>OLINDA_7_LNDFIL</t>
  </si>
  <si>
    <t>OLINDA QFS</t>
  </si>
  <si>
    <t>OLINDA_2_QF</t>
  </si>
  <si>
    <t xml:space="preserve">MWD Coyote Creek Hydroelectric Recovery </t>
  </si>
  <si>
    <t>OLINDA_2_COYCRK</t>
  </si>
  <si>
    <t>OILFLD_7_QFUNTS</t>
  </si>
  <si>
    <t>OILDALE ENERGY LLC</t>
  </si>
  <si>
    <t>OILDAL_1_UNIT 1</t>
  </si>
  <si>
    <t>ORANGE GROVE</t>
  </si>
  <si>
    <t>OGROVE_6_PL1X2</t>
  </si>
  <si>
    <t>EAST BAY M.U.D. (OAKLAND)</t>
  </si>
  <si>
    <t>OAK L_7_EBMUD</t>
  </si>
  <si>
    <t>OAK C_7_UNIT 3</t>
  </si>
  <si>
    <t>OAK C_7_UNIT 2</t>
  </si>
  <si>
    <t>OAK C_7_UNIT 1</t>
  </si>
  <si>
    <t>NEWCASTLE HYDRO</t>
  </si>
  <si>
    <t>NWCSTL_7_UNIT 1</t>
  </si>
  <si>
    <t>NORTH ISLAND QF</t>
  </si>
  <si>
    <t>NIMTG_6_NIQF</t>
  </si>
  <si>
    <t>NEW HOGAN PH AGGREGATE</t>
  </si>
  <si>
    <t>NHOGAN_6_UNITS</t>
  </si>
  <si>
    <t>NEWARK 1 QF</t>
  </si>
  <si>
    <t>NEWARK_1_QF</t>
  </si>
  <si>
    <t>NCPA GEO PLANT 2 UNIT 4</t>
  </si>
  <si>
    <t>NCPA_7_GP2UN4</t>
  </si>
  <si>
    <t>NCPA GEO PLANT 2 UNIT 3</t>
  </si>
  <si>
    <t>NCPA_7_GP2UN3</t>
  </si>
  <si>
    <t>NCPA GEO PLANT 1 UNIT 2</t>
  </si>
  <si>
    <t>NCPA_7_GP1UN2</t>
  </si>
  <si>
    <t>NCPA GEO PLANT 1 UNIT 1</t>
  </si>
  <si>
    <t>NCPA_7_GP1UN1</t>
  </si>
  <si>
    <t>COSO POWER DEVELOPER (NAVY II) AGGREGATE</t>
  </si>
  <si>
    <t>NAVYII_2_UNITS</t>
  </si>
  <si>
    <t>OCCIDENTAL OF ELK HILLS, INC.</t>
  </si>
  <si>
    <t>NAVY35_1_UNITS</t>
  </si>
  <si>
    <t>NARROWS PH 2 UNIT</t>
  </si>
  <si>
    <t>NAROW2_2_UNIT</t>
  </si>
  <si>
    <t>NARROWS PH 1 UNIT</t>
  </si>
  <si>
    <t>NAROW1_2_UNIT</t>
  </si>
  <si>
    <t>NAPA HOSPITAL</t>
  </si>
  <si>
    <t>NAPA_2_UNIT</t>
  </si>
  <si>
    <t>Mountain View Power Project III</t>
  </si>
  <si>
    <t>MTWIND_1_UNIT 3</t>
  </si>
  <si>
    <t>Mountain View Power Project II</t>
  </si>
  <si>
    <t>MTWIND_1_UNIT 2</t>
  </si>
  <si>
    <t>Mountain View Power Project I</t>
  </si>
  <si>
    <t>MTWIND_1_UNIT 1</t>
  </si>
  <si>
    <t>OGDEN POWER PACIFIC, INC. (BURNEY)</t>
  </si>
  <si>
    <t>MTNPWR_7_BURNEY</t>
  </si>
  <si>
    <t>MT.POSO COGENERATION CO.</t>
  </si>
  <si>
    <t>MTNPOS_1_UNIT</t>
  </si>
  <si>
    <t>OGDEN POWER PACIFIC, INC.(MT LASSEN)</t>
  </si>
  <si>
    <t>MTNLAS_6_UNIT</t>
  </si>
  <si>
    <t>SMALL QF AGGREGATION - SAN DIEGO</t>
  </si>
  <si>
    <t>MSSION_2_QF</t>
  </si>
  <si>
    <t>MSQUIT_5_SERDYN</t>
  </si>
  <si>
    <t>MIRAMAR LANDFILL</t>
  </si>
  <si>
    <t>MSHGTS_6_MMARLF</t>
  </si>
  <si>
    <t>MIRAMAR COMBUSTION TURBINE AGGREGATE</t>
  </si>
  <si>
    <t>MRGT_7_UNITS</t>
  </si>
  <si>
    <t>Miramar Energy Facility</t>
  </si>
  <si>
    <t>MRGT_6_MMAREF</t>
  </si>
  <si>
    <t>Miramar II</t>
  </si>
  <si>
    <t>MRGT_6_MEF2</t>
  </si>
  <si>
    <t>MRCHNT_2_MELDYN</t>
  </si>
  <si>
    <t>MOSSLD_7_UNIT 7</t>
  </si>
  <si>
    <t>MOSSLD_7_UNIT 6</t>
  </si>
  <si>
    <t>MOSSLD_2_PSP2</t>
  </si>
  <si>
    <t>MOSSLD_2_PSP1</t>
  </si>
  <si>
    <t>SMALL QF AGGREGATION - SANTA CRUZ</t>
  </si>
  <si>
    <t>MOSSLD_1_QF</t>
  </si>
  <si>
    <t>MORBAY_7_UNIT 4</t>
  </si>
  <si>
    <t>MORBAY_7_UNIT 3</t>
  </si>
  <si>
    <t>WEME- Simi Valley Landfill</t>
  </si>
  <si>
    <t>MOORPK_7_UNITA1</t>
  </si>
  <si>
    <t>MOORPARK QFS</t>
  </si>
  <si>
    <t>MOORPK_6_QF</t>
  </si>
  <si>
    <t>MONTICELLO HYDRO AGGREGATE</t>
  </si>
  <si>
    <t>MONTPH_7_UNITS</t>
  </si>
  <si>
    <t>BOREL HYDRO UNITS 1-3 AGGREGATE</t>
  </si>
  <si>
    <t>MONLTH_6_BOREL</t>
  </si>
  <si>
    <t>MOJAVE SIPHON POWER PLANT</t>
  </si>
  <si>
    <t>MOJAVE_1_SIPHON</t>
  </si>
  <si>
    <t>GAS RECOVERY SYS. (NEWBY ISLAND 2)</t>
  </si>
  <si>
    <t>MNTAGU_7_NEWBYI</t>
  </si>
  <si>
    <t>MNDALY_7_UNIT 3</t>
  </si>
  <si>
    <t>MNDALY_7_UNIT 2</t>
  </si>
  <si>
    <t>MNDALY_7_UNIT 1</t>
  </si>
  <si>
    <t>MLPTAS_7_QFUNTS</t>
  </si>
  <si>
    <t>MCKITTRICK LIMITED</t>
  </si>
  <si>
    <t>MKTRCK_1_UNIT 1</t>
  </si>
  <si>
    <t>SMALL QF AGGREGATION - SAB FRABCUSCI</t>
  </si>
  <si>
    <t>MISSIX_1_QF</t>
  </si>
  <si>
    <t>Lake Mathews Hydroelectric Recovery Plan</t>
  </si>
  <si>
    <t>MIRLOM_7_MWDLKM</t>
  </si>
  <si>
    <t>MIRLOM_6_PEAKER</t>
  </si>
  <si>
    <t>CORONA ENERGY PARTNERS LTD.</t>
  </si>
  <si>
    <t>MIRLOM_6_DELGEN</t>
  </si>
  <si>
    <t>MWD Temescal Hydroelectric Recovery Plan</t>
  </si>
  <si>
    <t>MIRLOM_2_TEMESC</t>
  </si>
  <si>
    <t>MWD Corona Hydroelectric Recovery Plant</t>
  </si>
  <si>
    <t>MIRLOM_2_CORONA</t>
  </si>
  <si>
    <t>SMALL QF AGGREGATION - DAILY CITY</t>
  </si>
  <si>
    <t>MILBRA_1_QF</t>
  </si>
  <si>
    <t>SMALL QF AGGREGATION - BAKERSFIELD</t>
  </si>
  <si>
    <t>MIDWAY_1_QF</t>
  </si>
  <si>
    <t>MIDSET COGEN. CO.</t>
  </si>
  <si>
    <t>MIDSET_1_UNIT 1</t>
  </si>
  <si>
    <t>Metcalf Energy Center</t>
  </si>
  <si>
    <t>METEC_2_PL1X3</t>
  </si>
  <si>
    <t>SMALL QF AGGREGATION - SANTA CLARA WD</t>
  </si>
  <si>
    <t>METCLF_1_QF</t>
  </si>
  <si>
    <t>MESA QFS</t>
  </si>
  <si>
    <t>MESAS_2_QF</t>
  </si>
  <si>
    <t>SMALL QF AGGREGATION - SAN LUIS OBISPO</t>
  </si>
  <si>
    <t>MESAP_1_QF</t>
  </si>
  <si>
    <t>MERCED FALLS</t>
  </si>
  <si>
    <t>MERCFL_6_UNIT</t>
  </si>
  <si>
    <t>MENDOTA BIOMASS POWER</t>
  </si>
  <si>
    <t>MENBIO_6_UNIT</t>
  </si>
  <si>
    <t>CHEVRON USA (CONCORD)</t>
  </si>
  <si>
    <t>MEDOLN_7_CHEVCP</t>
  </si>
  <si>
    <t>MIDDLE FORK AND RALSTON PSP</t>
  </si>
  <si>
    <t>MDFKRL_2_PROJCT</t>
  </si>
  <si>
    <t>MC SWAIN HYDRO</t>
  </si>
  <si>
    <t>MCSWAN_6_UNITS</t>
  </si>
  <si>
    <t>ACE COGENERATION</t>
  </si>
  <si>
    <t>MCGEN_1_UNIT</t>
  </si>
  <si>
    <t>SMALL QF AGGREGATION - FRESNO</t>
  </si>
  <si>
    <t>MCCALL_1_QF</t>
  </si>
  <si>
    <t>BIG VALLEY LUMBER COMPANY</t>
  </si>
  <si>
    <t>MCARTH_6_BIGVAL</t>
  </si>
  <si>
    <t>SAN JOSE COGEN</t>
  </si>
  <si>
    <t>MARKHM_1_CATLST</t>
  </si>
  <si>
    <t>MALACHA HYDRO L.P.</t>
  </si>
  <si>
    <t>MALCHQ_7_UNIT 1</t>
  </si>
  <si>
    <t>KRCD Malaga Peaking Plant</t>
  </si>
  <si>
    <t>MALAGA_1_PL1X2</t>
  </si>
  <si>
    <t>LOWGAP_7_QFUNTS</t>
  </si>
  <si>
    <t>LODI GAS TURBINE</t>
  </si>
  <si>
    <t>LODI25_2_UNIT 1</t>
  </si>
  <si>
    <t>Los Medanos Energy Center AGGREGATE</t>
  </si>
  <si>
    <t>LMEC_1_PL1X3</t>
  </si>
  <si>
    <t>Goose Haven Energy Center, Unit #1</t>
  </si>
  <si>
    <t>LMBEPK_2_UNITA3</t>
  </si>
  <si>
    <t>Creed Energy Center, Unit #1</t>
  </si>
  <si>
    <t>LMBEPK_2_UNITA2</t>
  </si>
  <si>
    <t>Lambie Energy Center, Unit #1</t>
  </si>
  <si>
    <t>LMBEPK_2_UNITA1</t>
  </si>
  <si>
    <t>LIVE OAK LIMITED</t>
  </si>
  <si>
    <t>LIVOAK_1_UNIT 1</t>
  </si>
  <si>
    <t>LIGHTHIPE QFS</t>
  </si>
  <si>
    <t>LGHTHP_6_QF</t>
  </si>
  <si>
    <t>CARSON COGENERATION COMPANY</t>
  </si>
  <si>
    <t>LGHTHP_6_ICEGEN</t>
  </si>
  <si>
    <t>PATTERSON PASS WIND FARM LLC</t>
  </si>
  <si>
    <t>LFC 51_2_UNIT 1</t>
  </si>
  <si>
    <t>PAN PACIFIC (WEBER FLAT)</t>
  </si>
  <si>
    <t>LEWSTN_7_WEBRFL</t>
  </si>
  <si>
    <t>LOS ESTEROS ENERGY FACILITY AGGREGATE</t>
  </si>
  <si>
    <t>LECEF_1_UNITS</t>
  </si>
  <si>
    <t>Pastoria Energy Facility</t>
  </si>
  <si>
    <t>LEBECS_2_UNITS</t>
  </si>
  <si>
    <t>City of Sunnyvale Unit 1 and 2</t>
  </si>
  <si>
    <t>LAWRNC_7_SUNYVL</t>
  </si>
  <si>
    <t>LASSEN AREA QF AGGREGATION</t>
  </si>
  <si>
    <t>LASSEN_6_UNITS</t>
  </si>
  <si>
    <t>CENTRAL LA ROSITA II COMBINED CYCLE</t>
  </si>
  <si>
    <t>LAROA2_2_UNITA1</t>
  </si>
  <si>
    <t>Ciclo Combinado Mexicali</t>
  </si>
  <si>
    <t>LAROA1_2_UNITA1</t>
  </si>
  <si>
    <t>LARKSPUR PEAKER UNIT 2</t>
  </si>
  <si>
    <t>LARKSP_6_UNIT 2</t>
  </si>
  <si>
    <t>LARKSPUR PEAKER UNIT 1</t>
  </si>
  <si>
    <t>LARKSP_6_UNIT 1</t>
  </si>
  <si>
    <t>LA PALOMA GENERATING PLANT, UNIT #4</t>
  </si>
  <si>
    <t>LAPLMA_2_UNIT 4</t>
  </si>
  <si>
    <t>La Paloma Generating Plant Unit #3</t>
  </si>
  <si>
    <t>LAPLMA_2_UNIT 3</t>
  </si>
  <si>
    <t>La Paloma Generating Plant Unit #2</t>
  </si>
  <si>
    <t>LAPLMA_2_UNIT 2</t>
  </si>
  <si>
    <t>La Paloma Generating Plant Unit #1</t>
  </si>
  <si>
    <t>LAPLMA_2_UNIT 1</t>
  </si>
  <si>
    <t>LOUISIANA PACIFIC SAMOA</t>
  </si>
  <si>
    <t>LAPAC_6_UNIT</t>
  </si>
  <si>
    <t>LAGUNA BELL QFS</t>
  </si>
  <si>
    <t>LAGBEL_6_QF</t>
  </si>
  <si>
    <t>LA FRESA QFS</t>
  </si>
  <si>
    <t>LAFRES_6_QF</t>
  </si>
  <si>
    <t>MWD Venice Hydroelectric Recovery Plant</t>
  </si>
  <si>
    <t>LACIEN_2_VENICE</t>
  </si>
  <si>
    <t>Texaco Exploration &amp; Prod QF Aggregation</t>
  </si>
  <si>
    <t>KRNOIL_7_TEXEXP</t>
  </si>
  <si>
    <t>KERN CANYON</t>
  </si>
  <si>
    <t>KRNCNY_6_UNIT</t>
  </si>
  <si>
    <t>LUZ SOLAR PARTNERS 8-9 AGGREGATE</t>
  </si>
  <si>
    <t>KRAMER_2_SEGS89</t>
  </si>
  <si>
    <t>LUZ SOLAR PARTNERS 3-7 AGGREGATE</t>
  </si>
  <si>
    <t>KRAMER_1_SEGS37</t>
  </si>
  <si>
    <t>King City Energy Center, Unit #1</t>
  </si>
  <si>
    <t>KNGCTY_6_UNITA1</t>
  </si>
  <si>
    <t>Keller Canyon Landfill Gen Facility</t>
  </si>
  <si>
    <t>KIRKER_7_KELCYN</t>
  </si>
  <si>
    <t>KINGS RIVER HYDRO UNIT 1</t>
  </si>
  <si>
    <t>KINGRV_7_UNIT 1</t>
  </si>
  <si>
    <t>PE - KES KINGSBURG,LLC</t>
  </si>
  <si>
    <t>KINGCO_1_KINGBR</t>
  </si>
  <si>
    <t>KILARC HYDRO</t>
  </si>
  <si>
    <t>KILARC_2_UNIT 1</t>
  </si>
  <si>
    <t>KERN RIVER HYDRO UNITS 1-4 AGGREGATE</t>
  </si>
  <si>
    <t>KERRGN_1_UNIT 1</t>
  </si>
  <si>
    <t>AERA ENERGY (SOUTH BELRIDGE)</t>
  </si>
  <si>
    <t>KERNRG_1_UNITS</t>
  </si>
  <si>
    <t>KERN FRONT LIMITED</t>
  </si>
  <si>
    <t>KERNFT_1_UNITS</t>
  </si>
  <si>
    <t>KERKHOFF PH 2 UNIT #1</t>
  </si>
  <si>
    <t>KERKH2_7_UNIT 1</t>
  </si>
  <si>
    <t>KERKHOFF PH 1 UNIT #3</t>
  </si>
  <si>
    <t>KERKH1_7_UNIT 3</t>
  </si>
  <si>
    <t>KERKHOFF PH 1 UNIT #2</t>
  </si>
  <si>
    <t>KERKH1_7_UNIT 2</t>
  </si>
  <si>
    <t>KERKHOFF PH 1 UNIT #1</t>
  </si>
  <si>
    <t>KERKH1_7_UNIT 1</t>
  </si>
  <si>
    <t>KELLY RIDGE HYDRO</t>
  </si>
  <si>
    <t>KELYRG_6_UNIT</t>
  </si>
  <si>
    <t>STS HYDROPOWER LTD. (KEKAWAKA)</t>
  </si>
  <si>
    <t>KEKAWK_6_UNIT</t>
  </si>
  <si>
    <t>KEARNY GT3 AGGREGATE</t>
  </si>
  <si>
    <t>KEARNY_7_KY3</t>
  </si>
  <si>
    <t>KEARNY GT2 AGGREGATE</t>
  </si>
  <si>
    <t>KEARNY_7_KY2</t>
  </si>
  <si>
    <t>KEARNY GAS TURBINE UNIT 1</t>
  </si>
  <si>
    <t>KEARNY_7_KY1</t>
  </si>
  <si>
    <t>KANAKA</t>
  </si>
  <si>
    <t>KANAKA_1_UNIT</t>
  </si>
  <si>
    <t>ALTAMONT COGENERATION CORP.</t>
  </si>
  <si>
    <t>KALINA_2_UNIT 1</t>
  </si>
  <si>
    <t>TRES VAQUEROS WIND QF UNITS</t>
  </si>
  <si>
    <t>JVENTR_2_QFUNTS</t>
  </si>
  <si>
    <t>SAN JOAQUIN POWER COMPANY</t>
  </si>
  <si>
    <t>JRWOOD_1_UNIT 1</t>
  </si>
  <si>
    <t>JOHANNA QF</t>
  </si>
  <si>
    <t>JOHANN_6_QFA1</t>
  </si>
  <si>
    <t>JACKSON VALLEY ENERG PTNRS (IONE)</t>
  </si>
  <si>
    <t>JAKVAL_2_IONE</t>
  </si>
  <si>
    <t>Intl Wind Turb Research (Dinosaur Point)</t>
  </si>
  <si>
    <t>INTTRB_6_UNIT</t>
  </si>
  <si>
    <t>INSKIP HYDRO</t>
  </si>
  <si>
    <t>INSKIP_2_UNIT</t>
  </si>
  <si>
    <t>Inland Empire Energy Center, Unit 2</t>
  </si>
  <si>
    <t>INLDEM_5_UNIT 2</t>
  </si>
  <si>
    <t>Inland Empire Energy Center Unit 1</t>
  </si>
  <si>
    <t>INLDEM_5_UNIT 1</t>
  </si>
  <si>
    <t>INDIAN VALLEY HYDRO</t>
  </si>
  <si>
    <t>INDVLY_1_UNITS</t>
  </si>
  <si>
    <t>INDIGO PEAKER UNIT 3</t>
  </si>
  <si>
    <t>INDIGO_1_UNIT 3</t>
  </si>
  <si>
    <t>INDIGO PEAKER UNIT 2</t>
  </si>
  <si>
    <t>INDIGO_1_UNIT 2</t>
  </si>
  <si>
    <t>INDIGO PEAKER UNIT 1</t>
  </si>
  <si>
    <t>INDIGO_1_UNIT 1</t>
  </si>
  <si>
    <t>SMALL QF AGGREGATION - VALLEJO/DINSMORE</t>
  </si>
  <si>
    <t>IGNACO_1_QF</t>
  </si>
  <si>
    <t>HYATT-THERMALITO PUMP-GEN (AGGREGATE)</t>
  </si>
  <si>
    <t>HYTTHM_2_UNITS</t>
  </si>
  <si>
    <t>SMALL QF AGGREGATION - TRINITY</t>
  </si>
  <si>
    <t>HUMBSB_1_QF</t>
  </si>
  <si>
    <t>Humboldt Bay Unit 2</t>
  </si>
  <si>
    <t>HUMBPP_7_UNIT 2</t>
  </si>
  <si>
    <t>Humboldt Bay Unit 1</t>
  </si>
  <si>
    <t>HUMBPP_7_UNIT 1</t>
  </si>
  <si>
    <t>Humboldt Bay Mobile Unit 3</t>
  </si>
  <si>
    <t>HUMBPP_1_MOBLE3</t>
  </si>
  <si>
    <t>Humboldt Bay Mobile Unit 2</t>
  </si>
  <si>
    <t>HUMBPP_1_MOBLE2</t>
  </si>
  <si>
    <t>MOJAVE COGENERATION CO. LP</t>
  </si>
  <si>
    <t>HOLGAT_1_MOGEN</t>
  </si>
  <si>
    <t>U.S. BORAX AND CHEMICAL CORPORAT</t>
  </si>
  <si>
    <t>HOLGAT_1_BORAX</t>
  </si>
  <si>
    <t>HNTGBH_7_UNIT 4</t>
  </si>
  <si>
    <t>HNTGBH_7_UNIT 3</t>
  </si>
  <si>
    <t>HNTGBH_7_UNIT 2</t>
  </si>
  <si>
    <t>HNTGBH_7_UNIT 1</t>
  </si>
  <si>
    <t>HAMILTON BRANCH PH (AGGREGATE)</t>
  </si>
  <si>
    <t>HMLTBR_6_UNITS</t>
  </si>
  <si>
    <t>GAS RECOVERY(AMERICA CANYON)</t>
  </si>
  <si>
    <t>HIWAY_7_ACANYN</t>
  </si>
  <si>
    <t>CITY OF LONG BEACH</t>
  </si>
  <si>
    <t>HINSON_6_SERRGN</t>
  </si>
  <si>
    <t>HINSON_6_LBECH4</t>
  </si>
  <si>
    <t>HINSON_6_LBECH3</t>
  </si>
  <si>
    <t>HINSON_6_LBECH2</t>
  </si>
  <si>
    <t>HINSON_6_LBECH1</t>
  </si>
  <si>
    <t>BP WILMINGTON CALCINER</t>
  </si>
  <si>
    <t>HINSON_6_CARBGN</t>
  </si>
  <si>
    <t>HIGGNS_7_QFUNTS</t>
  </si>
  <si>
    <t>HIGH DESERT POWER PROJECT AGGREGATE</t>
  </si>
  <si>
    <t>HIDSRT_2_UNITS</t>
  </si>
  <si>
    <t>GAS RECOVERY SYS. (GUADALUPE)</t>
  </si>
  <si>
    <t>HICKS_7_GUADLP</t>
  </si>
  <si>
    <t>GWF HENRIETTA PEAKER PLANT UNIT 2</t>
  </si>
  <si>
    <t>HENRTA_6_UNITA2</t>
  </si>
  <si>
    <t>GWF HENRIETTA PEAKER PLANT UNIT 1</t>
  </si>
  <si>
    <t>HENRTA_6_UNITA1</t>
  </si>
  <si>
    <t>HELMS PUMP-GEN UNIT 3</t>
  </si>
  <si>
    <t>HELMPG_7_UNIT 3</t>
  </si>
  <si>
    <t>HELMS PUMP-GEN UNIT 2</t>
  </si>
  <si>
    <t>HELMPG_7_UNIT 2</t>
  </si>
  <si>
    <t>HELMS PUMP-GEN UNIT 1</t>
  </si>
  <si>
    <t>HELMPG_7_UNIT 1</t>
  </si>
  <si>
    <t>HAYPRESS HYDRO QF UNITS</t>
  </si>
  <si>
    <t>HAYPRS_6_QFUNTS</t>
  </si>
  <si>
    <t>HAT CREEK HYDRO QF UNITS</t>
  </si>
  <si>
    <t>HATLOS_6_QFUNTS</t>
  </si>
  <si>
    <t xml:space="preserve">Hat Creek  #2  </t>
  </si>
  <si>
    <t>HATCR2_7_UNIT</t>
  </si>
  <si>
    <t xml:space="preserve">Hat Creek  #1 </t>
  </si>
  <si>
    <t>HATCR1_7_UNIT</t>
  </si>
  <si>
    <t>HARBOR COGEN COMBINED CYCLE</t>
  </si>
  <si>
    <t>HARBGN_7_UNITS</t>
  </si>
  <si>
    <t>HALSEY HYDRO</t>
  </si>
  <si>
    <t>HALSEY_6_UNIT</t>
  </si>
  <si>
    <t>HAAS PH UNIT 1 &amp; 2 AGGREGATE</t>
  </si>
  <si>
    <t>HAASPH_7_PL1X2</t>
  </si>
  <si>
    <t>Sonoma CWA Warm Springs Hydro</t>
  </si>
  <si>
    <t>GYSRVL_7_WSPRNG</t>
  </si>
  <si>
    <t>GEYSERS UNITS 7 &amp; 8 AGGREGATE</t>
  </si>
  <si>
    <t>GYS7X8_7_UNITS</t>
  </si>
  <si>
    <t>GEYSERS UNITS 5 &amp; 6 AGGREGATE</t>
  </si>
  <si>
    <t>GYS5X6_7_UNITS</t>
  </si>
  <si>
    <t>HANFORD L.P.</t>
  </si>
  <si>
    <t>GWFPWR_6_UNIT</t>
  </si>
  <si>
    <t>HEP PEAKER PLANT AGGREGATE</t>
  </si>
  <si>
    <t>GWFPWR_1_UNITS</t>
  </si>
  <si>
    <t>GWF POWER SYSTEMS INC. #5</t>
  </si>
  <si>
    <t>GWFPW5_6_UNIT 1</t>
  </si>
  <si>
    <t>GWF POWER SYSTEMS INC. #4</t>
  </si>
  <si>
    <t>GWFPW4_6_UNIT 1</t>
  </si>
  <si>
    <t>GWF POWER SYSTEMS INC. #3</t>
  </si>
  <si>
    <t>GWFPW3_1_UNIT 1</t>
  </si>
  <si>
    <t>GWF POWER SYSTEMS INC. #2</t>
  </si>
  <si>
    <t>GWFPW2_1_UNIT 1</t>
  </si>
  <si>
    <t>GWF POWER SYSTEMS INC. #1</t>
  </si>
  <si>
    <t>GWFPW1_6_UNIT</t>
  </si>
  <si>
    <t>PE - BERKELEY, INC.</t>
  </si>
  <si>
    <t>GRZZLY_1_BERKLY</t>
  </si>
  <si>
    <t>SANTA CRUZ LANDFILL GENERATING PLANT</t>
  </si>
  <si>
    <t>GRNVLY_7_SCLAND</t>
  </si>
  <si>
    <t>GREENLEAF II COGEN</t>
  </si>
  <si>
    <t>GRNLF2_1_UNIT</t>
  </si>
  <si>
    <t>GREENLEAF #1 COGEN AGGREGATE</t>
  </si>
  <si>
    <t>GRNLF1_1_UNITS</t>
  </si>
  <si>
    <t>GRIZZLY HYDRO</t>
  </si>
  <si>
    <t>GRIZLY_1_UNIT 1</t>
  </si>
  <si>
    <t>GOLETA_6_TAJIGS</t>
  </si>
  <si>
    <t>Point Arguello Pipeline Company</t>
  </si>
  <si>
    <t>GOLETA_6_GAVOTA</t>
  </si>
  <si>
    <t>EXXON COMPANY USA</t>
  </si>
  <si>
    <t>GOLETA_6_EXGEN</t>
  </si>
  <si>
    <t>ELLWOOD ENERGY SUPPORT FACILITY</t>
  </si>
  <si>
    <t>GOLETA_6_ELLWOD</t>
  </si>
  <si>
    <t>GOLETA QFS</t>
  </si>
  <si>
    <t>GOLETA_2_QF</t>
  </si>
  <si>
    <t>SMALL QF AGGREGATION - PLACERVILLE</t>
  </si>
  <si>
    <t>GOLDHL_1_QF</t>
  </si>
  <si>
    <t>GLEN ARM UNIT 4</t>
  </si>
  <si>
    <t>GLNARM_7_UNIT 4</t>
  </si>
  <si>
    <t>GLEN ARM UNIT 3</t>
  </si>
  <si>
    <t>GLNARM_7_UNIT 3</t>
  </si>
  <si>
    <t>GLEN ARM UNIT 2</t>
  </si>
  <si>
    <t>GLNARM_7_UNIT 2</t>
  </si>
  <si>
    <t>GLEN ARM UNIT 1</t>
  </si>
  <si>
    <t>GLNARM_7_UNIT 1</t>
  </si>
  <si>
    <t>GILROY ENERGY CENTER, UNIT #3</t>
  </si>
  <si>
    <t>GILRPP_1_PL3X4</t>
  </si>
  <si>
    <t>GILROY ENERGY CENTER UNITS 1&amp;2 AGGREGATE</t>
  </si>
  <si>
    <t>GILRPP_1_PL1X2</t>
  </si>
  <si>
    <t>GILROY COGEN AGGREGATE</t>
  </si>
  <si>
    <t>GILROY_1_UNIT</t>
  </si>
  <si>
    <t>GEYSERS UNIT 20 (HEALDSBURG)</t>
  </si>
  <si>
    <t>GEYS20_7_UNIT20</t>
  </si>
  <si>
    <t>GEYSERS UNIT 18 (HEALDSBURG)</t>
  </si>
  <si>
    <t>GEYS18_7_UNIT18</t>
  </si>
  <si>
    <t>GEYSERS UNIT 17 (HEALDSBURG)</t>
  </si>
  <si>
    <t>GEYS17_7_UNIT17</t>
  </si>
  <si>
    <t>GEYS17_2_BOTRCK</t>
  </si>
  <si>
    <t>GEYSERS UNIT 16 (HEALDSBURG)</t>
  </si>
  <si>
    <t>GEYS16_7_UNIT16</t>
  </si>
  <si>
    <t>GEYSERS UNIT 14 (HEALDSBURG)</t>
  </si>
  <si>
    <t>GEYS14_7_UNIT14</t>
  </si>
  <si>
    <t>GEYSERS UNIT 13 (HEALDSBURG)</t>
  </si>
  <si>
    <t>GEYS13_7_UNIT13</t>
  </si>
  <si>
    <t>GEYSERS UNIT 12 (HEALDSBURG)</t>
  </si>
  <si>
    <t>GEYS12_7_UNIT12</t>
  </si>
  <si>
    <t>GEYSERS UNIT 11 (HEALDSBURG)</t>
  </si>
  <si>
    <t>GEYS11_7_UNIT11</t>
  </si>
  <si>
    <t>GATEWAY GENERATING STATION</t>
  </si>
  <si>
    <t>GATWAY_2_PL1X3</t>
  </si>
  <si>
    <t>Gates Peaker</t>
  </si>
  <si>
    <t>GATES_6_PL1X2</t>
  </si>
  <si>
    <t>GARNET WIND ENERGY CENTER</t>
  </si>
  <si>
    <t>GARNET_1_WIND</t>
  </si>
  <si>
    <t>GARNET GREEN POWER PROJECT AGGREGATE</t>
  </si>
  <si>
    <t>GARNET_1_UNITS</t>
  </si>
  <si>
    <t>SUNRAY ENERGY, INC. - SEGS 1</t>
  </si>
  <si>
    <t>GALE_1_SEGS1</t>
  </si>
  <si>
    <t>SMALL QF AGGREGATION - ZENIA</t>
  </si>
  <si>
    <t>FULTON_1_QF</t>
  </si>
  <si>
    <t>FTSWRD_7_QFUNTS</t>
  </si>
  <si>
    <t>FRITO-LAY</t>
  </si>
  <si>
    <t>FRITO_1_LAY</t>
  </si>
  <si>
    <t>FRIANT DAM</t>
  </si>
  <si>
    <t>FRIANT_6_UNITS</t>
  </si>
  <si>
    <t>HYPOWER, INC. (FORKS OF BUTTE)</t>
  </si>
  <si>
    <t>FORKBU_6_UNIT</t>
  </si>
  <si>
    <t>FORBESTOWN HYDRO</t>
  </si>
  <si>
    <t>FORBST_7_UNIT 1</t>
  </si>
  <si>
    <t>FRENCH MEADOWS HYDRO</t>
  </si>
  <si>
    <t>FMEADO_7_UNIT</t>
  </si>
  <si>
    <t>FMEADO_6_HELLHL</t>
  </si>
  <si>
    <t>SMALL QF AGGREGATION - LIVERMORE</t>
  </si>
  <si>
    <t>FLOWD2_2_UNIT 1</t>
  </si>
  <si>
    <t>DIABLO WINDS</t>
  </si>
  <si>
    <t>FLOWD2_2_FPLWND</t>
  </si>
  <si>
    <t>ALTAMONT POWER LLC (PARTNERS 1)</t>
  </si>
  <si>
    <t>FLOWD1_6_ALTPP1</t>
  </si>
  <si>
    <t>Fellow QF Aggregate</t>
  </si>
  <si>
    <t>FELLOW_7_QFUNTS</t>
  </si>
  <si>
    <t>ARCADIAN RENEWABLE POWER CORP</t>
  </si>
  <si>
    <t>FAYETT_1_UNIT</t>
  </si>
  <si>
    <t>FAIRHAVEN POWER CO.</t>
  </si>
  <si>
    <t>FAIRHV_6_UNIT</t>
  </si>
  <si>
    <t>EXCHEQUER HYDRO</t>
  </si>
  <si>
    <t>EXCHEC_7_UNIT 1</t>
  </si>
  <si>
    <t>ETIWND_7_UNIT 4</t>
  </si>
  <si>
    <t>ETIWND_7_UNIT 3</t>
  </si>
  <si>
    <t>MN Mid Valley Genco  LLC</t>
  </si>
  <si>
    <t>ETIWND_7_MIDVLY</t>
  </si>
  <si>
    <t>ETIWANDA RECOVERY HYDRO</t>
  </si>
  <si>
    <t>ETIWND_6_MWDETI</t>
  </si>
  <si>
    <t>ETIWND_6_GRPLND</t>
  </si>
  <si>
    <t>FONTANA RT SOLAR</t>
  </si>
  <si>
    <t>ETIWND_2_SOLAR</t>
  </si>
  <si>
    <t>ETIWANDA QFS</t>
  </si>
  <si>
    <t>ETIWND_2_QF</t>
  </si>
  <si>
    <t>FONTANALYTLE CREEK POWERHOUSE P</t>
  </si>
  <si>
    <t>ETIWND_2_FONTNA</t>
  </si>
  <si>
    <t>GOAL LINE L.P.</t>
  </si>
  <si>
    <t>ESCO_6_GLMQF</t>
  </si>
  <si>
    <t>CalPeak Power - Enterprise LLC</t>
  </si>
  <si>
    <t>ESCNDO_6_UNITB1</t>
  </si>
  <si>
    <t>MMC Escondido Aggregate</t>
  </si>
  <si>
    <t>ESCNDO_6_PL1X2</t>
  </si>
  <si>
    <t>ENCINA_7_GT1</t>
  </si>
  <si>
    <t>ENCINA_7_EA5</t>
  </si>
  <si>
    <t>ENCINA_7_EA4</t>
  </si>
  <si>
    <t>ENCINA_7_EA3</t>
  </si>
  <si>
    <t>ENCINA_7_EA2</t>
  </si>
  <si>
    <t>ENCINA_7_EA1</t>
  </si>
  <si>
    <t>ELSEGN_7_UNIT 4</t>
  </si>
  <si>
    <t>ELSEGN_7_UNIT 3</t>
  </si>
  <si>
    <t>El Nido Biomass to Energy</t>
  </si>
  <si>
    <t>ELNIDP_6_BIOMAS</t>
  </si>
  <si>
    <t>ELLIS QFS</t>
  </si>
  <si>
    <t>ELLIS_2_QF</t>
  </si>
  <si>
    <t>ELK HILLS COMBINED CYCLE (AGGREGATE)</t>
  </si>
  <si>
    <t>ELKHIL_2_PL1X3</t>
  </si>
  <si>
    <t>STONEY GORGE HYDRO AGGREGATE</t>
  </si>
  <si>
    <t>ELKCRK_6_STONYG</t>
  </si>
  <si>
    <t>ELECTRA PH UNIT 1 &amp; 2 AGGREGATE</t>
  </si>
  <si>
    <t>ELECTR_7_PL1X3</t>
  </si>
  <si>
    <t>El Dorado Unit 2</t>
  </si>
  <si>
    <t>ELDORO_7_UNIT 2</t>
  </si>
  <si>
    <t>El Dorado Unit 1</t>
  </si>
  <si>
    <t>ELDORO_7_UNIT 1</t>
  </si>
  <si>
    <t>EL CAJON</t>
  </si>
  <si>
    <t>ELCAJN_7_GT1</t>
  </si>
  <si>
    <t>CalPeak Power - El Cajon LLC</t>
  </si>
  <si>
    <t>ELCAJN_6_UNITA1</t>
  </si>
  <si>
    <t xml:space="preserve">El Cajon Energy Center </t>
  </si>
  <si>
    <t>ELCAJN_6_LM6K</t>
  </si>
  <si>
    <t>NORTH CITY UNIT (EASTGATE)</t>
  </si>
  <si>
    <t>EGATE_7_NOCITY</t>
  </si>
  <si>
    <t>EDMONS_2_NSPIN</t>
  </si>
  <si>
    <t>EASTWOOD PUMP-GEN</t>
  </si>
  <si>
    <t>EASTWD_7_UNIT</t>
  </si>
  <si>
    <t>DEVIL CANYON HYDRO UNITS 1-4 AGGREGATE</t>
  </si>
  <si>
    <t>DVLCYN_1_UNITS</t>
  </si>
  <si>
    <t>DUTCH FLAT 2 PH</t>
  </si>
  <si>
    <t>DUTCH2_7_UNIT 1</t>
  </si>
  <si>
    <t>DUTCH FLAT 1 PH</t>
  </si>
  <si>
    <t>DUTCH1_7_UNIT 1</t>
  </si>
  <si>
    <t>DONALD VON RAESFELD POWER PROJECT</t>
  </si>
  <si>
    <t>DUANE_1_PL1X3</t>
  </si>
  <si>
    <t>De Sabla Hydro</t>
  </si>
  <si>
    <t>DSABLA_7_UNIT</t>
  </si>
  <si>
    <t>DRUM PH 2 UNIT 5</t>
  </si>
  <si>
    <t>DRUM_7_UNIT 5</t>
  </si>
  <si>
    <t>Drum PH 1 Units 3 &amp; 4 Aggregate</t>
  </si>
  <si>
    <t>DRUM_7_PL3X4</t>
  </si>
  <si>
    <t>Drum PH 1 Units 1 &amp; 2 Aggregate</t>
  </si>
  <si>
    <t>DRUM_7_PL1X2</t>
  </si>
  <si>
    <t>DREWS UNIT AGGREGATE</t>
  </si>
  <si>
    <t>DREWS_6_PL1X4</t>
  </si>
  <si>
    <t>DOUBLE "C" LIMITED</t>
  </si>
  <si>
    <t>DOUBLC_1_UNITS</t>
  </si>
  <si>
    <t>DOSMGO_2_NSPIN</t>
  </si>
  <si>
    <t>DONNELLS HYDRO</t>
  </si>
  <si>
    <t>DONNLS_7_UNIT</t>
  </si>
  <si>
    <t>DIAMOND VALLEY LAKE PUMP-GEN PLANT</t>
  </si>
  <si>
    <t>DMDVLY_1_UNITS</t>
  </si>
  <si>
    <t>DIVISION NAVAL STATION COGEN</t>
  </si>
  <si>
    <t>DIVSON_6_NSQF</t>
  </si>
  <si>
    <t>CHEVRON USA (EASTRIDGE)</t>
  </si>
  <si>
    <t>DISCOV_1_CHEVRN</t>
  </si>
  <si>
    <t>DINUBA GENERATION PROJECT</t>
  </si>
  <si>
    <t>DINUBA_6_UNIT</t>
  </si>
  <si>
    <t>DIABLO_7_UNIT 2</t>
  </si>
  <si>
    <t>DIABLO_7_UNIT 1</t>
  </si>
  <si>
    <t>DAI / OILDALE , INC.</t>
  </si>
  <si>
    <t>DEXZEL_1_UNIT</t>
  </si>
  <si>
    <t>DEVERS QFS</t>
  </si>
  <si>
    <t>DEVERS_1_QF</t>
  </si>
  <si>
    <t>DELTA ENERGY CENTER AGGREGATE</t>
  </si>
  <si>
    <t>DELTA_2_PL1X4</t>
  </si>
  <si>
    <t>DEER CREEK</t>
  </si>
  <si>
    <t>DEERCR_6_UNIT 1</t>
  </si>
  <si>
    <t>DEADCK_1_UNIT</t>
  </si>
  <si>
    <t>MM Yolo Power LLC</t>
  </si>
  <si>
    <t>DAVIS_7_MNMETH</t>
  </si>
  <si>
    <t>CWATER_7_UNIT 4</t>
  </si>
  <si>
    <t>CWATER_7_UNIT 3</t>
  </si>
  <si>
    <t>CWATER_7_UNIT 2</t>
  </si>
  <si>
    <t>CWATER_7_UNIT 1</t>
  </si>
  <si>
    <t>SMALL QF AGGREGATION - MERCED</t>
  </si>
  <si>
    <t>CURIS_1_QF</t>
  </si>
  <si>
    <t>SMALL QF AGGREGATION - BURNEY</t>
  </si>
  <si>
    <t>CTNWDP_1_QF</t>
  </si>
  <si>
    <t>Castroville QF Aggregate</t>
  </si>
  <si>
    <t>CSTRVL_7_QFUNTS</t>
  </si>
  <si>
    <t>Marina Land Fill Gas</t>
  </si>
  <si>
    <t>CSTRVL_7_PL1X2</t>
  </si>
  <si>
    <t>GIANERA PEAKER UNIT 2</t>
  </si>
  <si>
    <t>CSCGNR_1_UNIT 2</t>
  </si>
  <si>
    <t>GIANERA PEAKER UNIT 1</t>
  </si>
  <si>
    <t>CSCGNR_1_UNIT 1</t>
  </si>
  <si>
    <t>SANTA CLARA CO-GEN</t>
  </si>
  <si>
    <t>CSCCOG_1_UNIT 1</t>
  </si>
  <si>
    <t>Kumeyaay Wind Farm</t>
  </si>
  <si>
    <t>CRSTWD_6_KUMYAY</t>
  </si>
  <si>
    <t>CROCKETT COGEN</t>
  </si>
  <si>
    <t>CROKET_7_UNIT</t>
  </si>
  <si>
    <t>SAN JOAQUIN 3</t>
  </si>
  <si>
    <t>CRNEVL_6_SJQN 3</t>
  </si>
  <si>
    <t>SAN JOAQUIN 2</t>
  </si>
  <si>
    <t>CRNEVL_6_SJQN 2</t>
  </si>
  <si>
    <t xml:space="preserve">Crane Valley </t>
  </si>
  <si>
    <t>CRNEVL_6_CRNVA</t>
  </si>
  <si>
    <t>CRESTA PH UNIT 1 &amp; 2 AGGREGATE</t>
  </si>
  <si>
    <t>CRESTA_7_PL1X2</t>
  </si>
  <si>
    <t>MERCED ID (PARKER)</t>
  </si>
  <si>
    <t>CRESSY_1_PARKER</t>
  </si>
  <si>
    <t>PRIMA DESCHECHA (CAPISTRANO)</t>
  </si>
  <si>
    <t>CPSTNO_7_PRMADS</t>
  </si>
  <si>
    <t>Cow Creek Hydro</t>
  </si>
  <si>
    <t>COWCRK_2_UNIT</t>
  </si>
  <si>
    <t>COVE ROAD HYDRO QF UNITS</t>
  </si>
  <si>
    <t>COVERD_2_QFUNTS</t>
  </si>
  <si>
    <t>FRANKENHEIMER</t>
  </si>
  <si>
    <t>COTTLE_2_FRNKNH</t>
  </si>
  <si>
    <t>Clearwater Power Plant</t>
  </si>
  <si>
    <t>CORONS_6_CLRWTR</t>
  </si>
  <si>
    <t>RUSH CREEK</t>
  </si>
  <si>
    <t>CONTRL_1_RUSHCK</t>
  </si>
  <si>
    <t>CONTROL QFS</t>
  </si>
  <si>
    <t>CONTRL_1_QF</t>
  </si>
  <si>
    <t>POOLE HYDRO PLANT 1</t>
  </si>
  <si>
    <t>CONTRL_1_POOLE</t>
  </si>
  <si>
    <t>OXBOW GEOTHERMAL CORPORATION</t>
  </si>
  <si>
    <t>CONTRL_1_OXBOW</t>
  </si>
  <si>
    <t>LUNDY</t>
  </si>
  <si>
    <t>CONTRL_1_LUNDY</t>
  </si>
  <si>
    <t>CONTAINER CORP. OF AMERICA</t>
  </si>
  <si>
    <t>CONTAN_1_UNIT</t>
  </si>
  <si>
    <t>COLLIERVILLE HYDRO UNIT 1 &amp; 2 AGGREGATE</t>
  </si>
  <si>
    <t>COLVIL_7_PL1X2</t>
  </si>
  <si>
    <t>AGUA MANSA UNIT 1 (CITY OF COLTON)</t>
  </si>
  <si>
    <t>COLTON_6_AGUAM1</t>
  </si>
  <si>
    <t>COLLINS PINE</t>
  </si>
  <si>
    <t>COLPIN_6_COLLNS</t>
  </si>
  <si>
    <t>COLGATE HYDRO UNIT 2</t>
  </si>
  <si>
    <t>COLGAT_7_UNIT 2</t>
  </si>
  <si>
    <t>COLGATE HYDRO UNIT 1</t>
  </si>
  <si>
    <t>COLGAT_7_UNIT 1</t>
  </si>
  <si>
    <t>COALINGA COGENERATION COMPANY</t>
  </si>
  <si>
    <t>COLGA1_6_SHELLW</t>
  </si>
  <si>
    <t>Coleman</t>
  </si>
  <si>
    <t>COLEMN_2_UNIT</t>
  </si>
  <si>
    <t>POSDEF (COGEN NATIONAL)</t>
  </si>
  <si>
    <t>COGNAT_1_UNIT</t>
  </si>
  <si>
    <t>COCOPP_7_UNIT 7</t>
  </si>
  <si>
    <t>COCOPP_7_UNIT 6</t>
  </si>
  <si>
    <t>Centerville</t>
  </si>
  <si>
    <t>CNTRVL_6_UNIT</t>
  </si>
  <si>
    <t>SMALL QF AGGREGATION - OAKLAND</t>
  </si>
  <si>
    <t>CLRMTK_1_QF</t>
  </si>
  <si>
    <t>Lime Saddle Hydro</t>
  </si>
  <si>
    <t>CLRKRD_6_LIMESD</t>
  </si>
  <si>
    <t>COAL CANYON HYDRO</t>
  </si>
  <si>
    <t>CLRKRD_6_COALCN</t>
  </si>
  <si>
    <t>MEGA HYDRO #1 (CLOVER CREEK)</t>
  </si>
  <si>
    <t>CLOVER_2_UNIT</t>
  </si>
  <si>
    <t>CHOW 2 PEAKER PLANT</t>
  </si>
  <si>
    <t>CHWCHL_1_UNIT</t>
  </si>
  <si>
    <t>Chow II Biomass to Energy</t>
  </si>
  <si>
    <t>CHWCHL_1_BIOMAS</t>
  </si>
  <si>
    <t>MN Milliken Genco LLC</t>
  </si>
  <si>
    <t>CHINO_7_MILIKN</t>
  </si>
  <si>
    <t>SIMPSON PAPER</t>
  </si>
  <si>
    <t>CHINO_6_SMPPAP</t>
  </si>
  <si>
    <t>O.L.S. ENERGY COMPANY -- CHINO</t>
  </si>
  <si>
    <t>CHINO_6_CIMGEN</t>
  </si>
  <si>
    <t>Chino RT Solar 1</t>
  </si>
  <si>
    <t>CHINO_2_SOLAR</t>
  </si>
  <si>
    <t>CHINO QFS</t>
  </si>
  <si>
    <t>CHINO_2_QF</t>
  </si>
  <si>
    <t>GAS RECOVERY SYS. (SYCAMORE CANYON)</t>
  </si>
  <si>
    <t>CHILLS_7_UNITA1</t>
  </si>
  <si>
    <t>SYCAMORE LANDFILL</t>
  </si>
  <si>
    <t>CHILLS_1_SYCLFL</t>
  </si>
  <si>
    <t>CHICAGO PARK 1, BEAR RIVER CA</t>
  </si>
  <si>
    <t>CHICPK_7_UNIT 1</t>
  </si>
  <si>
    <t>CHEVRON U.S.A. UNITS 1 &amp; 2 AGGREGATE</t>
  </si>
  <si>
    <t>CHEVMN_2_UNITS</t>
  </si>
  <si>
    <t>CHEVRON USA (CYMRIC)</t>
  </si>
  <si>
    <t>CHEVCY_1_UNIT</t>
  </si>
  <si>
    <t>AERA ENERGY LLC. (COALINGA)</t>
  </si>
  <si>
    <t>CHEVCO_6_UNIT 2</t>
  </si>
  <si>
    <t>CHEVRON USA (COALINGA)</t>
  </si>
  <si>
    <t>CHEVCO_6_UNIT 1</t>
  </si>
  <si>
    <t>CHEVRON USA (TAFT/CADET)</t>
  </si>
  <si>
    <t>CHEVCD_6_UNIT</t>
  </si>
  <si>
    <t>CHALK CLIFF LIMITED</t>
  </si>
  <si>
    <t>CHALK_1_UNIT</t>
  </si>
  <si>
    <t>CENTURY GENERATING PLANT (AGGREGATE)</t>
  </si>
  <si>
    <t>CENTRY_6_PL1X4</t>
  </si>
  <si>
    <t>CENTER_6_PEAKER</t>
  </si>
  <si>
    <t>MWD Rio Hondo Hydroelectric Recovery Pla</t>
  </si>
  <si>
    <t>CENTER_2_RHONDO</t>
  </si>
  <si>
    <t>CENTER QFS</t>
  </si>
  <si>
    <t>CENTER_2_QF</t>
  </si>
  <si>
    <t>CEDRCK_6_UNIT</t>
  </si>
  <si>
    <t>CDWR07_2_GEN</t>
  </si>
  <si>
    <t>Rancho Penasquitos Hydro Facility</t>
  </si>
  <si>
    <t>CCRITA_7_RPPCHF</t>
  </si>
  <si>
    <t>POINT LOMA SEWAGE TREATMENT PLANT</t>
  </si>
  <si>
    <t>CBRLLO_6_PLSTP1</t>
  </si>
  <si>
    <t>CARDINAL COGEN</t>
  </si>
  <si>
    <t>CARDCG_1_UNITS</t>
  </si>
  <si>
    <t>CARIBOU PH 1 UNIT 1</t>
  </si>
  <si>
    <t>CARBOU_7_UNIT 1</t>
  </si>
  <si>
    <t>CARIBOU PH 2 UNIT 4 &amp; 5 AGGREGATE</t>
  </si>
  <si>
    <t>CARBOU_7_PL4X5</t>
  </si>
  <si>
    <t>CARIBOU PH 1 UNIT 2 &amp; 3 AGGREGATE</t>
  </si>
  <si>
    <t>CARBOU_7_PL2X3</t>
  </si>
  <si>
    <t>CAPCO MADERA Power Plant</t>
  </si>
  <si>
    <t>CAPMAD_1_UNIT 1</t>
  </si>
  <si>
    <t>GATX/CALPINE COGEN-AGNEWS INC.</t>
  </si>
  <si>
    <t>CALPIN_1_AGNEW</t>
  </si>
  <si>
    <t>COSO Finance Partners (Navy 1)</t>
  </si>
  <si>
    <t>CALGEN_1_UNITS</t>
  </si>
  <si>
    <t>Cabazon Wind Project</t>
  </si>
  <si>
    <t>CABZON_1_WINDA1</t>
  </si>
  <si>
    <t>BUTT VALLEY HYDRO</t>
  </si>
  <si>
    <t>BUTTVL_7_UNIT 1</t>
  </si>
  <si>
    <t>Burney Forest Power</t>
  </si>
  <si>
    <t>BURNYF_2_UNIT 1</t>
  </si>
  <si>
    <t>SAINT AGNES MED. CTR</t>
  </si>
  <si>
    <t>BULLRD_7_SAGNES</t>
  </si>
  <si>
    <t>Wintec Energy, Ltd.</t>
  </si>
  <si>
    <t>BUCKWD_7_WINTCV</t>
  </si>
  <si>
    <t>BUCKS CREEK AGGREGATE</t>
  </si>
  <si>
    <t>BUCKCK_7_PL1X2</t>
  </si>
  <si>
    <t>Oak Flat</t>
  </si>
  <si>
    <t>BUCKCK_7_OAKFLT</t>
  </si>
  <si>
    <t>Buck Blvd</t>
  </si>
  <si>
    <t>BUCKBL_2_PL1X3</t>
  </si>
  <si>
    <t>BROADWAY UNIT 3</t>
  </si>
  <si>
    <t>BRDWAY_7_UNIT 3</t>
  </si>
  <si>
    <t>SHILOH WIND PROJECT 2</t>
  </si>
  <si>
    <t>BRDSLD_2_SHILO2</t>
  </si>
  <si>
    <t>Shiloh I Wind Project</t>
  </si>
  <si>
    <t>BRDSLD_2_SHILO1</t>
  </si>
  <si>
    <t>High Winds Energy Center</t>
  </si>
  <si>
    <t>BRDSLD_2_HIWIND</t>
  </si>
  <si>
    <t>BAKER STATION ASSOCIATES, LP HYDRO</t>
  </si>
  <si>
    <t>BRDGVL_7_BAKER</t>
  </si>
  <si>
    <t>BOWMAN</t>
  </si>
  <si>
    <t>BOWMN_6_UNIT</t>
  </si>
  <si>
    <t>CalPeak Power - Border LLC</t>
  </si>
  <si>
    <t>BORDER_6_UNITA1</t>
  </si>
  <si>
    <t>SMALL QF AGGREGATION - MADERA</t>
  </si>
  <si>
    <t>BORDEN_2_QF</t>
  </si>
  <si>
    <t>Feather River Energy Center, Unit #1</t>
  </si>
  <si>
    <t>BOGUE_1_UNITA1</t>
  </si>
  <si>
    <t>ALTA POWER HOUSE</t>
  </si>
  <si>
    <t>BNNIEN_7_ALTAPH</t>
  </si>
  <si>
    <t>Blythe Solar 1 Project</t>
  </si>
  <si>
    <t>BLYTHE_1_SOLAR1</t>
  </si>
  <si>
    <t>COSO ENERGY DEVELOPERS (BLM)</t>
  </si>
  <si>
    <t>BLM_2_UNITS</t>
  </si>
  <si>
    <t>GAS RECOVERY SYS. (MENLO PARK)</t>
  </si>
  <si>
    <t>BLHVN_7_MENLOP</t>
  </si>
  <si>
    <t>BLACK BUTTE HYDRO</t>
  </si>
  <si>
    <t>BLCKBT_2_STONEY</t>
  </si>
  <si>
    <t>JAMES B. BLACK 2</t>
  </si>
  <si>
    <t>BLACK_7_UNIT 2</t>
  </si>
  <si>
    <t>JAMES B. BLACK 1</t>
  </si>
  <si>
    <t>BLACK_7_UNIT 1</t>
  </si>
  <si>
    <t>BISHOP CREEK PLANT 3  AND  4</t>
  </si>
  <si>
    <t>BISHOP_1_UNITS</t>
  </si>
  <si>
    <t>BISHOP CREEK PLANT 2  AND  6</t>
  </si>
  <si>
    <t>BISHOP_1_ALAMO</t>
  </si>
  <si>
    <t>WOODLAND BIOMASS</t>
  </si>
  <si>
    <t>BIOMAS_1_UNIT 1</t>
  </si>
  <si>
    <t>BIG CREEK HYDRO PROJECT PSP</t>
  </si>
  <si>
    <t>BIGCRK_2_EXESWD</t>
  </si>
  <si>
    <t>BELDEN HYDRO</t>
  </si>
  <si>
    <t>BELDEN_7_UNIT 1</t>
  </si>
  <si>
    <t>BEAR MOUNTAIN LIMITED</t>
  </si>
  <si>
    <t>BEARMT_1_UNIT</t>
  </si>
  <si>
    <t>BEARDSLEY HYDRO</t>
  </si>
  <si>
    <t>BEARDS_7_UNIT 1</t>
  </si>
  <si>
    <t>GEYSERS BEAR CANYON AGGREGATE</t>
  </si>
  <si>
    <t>BEARCN_2_UNITS</t>
  </si>
  <si>
    <t>BADGER CREEK LIMITED</t>
  </si>
  <si>
    <t>BDGRCK_1_UNITS</t>
  </si>
  <si>
    <t>CALPINE  AMERICAN  I COGEN.</t>
  </si>
  <si>
    <t>BASICE_2_UNITS</t>
  </si>
  <si>
    <t>BARRE_6_PEAKER</t>
  </si>
  <si>
    <t>BARRE QFS</t>
  </si>
  <si>
    <t>BARRE_2_QF</t>
  </si>
  <si>
    <t>BANKPP_2_NSPIN</t>
  </si>
  <si>
    <t>BALCH 2 PH UNIT 3</t>
  </si>
  <si>
    <t>BALCHS_7_UNIT 3</t>
  </si>
  <si>
    <t>BALCH 2 PH UNIT 2</t>
  </si>
  <si>
    <t>BALCHS_7_UNIT 2</t>
  </si>
  <si>
    <t>BALCH 1 PH UNIT 1</t>
  </si>
  <si>
    <t>BALCHS_7_UNIT 1</t>
  </si>
  <si>
    <t>WATSON COGENERATION COMPANY</t>
  </si>
  <si>
    <t>ARCOGN_2_UNITS</t>
  </si>
  <si>
    <t>APEX_2_MIRDYN</t>
  </si>
  <si>
    <t>ANTELOPE QFS</t>
  </si>
  <si>
    <t>ANTLPE_2_QF</t>
  </si>
  <si>
    <t>ANAHEIM COMBUSTION TURBINE</t>
  </si>
  <si>
    <t>ANAHM_7_CT</t>
  </si>
  <si>
    <t>ALTAMONT MIDWAY LTD.</t>
  </si>
  <si>
    <t>ALTMID_2_UNIT 1</t>
  </si>
  <si>
    <t>ALAMEDA GT UNIT 2</t>
  </si>
  <si>
    <t>ALMEGT_1_UNIT 2</t>
  </si>
  <si>
    <t>ALAMEDA GT UNIT 1</t>
  </si>
  <si>
    <t>ALMEGT_1_UNIT 1</t>
  </si>
  <si>
    <t xml:space="preserve">ALAMO POWER PLANT </t>
  </si>
  <si>
    <t>ALAMO_6_UNIT</t>
  </si>
  <si>
    <t>ALAMITOS GEN STA. UNIT 6</t>
  </si>
  <si>
    <t>ALAMIT_7_UNIT 6</t>
  </si>
  <si>
    <t>ALAMITOS GEN STA. UNIT 5</t>
  </si>
  <si>
    <t>ALAMIT_7_UNIT 5</t>
  </si>
  <si>
    <t>ALAMITOS GEN STA. UNIT 4</t>
  </si>
  <si>
    <t>ALAMIT_7_UNIT 4</t>
  </si>
  <si>
    <t>ALAMITOS GEN STA. UNIT 3</t>
  </si>
  <si>
    <t>ALAMIT_7_UNIT 3</t>
  </si>
  <si>
    <t>ALAMITOS GEN STA. UNIT 2</t>
  </si>
  <si>
    <t>ALAMIT_7_UNIT 2</t>
  </si>
  <si>
    <t>ALAMITOS GEN STA. UNIT 1</t>
  </si>
  <si>
    <t>ALAMIT_7_UNIT 1</t>
  </si>
  <si>
    <t>Fresno Cogen</t>
  </si>
  <si>
    <t>AGRICO_7_UNIT</t>
  </si>
  <si>
    <t>Fresno Peaker AG PL3N5 ICE5</t>
  </si>
  <si>
    <t>AGRICO_6_PL3N5</t>
  </si>
  <si>
    <t>GEYSERS AIDLIN AGGREGATE</t>
  </si>
  <si>
    <t>ADLIN_1_UNITS</t>
  </si>
  <si>
    <t>Calculation By:</t>
  </si>
  <si>
    <t>Max Deliverability Study MW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</si>
  <si>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</si>
  <si>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</si>
  <si>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</si>
  <si>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</si>
  <si>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</si>
  <si>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</si>
  <si>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</si>
  <si>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</si>
  <si>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</si>
  <si>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</si>
  <si>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</si>
  <si>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</si>
  <si>
    <t>NQC</t>
  </si>
  <si>
    <t>Generator Type</t>
  </si>
  <si>
    <t>Zone</t>
  </si>
  <si>
    <t>LCR Area</t>
  </si>
  <si>
    <t>Path 26</t>
  </si>
  <si>
    <t xml:space="preserve"> Resource Name</t>
  </si>
  <si>
    <t>2011 Preliminary NQC Information</t>
  </si>
  <si>
    <t>ctExistingNQC</t>
  </si>
  <si>
    <t>month</t>
  </si>
  <si>
    <t>Cogeneration</t>
  </si>
  <si>
    <t>ctPlants</t>
  </si>
  <si>
    <t>OTC Generator</t>
  </si>
  <si>
    <t>MW</t>
  </si>
  <si>
    <t>Existing Generation - Net Qualifying Capacity</t>
  </si>
  <si>
    <t>Imports</t>
  </si>
  <si>
    <t>Maximum Available Exports</t>
  </si>
  <si>
    <t>Northern California</t>
  </si>
  <si>
    <t>Southern California</t>
  </si>
  <si>
    <t>Exports</t>
  </si>
  <si>
    <t>Available Capacity</t>
  </si>
  <si>
    <t>Surplus (Shortfall)</t>
  </si>
  <si>
    <t>Share of CAISO System Resources</t>
  </si>
  <si>
    <t>(NP26)</t>
  </si>
  <si>
    <t>(SP26)</t>
  </si>
  <si>
    <t>(San Diego)</t>
  </si>
  <si>
    <t>Resource Classification</t>
  </si>
  <si>
    <t>CPUC Discounted Core projects</t>
  </si>
  <si>
    <t>Projects based on non-Discounted Core IOU contracts</t>
  </si>
  <si>
    <t>Generic projects (RETI/E3)</t>
  </si>
  <si>
    <t>Projects based on non-IOU contracts</t>
  </si>
  <si>
    <t>Resource Cost and Performance</t>
  </si>
  <si>
    <t>Installation Schedule (GWh Added in Each Year)</t>
  </si>
  <si>
    <t>Scenario</t>
  </si>
  <si>
    <t>Technology</t>
  </si>
  <si>
    <t>Sub-Technology</t>
  </si>
  <si>
    <t>Origin Zone (CREZ)</t>
  </si>
  <si>
    <t>Busbar Cost (2010 $/MWh)</t>
  </si>
  <si>
    <t>ctRPSproj</t>
  </si>
  <si>
    <t>Maximum RA Import Capacity</t>
  </si>
  <si>
    <t>Zeroed out NQC capacity for APEX_2_MIRDYN (captured in import capability)</t>
  </si>
  <si>
    <t>Zeroed out NQC capacity for MRCHNT_2_MELDYN (captured in import capability)</t>
  </si>
  <si>
    <t>Zeroed out NQC capacity for MSQUIT_5_SERDYN (captured in import capability)</t>
  </si>
  <si>
    <t>Zeroed out NQC capacity for SUTTER_2_PL1X3 (captured in import capability)</t>
  </si>
  <si>
    <t>Reserve Margin</t>
  </si>
  <si>
    <t>NQC Capacity Excluded from PRM Calculation</t>
  </si>
  <si>
    <t>Note</t>
  </si>
  <si>
    <t>Capacity accounted for in import capability</t>
  </si>
  <si>
    <t>CAISO Reserve Margin Calculation</t>
  </si>
  <si>
    <t>Net  Available RA Import Capability</t>
  </si>
  <si>
    <t>Subtotal, PG&amp;E</t>
  </si>
  <si>
    <t>Subtotal, SCE</t>
  </si>
  <si>
    <t>Subtotal, SDG&amp;E</t>
  </si>
  <si>
    <t>Minimum PRM</t>
  </si>
  <si>
    <t>Capacity Resources by Type (MW)</t>
  </si>
  <si>
    <t>Variable Name</t>
  </si>
  <si>
    <t>Lookup</t>
  </si>
  <si>
    <t>Unit</t>
  </si>
  <si>
    <t>GWh</t>
  </si>
  <si>
    <t>ctScen</t>
  </si>
  <si>
    <t>scenario</t>
  </si>
  <si>
    <t>Trajectory</t>
  </si>
  <si>
    <t>Environmental</t>
  </si>
  <si>
    <t>Cost</t>
  </si>
  <si>
    <t>Time</t>
  </si>
  <si>
    <t>(used in CPUC L&amp;R tables)</t>
  </si>
  <si>
    <t>Removed CalRENEW-1(A) / Cal RENEW-1
LLC/Cal RENEW-1 LLC from Planned Additions (surplus RPS resource)</t>
  </si>
  <si>
    <t>Removed Copper Mountain Solar 1 Pseudo Tie
PILOT/El Dorado Energy LLC from Planned Additions (surplus RPS resource)</t>
  </si>
  <si>
    <t>Removed Vaca-Dixon Solar Station from Planned Additions (surplus RPS resource)</t>
  </si>
  <si>
    <t>Removed Blythe Solar I Project/FSE Blythe 1,
LLC from Planned Additions (surplus RPS resource)</t>
  </si>
  <si>
    <t>Removed Calabasas Gas To Energy Facility /
LACSD/County Sanitation District No. 2
of Los Angeles County from Planned Additions (surplus RPS resource)</t>
  </si>
  <si>
    <t>Removed Chino RT Solar Project/Southern
California Edison from Planned Additions (surplus RPS resource)</t>
  </si>
  <si>
    <t>Removed Chiquita Canyon Landfill / Ameresco
Chiquita Energy, LLC/Ameresco
Chiquita Energy, LLC from Planned Additions (surplus RPS resource)</t>
  </si>
  <si>
    <t>Removed Inland Empire Unit 2 from Planned Additions (surplus RPS resource)</t>
  </si>
  <si>
    <t>Removed Rialto RT Solar/Southern California
Edison from Planned Additions (surplus RPS resource)</t>
  </si>
  <si>
    <t>Removed Santa Cruz Landfill G-T-E
Facility/Santa Cruz Energy LLC from Planned Additions (surplus RPS resource)</t>
  </si>
  <si>
    <t>Removed Sierra Solar Generating Station/Sierra
SunTower, LLC from Planned Additions (surplus RPS resource)</t>
  </si>
  <si>
    <t>Changes to CPUC assumptions</t>
  </si>
  <si>
    <t>Removed Ocotillo capacity addition (double counting with Sentinel capacity)</t>
  </si>
  <si>
    <t>SDGE</t>
  </si>
  <si>
    <t>CAISO</t>
  </si>
  <si>
    <t>Generic RPS Portfolio Additions</t>
  </si>
  <si>
    <t>Resource mix used to meet net short post 2020</t>
  </si>
  <si>
    <t>Capacity Factor</t>
  </si>
  <si>
    <t>NQC %</t>
  </si>
  <si>
    <t>NQC Capacity (MW)</t>
  </si>
  <si>
    <t>PlantScen</t>
  </si>
  <si>
    <t>LCR Resources - SCE</t>
  </si>
  <si>
    <t>Summary of Conventional Generation Additions and Retirements</t>
  </si>
  <si>
    <t>LoadScen</t>
  </si>
  <si>
    <t>Other CAISO</t>
  </si>
  <si>
    <t>Category</t>
  </si>
  <si>
    <t>Total CAISO NQC</t>
  </si>
  <si>
    <t>Subtotal, CAISO</t>
  </si>
  <si>
    <t>Generic Additions to Maintain Compliance Post-2020</t>
  </si>
  <si>
    <t>Total NQC from New RPS Resources (MW)</t>
  </si>
  <si>
    <t>CAISO Generic Additions (NQC MW)</t>
  </si>
  <si>
    <t>Scenario-Defined RPS Resources</t>
  </si>
  <si>
    <t>Gas</t>
  </si>
  <si>
    <t>New Conventional Resources</t>
  </si>
  <si>
    <t>New RPS Resources</t>
  </si>
  <si>
    <t>Total RPS Additions</t>
  </si>
  <si>
    <t>Total Conventional Additions</t>
  </si>
  <si>
    <t>DRAFT PRM Calculator</t>
  </si>
  <si>
    <t>Date</t>
  </si>
  <si>
    <t>Filename</t>
  </si>
  <si>
    <t>Active Scenario</t>
  </si>
  <si>
    <t>PG0714</t>
  </si>
  <si>
    <t>Fairmont</t>
  </si>
  <si>
    <t>PG0816</t>
  </si>
  <si>
    <t>03Aug2008_58</t>
  </si>
  <si>
    <t>03Aug2008_59</t>
  </si>
  <si>
    <t>03Aug2008_60</t>
  </si>
  <si>
    <t>03Aug2008_61</t>
  </si>
  <si>
    <t>03Aug2008_65</t>
  </si>
  <si>
    <t>03Aug2008_69</t>
  </si>
  <si>
    <t>14Aug2008_205</t>
  </si>
  <si>
    <t>stcec2-15</t>
  </si>
  <si>
    <t>stcec2-18</t>
  </si>
  <si>
    <t>stcec2-19</t>
  </si>
  <si>
    <t>stcec2-39</t>
  </si>
  <si>
    <t>RPS Target (% of Sales)</t>
  </si>
  <si>
    <t>RPS Compliance Obligation (GWh)</t>
  </si>
  <si>
    <t>Service Area RPS Requirement</t>
  </si>
  <si>
    <t>Existing Resources</t>
  </si>
  <si>
    <t>Physical Procurement</t>
  </si>
  <si>
    <t>Annual Surplus/(Deficit)</t>
  </si>
  <si>
    <t>Flexible Compliance Tracking (GWh)</t>
  </si>
  <si>
    <t>Carryover from Previous Year</t>
  </si>
  <si>
    <t>Credits Banked</t>
  </si>
  <si>
    <t>Credits Redeemed</t>
  </si>
  <si>
    <t>Balance</t>
  </si>
  <si>
    <t>Remaining Compliance Gap (GWh)</t>
  </si>
  <si>
    <t>Total Generation (GWh)</t>
  </si>
  <si>
    <t>Percent in IOU Portfolio</t>
  </si>
  <si>
    <t>Combined Service Area</t>
  </si>
  <si>
    <t>Post-2020 RPS Procurement (GWh)</t>
  </si>
  <si>
    <t>All Gas</t>
  </si>
  <si>
    <t>PG&amp;E Wind</t>
  </si>
  <si>
    <t>PG&amp;E Wind 2</t>
  </si>
  <si>
    <t>PG&amp;E PV</t>
  </si>
  <si>
    <t>PG&amp;E PV 2</t>
  </si>
  <si>
    <t>PG&amp;E ST</t>
  </si>
  <si>
    <t>PG&amp;E Hydro</t>
  </si>
  <si>
    <t>PG&amp;E Biomass</t>
  </si>
  <si>
    <t>PG&amp;E ST 2</t>
  </si>
  <si>
    <t>PG&amp;E Wind 3</t>
  </si>
  <si>
    <t>PG&amp;E Wind 4</t>
  </si>
  <si>
    <t>PG&amp;E PV 3</t>
  </si>
  <si>
    <t>PG&amp;E Geothermal</t>
  </si>
  <si>
    <t>PG&amp;E PV 4</t>
  </si>
  <si>
    <t>PG&amp;E ST 3</t>
  </si>
  <si>
    <t>PG&amp;E Hydro 2</t>
  </si>
  <si>
    <t>PG&amp;E PV 5</t>
  </si>
  <si>
    <t>PG&amp;E Wind 5</t>
  </si>
  <si>
    <t>PG&amp;E Hydro 3</t>
  </si>
  <si>
    <t>PG&amp;E PV 6</t>
  </si>
  <si>
    <t>PG&amp;E Wind 6</t>
  </si>
  <si>
    <t>PG&amp;E PV 7</t>
  </si>
  <si>
    <t>PG&amp;E ST 4</t>
  </si>
  <si>
    <t>PG&amp;E Hydro 4</t>
  </si>
  <si>
    <t>PG&amp;E Wind 7</t>
  </si>
  <si>
    <t>PG&amp;E Hydro 5</t>
  </si>
  <si>
    <t>PG&amp;E PV 8</t>
  </si>
  <si>
    <t>PG&amp;E Wind 8</t>
  </si>
  <si>
    <t>PG&amp;E Hydro 6</t>
  </si>
  <si>
    <t>PG&amp;E Wind 9</t>
  </si>
  <si>
    <t>PG&amp;E Wind 10</t>
  </si>
  <si>
    <t>POU Wind</t>
  </si>
  <si>
    <t>POU Wind 2</t>
  </si>
  <si>
    <t>POU Geothermal</t>
  </si>
  <si>
    <t>POU Geothermal 2</t>
  </si>
  <si>
    <t>POU Biomass</t>
  </si>
  <si>
    <t>POU Biomass 2</t>
  </si>
  <si>
    <t>Contra Costa Repower 1</t>
  </si>
  <si>
    <t>Contra Costa Repower 2</t>
  </si>
  <si>
    <t>Encina Repower 1</t>
  </si>
  <si>
    <t>Encina Repower 2</t>
  </si>
  <si>
    <t>Encina Repower 3</t>
  </si>
  <si>
    <t>MCGPKGEN</t>
  </si>
  <si>
    <t>PGE</t>
  </si>
  <si>
    <t>Ellwood</t>
  </si>
  <si>
    <t>ELCAJNGT_1</t>
  </si>
  <si>
    <t>NV</t>
  </si>
  <si>
    <t>SCE PV</t>
  </si>
  <si>
    <t>SCE Wind</t>
  </si>
  <si>
    <t>SCE ST</t>
  </si>
  <si>
    <t>SCE Wind 2</t>
  </si>
  <si>
    <t>SCE PV 2</t>
  </si>
  <si>
    <t>SCE Wind 3</t>
  </si>
  <si>
    <t>SCE PV 3</t>
  </si>
  <si>
    <t>SCE PV 4</t>
  </si>
  <si>
    <t>SCE ST 2</t>
  </si>
  <si>
    <t>SCE Wind 4</t>
  </si>
  <si>
    <t>SCE PV 5</t>
  </si>
  <si>
    <t>SCE ST 3</t>
  </si>
  <si>
    <t>SCE Wind 5</t>
  </si>
  <si>
    <t>SCE PV 6</t>
  </si>
  <si>
    <t>SCE ST 4</t>
  </si>
  <si>
    <t>SCE Wind 6</t>
  </si>
  <si>
    <t>SCE Wind 7</t>
  </si>
  <si>
    <t>SCE PV 7</t>
  </si>
  <si>
    <t>SCE ST 5</t>
  </si>
  <si>
    <t>SCE Wind 8</t>
  </si>
  <si>
    <t>SCE Wind 9</t>
  </si>
  <si>
    <t>SCE Wind 10</t>
  </si>
  <si>
    <t>SCE Wind 11</t>
  </si>
  <si>
    <t>SCE Wind 12</t>
  </si>
  <si>
    <t>SCE PV 8</t>
  </si>
  <si>
    <t>SCE ST 6</t>
  </si>
  <si>
    <t>SCE PV 9</t>
  </si>
  <si>
    <t>SCE ST 7</t>
  </si>
  <si>
    <t>SCE PV 10</t>
  </si>
  <si>
    <t>SCE Wind 13</t>
  </si>
  <si>
    <t>SCE Wind 14</t>
  </si>
  <si>
    <t>SCE Wind 15</t>
  </si>
  <si>
    <t>SCE PV 11</t>
  </si>
  <si>
    <t>SCE ST 8</t>
  </si>
  <si>
    <t>SCE Wind 16</t>
  </si>
  <si>
    <t>SCE Wind 17</t>
  </si>
  <si>
    <t>SCE Wind 18</t>
  </si>
  <si>
    <t>SCE Hydro</t>
  </si>
  <si>
    <t>SCE Hydro 2</t>
  </si>
  <si>
    <t>SCE Hydro 3</t>
  </si>
  <si>
    <t>SCE Hydro 4</t>
  </si>
  <si>
    <t>SCE Biomass</t>
  </si>
  <si>
    <t>SCE Geothermal</t>
  </si>
  <si>
    <t>SCE PV 12</t>
  </si>
  <si>
    <t>SCE Dixie VLY Geo</t>
  </si>
  <si>
    <t>SCE Geothermal 2</t>
  </si>
  <si>
    <t>SCE Geothermal 3</t>
  </si>
  <si>
    <t>SCE Geothermal 4</t>
  </si>
  <si>
    <t>SDGE Wind</t>
  </si>
  <si>
    <t>SDGE Wind 2</t>
  </si>
  <si>
    <t>SDGE Wind 3</t>
  </si>
  <si>
    <t>SDGE Wind 4</t>
  </si>
  <si>
    <t>SDGE Dist Hydro</t>
  </si>
  <si>
    <t>SDGE Wind 5</t>
  </si>
  <si>
    <t>SDGE Biomass</t>
  </si>
  <si>
    <t>SDGE Biomass 2</t>
  </si>
  <si>
    <t>SDGE Geothermal</t>
  </si>
  <si>
    <t>SDGE PV 2</t>
  </si>
  <si>
    <t>SDGE PV</t>
  </si>
  <si>
    <t>POU PV 2</t>
  </si>
  <si>
    <t>POU ST</t>
  </si>
  <si>
    <t>POU Wind 3</t>
  </si>
  <si>
    <t>Load Forecasts</t>
  </si>
  <si>
    <t>"Unadjusted forecasts" refer to forecasts of load before effects of demand-side programs have been netted out</t>
  </si>
  <si>
    <t>"Adjusted forecasts" reflect the reduction in load due to incremental demand-side programs</t>
  </si>
  <si>
    <t>Loads during historical period based on 2009 IEPR Forecast</t>
  </si>
  <si>
    <t>Historical Period</t>
  </si>
  <si>
    <t>LTPP Planning Horizon</t>
  </si>
  <si>
    <t>Lookup Value</t>
  </si>
  <si>
    <t>Combined Service Area Retail Sales Forecast (GWh)</t>
  </si>
  <si>
    <t>Total Combined Service Area Sales</t>
  </si>
  <si>
    <t>PGE_SALES</t>
  </si>
  <si>
    <t>SCE_SALES</t>
  </si>
  <si>
    <t>SDGE_SALES</t>
  </si>
  <si>
    <t>CAISO Total Retail Sales</t>
  </si>
  <si>
    <t>CAISO_SALES</t>
  </si>
  <si>
    <t>Incremental Energy Efficiency</t>
  </si>
  <si>
    <t>PGE_EE_SALES</t>
  </si>
  <si>
    <t>SCE_EE_SALES</t>
  </si>
  <si>
    <t>SDGE_EE_SALES</t>
  </si>
  <si>
    <t>Incremental Behind-the-Meter CHP</t>
  </si>
  <si>
    <t>PGE_DCHP_SALES</t>
  </si>
  <si>
    <t>SCE_DCHP_SALES</t>
  </si>
  <si>
    <t>SDGE_DCHP_SALES</t>
  </si>
  <si>
    <t>Adjusted Forecast of Retail Sales</t>
  </si>
  <si>
    <t>Service Area Total</t>
  </si>
  <si>
    <t>Combined Service Area Load Ratio Share</t>
  </si>
  <si>
    <t>Combined Service Area Retail Sales</t>
  </si>
  <si>
    <t>Combined Service Area Load-Ratio Share</t>
  </si>
  <si>
    <t>Combined Service Area RPS Obligation</t>
  </si>
  <si>
    <t>RPS_PERCENT</t>
  </si>
  <si>
    <t>Assume Recontracting of Existing Resources</t>
  </si>
  <si>
    <t>RECONTRACT</t>
  </si>
  <si>
    <t>Behind-the-Meter CHP</t>
  </si>
  <si>
    <t>Peak Demand Forecast (MW)</t>
  </si>
  <si>
    <t>Peak Demand (before decrements)</t>
  </si>
  <si>
    <t>PGE_PEAK</t>
  </si>
  <si>
    <t>SCE_PEAK</t>
  </si>
  <si>
    <t>SDGE_PEAK</t>
  </si>
  <si>
    <t>Total Service Area</t>
  </si>
  <si>
    <t>Total CAISO System Peak</t>
  </si>
  <si>
    <t>CAISO_PEAK</t>
  </si>
  <si>
    <t>PGE_EE_PEAK</t>
  </si>
  <si>
    <t>SCE_EE_PEAK</t>
  </si>
  <si>
    <t>SDGE_EE_PEAK</t>
  </si>
  <si>
    <t>PGE_DCHP_PEAK</t>
  </si>
  <si>
    <t>SCE_DCHP_PEAK</t>
  </si>
  <si>
    <t>SDGE_DCHP_PEAK</t>
  </si>
  <si>
    <t>PGE_DR_PEAK</t>
  </si>
  <si>
    <t>SCE_DR_PEAK</t>
  </si>
  <si>
    <t>SDGE_DR_PEAK</t>
  </si>
  <si>
    <t>Net Peak Load</t>
  </si>
  <si>
    <t>CAISO Total</t>
  </si>
  <si>
    <t>CSA Share of CAISO</t>
  </si>
  <si>
    <t>Variable</t>
  </si>
  <si>
    <t>Varible Name</t>
  </si>
  <si>
    <t>1L</t>
  </si>
  <si>
    <t>Load</t>
  </si>
  <si>
    <t>Retail Sales</t>
  </si>
  <si>
    <t>Peak Load</t>
  </si>
  <si>
    <t>Installed Capacity</t>
  </si>
  <si>
    <t>PGE_DCHP_INST</t>
  </si>
  <si>
    <t>SCE_DCHP_INST</t>
  </si>
  <si>
    <t>SDGE_DCHP_INST</t>
  </si>
  <si>
    <t>PGE_SCHP_INST</t>
  </si>
  <si>
    <t>SCE_SCHP_INST</t>
  </si>
  <si>
    <t>SDGE_SCHP_INST</t>
  </si>
  <si>
    <t>DR</t>
  </si>
  <si>
    <t>EE</t>
  </si>
  <si>
    <t>3L</t>
  </si>
  <si>
    <t>4L</t>
  </si>
  <si>
    <t>2L</t>
  </si>
  <si>
    <t>%</t>
  </si>
  <si>
    <t>-</t>
  </si>
  <si>
    <t>Trajectory High Load</t>
  </si>
  <si>
    <t>Trajectory Low Load</t>
  </si>
  <si>
    <t>ctVars</t>
  </si>
  <si>
    <t>ctLoadVars</t>
  </si>
  <si>
    <t>RPS Scen</t>
  </si>
  <si>
    <t>1R</t>
  </si>
  <si>
    <t>2R</t>
  </si>
  <si>
    <t>3R</t>
  </si>
  <si>
    <t>4R</t>
  </si>
  <si>
    <t>0R</t>
  </si>
  <si>
    <t>5R</t>
  </si>
  <si>
    <t>6R</t>
  </si>
  <si>
    <t>7R</t>
  </si>
  <si>
    <t>Existing Conventional Resources</t>
  </si>
  <si>
    <t>Existing Renewable Generation</t>
  </si>
  <si>
    <t>New Supply-Side CHP</t>
  </si>
  <si>
    <t>Growth Rates, 2020-2030</t>
  </si>
  <si>
    <t>IOU Case, All Gas</t>
  </si>
  <si>
    <t>All Gas High Load</t>
  </si>
  <si>
    <t>All Gas Low Load</t>
  </si>
  <si>
    <t>1G</t>
  </si>
  <si>
    <t>2G</t>
  </si>
  <si>
    <t>3G</t>
  </si>
  <si>
    <t>Existing CSA RPS Resources (GWh)</t>
  </si>
  <si>
    <t>Include Banking</t>
  </si>
  <si>
    <t>LADWP Wind</t>
  </si>
  <si>
    <t>LADWP Wind 2</t>
  </si>
  <si>
    <t>LADWP Wind 3</t>
  </si>
  <si>
    <t>LADWP Wind 4</t>
  </si>
  <si>
    <t>LADWP Wind 5</t>
  </si>
  <si>
    <t>LADWP Biomass</t>
  </si>
  <si>
    <t>LADWP Small Hydro</t>
  </si>
  <si>
    <t>LADWP PV</t>
  </si>
  <si>
    <t>LADWP DG</t>
  </si>
  <si>
    <t>LADWP DG 2</t>
  </si>
  <si>
    <t>LADWP Geothermal</t>
  </si>
  <si>
    <t>LADWP PV 2</t>
  </si>
  <si>
    <t>LADWP DG 3</t>
  </si>
  <si>
    <t>IID ST</t>
  </si>
  <si>
    <t>IID Wind</t>
  </si>
  <si>
    <t>IID Geothermal</t>
  </si>
  <si>
    <t>IID Biomass</t>
  </si>
  <si>
    <t>SMUD Wind</t>
  </si>
  <si>
    <t>SMUD PV</t>
  </si>
  <si>
    <t>SMUD Biomass</t>
  </si>
  <si>
    <t>SMUD Geothermal</t>
  </si>
  <si>
    <t>SMUD Small Hydro</t>
  </si>
  <si>
    <t>POU PV 1</t>
  </si>
  <si>
    <t>OOS</t>
  </si>
  <si>
    <t>Capacity Factor (%)</t>
  </si>
  <si>
    <t>Net System Peak</t>
  </si>
  <si>
    <t>Reserve Margin Requirement</t>
  </si>
  <si>
    <t>Distribution System Benefits (2010 $/MWh)</t>
  </si>
  <si>
    <t>Net Qualifying Capacity (%)</t>
  </si>
  <si>
    <t xml:space="preserve"> </t>
  </si>
  <si>
    <t>IOU SCE LCR (IOU Scenario 1)</t>
  </si>
  <si>
    <t>IOU DA Error (IOU Scenario 2)</t>
  </si>
  <si>
    <t>IOU OTC Compliant (IOU Scenario 3)</t>
  </si>
  <si>
    <t>PRM Calculator_6-29-11.xlsm</t>
  </si>
  <si>
    <t>OIR 10-05-006</t>
  </si>
  <si>
    <t>Modified for 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</si>
</sst>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_(* #,##0.0_);_(* \(#,##0.0\);_(* &quot;-&quot;??_);_(@_)"/>
    <numFmt numFmtId="167" formatCode="#,##0.0"/>
    <numFmt numFmtId="168" formatCode=";;;"/>
    <numFmt numFmtId="169" formatCode="0.000000"/>
    <numFmt numFmtId="170" formatCode="_(* #,##0.0_);_(* \(#,##0.0\);_(* &quot;-&quot;?_);_(@_)"/>
    <numFmt numFmtId="171" formatCode="d\.m\.yy"/>
    <numFmt numFmtId="172" formatCode="#,##0.0_);[Red]\(#,##0.0\)"/>
    <numFmt numFmtId="173" formatCode="&quot;$&quot;#,##0.0_);\(&quot;$&quot;#,##0.0\)"/>
    <numFmt numFmtId="174" formatCode="&quot;$&quot;\ \ \ #,##0;&quot;$&quot;\ \ \(#,##0\)"/>
    <numFmt numFmtId="175" formatCode="#,##0.00&quot; $&quot;;\-#,##0.00&quot; $&quot;"/>
    <numFmt numFmtId="176" formatCode="0.00;[Red]0.00"/>
    <numFmt numFmtId="177" formatCode="#,##0.00&quot; F&quot;_);\(#,##0.00&quot; F&quot;\)"/>
    <numFmt numFmtId="178" formatCode="_(* #,##0.00000_);_(* \(#,##0.00000\);_(* &quot;-&quot;??_);_(@_)"/>
    <numFmt numFmtId="179" formatCode="&quot;$&quot;#,##0.00&quot;(l)&quot;_);\(&quot;$&quot;#,##0.00&quot;(l)&quot;\)"/>
    <numFmt numFmtId="180" formatCode="[Blue]0%"/>
    <numFmt numFmtId="181" formatCode="_(* #,##0.00_);_(* \(#,##0.00\);_(* &quot;-&quot;_);_(@_)"/>
    <numFmt numFmtId="182" formatCode="0.0000"/>
    <numFmt numFmtId="183" formatCode="#,##0.0_);\(#,##0.0\)"/>
    <numFmt numFmtId="184" formatCode="&quot;$&quot;#,##0.0;\(&quot;$&quot;#,##0.0\);&quot;$&quot;#,##0.0"/>
    <numFmt numFmtId="185" formatCode="&quot;$&quot;#,##0.000_);\(&quot;$&quot;#,##0.000\)"/>
    <numFmt numFmtId="186" formatCode="#,##0.00000_);\(#,##0.00000\)"/>
    <numFmt numFmtId="187" formatCode="0.0"/>
    <numFmt numFmtId="188" formatCode="&quot;$&quot;#,##0\ ;\(&quot;$&quot;#,##0\)"/>
    <numFmt numFmtId="189" formatCode="0.000"/>
    <numFmt numFmtId="190" formatCode="m/d"/>
    <numFmt numFmtId="191" formatCode="mm/dd/yy"/>
    <numFmt numFmtId="192" formatCode="&quot;$&quot;#,##0"/>
    <numFmt numFmtId="193" formatCode="#,##0.0000_);\(#,##0.0000\)"/>
    <numFmt numFmtId="194" formatCode="0.0\x"/>
    <numFmt numFmtId="195" formatCode="_-* #,##0.00\ [$€-1]_-;\-* #,##0.00\ [$€-1]_-;_-* &quot;-&quot;??\ [$€-1]_-"/>
    <numFmt numFmtId="196" formatCode="\«#,##0;_(* #,##0;_(* &quot;-&quot;??_);_(@_)"/>
    <numFmt numFmtId="197" formatCode="mm/dd/yy;@"/>
    <numFmt numFmtId="198" formatCode="_(&quot;$&quot;* #,##0_);_(&quot;$&quot;* \(#,##0\);_(&quot;$&quot;* &quot;-&quot;??_);_(@_)"/>
    <numFmt numFmtId="199" formatCode="0.00%;\(0.00%\)"/>
    <numFmt numFmtId="200" formatCode="[Blue]0.0%"/>
    <numFmt numFmtId="201" formatCode="_(&quot;$&quot;* #,##0.0_);_(&quot;$&quot;* \(#,##0.0\);_(&quot;$&quot;* &quot;-&quot;??_);_(@_)"/>
    <numFmt numFmtId="202" formatCode="&quot;$&quot;#,##0.00"/>
    <numFmt numFmtId="203" formatCode="[$-409]mmm\-yy;@"/>
    <numFmt numFmtId="204" formatCode="_(* #,##0.0\x_);_(* \(#,##0.0\x\);_(* &quot;-&quot;??_);_(@_)"/>
    <numFmt numFmtId="205" formatCode="&quot;$&quot;#,##0.0"/>
    <numFmt numFmtId="206" formatCode="0.00_);\(0.00\);0.00_);@_)"/>
    <numFmt numFmtId="207" formatCode="0.0;[Red]0.0"/>
    <numFmt numFmtId="208" formatCode="#,##0.0\x_);\(#,##0.0\x\);&quot;-x&quot;_);@_)"/>
    <numFmt numFmtId="209" formatCode="0.000%"/>
    <numFmt numFmtId="210" formatCode="0.00_);\(0.00\)"/>
    <numFmt numFmtId="211" formatCode="_-* #,##0.0_-;\-* #,##0.0_-;_-* &quot;-&quot;??_-;_-@_-"/>
    <numFmt numFmtId="212" formatCode="0_);\(0\)"/>
    <numFmt numFmtId="213" formatCode="#,##0.000"/>
    <numFmt numFmtId="214" formatCode="_(&quot;$&quot;* #,##0.00_);_(&quot;$&quot;* \(#,##0.00\);_(* &quot;-&quot;_);_(@_)"/>
    <numFmt numFmtId="215" formatCode="_(&quot;$&quot;* #,##0.0_);_(&quot;$&quot;* \(#,##0.0\);_(* &quot;-&quot;_);_(@_)"/>
    <numFmt numFmtId="216" formatCode="_(* #,##0.0_);_(* \(#,##0.0\);_(* &quot;-&quot;_);_(@_)"/>
    <numFmt numFmtId="217" formatCode="#,##0&quot; $&quot;;\-#,##0&quot; $&quot;"/>
    <numFmt numFmtId="218" formatCode="#,##0&quot; $&quot;;[Red]\-#,##0&quot; $&quot;"/>
    <numFmt numFmtId="219" formatCode="General_)"/>
    <numFmt numFmtId="220" formatCode="0.000_);\(0.000\)"/>
    <numFmt numFmtId="221" formatCode="&quot;Yes&quot;;;\ &quot;No&quot;"/>
    <numFmt numFmtId="222" formatCode="_-* #,##0_-;\-* #,##0_-;_-* &quot;-&quot;_-;_-@_-"/>
    <numFmt numFmtId="223" formatCode="_-* #,##0.00_-;\-* #,##0.00_-;_-* &quot;-&quot;??_-;_-@_-"/>
    <numFmt numFmtId="224" formatCode="0.0000000000"/>
    <numFmt numFmtId="225" formatCode="#,##0;\-#,##0;&quot;-&quot;"/>
    <numFmt numFmtId="226" formatCode="&quot;$&quot;#,\);\(&quot;$&quot;#,##0\)"/>
    <numFmt numFmtId="227" formatCode="hh:mm"/>
    <numFmt numFmtId="228" formatCode="00000"/>
    <numFmt numFmtId="229" formatCode="#,##0.00;[Red]#,##0.00"/>
    <numFmt numFmtId="230" formatCode="yyyy"/>
    <numFmt numFmtId="231" formatCode="0.00_)"/>
    <numFmt numFmtId="232" formatCode="_(* #,##0.000_);_(* \(#,##0.000\);_(* &quot;-&quot;??_);_(@_)"/>
  </numFmts>
  <fonts count="15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i/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Palatino Linotype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Arial"/>
      <family val="2"/>
    </font>
    <font>
      <sz val="8"/>
      <name val="Times"/>
      <family val="1"/>
    </font>
    <font>
      <sz val="12"/>
      <name val="Arial"/>
      <family val="2"/>
    </font>
    <font>
      <sz val="9"/>
      <name val="Palatino"/>
      <family val="1"/>
      <charset val="177"/>
    </font>
    <font>
      <sz val="8"/>
      <name val="Times New Roman"/>
      <family val="1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10"/>
      <color indexed="12"/>
      <name val="Times New Roman"/>
      <family val="1"/>
    </font>
    <font>
      <u val="singleAccounting"/>
      <sz val="10"/>
      <name val="Arial"/>
      <family val="2"/>
    </font>
    <font>
      <b/>
      <sz val="11"/>
      <color indexed="10"/>
      <name val="Calibri"/>
      <family val="2"/>
    </font>
    <font>
      <b/>
      <sz val="8"/>
      <name val="Times New Roman"/>
      <family val="1"/>
    </font>
    <font>
      <sz val="8"/>
      <name val="Helv"/>
    </font>
    <font>
      <sz val="12"/>
      <name val="Times New Roman"/>
      <family val="1"/>
    </font>
    <font>
      <sz val="10"/>
      <name val="Tms Rmn"/>
    </font>
    <font>
      <sz val="10"/>
      <color indexed="8"/>
      <name val="Arial"/>
      <family val="2"/>
    </font>
    <font>
      <u/>
      <sz val="8"/>
      <color indexed="12"/>
      <name val="Times New Roman"/>
      <family val="1"/>
    </font>
    <font>
      <sz val="10"/>
      <name val="MS Sans Serif"/>
      <family val="2"/>
    </font>
    <font>
      <sz val="8"/>
      <color indexed="12"/>
      <name val="Times New Roman"/>
      <family val="1"/>
    </font>
    <font>
      <u val="doubleAccounting"/>
      <sz val="10"/>
      <name val="Arial"/>
      <family val="2"/>
    </font>
    <font>
      <sz val="8"/>
      <color indexed="17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b/>
      <sz val="18"/>
      <name val="Arial"/>
      <family val="2"/>
    </font>
    <font>
      <b/>
      <sz val="15"/>
      <color indexed="62"/>
      <name val="Calibri"/>
      <family val="2"/>
    </font>
    <font>
      <sz val="18"/>
      <name val="Helvetica-Black"/>
    </font>
    <font>
      <i/>
      <sz val="14"/>
      <name val="Palatino"/>
      <family val="1"/>
    </font>
    <font>
      <b/>
      <sz val="11"/>
      <color indexed="62"/>
      <name val="Calibri"/>
      <family val="2"/>
    </font>
    <font>
      <sz val="10"/>
      <name val="Helv"/>
    </font>
    <font>
      <b/>
      <i/>
      <sz val="22"/>
      <name val="Times New Roman"/>
      <family val="1"/>
    </font>
    <font>
      <sz val="10"/>
      <color indexed="12"/>
      <name val="Arial"/>
      <family val="2"/>
    </font>
    <font>
      <b/>
      <sz val="10"/>
      <color indexed="10"/>
      <name val="Arial Narrow"/>
      <family val="2"/>
    </font>
    <font>
      <sz val="18"/>
      <color indexed="17"/>
      <name val="Arial"/>
      <family val="2"/>
    </font>
    <font>
      <sz val="10"/>
      <name val="Arial"/>
      <family val="2"/>
      <charset val="177"/>
    </font>
    <font>
      <sz val="11"/>
      <color indexed="19"/>
      <name val="Calibri"/>
      <family val="2"/>
    </font>
    <font>
      <sz val="7"/>
      <name val="Small Fonts"/>
      <family val="2"/>
    </font>
    <font>
      <sz val="10"/>
      <name val="MS Serif"/>
      <family val="1"/>
    </font>
    <font>
      <sz val="12"/>
      <name val="Helv"/>
    </font>
    <font>
      <sz val="10"/>
      <name val="Palatino"/>
      <family val="1"/>
    </font>
    <font>
      <sz val="8"/>
      <color indexed="8"/>
      <name val="Times New Roman"/>
      <family val="1"/>
    </font>
    <font>
      <sz val="10"/>
      <color indexed="8"/>
      <name val="Arial"/>
      <family val="2"/>
      <charset val="177"/>
    </font>
    <font>
      <b/>
      <i/>
      <sz val="10"/>
      <color indexed="8"/>
      <name val="Arial"/>
      <family val="2"/>
      <charset val="177"/>
    </font>
    <font>
      <b/>
      <sz val="10"/>
      <color indexed="9"/>
      <name val="Arial"/>
      <family val="2"/>
      <charset val="177"/>
    </font>
    <font>
      <b/>
      <sz val="11"/>
      <color indexed="21"/>
      <name val="Arial"/>
      <family val="2"/>
      <charset val="177"/>
    </font>
    <font>
      <b/>
      <sz val="22"/>
      <color indexed="21"/>
      <name val="Times New Roman"/>
      <family val="1"/>
      <charset val="177"/>
    </font>
    <font>
      <sz val="10"/>
      <color indexed="16"/>
      <name val="Helvetica-Black"/>
    </font>
    <font>
      <sz val="10"/>
      <color indexed="10"/>
      <name val="Arial"/>
      <family val="2"/>
      <charset val="177"/>
    </font>
    <font>
      <strike/>
      <sz val="10"/>
      <name val="Arial"/>
      <family val="2"/>
    </font>
    <font>
      <sz val="8"/>
      <color indexed="9"/>
      <name val="Arial"/>
      <family val="2"/>
    </font>
    <font>
      <i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b/>
      <u/>
      <sz val="8"/>
      <name val="Arial"/>
      <family val="2"/>
    </font>
    <font>
      <b/>
      <sz val="16"/>
      <name val="Arial"/>
      <family val="2"/>
    </font>
    <font>
      <i/>
      <sz val="8"/>
      <color indexed="8"/>
      <name val="Arial"/>
      <family val="2"/>
    </font>
    <font>
      <b/>
      <sz val="14"/>
      <name val="Arial"/>
      <family val="2"/>
    </font>
    <font>
      <sz val="8"/>
      <color indexed="39"/>
      <name val="Arial"/>
      <family val="2"/>
    </font>
    <font>
      <sz val="7"/>
      <name val="Arial"/>
      <family val="2"/>
    </font>
    <font>
      <b/>
      <sz val="11"/>
      <color indexed="43"/>
      <name val="Arial"/>
      <family val="2"/>
    </font>
    <font>
      <b/>
      <sz val="18"/>
      <name val="Times New Roman"/>
      <family val="1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sz val="7"/>
      <name val="Palatino"/>
      <family val="1"/>
    </font>
    <font>
      <b/>
      <sz val="11"/>
      <name val="Times New Roman"/>
      <family val="1"/>
    </font>
    <font>
      <b/>
      <i/>
      <sz val="20"/>
      <name val="Arial"/>
      <family val="2"/>
    </font>
    <font>
      <sz val="9"/>
      <name val="Times New Roman"/>
      <family val="1"/>
    </font>
    <font>
      <sz val="8"/>
      <color indexed="18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11"/>
      <name val="Arial"/>
      <family val="2"/>
    </font>
    <font>
      <i/>
      <sz val="10"/>
      <color indexed="12"/>
      <name val="Arial"/>
      <family val="2"/>
    </font>
    <font>
      <i/>
      <sz val="10"/>
      <color indexed="10"/>
      <name val="Arial"/>
      <family val="2"/>
    </font>
    <font>
      <u/>
      <sz val="8.4"/>
      <color indexed="12"/>
      <name val="Arial"/>
      <family val="2"/>
    </font>
    <font>
      <sz val="10"/>
      <name val="Geneva"/>
    </font>
    <font>
      <sz val="8"/>
      <name val="Times"/>
      <family val="1"/>
    </font>
    <font>
      <sz val="9"/>
      <name val="Palatino"/>
      <family val="1"/>
    </font>
    <font>
      <sz val="9"/>
      <name val="Helv"/>
    </font>
    <font>
      <sz val="11"/>
      <name val="Book Antiqua"/>
      <family val="1"/>
    </font>
    <font>
      <sz val="11"/>
      <name val="??"/>
      <family val="3"/>
      <charset val="129"/>
    </font>
    <font>
      <sz val="10"/>
      <color indexed="16"/>
      <name val="MS Serif"/>
      <family val="1"/>
    </font>
    <font>
      <b/>
      <u/>
      <sz val="11"/>
      <color indexed="37"/>
      <name val="Arial"/>
      <family val="2"/>
    </font>
    <font>
      <b/>
      <sz val="13"/>
      <color indexed="62"/>
      <name val="Calibri"/>
      <family val="2"/>
    </font>
    <font>
      <u/>
      <sz val="7.5"/>
      <color indexed="12"/>
      <name val="Arial"/>
      <family val="2"/>
    </font>
    <font>
      <b/>
      <i/>
      <sz val="16"/>
      <name val="Helv"/>
    </font>
    <font>
      <sz val="11"/>
      <name val="Tms Rmn"/>
    </font>
    <font>
      <sz val="10"/>
      <color theme="1"/>
      <name val="Arial"/>
      <family val="2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22"/>
      <name val="UBSHeadline"/>
      <family val="1"/>
    </font>
    <font>
      <sz val="10"/>
      <color indexed="10"/>
      <name val="Arial"/>
      <family val="2"/>
    </font>
    <font>
      <sz val="10"/>
      <color indexed="14"/>
      <name val="Arial"/>
      <family val="2"/>
    </font>
    <font>
      <sz val="10"/>
      <name val="Times"/>
      <family val="1"/>
    </font>
    <font>
      <b/>
      <sz val="8"/>
      <color indexed="8"/>
      <name val="Helv"/>
    </font>
    <font>
      <sz val="10"/>
      <name val="Frutiger 45 Light"/>
      <family val="2"/>
    </font>
    <font>
      <b/>
      <sz val="18"/>
      <color indexed="62"/>
      <name val="Cambria"/>
      <family val="2"/>
    </font>
    <font>
      <sz val="10"/>
      <color indexed="39"/>
      <name val="Arial"/>
      <family val="2"/>
    </font>
    <font>
      <i/>
      <sz val="10"/>
      <color theme="0" tint="-0.3499862666707357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theme="0" tint="-0.249977111117893"/>
      <name val="Calibri"/>
      <family val="2"/>
      <scheme val="minor"/>
    </font>
    <font>
      <sz val="9"/>
      <color indexed="8"/>
      <name val="Arial"/>
      <family val="2"/>
    </font>
    <font>
      <sz val="10"/>
      <color theme="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4"/>
        <bgColor indexed="64"/>
      </patternFill>
    </fill>
    <fill>
      <patternFill patternType="solid">
        <fgColor indexed="9"/>
      </patternFill>
    </fill>
    <fill>
      <patternFill patternType="lightGray">
        <fgColor indexed="15"/>
      </patternFill>
    </fill>
    <fill>
      <patternFill patternType="solid">
        <fgColor indexed="26"/>
        <bgColor indexed="64"/>
      </patternFill>
    </fill>
    <fill>
      <patternFill patternType="solid">
        <fgColor indexed="18"/>
        <bgColor indexed="18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mediumGray">
        <fgColor indexed="22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mediumGray">
        <fgColor indexed="55"/>
        <bgColor indexed="5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double">
        <color indexed="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/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/>
      <top/>
      <bottom/>
      <diagonal/>
    </border>
  </borders>
  <cellStyleXfs count="2718">
    <xf numFmtId="0" fontId="0" fillId="0" borderId="0"/>
    <xf numFmtId="0" fontId="15" fillId="0" borderId="0"/>
    <xf numFmtId="0" fontId="13" fillId="0" borderId="0"/>
    <xf numFmtId="43" fontId="13" fillId="0" borderId="0" applyFont="0" applyFill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1" borderId="0" applyNumberFormat="0" applyBorder="0" applyAlignment="0" applyProtection="0"/>
    <xf numFmtId="0" fontId="15" fillId="14" borderId="0" applyNumberFormat="0" applyBorder="0" applyAlignment="0" applyProtection="0"/>
    <xf numFmtId="0" fontId="15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5" borderId="0" applyNumberFormat="0" applyBorder="0" applyAlignment="0" applyProtection="0"/>
    <xf numFmtId="0" fontId="28" fillId="9" borderId="0" applyNumberFormat="0" applyBorder="0" applyAlignment="0" applyProtection="0"/>
    <xf numFmtId="0" fontId="29" fillId="26" borderId="14" applyNumberFormat="0" applyAlignment="0" applyProtection="0"/>
    <xf numFmtId="0" fontId="30" fillId="27" borderId="15" applyNumberFormat="0" applyAlignment="0" applyProtection="0"/>
    <xf numFmtId="0" fontId="31" fillId="0" borderId="0" applyNumberFormat="0" applyFill="0" applyBorder="0" applyAlignment="0" applyProtection="0"/>
    <xf numFmtId="0" fontId="32" fillId="10" borderId="0" applyNumberFormat="0" applyBorder="0" applyAlignment="0" applyProtection="0"/>
    <xf numFmtId="0" fontId="33" fillId="0" borderId="16" applyNumberFormat="0" applyFill="0" applyAlignment="0" applyProtection="0"/>
    <xf numFmtId="0" fontId="34" fillId="0" borderId="17" applyNumberFormat="0" applyFill="0" applyAlignment="0" applyProtection="0"/>
    <xf numFmtId="0" fontId="35" fillId="0" borderId="18" applyNumberFormat="0" applyFill="0" applyAlignment="0" applyProtection="0"/>
    <xf numFmtId="0" fontId="35" fillId="0" borderId="0" applyNumberFormat="0" applyFill="0" applyBorder="0" applyAlignment="0" applyProtection="0"/>
    <xf numFmtId="0" fontId="36" fillId="13" borderId="14" applyNumberFormat="0" applyAlignment="0" applyProtection="0"/>
    <xf numFmtId="0" fontId="37" fillId="0" borderId="19" applyNumberFormat="0" applyFill="0" applyAlignment="0" applyProtection="0"/>
    <xf numFmtId="0" fontId="38" fillId="28" borderId="0" applyNumberFormat="0" applyBorder="0" applyAlignment="0" applyProtection="0"/>
    <xf numFmtId="0" fontId="15" fillId="29" borderId="20" applyNumberFormat="0" applyFont="0" applyAlignment="0" applyProtection="0"/>
    <xf numFmtId="0" fontId="39" fillId="26" borderId="21" applyNumberFormat="0" applyAlignment="0" applyProtection="0"/>
    <xf numFmtId="0" fontId="40" fillId="0" borderId="0" applyNumberFormat="0" applyFill="0" applyBorder="0" applyAlignment="0" applyProtection="0"/>
    <xf numFmtId="0" fontId="17" fillId="0" borderId="22" applyNumberFormat="0" applyFill="0" applyAlignment="0" applyProtection="0"/>
    <xf numFmtId="0" fontId="41" fillId="0" borderId="0" applyNumberForma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8" fontId="44" fillId="0" borderId="0" applyFont="0" applyFill="0" applyBorder="0" applyAlignment="0"/>
    <xf numFmtId="169" fontId="13" fillId="0" borderId="0">
      <alignment horizontal="left" wrapText="1"/>
    </xf>
    <xf numFmtId="0" fontId="13" fillId="0" borderId="0" applyNumberFormat="0" applyFill="0" applyBorder="0" applyAlignment="0" applyProtection="0"/>
    <xf numFmtId="169" fontId="13" fillId="0" borderId="0">
      <alignment horizontal="left" wrapText="1"/>
    </xf>
    <xf numFmtId="38" fontId="44" fillId="0" borderId="26"/>
    <xf numFmtId="38" fontId="44" fillId="0" borderId="26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10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1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28" borderId="0" applyNumberFormat="0" applyBorder="0" applyAlignment="0" applyProtection="0"/>
    <xf numFmtId="0" fontId="15" fillId="28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2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25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9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12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15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27" fillId="32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5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17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33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5" borderId="0" applyNumberFormat="0" applyBorder="0" applyAlignment="0" applyProtection="0"/>
    <xf numFmtId="0" fontId="27" fillId="23" borderId="0" applyNumberFormat="0" applyBorder="0" applyAlignment="0" applyProtection="0"/>
    <xf numFmtId="170" fontId="46" fillId="0" borderId="0" applyFont="0" applyFill="0" applyBorder="0" applyProtection="0">
      <alignment horizontal="right"/>
    </xf>
    <xf numFmtId="171" fontId="44" fillId="34" borderId="27">
      <alignment horizontal="center" vertical="center"/>
    </xf>
    <xf numFmtId="171" fontId="44" fillId="34" borderId="27">
      <alignment horizontal="center" vertical="center"/>
    </xf>
    <xf numFmtId="0" fontId="47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6" fillId="0" borderId="28" applyNumberFormat="0" applyFill="0" applyAlignment="0" applyProtection="0"/>
    <xf numFmtId="0" fontId="46" fillId="0" borderId="28" applyNumberFormat="0" applyFill="0" applyAlignment="0" applyProtection="0"/>
    <xf numFmtId="0" fontId="49" fillId="31" borderId="0">
      <alignment horizontal="left"/>
    </xf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11" borderId="0" applyNumberFormat="0" applyBorder="0" applyAlignment="0" applyProtection="0"/>
    <xf numFmtId="172" fontId="50" fillId="0" borderId="0" applyFont="0" applyFill="0" applyBorder="0" applyAlignment="0" applyProtection="0"/>
    <xf numFmtId="0" fontId="14" fillId="0" borderId="0" applyNumberFormat="0" applyFont="0" applyAlignment="0"/>
    <xf numFmtId="173" fontId="51" fillId="0" borderId="29" applyNumberFormat="0" applyFill="0" applyBorder="0" applyAlignment="0" applyProtection="0">
      <alignment horizontal="right"/>
    </xf>
    <xf numFmtId="173" fontId="51" fillId="0" borderId="29" applyNumberFormat="0" applyFill="0" applyBorder="0" applyAlignment="0" applyProtection="0">
      <alignment horizontal="right"/>
    </xf>
    <xf numFmtId="173" fontId="51" fillId="0" borderId="29" applyNumberFormat="0" applyFill="0" applyBorder="0" applyAlignment="0" applyProtection="0">
      <alignment horizontal="right"/>
    </xf>
    <xf numFmtId="173" fontId="51" fillId="0" borderId="29" applyNumberFormat="0" applyFill="0" applyBorder="0" applyAlignment="0" applyProtection="0">
      <alignment horizontal="right"/>
    </xf>
    <xf numFmtId="173" fontId="51" fillId="0" borderId="29" applyNumberFormat="0" applyFill="0" applyBorder="0" applyAlignment="0" applyProtection="0">
      <alignment horizontal="right"/>
    </xf>
    <xf numFmtId="173" fontId="51" fillId="0" borderId="29" applyNumberFormat="0" applyFill="0" applyBorder="0" applyAlignment="0" applyProtection="0">
      <alignment horizontal="right"/>
    </xf>
    <xf numFmtId="173" fontId="51" fillId="0" borderId="29" applyNumberFormat="0" applyFill="0" applyBorder="0" applyAlignment="0" applyProtection="0">
      <alignment horizontal="right"/>
    </xf>
    <xf numFmtId="173" fontId="51" fillId="0" borderId="29" applyNumberFormat="0" applyFill="0" applyBorder="0" applyAlignment="0" applyProtection="0">
      <alignment horizontal="right"/>
    </xf>
    <xf numFmtId="174" fontId="13" fillId="0" borderId="0" applyFon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173" fontId="52" fillId="0" borderId="29" applyNumberFormat="0" applyFill="0" applyBorder="0" applyAlignment="0" applyProtection="0">
      <alignment horizontal="right"/>
    </xf>
    <xf numFmtId="7" fontId="53" fillId="0" borderId="0">
      <alignment horizontal="right"/>
      <protection locked="0"/>
    </xf>
    <xf numFmtId="0" fontId="13" fillId="0" borderId="0" applyNumberFormat="0" applyFill="0" applyBorder="0" applyAlignment="0" applyProtection="0"/>
    <xf numFmtId="39" fontId="54" fillId="0" borderId="0" applyFont="0" applyFill="0" applyBorder="0" applyAlignment="0" applyProtection="0"/>
    <xf numFmtId="175" fontId="13" fillId="0" borderId="0" applyFill="0" applyBorder="0" applyAlignment="0"/>
    <xf numFmtId="175" fontId="13" fillId="0" borderId="0" applyFill="0" applyBorder="0" applyAlignment="0"/>
    <xf numFmtId="170" fontId="13" fillId="0" borderId="0" applyFill="0" applyBorder="0" applyAlignment="0"/>
    <xf numFmtId="176" fontId="13" fillId="0" borderId="0" applyFill="0" applyBorder="0" applyAlignment="0"/>
    <xf numFmtId="177" fontId="13" fillId="0" borderId="0" applyFill="0" applyBorder="0" applyAlignment="0"/>
    <xf numFmtId="175" fontId="13" fillId="0" borderId="0" applyFill="0" applyBorder="0" applyAlignment="0"/>
    <xf numFmtId="178" fontId="13" fillId="0" borderId="0" applyFill="0" applyBorder="0" applyAlignment="0"/>
    <xf numFmtId="175" fontId="13" fillId="0" borderId="0" applyFill="0" applyBorder="0" applyAlignment="0"/>
    <xf numFmtId="0" fontId="29" fillId="26" borderId="14" applyNumberFormat="0" applyAlignment="0" applyProtection="0"/>
    <xf numFmtId="0" fontId="29" fillId="26" borderId="14" applyNumberFormat="0" applyAlignment="0" applyProtection="0"/>
    <xf numFmtId="0" fontId="29" fillId="26" borderId="14" applyNumberFormat="0" applyAlignment="0" applyProtection="0"/>
    <xf numFmtId="0" fontId="29" fillId="26" borderId="14" applyNumberFormat="0" applyAlignment="0" applyProtection="0"/>
    <xf numFmtId="0" fontId="29" fillId="26" borderId="14" applyNumberFormat="0" applyAlignment="0" applyProtection="0"/>
    <xf numFmtId="0" fontId="55" fillId="35" borderId="14" applyNumberFormat="0" applyAlignment="0" applyProtection="0"/>
    <xf numFmtId="39" fontId="50" fillId="36" borderId="0" applyNumberFormat="0" applyFont="0" applyBorder="0" applyAlignment="0"/>
    <xf numFmtId="172" fontId="56" fillId="0" borderId="0" applyFont="0" applyFill="0" applyBorder="0" applyAlignment="0" applyProtection="0"/>
    <xf numFmtId="0" fontId="30" fillId="27" borderId="15" applyNumberFormat="0" applyAlignment="0" applyProtection="0"/>
    <xf numFmtId="0" fontId="30" fillId="27" borderId="15" applyNumberFormat="0" applyAlignment="0" applyProtection="0"/>
    <xf numFmtId="0" fontId="30" fillId="27" borderId="15" applyNumberFormat="0" applyAlignment="0" applyProtection="0"/>
    <xf numFmtId="0" fontId="30" fillId="27" borderId="15" applyNumberFormat="0" applyAlignment="0" applyProtection="0"/>
    <xf numFmtId="0" fontId="30" fillId="27" borderId="15" applyNumberFormat="0" applyAlignment="0" applyProtection="0"/>
    <xf numFmtId="179" fontId="57" fillId="0" borderId="9">
      <alignment horizontal="right"/>
    </xf>
    <xf numFmtId="37" fontId="58" fillId="0" borderId="0"/>
    <xf numFmtId="175" fontId="13" fillId="0" borderId="0" applyFont="0" applyFill="0" applyBorder="0" applyAlignment="0" applyProtection="0"/>
    <xf numFmtId="180" fontId="57" fillId="0" borderId="0" applyFont="0" applyFill="0" applyBorder="0" applyAlignment="0" applyProtection="0"/>
    <xf numFmtId="181" fontId="58" fillId="0" borderId="0"/>
    <xf numFmtId="164" fontId="50" fillId="0" borderId="0" applyFont="0" applyFill="0" applyBorder="0" applyAlignment="0" applyProtection="0">
      <alignment horizontal="right"/>
    </xf>
    <xf numFmtId="182" fontId="50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57" fillId="0" borderId="0" applyFont="0" applyFill="0" applyBorder="0" applyAlignment="0" applyProtection="0">
      <alignment horizontal="right"/>
    </xf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83" fontId="13" fillId="0" borderId="0" applyFont="0" applyFill="0" applyBorder="0" applyAlignment="0" applyProtection="0"/>
    <xf numFmtId="39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0" fontId="13" fillId="0" borderId="0" applyNumberFormat="0" applyAlignment="0">
      <alignment horizontal="left"/>
    </xf>
    <xf numFmtId="184" fontId="50" fillId="0" borderId="0" applyFont="0" applyFill="0" applyBorder="0" applyAlignment="0" applyProtection="0">
      <protection locked="0"/>
    </xf>
    <xf numFmtId="184" fontId="50" fillId="0" borderId="0" applyFont="0" applyFill="0" applyBorder="0" applyAlignment="0" applyProtection="0">
      <protection locked="0"/>
    </xf>
    <xf numFmtId="185" fontId="58" fillId="0" borderId="0"/>
    <xf numFmtId="175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8" fontId="13" fillId="0" borderId="30">
      <protection locked="0"/>
    </xf>
    <xf numFmtId="180" fontId="57" fillId="0" borderId="0" applyFont="0" applyFill="0" applyBorder="0" applyAlignment="0" applyProtection="0">
      <alignment horizontal="right"/>
    </xf>
    <xf numFmtId="44" fontId="13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187" fontId="50" fillId="0" borderId="0" applyFont="0" applyFill="0" applyBorder="0" applyAlignment="0" applyProtection="0">
      <alignment horizontal="right"/>
    </xf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7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2" fontId="13" fillId="0" borderId="0" applyFill="0" applyBorder="0">
      <alignment horizontal="right"/>
    </xf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8" fontId="13" fillId="0" borderId="0" applyFont="0" applyFill="0" applyBorder="0" applyAlignment="0" applyProtection="0"/>
    <xf numFmtId="189" fontId="13" fillId="0" borderId="0" applyFill="0" applyBorder="0">
      <alignment horizontal="right"/>
    </xf>
    <xf numFmtId="165" fontId="13" fillId="0" borderId="9" applyFill="0" applyBorder="0">
      <alignment horizontal="right"/>
    </xf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4" fontId="59" fillId="0" borderId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0" fontId="13" fillId="0" borderId="0" applyFont="0" applyFill="0" applyBorder="0" applyAlignment="0" applyProtection="0"/>
    <xf numFmtId="191" fontId="50" fillId="0" borderId="0" applyFont="0" applyFill="0" applyBorder="0" applyAlignment="0" applyProtection="0"/>
    <xf numFmtId="14" fontId="60" fillId="0" borderId="0" applyFill="0" applyBorder="0" applyAlignment="0"/>
    <xf numFmtId="14" fontId="61" fillId="0" borderId="0">
      <alignment horizontal="right"/>
      <protection locked="0"/>
    </xf>
    <xf numFmtId="14" fontId="56" fillId="0" borderId="0" applyFont="0" applyFill="0" applyBorder="0" applyAlignment="0" applyProtection="0">
      <alignment horizontal="center"/>
    </xf>
    <xf numFmtId="192" fontId="13" fillId="0" borderId="0" applyFont="0" applyFill="0" applyBorder="0" applyAlignment="0" applyProtection="0">
      <alignment horizontal="center"/>
    </xf>
    <xf numFmtId="38" fontId="62" fillId="0" borderId="31">
      <alignment vertical="center"/>
    </xf>
    <xf numFmtId="8" fontId="50" fillId="0" borderId="0" applyFont="0" applyFill="0" applyBorder="0" applyAlignment="0" applyProtection="0"/>
    <xf numFmtId="173" fontId="50" fillId="0" borderId="0"/>
    <xf numFmtId="173" fontId="63" fillId="0" borderId="0">
      <protection locked="0"/>
    </xf>
    <xf numFmtId="7" fontId="50" fillId="0" borderId="0"/>
    <xf numFmtId="193" fontId="13" fillId="0" borderId="0" applyFont="0" applyFill="0" applyBorder="0" applyAlignment="0" applyProtection="0"/>
    <xf numFmtId="6" fontId="50" fillId="0" borderId="0" applyFont="0" applyFill="0" applyBorder="0" applyAlignment="0" applyProtection="0"/>
    <xf numFmtId="194" fontId="50" fillId="0" borderId="32" applyNumberFormat="0" applyFont="0" applyFill="0" applyAlignment="0" applyProtection="0"/>
    <xf numFmtId="42" fontId="64" fillId="0" borderId="0" applyFill="0" applyBorder="0" applyAlignment="0" applyProtection="0"/>
    <xf numFmtId="175" fontId="13" fillId="0" borderId="0" applyFill="0" applyBorder="0" applyAlignment="0"/>
    <xf numFmtId="175" fontId="13" fillId="0" borderId="0" applyFill="0" applyBorder="0" applyAlignment="0"/>
    <xf numFmtId="175" fontId="13" fillId="0" borderId="0" applyFill="0" applyBorder="0" applyAlignment="0"/>
    <xf numFmtId="178" fontId="13" fillId="0" borderId="0" applyFill="0" applyBorder="0" applyAlignment="0"/>
    <xf numFmtId="175" fontId="13" fillId="0" borderId="0" applyFill="0" applyBorder="0" applyAlignment="0"/>
    <xf numFmtId="0" fontId="13" fillId="0" borderId="0" applyNumberFormat="0" applyAlignment="0">
      <alignment horizontal="left"/>
    </xf>
    <xf numFmtId="195" fontId="13" fillId="0" borderId="0" applyFont="0" applyFill="0" applyBorder="0" applyAlignment="0" applyProtection="0"/>
    <xf numFmtId="195" fontId="1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46" fillId="0" borderId="1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196" fontId="46" fillId="0" borderId="0">
      <alignment horizontal="left"/>
    </xf>
    <xf numFmtId="196" fontId="46" fillId="0" borderId="0">
      <alignment horizontal="left"/>
    </xf>
    <xf numFmtId="197" fontId="46" fillId="0" borderId="0" applyFont="0" applyFill="0" applyBorder="0" applyProtection="0">
      <alignment horizontal="right"/>
    </xf>
    <xf numFmtId="0" fontId="13" fillId="0" borderId="0"/>
    <xf numFmtId="0" fontId="32" fillId="10" borderId="0" applyNumberFormat="0" applyBorder="0" applyAlignment="0" applyProtection="0"/>
    <xf numFmtId="0" fontId="32" fillId="10" borderId="0" applyNumberFormat="0" applyBorder="0" applyAlignment="0" applyProtection="0"/>
    <xf numFmtId="0" fontId="32" fillId="10" borderId="0" applyNumberFormat="0" applyBorder="0" applyAlignment="0" applyProtection="0"/>
    <xf numFmtId="0" fontId="32" fillId="10" borderId="0" applyNumberFormat="0" applyBorder="0" applyAlignment="0" applyProtection="0"/>
    <xf numFmtId="0" fontId="32" fillId="10" borderId="0" applyNumberFormat="0" applyBorder="0" applyAlignment="0" applyProtection="0"/>
    <xf numFmtId="0" fontId="32" fillId="12" borderId="0" applyNumberFormat="0" applyBorder="0" applyAlignment="0" applyProtection="0"/>
    <xf numFmtId="173" fontId="46" fillId="0" borderId="33" applyNumberFormat="0" applyFont="0" applyFill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173" fontId="65" fillId="0" borderId="29" applyNumberFormat="0" applyFill="0" applyBorder="0" applyAlignment="0" applyProtection="0">
      <alignment horizontal="right"/>
    </xf>
    <xf numFmtId="38" fontId="46" fillId="31" borderId="0" applyNumberFormat="0" applyBorder="0" applyAlignment="0" applyProtection="0"/>
    <xf numFmtId="38" fontId="46" fillId="31" borderId="0" applyNumberFormat="0" applyBorder="0" applyAlignment="0" applyProtection="0"/>
    <xf numFmtId="198" fontId="13" fillId="0" borderId="0" applyFill="0" applyBorder="0" applyAlignment="0" applyProtection="0"/>
    <xf numFmtId="199" fontId="66" fillId="37" borderId="1" applyNumberFormat="0" applyFont="0" applyAlignment="0"/>
    <xf numFmtId="200" fontId="57" fillId="0" borderId="0" applyFont="0" applyFill="0" applyBorder="0" applyAlignment="0" applyProtection="0">
      <alignment horizontal="right"/>
    </xf>
    <xf numFmtId="201" fontId="13" fillId="0" borderId="0" applyNumberFormat="0" applyFill="0" applyBorder="0" applyProtection="0">
      <alignment horizontal="right"/>
    </xf>
    <xf numFmtId="0" fontId="67" fillId="0" borderId="34" applyNumberFormat="0" applyAlignment="0" applyProtection="0">
      <alignment horizontal="left" vertical="center"/>
    </xf>
    <xf numFmtId="0" fontId="67" fillId="0" borderId="24">
      <alignment horizontal="left" vertical="center"/>
    </xf>
    <xf numFmtId="49" fontId="68" fillId="0" borderId="1">
      <alignment horizontal="center"/>
    </xf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70" fillId="0" borderId="35" applyNumberForma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9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71" fillId="0" borderId="0" applyProtection="0">
      <alignment horizontal="left"/>
    </xf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34" fillId="0" borderId="17" applyNumberForma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67" fillId="0" borderId="0" applyNumberFormat="0" applyFon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72" fillId="0" borderId="0" applyProtection="0">
      <alignment horizontal="left"/>
    </xf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183" fontId="74" fillId="0" borderId="0">
      <alignment horizontal="right"/>
    </xf>
    <xf numFmtId="183" fontId="74" fillId="0" borderId="0">
      <alignment horizontal="left"/>
    </xf>
    <xf numFmtId="175" fontId="13" fillId="0" borderId="0">
      <protection locked="0"/>
    </xf>
    <xf numFmtId="175" fontId="13" fillId="0" borderId="0">
      <protection locked="0"/>
    </xf>
    <xf numFmtId="0" fontId="75" fillId="0" borderId="36" applyNumberFormat="0" applyFill="0" applyBorder="0" applyAlignment="0" applyProtection="0">
      <alignment horizontal="left"/>
    </xf>
    <xf numFmtId="0" fontId="75" fillId="0" borderId="36" applyNumberFormat="0" applyFill="0" applyBorder="0" applyAlignment="0" applyProtection="0">
      <alignment horizontal="left"/>
    </xf>
    <xf numFmtId="0" fontId="75" fillId="0" borderId="36" applyNumberFormat="0" applyFill="0" applyBorder="0" applyAlignment="0" applyProtection="0">
      <alignment horizontal="left"/>
    </xf>
    <xf numFmtId="0" fontId="75" fillId="0" borderId="36" applyNumberFormat="0" applyFill="0" applyBorder="0" applyAlignment="0" applyProtection="0">
      <alignment horizontal="left"/>
    </xf>
    <xf numFmtId="0" fontId="75" fillId="0" borderId="36" applyNumberFormat="0" applyFill="0" applyBorder="0" applyAlignment="0" applyProtection="0">
      <alignment horizontal="left"/>
    </xf>
    <xf numFmtId="0" fontId="75" fillId="0" borderId="36" applyNumberFormat="0" applyFill="0" applyBorder="0" applyAlignment="0" applyProtection="0">
      <alignment horizontal="left"/>
    </xf>
    <xf numFmtId="0" fontId="75" fillId="0" borderId="36" applyNumberFormat="0" applyFill="0" applyBorder="0" applyAlignment="0" applyProtection="0">
      <alignment horizontal="left"/>
    </xf>
    <xf numFmtId="0" fontId="75" fillId="0" borderId="36" applyNumberFormat="0" applyFill="0" applyBorder="0" applyAlignment="0" applyProtection="0">
      <alignment horizontal="left"/>
    </xf>
    <xf numFmtId="0" fontId="76" fillId="0" borderId="37" applyNumberFormat="0" applyFill="0" applyAlignment="0" applyProtection="0"/>
    <xf numFmtId="172" fontId="50" fillId="0" borderId="0" applyFont="0" applyFill="0" applyBorder="0" applyAlignment="0" applyProtection="0"/>
    <xf numFmtId="0" fontId="77" fillId="30" borderId="26"/>
    <xf numFmtId="164" fontId="13" fillId="37" borderId="0"/>
    <xf numFmtId="10" fontId="13" fillId="37" borderId="0"/>
    <xf numFmtId="37" fontId="13" fillId="37" borderId="0"/>
    <xf numFmtId="10" fontId="46" fillId="37" borderId="1" applyNumberFormat="0" applyBorder="0" applyAlignment="0" applyProtection="0"/>
    <xf numFmtId="10" fontId="46" fillId="37" borderId="1" applyNumberForma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36" fillId="13" borderId="14" applyNumberFormat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36" fillId="13" borderId="14" applyNumberFormat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0" fontId="74" fillId="38" borderId="38" applyNumberFormat="0" applyFont="0" applyBorder="0" applyAlignment="0" applyProtection="0"/>
    <xf numFmtId="37" fontId="13" fillId="37" borderId="0"/>
    <xf numFmtId="0" fontId="13" fillId="38" borderId="39" applyBorder="0" applyAlignment="0" applyProtection="0"/>
    <xf numFmtId="202" fontId="13" fillId="0" borderId="0">
      <alignment horizontal="left"/>
    </xf>
    <xf numFmtId="175" fontId="13" fillId="0" borderId="0" applyFill="0" applyBorder="0" applyAlignment="0"/>
    <xf numFmtId="175" fontId="13" fillId="0" borderId="0" applyFill="0" applyBorder="0" applyAlignment="0"/>
    <xf numFmtId="175" fontId="13" fillId="0" borderId="0" applyFill="0" applyBorder="0" applyAlignment="0"/>
    <xf numFmtId="178" fontId="13" fillId="0" borderId="0" applyFill="0" applyBorder="0" applyAlignment="0"/>
    <xf numFmtId="175" fontId="13" fillId="0" borderId="0" applyFill="0" applyBorder="0" applyAlignment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41" fillId="0" borderId="40" applyNumberFormat="0" applyFill="0" applyAlignment="0" applyProtection="0"/>
    <xf numFmtId="0" fontId="13" fillId="0" borderId="41" applyBorder="0"/>
    <xf numFmtId="183" fontId="78" fillId="39" borderId="0" applyNumberFormat="0" applyFont="0" applyFill="0" applyBorder="0" applyAlignment="0">
      <alignment horizontal="centerContinuous"/>
    </xf>
    <xf numFmtId="198" fontId="13" fillId="0" borderId="0" applyFill="0" applyBorder="0" applyAlignment="0" applyProtection="0"/>
    <xf numFmtId="203" fontId="46" fillId="0" borderId="0" applyFont="0" applyFill="0" applyBorder="0" applyProtection="0">
      <alignment horizontal="right"/>
    </xf>
    <xf numFmtId="0" fontId="79" fillId="0" borderId="0" applyNumberFormat="0">
      <alignment horizontal="right"/>
    </xf>
    <xf numFmtId="204" fontId="46" fillId="0" borderId="0" applyFill="0" applyBorder="0" applyProtection="0">
      <alignment horizontal="right"/>
    </xf>
    <xf numFmtId="205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13" fillId="0" borderId="0" applyFont="0" applyFill="0" applyBorder="0" applyAlignment="0" applyProtection="0"/>
    <xf numFmtId="0" fontId="38" fillId="28" borderId="0" applyNumberFormat="0" applyBorder="0" applyAlignment="0" applyProtection="0"/>
    <xf numFmtId="0" fontId="38" fillId="28" borderId="0" applyNumberFormat="0" applyBorder="0" applyAlignment="0" applyProtection="0"/>
    <xf numFmtId="0" fontId="38" fillId="28" borderId="0" applyNumberFormat="0" applyBorder="0" applyAlignment="0" applyProtection="0"/>
    <xf numFmtId="0" fontId="38" fillId="28" borderId="0" applyNumberFormat="0" applyBorder="0" applyAlignment="0" applyProtection="0"/>
    <xf numFmtId="0" fontId="38" fillId="28" borderId="0" applyNumberFormat="0" applyBorder="0" applyAlignment="0" applyProtection="0"/>
    <xf numFmtId="0" fontId="80" fillId="28" borderId="0" applyNumberFormat="0" applyBorder="0" applyAlignment="0" applyProtection="0"/>
    <xf numFmtId="208" fontId="44" fillId="0" borderId="0" applyFont="0" applyFill="0" applyBorder="0" applyAlignment="0" applyProtection="0"/>
    <xf numFmtId="37" fontId="81" fillId="0" borderId="0"/>
    <xf numFmtId="209" fontId="8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3" fillId="0" borderId="0"/>
    <xf numFmtId="0" fontId="13" fillId="0" borderId="0"/>
    <xf numFmtId="0" fontId="83" fillId="0" borderId="0"/>
    <xf numFmtId="0" fontId="13" fillId="0" borderId="0"/>
    <xf numFmtId="0" fontId="83" fillId="0" borderId="0"/>
    <xf numFmtId="0" fontId="83" fillId="0" borderId="0"/>
    <xf numFmtId="0" fontId="83" fillId="0" borderId="0"/>
    <xf numFmtId="0" fontId="83" fillId="0" borderId="0"/>
    <xf numFmtId="169" fontId="13" fillId="0" borderId="0">
      <alignment horizontal="left" wrapText="1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13" fillId="0" borderId="0"/>
    <xf numFmtId="0" fontId="19" fillId="0" borderId="0"/>
    <xf numFmtId="0" fontId="13" fillId="0" borderId="0"/>
    <xf numFmtId="0" fontId="19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4" fillId="0" borderId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5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0" fontId="13" fillId="29" borderId="20" applyNumberFormat="0" applyFont="0" applyAlignment="0" applyProtection="0"/>
    <xf numFmtId="1" fontId="63" fillId="0" borderId="0">
      <alignment horizontal="right"/>
      <protection locked="0"/>
    </xf>
    <xf numFmtId="187" fontId="85" fillId="0" borderId="0">
      <alignment horizontal="right"/>
      <protection locked="0"/>
    </xf>
    <xf numFmtId="183" fontId="63" fillId="0" borderId="0">
      <protection locked="0"/>
    </xf>
    <xf numFmtId="2" fontId="85" fillId="0" borderId="0">
      <alignment horizontal="right"/>
      <protection locked="0"/>
    </xf>
    <xf numFmtId="2" fontId="63" fillId="0" borderId="0">
      <alignment horizontal="right"/>
      <protection locked="0"/>
    </xf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3" fontId="13" fillId="0" borderId="0"/>
    <xf numFmtId="205" fontId="13" fillId="0" borderId="0" applyFill="0" applyBorder="0">
      <alignment horizontal="right"/>
    </xf>
    <xf numFmtId="210" fontId="13" fillId="0" borderId="0" applyFill="0" applyBorder="0">
      <alignment horizontal="right"/>
    </xf>
    <xf numFmtId="209" fontId="74" fillId="0" borderId="0" applyFill="0" applyBorder="0">
      <alignment horizontal="right"/>
    </xf>
    <xf numFmtId="0" fontId="74" fillId="0" borderId="3" applyNumberFormat="0" applyFont="0" applyFill="0" applyAlignment="0" applyProtection="0"/>
    <xf numFmtId="0" fontId="39" fillId="26" borderId="21" applyNumberFormat="0" applyAlignment="0" applyProtection="0"/>
    <xf numFmtId="0" fontId="39" fillId="26" borderId="21" applyNumberFormat="0" applyAlignment="0" applyProtection="0"/>
    <xf numFmtId="0" fontId="39" fillId="26" borderId="21" applyNumberFormat="0" applyAlignment="0" applyProtection="0"/>
    <xf numFmtId="0" fontId="39" fillId="26" borderId="21" applyNumberFormat="0" applyAlignment="0" applyProtection="0"/>
    <xf numFmtId="0" fontId="39" fillId="26" borderId="21" applyNumberFormat="0" applyAlignment="0" applyProtection="0"/>
    <xf numFmtId="0" fontId="39" fillId="35" borderId="21" applyNumberFormat="0" applyAlignment="0" applyProtection="0"/>
    <xf numFmtId="40" fontId="86" fillId="40" borderId="0">
      <alignment horizontal="right"/>
    </xf>
    <xf numFmtId="0" fontId="87" fillId="37" borderId="0">
      <alignment horizontal="center"/>
    </xf>
    <xf numFmtId="0" fontId="88" fillId="41" borderId="7"/>
    <xf numFmtId="0" fontId="89" fillId="0" borderId="0" applyBorder="0">
      <alignment horizontal="centerContinuous"/>
    </xf>
    <xf numFmtId="0" fontId="90" fillId="0" borderId="0" applyBorder="0">
      <alignment horizontal="centerContinuous"/>
    </xf>
    <xf numFmtId="1" fontId="91" fillId="0" borderId="0" applyProtection="0">
      <alignment horizontal="right" vertical="center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183" fontId="58" fillId="0" borderId="0"/>
    <xf numFmtId="164" fontId="50" fillId="0" borderId="0">
      <alignment horizontal="right"/>
    </xf>
    <xf numFmtId="164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211" fontId="13" fillId="0" borderId="0" applyFont="0" applyFill="0" applyBorder="0" applyAlignment="0" applyProtection="0"/>
    <xf numFmtId="164" fontId="58" fillId="0" borderId="0" applyFont="0" applyFill="0" applyBorder="0" applyAlignment="0" applyProtection="0"/>
    <xf numFmtId="164" fontId="58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64" fontId="13" fillId="0" borderId="0"/>
    <xf numFmtId="10" fontId="13" fillId="0" borderId="0" applyFont="0" applyFill="0" applyBorder="0" applyAlignment="0" applyProtection="0"/>
    <xf numFmtId="209" fontId="13" fillId="0" borderId="0"/>
    <xf numFmtId="164" fontId="74" fillId="0" borderId="0"/>
    <xf numFmtId="164" fontId="63" fillId="0" borderId="0"/>
    <xf numFmtId="212" fontId="13" fillId="0" borderId="0"/>
    <xf numFmtId="10" fontId="63" fillId="0" borderId="0">
      <protection locked="0"/>
    </xf>
    <xf numFmtId="167" fontId="13" fillId="0" borderId="0" applyFont="0" applyFill="0" applyBorder="0" applyAlignment="0" applyProtection="0"/>
    <xf numFmtId="172" fontId="50" fillId="0" borderId="0" applyFont="0" applyFill="0" applyBorder="0" applyAlignment="0" applyProtection="0">
      <protection locked="0"/>
    </xf>
    <xf numFmtId="175" fontId="13" fillId="0" borderId="0" applyFill="0" applyBorder="0" applyAlignment="0"/>
    <xf numFmtId="175" fontId="13" fillId="0" borderId="0" applyFill="0" applyBorder="0" applyAlignment="0"/>
    <xf numFmtId="175" fontId="13" fillId="0" borderId="0" applyFill="0" applyBorder="0" applyAlignment="0"/>
    <xf numFmtId="178" fontId="13" fillId="0" borderId="0" applyFill="0" applyBorder="0" applyAlignment="0"/>
    <xf numFmtId="175" fontId="13" fillId="0" borderId="0" applyFill="0" applyBorder="0" applyAlignment="0"/>
    <xf numFmtId="38" fontId="50" fillId="0" borderId="0" applyFont="0" applyFill="0" applyBorder="0" applyAlignment="0" applyProtection="0"/>
    <xf numFmtId="185" fontId="74" fillId="0" borderId="0" applyProtection="0">
      <alignment horizontal="right"/>
    </xf>
    <xf numFmtId="185" fontId="74" fillId="0" borderId="0">
      <alignment horizontal="right"/>
      <protection locked="0"/>
    </xf>
    <xf numFmtId="0" fontId="62" fillId="0" borderId="0" applyNumberFormat="0" applyFont="0" applyFill="0" applyBorder="0" applyAlignment="0" applyProtection="0">
      <alignment horizontal="left"/>
    </xf>
    <xf numFmtId="15" fontId="62" fillId="0" borderId="0" applyFont="0" applyFill="0" applyBorder="0" applyAlignment="0" applyProtection="0"/>
    <xf numFmtId="4" fontId="62" fillId="0" borderId="0" applyFont="0" applyFill="0" applyBorder="0" applyAlignment="0" applyProtection="0"/>
    <xf numFmtId="0" fontId="13" fillId="0" borderId="42">
      <alignment horizontal="center"/>
    </xf>
    <xf numFmtId="0" fontId="13" fillId="0" borderId="42">
      <alignment horizontal="center"/>
    </xf>
    <xf numFmtId="0" fontId="13" fillId="0" borderId="42">
      <alignment horizontal="center"/>
    </xf>
    <xf numFmtId="0" fontId="13" fillId="0" borderId="42">
      <alignment horizontal="center"/>
    </xf>
    <xf numFmtId="0" fontId="13" fillId="0" borderId="42">
      <alignment horizontal="center"/>
    </xf>
    <xf numFmtId="0" fontId="13" fillId="0" borderId="42">
      <alignment horizontal="center"/>
    </xf>
    <xf numFmtId="0" fontId="13" fillId="0" borderId="42">
      <alignment horizontal="center"/>
    </xf>
    <xf numFmtId="0" fontId="13" fillId="0" borderId="42">
      <alignment horizontal="center"/>
    </xf>
    <xf numFmtId="3" fontId="62" fillId="0" borderId="0" applyFont="0" applyFill="0" applyBorder="0" applyAlignment="0" applyProtection="0"/>
    <xf numFmtId="0" fontId="62" fillId="42" borderId="0" applyNumberFormat="0" applyFont="0" applyBorder="0" applyAlignment="0" applyProtection="0"/>
    <xf numFmtId="0" fontId="92" fillId="0" borderId="0"/>
    <xf numFmtId="191" fontId="57" fillId="0" borderId="0" applyNumberFormat="0" applyFill="0" applyBorder="0" applyAlignment="0" applyProtection="0">
      <alignment horizontal="left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13" fillId="0" borderId="43">
      <alignment vertical="center"/>
    </xf>
    <xf numFmtId="0" fontId="59" fillId="0" borderId="44"/>
    <xf numFmtId="172" fontId="50" fillId="0" borderId="0" applyFont="0" applyFill="0" applyBorder="0" applyAlignment="0" applyProtection="0"/>
    <xf numFmtId="42" fontId="54" fillId="0" borderId="0" applyFill="0" applyBorder="0" applyAlignment="0" applyProtection="0"/>
    <xf numFmtId="0" fontId="84" fillId="0" borderId="0">
      <alignment horizontal="center"/>
    </xf>
    <xf numFmtId="0" fontId="93" fillId="0" borderId="0"/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4" fontId="46" fillId="0" borderId="0" applyFill="0" applyBorder="0" applyProtection="0">
      <alignment horizontal="right"/>
    </xf>
    <xf numFmtId="0" fontId="46" fillId="0" borderId="0" applyNumberFormat="0" applyFill="0" applyBorder="0" applyProtection="0">
      <alignment horizontal="left"/>
    </xf>
    <xf numFmtId="167" fontId="46" fillId="0" borderId="0" applyFill="0" applyBorder="0" applyProtection="0">
      <alignment horizontal="left" vertical="top" wrapText="1"/>
    </xf>
    <xf numFmtId="0" fontId="46" fillId="0" borderId="0" applyNumberFormat="0" applyFill="0" applyBorder="0" applyProtection="0">
      <alignment horizontal="left" vertical="top" wrapText="1"/>
    </xf>
    <xf numFmtId="0" fontId="46" fillId="0" borderId="0" applyNumberFormat="0" applyFill="0" applyBorder="0" applyProtection="0">
      <alignment horizontal="left" vertical="top" wrapText="1"/>
    </xf>
    <xf numFmtId="167" fontId="94" fillId="43" borderId="0" applyBorder="0" applyProtection="0">
      <alignment horizontal="left" vertical="top" wrapText="1"/>
    </xf>
    <xf numFmtId="167" fontId="95" fillId="0" borderId="0" applyFill="0" applyBorder="0" applyProtection="0">
      <alignment horizontal="left" vertical="top" wrapText="1"/>
    </xf>
    <xf numFmtId="0" fontId="96" fillId="43" borderId="0" applyNumberFormat="0" applyBorder="0" applyProtection="0">
      <alignment vertical="top" wrapText="1"/>
    </xf>
    <xf numFmtId="0" fontId="97" fillId="44" borderId="0" applyNumberFormat="0" applyBorder="0" applyProtection="0">
      <alignment vertical="top" wrapText="1"/>
    </xf>
    <xf numFmtId="167" fontId="98" fillId="0" borderId="0" applyFill="0" applyBorder="0" applyProtection="0">
      <alignment horizontal="left" wrapText="1"/>
    </xf>
    <xf numFmtId="3" fontId="66" fillId="0" borderId="0" applyFill="0" applyBorder="0" applyProtection="0">
      <alignment horizontal="left" wrapText="1"/>
    </xf>
    <xf numFmtId="3" fontId="66" fillId="0" borderId="0" applyFill="0" applyBorder="0" applyProtection="0">
      <alignment horizontal="left" wrapText="1"/>
    </xf>
    <xf numFmtId="0" fontId="99" fillId="0" borderId="36" applyNumberFormat="0" applyFill="0" applyProtection="0">
      <alignment horizontal="left" vertical="top" wrapText="1"/>
    </xf>
    <xf numFmtId="0" fontId="99" fillId="0" borderId="36" applyNumberFormat="0" applyFill="0" applyProtection="0">
      <alignment horizontal="left" vertical="top" wrapText="1"/>
    </xf>
    <xf numFmtId="0" fontId="99" fillId="0" borderId="36" applyNumberFormat="0" applyFill="0" applyProtection="0">
      <alignment horizontal="left" vertical="top" wrapText="1"/>
    </xf>
    <xf numFmtId="0" fontId="99" fillId="0" borderId="36" applyNumberFormat="0" applyFill="0" applyProtection="0">
      <alignment horizontal="left" vertical="top" wrapText="1"/>
    </xf>
    <xf numFmtId="0" fontId="99" fillId="0" borderId="36" applyNumberFormat="0" applyFill="0" applyProtection="0">
      <alignment horizontal="left" vertical="top" wrapText="1"/>
    </xf>
    <xf numFmtId="0" fontId="99" fillId="0" borderId="36" applyNumberFormat="0" applyFill="0" applyProtection="0">
      <alignment horizontal="left" vertical="top" wrapText="1"/>
    </xf>
    <xf numFmtId="0" fontId="99" fillId="0" borderId="36" applyNumberFormat="0" applyFill="0" applyProtection="0">
      <alignment horizontal="left" vertical="top" wrapText="1"/>
    </xf>
    <xf numFmtId="0" fontId="99" fillId="0" borderId="36" applyNumberFormat="0" applyFill="0" applyProtection="0">
      <alignment horizontal="left" vertical="top" wrapText="1"/>
    </xf>
    <xf numFmtId="191" fontId="46" fillId="0" borderId="0" applyFill="0" applyBorder="0" applyProtection="0">
      <alignment horizontal="left" wrapText="1"/>
    </xf>
    <xf numFmtId="167" fontId="66" fillId="0" borderId="0" applyFill="0" applyBorder="0" applyProtection="0">
      <alignment horizontal="center" wrapText="1"/>
    </xf>
    <xf numFmtId="167" fontId="66" fillId="0" borderId="0" applyFill="0" applyBorder="0" applyProtection="0">
      <alignment horizontal="center" wrapText="1"/>
    </xf>
    <xf numFmtId="167" fontId="98" fillId="0" borderId="0" applyFill="0" applyBorder="0" applyProtection="0">
      <alignment horizontal="center" wrapText="1"/>
    </xf>
    <xf numFmtId="167" fontId="100" fillId="44" borderId="0" applyBorder="0" applyProtection="0">
      <alignment horizontal="left" wrapText="1"/>
    </xf>
    <xf numFmtId="0" fontId="66" fillId="0" borderId="0" applyNumberFormat="0" applyFill="0" applyBorder="0" applyProtection="0">
      <alignment horizontal="left" vertical="top" wrapText="1"/>
    </xf>
    <xf numFmtId="0" fontId="66" fillId="0" borderId="0" applyNumberFormat="0" applyFill="0" applyBorder="0" applyProtection="0">
      <alignment horizontal="left" vertical="top" wrapText="1"/>
    </xf>
    <xf numFmtId="0" fontId="66" fillId="0" borderId="0" applyNumberFormat="0" applyFill="0" applyBorder="0" applyProtection="0">
      <alignment horizontal="left" wrapText="1"/>
    </xf>
    <xf numFmtId="0" fontId="66" fillId="0" borderId="0" applyNumberFormat="0" applyFill="0" applyBorder="0" applyProtection="0">
      <alignment horizontal="left" wrapText="1"/>
    </xf>
    <xf numFmtId="0" fontId="66" fillId="0" borderId="0" applyNumberFormat="0" applyFill="0" applyBorder="0" applyProtection="0">
      <alignment horizontal="left"/>
    </xf>
    <xf numFmtId="0" fontId="66" fillId="0" borderId="0" applyNumberFormat="0" applyFill="0" applyBorder="0" applyProtection="0">
      <alignment horizontal="left"/>
    </xf>
    <xf numFmtId="0" fontId="66" fillId="0" borderId="0" applyNumberFormat="0" applyFill="0" applyBorder="0" applyProtection="0">
      <alignment horizontal="right" vertical="top" wrapText="1"/>
    </xf>
    <xf numFmtId="0" fontId="66" fillId="0" borderId="0" applyNumberFormat="0" applyFill="0" applyBorder="0" applyProtection="0">
      <alignment horizontal="right" vertical="top" wrapText="1"/>
    </xf>
    <xf numFmtId="0" fontId="66" fillId="0" borderId="0" applyNumberFormat="0" applyFill="0" applyBorder="0" applyProtection="0">
      <alignment horizontal="right" wrapText="1"/>
    </xf>
    <xf numFmtId="0" fontId="66" fillId="0" borderId="0" applyNumberFormat="0" applyFill="0" applyBorder="0" applyProtection="0">
      <alignment horizontal="right" wrapText="1"/>
    </xf>
    <xf numFmtId="0" fontId="66" fillId="0" borderId="0" applyNumberFormat="0" applyFill="0" applyBorder="0" applyProtection="0">
      <alignment horizontal="center" vertical="top" wrapText="1"/>
    </xf>
    <xf numFmtId="0" fontId="66" fillId="0" borderId="0" applyNumberFormat="0" applyFill="0" applyBorder="0" applyProtection="0">
      <alignment horizontal="center" vertical="top" wrapText="1"/>
    </xf>
    <xf numFmtId="0" fontId="66" fillId="0" borderId="0" applyNumberFormat="0" applyFill="0" applyBorder="0" applyProtection="0">
      <alignment horizontal="center" wrapText="1"/>
    </xf>
    <xf numFmtId="0" fontId="66" fillId="0" borderId="0" applyNumberFormat="0" applyFill="0" applyBorder="0" applyProtection="0">
      <alignment horizontal="center" wrapText="1"/>
    </xf>
    <xf numFmtId="0" fontId="98" fillId="0" borderId="0" applyNumberFormat="0" applyFill="0" applyBorder="0" applyProtection="0">
      <alignment horizontal="left" vertical="top" wrapText="1"/>
    </xf>
    <xf numFmtId="4" fontId="98" fillId="0" borderId="0" applyFill="0" applyBorder="0" applyProtection="0">
      <alignment horizontal="left" vertical="top" wrapText="1"/>
    </xf>
    <xf numFmtId="0" fontId="98" fillId="0" borderId="0" applyNumberFormat="0" applyFill="0" applyBorder="0" applyProtection="0">
      <alignment horizontal="left" wrapText="1"/>
    </xf>
    <xf numFmtId="0" fontId="98" fillId="0" borderId="0" applyNumberFormat="0" applyFill="0" applyBorder="0" applyProtection="0">
      <alignment horizontal="right" vertical="top" wrapText="1"/>
    </xf>
    <xf numFmtId="0" fontId="98" fillId="0" borderId="0" applyNumberFormat="0" applyFill="0" applyBorder="0" applyProtection="0">
      <alignment horizontal="right" wrapText="1"/>
    </xf>
    <xf numFmtId="0" fontId="98" fillId="0" borderId="0" applyNumberFormat="0" applyFill="0" applyBorder="0" applyProtection="0">
      <alignment horizontal="center" vertical="top" wrapText="1"/>
    </xf>
    <xf numFmtId="0" fontId="98" fillId="0" borderId="0" applyNumberFormat="0" applyFill="0" applyBorder="0" applyProtection="0">
      <alignment horizontal="center" wrapText="1"/>
    </xf>
    <xf numFmtId="0" fontId="95" fillId="0" borderId="0" applyNumberFormat="0" applyFill="0" applyBorder="0" applyProtection="0">
      <alignment horizontal="left" vertical="top" wrapText="1"/>
    </xf>
    <xf numFmtId="0" fontId="95" fillId="0" borderId="0" applyNumberFormat="0" applyFill="0" applyBorder="0" applyProtection="0">
      <alignment horizontal="left" wrapText="1"/>
    </xf>
    <xf numFmtId="0" fontId="95" fillId="0" borderId="0" applyNumberFormat="0" applyFill="0" applyBorder="0" applyProtection="0">
      <alignment horizontal="right" vertical="top" wrapText="1"/>
    </xf>
    <xf numFmtId="0" fontId="95" fillId="0" borderId="0" applyNumberFormat="0" applyFill="0" applyBorder="0" applyProtection="0">
      <alignment horizontal="right" wrapText="1"/>
    </xf>
    <xf numFmtId="0" fontId="95" fillId="0" borderId="0" applyNumberFormat="0" applyFill="0" applyBorder="0" applyProtection="0">
      <alignment horizontal="center" vertical="top" wrapText="1"/>
    </xf>
    <xf numFmtId="0" fontId="95" fillId="0" borderId="0" applyNumberFormat="0" applyFill="0" applyBorder="0" applyProtection="0">
      <alignment horizontal="center" wrapText="1"/>
    </xf>
    <xf numFmtId="0" fontId="96" fillId="43" borderId="0" applyNumberFormat="0" applyBorder="0" applyProtection="0">
      <alignment horizontal="left" wrapText="1"/>
    </xf>
    <xf numFmtId="0" fontId="96" fillId="43" borderId="0" applyNumberFormat="0" applyBorder="0" applyProtection="0">
      <alignment horizontal="left"/>
    </xf>
    <xf numFmtId="0" fontId="96" fillId="43" borderId="0" applyNumberFormat="0" applyBorder="0" applyProtection="0">
      <alignment horizontal="right"/>
    </xf>
    <xf numFmtId="0" fontId="97" fillId="44" borderId="0" applyNumberFormat="0" applyBorder="0" applyProtection="0">
      <alignment vertical="top" wrapText="1"/>
    </xf>
    <xf numFmtId="213" fontId="97" fillId="44" borderId="0" applyBorder="0" applyProtection="0">
      <alignment vertical="top" wrapText="1"/>
    </xf>
    <xf numFmtId="4" fontId="46" fillId="0" borderId="0" applyFill="0" applyBorder="0" applyProtection="0">
      <alignment horizontal="right"/>
    </xf>
    <xf numFmtId="213" fontId="46" fillId="0" borderId="0" applyFill="0" applyBorder="0" applyProtection="0">
      <alignment horizontal="right"/>
    </xf>
    <xf numFmtId="3" fontId="46" fillId="0" borderId="0" applyFill="0" applyBorder="0" applyProtection="0">
      <alignment horizontal="right"/>
    </xf>
    <xf numFmtId="167" fontId="46" fillId="0" borderId="0" applyFill="0" applyBorder="0" applyProtection="0">
      <alignment horizontal="right"/>
    </xf>
    <xf numFmtId="4" fontId="66" fillId="0" borderId="0" applyFill="0" applyBorder="0" applyProtection="0">
      <alignment horizontal="right"/>
    </xf>
    <xf numFmtId="4" fontId="66" fillId="0" borderId="0" applyFill="0" applyBorder="0" applyProtection="0">
      <alignment horizontal="right"/>
    </xf>
    <xf numFmtId="4" fontId="95" fillId="0" borderId="0" applyFill="0" applyBorder="0" applyProtection="0">
      <alignment horizontal="right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0" fontId="101" fillId="0" borderId="36" applyNumberFormat="0" applyFill="0" applyProtection="0">
      <alignment horizontal="left" vertical="top"/>
    </xf>
    <xf numFmtId="4" fontId="46" fillId="0" borderId="0" applyFill="0" applyBorder="0" applyProtection="0">
      <alignment horizontal="left"/>
    </xf>
    <xf numFmtId="4" fontId="46" fillId="0" borderId="0" applyFill="0" applyBorder="0" applyProtection="0">
      <alignment horizontal="center"/>
    </xf>
    <xf numFmtId="214" fontId="46" fillId="0" borderId="0" applyFill="0" applyBorder="0" applyProtection="0">
      <alignment horizontal="right"/>
    </xf>
    <xf numFmtId="215" fontId="46" fillId="0" borderId="0" applyFill="0" applyBorder="0" applyProtection="0">
      <alignment horizontal="right"/>
    </xf>
    <xf numFmtId="216" fontId="46" fillId="0" borderId="0" applyFill="0" applyBorder="0" applyProtection="0">
      <alignment horizontal="right"/>
    </xf>
    <xf numFmtId="191" fontId="46" fillId="0" borderId="0" applyFill="0" applyBorder="0" applyProtection="0">
      <alignment horizontal="right"/>
    </xf>
    <xf numFmtId="194" fontId="46" fillId="0" borderId="0" applyFill="0" applyBorder="0" applyProtection="0">
      <alignment horizontal="right"/>
    </xf>
    <xf numFmtId="4" fontId="46" fillId="0" borderId="0" applyFill="0" applyBorder="0" applyProtection="0">
      <alignment horizontal="center"/>
    </xf>
    <xf numFmtId="167" fontId="46" fillId="0" borderId="0" applyFill="0" applyBorder="0" applyProtection="0">
      <alignment horizontal="center"/>
    </xf>
    <xf numFmtId="0" fontId="46" fillId="0" borderId="0" applyNumberFormat="0" applyFill="0" applyBorder="0" applyProtection="0">
      <alignment horizontal="left" vertical="top" wrapText="1"/>
    </xf>
    <xf numFmtId="215" fontId="102" fillId="0" borderId="0" applyFill="0" applyBorder="0" applyProtection="0">
      <alignment horizontal="right"/>
    </xf>
    <xf numFmtId="214" fontId="102" fillId="0" borderId="0" applyFill="0" applyBorder="0" applyProtection="0">
      <alignment horizontal="right"/>
    </xf>
    <xf numFmtId="216" fontId="102" fillId="0" borderId="0" applyFill="0" applyBorder="0" applyProtection="0">
      <alignment horizontal="right"/>
    </xf>
    <xf numFmtId="14" fontId="102" fillId="0" borderId="0" applyFill="0" applyBorder="0" applyProtection="0">
      <alignment horizontal="right"/>
    </xf>
    <xf numFmtId="0" fontId="103" fillId="0" borderId="0" applyNumberFormat="0" applyFill="0" applyBorder="0" applyProtection="0">
      <alignment horizontal="left"/>
    </xf>
    <xf numFmtId="0" fontId="66" fillId="0" borderId="36" applyNumberFormat="0" applyFill="0" applyProtection="0"/>
    <xf numFmtId="0" fontId="66" fillId="0" borderId="36" applyNumberFormat="0" applyFill="0" applyProtection="0"/>
    <xf numFmtId="0" fontId="66" fillId="0" borderId="36" applyNumberFormat="0" applyFill="0" applyProtection="0"/>
    <xf numFmtId="0" fontId="66" fillId="0" borderId="36" applyNumberFormat="0" applyFill="0" applyProtection="0"/>
    <xf numFmtId="0" fontId="66" fillId="0" borderId="36" applyNumberFormat="0" applyFill="0" applyProtection="0"/>
    <xf numFmtId="0" fontId="66" fillId="0" borderId="36" applyNumberFormat="0" applyFill="0" applyProtection="0"/>
    <xf numFmtId="0" fontId="66" fillId="0" borderId="36" applyNumberFormat="0" applyFill="0" applyProtection="0"/>
    <xf numFmtId="0" fontId="66" fillId="0" borderId="36" applyNumberFormat="0" applyFill="0" applyProtection="0"/>
    <xf numFmtId="0" fontId="14" fillId="0" borderId="0" applyNumberFormat="0" applyFill="0" applyBorder="0" applyProtection="0"/>
    <xf numFmtId="0" fontId="14" fillId="0" borderId="0" applyNumberFormat="0" applyFill="0" applyBorder="0" applyProtection="0"/>
    <xf numFmtId="0" fontId="66" fillId="0" borderId="36" applyNumberFormat="0" applyFill="0" applyProtection="0">
      <alignment horizontal="center"/>
    </xf>
    <xf numFmtId="0" fontId="66" fillId="0" borderId="36" applyNumberFormat="0" applyFill="0" applyProtection="0">
      <alignment horizontal="center"/>
    </xf>
    <xf numFmtId="0" fontId="66" fillId="0" borderId="36" applyNumberFormat="0" applyFill="0" applyProtection="0">
      <alignment horizontal="center"/>
    </xf>
    <xf numFmtId="0" fontId="66" fillId="0" borderId="36" applyNumberFormat="0" applyFill="0" applyProtection="0">
      <alignment horizontal="center"/>
    </xf>
    <xf numFmtId="0" fontId="66" fillId="0" borderId="36" applyNumberFormat="0" applyFill="0" applyProtection="0">
      <alignment horizontal="center"/>
    </xf>
    <xf numFmtId="0" fontId="66" fillId="0" borderId="36" applyNumberFormat="0" applyFill="0" applyProtection="0">
      <alignment horizontal="center"/>
    </xf>
    <xf numFmtId="0" fontId="66" fillId="0" borderId="36" applyNumberFormat="0" applyFill="0" applyProtection="0">
      <alignment horizontal="center"/>
    </xf>
    <xf numFmtId="0" fontId="66" fillId="0" borderId="36" applyNumberFormat="0" applyFill="0" applyProtection="0">
      <alignment horizontal="center"/>
    </xf>
    <xf numFmtId="0" fontId="66" fillId="0" borderId="0" applyNumberFormat="0" applyFill="0" applyBorder="0" applyProtection="0">
      <alignment horizontal="center"/>
    </xf>
    <xf numFmtId="0" fontId="66" fillId="0" borderId="0" applyNumberFormat="0" applyFill="0" applyBorder="0" applyProtection="0">
      <alignment horizontal="center"/>
    </xf>
    <xf numFmtId="0" fontId="66" fillId="0" borderId="0" applyNumberFormat="0" applyFill="0" applyBorder="0" applyProtection="0"/>
    <xf numFmtId="0" fontId="66" fillId="0" borderId="0" applyNumberFormat="0" applyFill="0" applyBorder="0" applyProtection="0"/>
    <xf numFmtId="0" fontId="66" fillId="0" borderId="0" applyNumberFormat="0" applyFill="0" applyBorder="0" applyProtection="0"/>
    <xf numFmtId="0" fontId="66" fillId="0" borderId="0" applyNumberFormat="0" applyFill="0" applyBorder="0" applyProtection="0"/>
    <xf numFmtId="0" fontId="104" fillId="45" borderId="0" applyNumberFormat="0">
      <alignment vertical="center"/>
    </xf>
    <xf numFmtId="0" fontId="105" fillId="0" borderId="0"/>
    <xf numFmtId="0" fontId="104" fillId="45" borderId="0" applyNumberFormat="0">
      <alignment vertical="center"/>
    </xf>
    <xf numFmtId="40" fontId="13" fillId="0" borderId="0" applyBorder="0">
      <alignment horizontal="right"/>
    </xf>
    <xf numFmtId="0" fontId="106" fillId="0" borderId="0" applyBorder="0" applyProtection="0">
      <alignment vertical="center"/>
    </xf>
    <xf numFmtId="194" fontId="50" fillId="0" borderId="9" applyBorder="0" applyProtection="0">
      <alignment horizontal="right" vertical="center"/>
    </xf>
    <xf numFmtId="0" fontId="107" fillId="46" borderId="0" applyBorder="0" applyProtection="0">
      <alignment horizontal="centerContinuous" vertical="center"/>
    </xf>
    <xf numFmtId="0" fontId="107" fillId="47" borderId="9" applyBorder="0" applyProtection="0">
      <alignment horizontal="centerContinuous" vertical="center"/>
    </xf>
    <xf numFmtId="0" fontId="13" fillId="0" borderId="0"/>
    <xf numFmtId="0" fontId="84" fillId="0" borderId="0"/>
    <xf numFmtId="0" fontId="108" fillId="0" borderId="0" applyFill="0" applyBorder="0" applyProtection="0">
      <alignment horizontal="left"/>
    </xf>
    <xf numFmtId="0" fontId="109" fillId="0" borderId="6" applyFill="0" applyBorder="0" applyProtection="0">
      <alignment horizontal="left" vertical="top"/>
    </xf>
    <xf numFmtId="0" fontId="45" fillId="0" borderId="0">
      <alignment horizontal="centerContinuous"/>
    </xf>
    <xf numFmtId="0" fontId="56" fillId="0" borderId="0"/>
    <xf numFmtId="0" fontId="13" fillId="0" borderId="0"/>
    <xf numFmtId="183" fontId="74" fillId="0" borderId="0">
      <alignment horizontal="left"/>
      <protection locked="0"/>
    </xf>
    <xf numFmtId="0" fontId="13" fillId="0" borderId="0"/>
    <xf numFmtId="49" fontId="60" fillId="0" borderId="0" applyFill="0" applyBorder="0" applyAlignment="0"/>
    <xf numFmtId="217" fontId="13" fillId="0" borderId="0" applyFill="0" applyBorder="0" applyAlignment="0"/>
    <xf numFmtId="218" fontId="13" fillId="0" borderId="0" applyFill="0" applyBorder="0" applyAlignment="0"/>
    <xf numFmtId="173" fontId="46" fillId="0" borderId="29" applyNumberFormat="0" applyFont="0" applyFill="0" applyAlignment="0" applyProtection="0">
      <alignment horizontal="right"/>
    </xf>
    <xf numFmtId="173" fontId="46" fillId="0" borderId="29" applyNumberFormat="0" applyFont="0" applyFill="0" applyAlignment="0" applyProtection="0">
      <alignment horizontal="right"/>
    </xf>
    <xf numFmtId="173" fontId="46" fillId="0" borderId="29" applyNumberFormat="0" applyFont="0" applyFill="0" applyAlignment="0" applyProtection="0">
      <alignment horizontal="right"/>
    </xf>
    <xf numFmtId="173" fontId="46" fillId="0" borderId="29" applyNumberFormat="0" applyFont="0" applyFill="0" applyAlignment="0" applyProtection="0">
      <alignment horizontal="right"/>
    </xf>
    <xf numFmtId="173" fontId="46" fillId="0" borderId="29" applyNumberFormat="0" applyFont="0" applyFill="0" applyAlignment="0" applyProtection="0">
      <alignment horizontal="right"/>
    </xf>
    <xf numFmtId="173" fontId="46" fillId="0" borderId="29" applyNumberFormat="0" applyFont="0" applyFill="0" applyAlignment="0" applyProtection="0">
      <alignment horizontal="right"/>
    </xf>
    <xf numFmtId="173" fontId="46" fillId="0" borderId="29" applyNumberFormat="0" applyFont="0" applyFill="0" applyAlignment="0" applyProtection="0">
      <alignment horizontal="right"/>
    </xf>
    <xf numFmtId="173" fontId="46" fillId="0" borderId="29" applyNumberFormat="0" applyFont="0" applyFill="0" applyAlignment="0" applyProtection="0">
      <alignment horizontal="right"/>
    </xf>
    <xf numFmtId="166" fontId="46" fillId="0" borderId="9" applyNumberFormat="0" applyFont="0" applyFill="0" applyAlignment="0" applyProtection="0">
      <alignment horizontal="right"/>
    </xf>
    <xf numFmtId="0" fontId="44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40" fontId="110" fillId="0" borderId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11" fillId="0" borderId="0"/>
    <xf numFmtId="210" fontId="13" fillId="0" borderId="0">
      <alignment horizontal="centerContinuous"/>
    </xf>
    <xf numFmtId="210" fontId="13" fillId="0" borderId="45">
      <alignment horizontal="centerContinuous"/>
    </xf>
    <xf numFmtId="210" fontId="13" fillId="0" borderId="0">
      <alignment horizontal="centerContinuous"/>
      <protection locked="0"/>
    </xf>
    <xf numFmtId="210" fontId="13" fillId="0" borderId="0">
      <alignment horizontal="left"/>
    </xf>
    <xf numFmtId="219" fontId="112" fillId="0" borderId="0">
      <alignment horizontal="center"/>
    </xf>
    <xf numFmtId="172" fontId="112" fillId="0" borderId="0" applyNumberFormat="0" applyFill="0" applyBorder="0" applyAlignment="0" applyProtection="0"/>
    <xf numFmtId="183" fontId="74" fillId="0" borderId="0">
      <alignment horizontal="left"/>
    </xf>
    <xf numFmtId="0" fontId="112" fillId="0" borderId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7" fillId="0" borderId="22" applyNumberFormat="0" applyFill="0" applyAlignment="0" applyProtection="0"/>
    <xf numFmtId="0" fontId="17" fillId="0" borderId="22" applyNumberFormat="0" applyFill="0" applyAlignment="0" applyProtection="0"/>
    <xf numFmtId="175" fontId="13" fillId="0" borderId="47">
      <protection locked="0"/>
    </xf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7" fillId="0" borderId="22" applyNumberFormat="0" applyFill="0" applyAlignment="0" applyProtection="0"/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0" fontId="13" fillId="0" borderId="46" applyNumberFormat="0" applyFont="0" applyBorder="0" applyAlignment="0" applyProtection="0"/>
    <xf numFmtId="220" fontId="13" fillId="0" borderId="0">
      <alignment horizontal="right"/>
    </xf>
    <xf numFmtId="0" fontId="13" fillId="0" borderId="0">
      <alignment horizontal="fill"/>
    </xf>
    <xf numFmtId="37" fontId="46" fillId="30" borderId="0" applyNumberFormat="0" applyBorder="0" applyAlignment="0" applyProtection="0"/>
    <xf numFmtId="37" fontId="46" fillId="30" borderId="0" applyNumberFormat="0" applyBorder="0" applyAlignment="0" applyProtection="0"/>
    <xf numFmtId="37" fontId="46" fillId="0" borderId="0"/>
    <xf numFmtId="37" fontId="46" fillId="30" borderId="0" applyNumberFormat="0" applyBorder="0" applyAlignment="0" applyProtection="0"/>
    <xf numFmtId="38" fontId="113" fillId="0" borderId="0" applyNumberFormat="0" applyBorder="0" applyAlignment="0">
      <protection locked="0"/>
    </xf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1" fontId="50" fillId="0" borderId="0" applyFont="0" applyFill="0" applyBorder="0" applyAlignment="0" applyProtection="0"/>
    <xf numFmtId="170" fontId="50" fillId="0" borderId="9" applyBorder="0" applyProtection="0">
      <alignment horizontal="right"/>
    </xf>
    <xf numFmtId="39" fontId="54" fillId="0" borderId="0" applyFont="0" applyFill="0" applyBorder="0" applyAlignment="0" applyProtection="0"/>
    <xf numFmtId="221" fontId="46" fillId="0" borderId="0" applyFont="0" applyFill="0" applyBorder="0" applyProtection="0">
      <alignment horizontal="right"/>
    </xf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42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0" fontId="36" fillId="13" borderId="14" applyNumberFormat="0" applyAlignment="0" applyProtection="0"/>
    <xf numFmtId="7" fontId="13" fillId="0" borderId="0"/>
    <xf numFmtId="4" fontId="13" fillId="0" borderId="0"/>
    <xf numFmtId="167" fontId="13" fillId="0" borderId="0"/>
    <xf numFmtId="3" fontId="13" fillId="0" borderId="0">
      <protection locked="0"/>
    </xf>
    <xf numFmtId="203" fontId="19" fillId="0" borderId="0"/>
    <xf numFmtId="203" fontId="13" fillId="0" borderId="0"/>
    <xf numFmtId="203" fontId="116" fillId="0" borderId="0" applyNumberFormat="0" applyFill="0" applyBorder="0" applyAlignment="0" applyProtection="0">
      <alignment vertical="top"/>
    </xf>
    <xf numFmtId="203" fontId="117" fillId="0" borderId="0" applyNumberFormat="0" applyFill="0" applyBorder="0" applyAlignment="0" applyProtection="0">
      <alignment vertical="top"/>
    </xf>
    <xf numFmtId="203" fontId="13" fillId="0" borderId="0" applyNumberFormat="0" applyFill="0" applyBorder="0" applyAlignment="0" applyProtection="0"/>
    <xf numFmtId="203" fontId="118" fillId="0" borderId="0" applyNumberFormat="0" applyFill="0" applyBorder="0" applyAlignment="0" applyProtection="0">
      <alignment vertical="top"/>
    </xf>
    <xf numFmtId="222" fontId="13" fillId="0" borderId="0" applyFont="0" applyFill="0" applyBorder="0" applyAlignment="0" applyProtection="0"/>
    <xf numFmtId="203" fontId="119" fillId="0" borderId="0" applyNumberFormat="0" applyFill="0" applyBorder="0" applyAlignment="0" applyProtection="0">
      <alignment vertical="top"/>
      <protection locked="0"/>
    </xf>
    <xf numFmtId="223" fontId="1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203" fontId="15" fillId="52" borderId="0" applyNumberFormat="0" applyBorder="0" applyAlignment="0" applyProtection="0"/>
    <xf numFmtId="0" fontId="15" fillId="8" borderId="0" applyNumberFormat="0" applyBorder="0" applyAlignment="0" applyProtection="0"/>
    <xf numFmtId="203" fontId="15" fillId="13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203" fontId="15" fillId="52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203" fontId="15" fillId="26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203" fontId="15" fillId="26" borderId="0" applyNumberFormat="0" applyBorder="0" applyAlignment="0" applyProtection="0"/>
    <xf numFmtId="0" fontId="15" fillId="11" borderId="0" applyNumberFormat="0" applyBorder="0" applyAlignment="0" applyProtection="0"/>
    <xf numFmtId="0" fontId="15" fillId="14" borderId="0" applyNumberFormat="0" applyBorder="0" applyAlignment="0" applyProtection="0"/>
    <xf numFmtId="203" fontId="15" fillId="13" borderId="0" applyNumberFormat="0" applyBorder="0" applyAlignment="0" applyProtection="0"/>
    <xf numFmtId="0" fontId="15" fillId="17" borderId="0" applyNumberFormat="0" applyBorder="0" applyAlignment="0" applyProtection="0"/>
    <xf numFmtId="203" fontId="27" fillId="20" borderId="0" applyNumberFormat="0" applyBorder="0" applyAlignment="0" applyProtection="0"/>
    <xf numFmtId="0" fontId="27" fillId="18" borderId="0" applyNumberFormat="0" applyBorder="0" applyAlignment="0" applyProtection="0"/>
    <xf numFmtId="0" fontId="27" fillId="15" borderId="0" applyNumberFormat="0" applyBorder="0" applyAlignment="0" applyProtection="0"/>
    <xf numFmtId="203" fontId="27" fillId="28" borderId="0" applyNumberFormat="0" applyBorder="0" applyAlignment="0" applyProtection="0"/>
    <xf numFmtId="0" fontId="27" fillId="16" borderId="0" applyNumberFormat="0" applyBorder="0" applyAlignment="0" applyProtection="0"/>
    <xf numFmtId="203" fontId="27" fillId="26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203" fontId="27" fillId="13" borderId="0" applyNumberFormat="0" applyBorder="0" applyAlignment="0" applyProtection="0"/>
    <xf numFmtId="0" fontId="27" fillId="21" borderId="0" applyNumberFormat="0" applyBorder="0" applyAlignment="0" applyProtection="0"/>
    <xf numFmtId="203" fontId="27" fillId="20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5" borderId="0" applyNumberFormat="0" applyBorder="0" applyAlignment="0" applyProtection="0"/>
    <xf numFmtId="224" fontId="120" fillId="34" borderId="27">
      <alignment horizontal="center" vertical="center"/>
    </xf>
    <xf numFmtId="203" fontId="121" fillId="0" borderId="0"/>
    <xf numFmtId="219" fontId="103" fillId="0" borderId="0"/>
    <xf numFmtId="203" fontId="122" fillId="31" borderId="0">
      <alignment horizontal="left"/>
    </xf>
    <xf numFmtId="0" fontId="28" fillId="9" borderId="0" applyNumberFormat="0" applyBorder="0" applyAlignment="0" applyProtection="0"/>
    <xf numFmtId="3" fontId="123" fillId="0" borderId="0" applyFill="0" applyBorder="0" applyProtection="0">
      <alignment horizontal="right"/>
    </xf>
    <xf numFmtId="225" fontId="60" fillId="0" borderId="0" applyFill="0" applyBorder="0" applyAlignment="0"/>
    <xf numFmtId="203" fontId="29" fillId="52" borderId="14" applyNumberFormat="0" applyAlignment="0" applyProtection="0"/>
    <xf numFmtId="0" fontId="29" fillId="26" borderId="14" applyNumberFormat="0" applyAlignment="0" applyProtection="0"/>
    <xf numFmtId="0" fontId="30" fillId="27" borderId="15" applyNumberFormat="0" applyAlignment="0" applyProtection="0"/>
    <xf numFmtId="226" fontId="13" fillId="0" borderId="0"/>
    <xf numFmtId="226" fontId="13" fillId="0" borderId="0"/>
    <xf numFmtId="226" fontId="13" fillId="0" borderId="0"/>
    <xf numFmtId="226" fontId="13" fillId="0" borderId="0"/>
    <xf numFmtId="226" fontId="13" fillId="0" borderId="0"/>
    <xf numFmtId="226" fontId="13" fillId="0" borderId="0"/>
    <xf numFmtId="226" fontId="13" fillId="0" borderId="0"/>
    <xf numFmtId="226" fontId="13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0" fontId="62" fillId="0" borderId="0" applyFont="0" applyFill="0" applyBorder="0" applyAlignment="0" applyProtection="0"/>
    <xf numFmtId="43" fontId="13" fillId="0" borderId="0" applyFont="0" applyFill="0" applyBorder="0" applyAlignment="0" applyProtection="0"/>
    <xf numFmtId="203" fontId="82" fillId="0" borderId="0" applyNumberFormat="0" applyAlignment="0">
      <alignment horizontal="left"/>
    </xf>
    <xf numFmtId="227" fontId="13" fillId="0" borderId="0" applyFont="0" applyFill="0" applyBorder="0" applyAlignment="0" applyProtection="0"/>
    <xf numFmtId="228" fontId="124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7" fontId="13" fillId="0" borderId="0" applyFont="0" applyFill="0" applyBorder="0" applyAlignment="0" applyProtection="0"/>
    <xf numFmtId="7" fontId="13" fillId="0" borderId="0" applyFont="0" applyFill="0" applyBorder="0" applyAlignment="0" applyProtection="0"/>
    <xf numFmtId="5" fontId="13" fillId="0" borderId="0" applyFont="0" applyFill="0" applyBorder="0" applyAlignment="0" applyProtection="0"/>
    <xf numFmtId="5" fontId="13" fillId="0" borderId="0" applyFont="0" applyFill="0" applyBorder="0" applyAlignment="0" applyProtection="0"/>
    <xf numFmtId="6" fontId="125" fillId="0" borderId="0">
      <protection locked="0"/>
    </xf>
    <xf numFmtId="14" fontId="13" fillId="0" borderId="0" applyFont="0" applyFill="0" applyBorder="0" applyAlignment="0" applyProtection="0"/>
    <xf numFmtId="229" fontId="74" fillId="0" borderId="0">
      <alignment horizontal="right"/>
      <protection locked="0"/>
    </xf>
    <xf numFmtId="203" fontId="126" fillId="0" borderId="0" applyNumberFormat="0" applyAlignment="0">
      <alignment horizontal="left"/>
    </xf>
    <xf numFmtId="0" fontId="31" fillId="0" borderId="0" applyNumberFormat="0" applyFill="0" applyBorder="0" applyAlignment="0" applyProtection="0"/>
    <xf numFmtId="211" fontId="13" fillId="0" borderId="0">
      <protection locked="0"/>
    </xf>
    <xf numFmtId="203" fontId="46" fillId="0" borderId="1" applyFont="0" applyFill="0" applyBorder="0" applyAlignment="0" applyProtection="0"/>
    <xf numFmtId="165" fontId="124" fillId="0" borderId="0" applyFont="0" applyFill="0" applyBorder="0" applyAlignment="0" applyProtection="0"/>
    <xf numFmtId="230" fontId="13" fillId="0" borderId="0" applyFont="0" applyFill="0" applyBorder="0" applyAlignment="0" applyProtection="0">
      <alignment horizontal="center"/>
    </xf>
    <xf numFmtId="0" fontId="32" fillId="10" borderId="0" applyNumberFormat="0" applyBorder="0" applyAlignment="0" applyProtection="0"/>
    <xf numFmtId="203" fontId="127" fillId="0" borderId="0" applyNumberFormat="0" applyFill="0" applyBorder="0" applyAlignment="0" applyProtection="0"/>
    <xf numFmtId="203" fontId="70" fillId="0" borderId="48" applyNumberForma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203" fontId="69" fillId="0" borderId="0" applyNumberFormat="0" applyFont="0" applyFill="0" applyAlignment="0" applyProtection="0"/>
    <xf numFmtId="0" fontId="33" fillId="0" borderId="16" applyNumberFormat="0" applyFill="0" applyAlignment="0" applyProtection="0"/>
    <xf numFmtId="203" fontId="128" fillId="0" borderId="17" applyNumberForma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203" fontId="67" fillId="0" borderId="0" applyNumberFormat="0" applyFont="0" applyFill="0" applyAlignment="0" applyProtection="0"/>
    <xf numFmtId="0" fontId="34" fillId="0" borderId="17" applyNumberFormat="0" applyFill="0" applyAlignment="0" applyProtection="0"/>
    <xf numFmtId="203" fontId="73" fillId="0" borderId="49" applyNumberFormat="0" applyFill="0" applyAlignment="0" applyProtection="0"/>
    <xf numFmtId="0" fontId="35" fillId="0" borderId="18" applyNumberFormat="0" applyFill="0" applyAlignment="0" applyProtection="0"/>
    <xf numFmtId="0" fontId="35" fillId="0" borderId="0" applyNumberFormat="0" applyFill="0" applyBorder="0" applyAlignment="0" applyProtection="0"/>
    <xf numFmtId="203" fontId="129" fillId="0" borderId="0" applyNumberFormat="0" applyFill="0" applyBorder="0" applyAlignment="0" applyProtection="0">
      <alignment vertical="top"/>
      <protection locked="0"/>
    </xf>
    <xf numFmtId="203" fontId="36" fillId="13" borderId="14" applyNumberFormat="0" applyAlignment="0" applyProtection="0"/>
    <xf numFmtId="203" fontId="36" fillId="13" borderId="14" applyNumberFormat="0" applyAlignment="0" applyProtection="0"/>
    <xf numFmtId="203" fontId="36" fillId="13" borderId="14" applyNumberFormat="0" applyAlignment="0" applyProtection="0"/>
    <xf numFmtId="0" fontId="36" fillId="13" borderId="14" applyNumberFormat="0" applyAlignment="0" applyProtection="0"/>
    <xf numFmtId="0" fontId="37" fillId="0" borderId="19" applyNumberFormat="0" applyFill="0" applyAlignment="0" applyProtection="0"/>
    <xf numFmtId="0" fontId="38" fillId="28" borderId="0" applyNumberFormat="0" applyBorder="0" applyAlignment="0" applyProtection="0"/>
    <xf numFmtId="231" fontId="130" fillId="0" borderId="0"/>
    <xf numFmtId="219" fontId="131" fillId="0" borderId="0"/>
    <xf numFmtId="219" fontId="131" fillId="0" borderId="0"/>
    <xf numFmtId="219" fontId="131" fillId="0" borderId="0"/>
    <xf numFmtId="219" fontId="131" fillId="0" borderId="0"/>
    <xf numFmtId="219" fontId="131" fillId="0" borderId="0"/>
    <xf numFmtId="219" fontId="131" fillId="0" borderId="0"/>
    <xf numFmtId="219" fontId="131" fillId="0" borderId="0"/>
    <xf numFmtId="203" fontId="13" fillId="0" borderId="0">
      <alignment vertical="top"/>
    </xf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0" fontId="13" fillId="0" borderId="0"/>
    <xf numFmtId="203" fontId="19" fillId="0" borderId="0"/>
    <xf numFmtId="219" fontId="46" fillId="0" borderId="0"/>
    <xf numFmtId="203" fontId="132" fillId="0" borderId="0"/>
    <xf numFmtId="203" fontId="15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3" fillId="0" borderId="0"/>
    <xf numFmtId="203" fontId="19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5" fillId="0" borderId="0"/>
    <xf numFmtId="203" fontId="13" fillId="0" borderId="0"/>
    <xf numFmtId="203" fontId="13" fillId="0" borderId="0"/>
    <xf numFmtId="203" fontId="13" fillId="0" borderId="0" applyNumberFormat="0" applyFill="0" applyBorder="0" applyAlignment="0" applyProtection="0"/>
    <xf numFmtId="203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13" fillId="29" borderId="20" applyNumberFormat="0" applyFont="0" applyAlignment="0" applyProtection="0"/>
    <xf numFmtId="203" fontId="74" fillId="0" borderId="3" applyNumberFormat="0" applyFont="0" applyFill="0" applyAlignment="0" applyProtection="0"/>
    <xf numFmtId="203" fontId="39" fillId="52" borderId="21" applyNumberFormat="0" applyAlignment="0" applyProtection="0"/>
    <xf numFmtId="0" fontId="39" fillId="26" borderId="21" applyNumberFormat="0" applyAlignment="0" applyProtection="0"/>
    <xf numFmtId="40" fontId="60" fillId="40" borderId="0">
      <alignment horizontal="right"/>
    </xf>
    <xf numFmtId="203" fontId="133" fillId="37" borderId="0">
      <alignment horizontal="center"/>
    </xf>
    <xf numFmtId="203" fontId="134" fillId="41" borderId="7"/>
    <xf numFmtId="203" fontId="135" fillId="0" borderId="0" applyBorder="0">
      <alignment horizontal="centerContinuous"/>
    </xf>
    <xf numFmtId="203" fontId="136" fillId="0" borderId="0" applyBorder="0">
      <alignment horizontal="centerContinuous"/>
    </xf>
    <xf numFmtId="203" fontId="13" fillId="0" borderId="0">
      <alignment horizontal="left" wrapText="1"/>
    </xf>
    <xf numFmtId="203" fontId="13" fillId="0" borderId="0">
      <alignment horizontal="left" wrapText="1"/>
    </xf>
    <xf numFmtId="203" fontId="13" fillId="0" borderId="0">
      <alignment horizontal="left" wrapText="1"/>
    </xf>
    <xf numFmtId="203" fontId="13" fillId="0" borderId="0">
      <alignment horizontal="left" wrapText="1"/>
    </xf>
    <xf numFmtId="203" fontId="13" fillId="0" borderId="0">
      <alignment horizontal="left" wrapText="1"/>
    </xf>
    <xf numFmtId="203" fontId="13" fillId="0" borderId="0">
      <alignment horizontal="left" wrapText="1"/>
    </xf>
    <xf numFmtId="219" fontId="137" fillId="0" borderId="9">
      <alignment vertical="center"/>
    </xf>
    <xf numFmtId="9" fontId="1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62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3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203" fontId="138" fillId="0" borderId="0"/>
    <xf numFmtId="203" fontId="139" fillId="0" borderId="0" applyNumberFormat="0" applyFill="0" applyBorder="0" applyAlignment="0"/>
    <xf numFmtId="192" fontId="123" fillId="0" borderId="0" applyFill="0" applyBorder="0" applyProtection="0">
      <alignment horizontal="right"/>
    </xf>
    <xf numFmtId="14" fontId="57" fillId="0" borderId="0" applyNumberFormat="0" applyFill="0" applyBorder="0" applyAlignment="0" applyProtection="0">
      <alignment horizontal="left"/>
    </xf>
    <xf numFmtId="203" fontId="140" fillId="0" borderId="44"/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169" fontId="13" fillId="0" borderId="0">
      <alignment horizontal="left" wrapText="1"/>
    </xf>
    <xf numFmtId="40" fontId="141" fillId="0" borderId="0" applyBorder="0">
      <alignment horizontal="right"/>
    </xf>
    <xf numFmtId="49" fontId="142" fillId="0" borderId="9">
      <alignment vertical="center"/>
    </xf>
    <xf numFmtId="203" fontId="143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203" fontId="17" fillId="0" borderId="50" applyNumberFormat="0" applyFill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203" fontId="13" fillId="0" borderId="46" applyNumberFormat="0" applyFont="0" applyBorder="0" applyAlignment="0" applyProtection="0"/>
    <xf numFmtId="0" fontId="17" fillId="0" borderId="22" applyNumberFormat="0" applyFill="0" applyAlignment="0" applyProtection="0"/>
    <xf numFmtId="3" fontId="52" fillId="0" borderId="37" applyProtection="0"/>
    <xf numFmtId="203" fontId="144" fillId="0" borderId="0" applyFill="0" applyBorder="0" applyAlignment="0"/>
    <xf numFmtId="0" fontId="41" fillId="0" borderId="0" applyNumberFormat="0" applyFill="0" applyBorder="0" applyAlignment="0" applyProtection="0"/>
    <xf numFmtId="0" fontId="147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48" fillId="0" borderId="0"/>
    <xf numFmtId="0" fontId="148" fillId="0" borderId="0"/>
    <xf numFmtId="43" fontId="148" fillId="0" borderId="0" applyFont="0" applyFill="0" applyBorder="0" applyAlignment="0" applyProtection="0"/>
    <xf numFmtId="0" fontId="148" fillId="0" borderId="0"/>
    <xf numFmtId="0" fontId="148" fillId="0" borderId="0"/>
    <xf numFmtId="43" fontId="148" fillId="0" borderId="0" applyFont="0" applyFill="0" applyBorder="0" applyAlignment="0" applyProtection="0"/>
    <xf numFmtId="0" fontId="36" fillId="13" borderId="14" applyNumberFormat="0" applyAlignment="0" applyProtection="0"/>
    <xf numFmtId="43" fontId="148" fillId="0" borderId="0" applyFont="0" applyFill="0" applyBorder="0" applyAlignment="0" applyProtection="0"/>
    <xf numFmtId="0" fontId="149" fillId="0" borderId="0" applyNumberFormat="0" applyFill="0" applyBorder="0" applyAlignment="0" applyProtection="0">
      <alignment vertical="top"/>
      <protection locked="0"/>
    </xf>
    <xf numFmtId="43" fontId="148" fillId="0" borderId="0" applyFont="0" applyFill="0" applyBorder="0" applyAlignment="0" applyProtection="0"/>
    <xf numFmtId="0" fontId="148" fillId="0" borderId="0"/>
    <xf numFmtId="0" fontId="148" fillId="0" borderId="0"/>
    <xf numFmtId="43" fontId="148" fillId="0" borderId="0" applyFont="0" applyFill="0" applyBorder="0" applyAlignment="0" applyProtection="0"/>
    <xf numFmtId="0" fontId="36" fillId="13" borderId="14" applyNumberFormat="0" applyAlignment="0" applyProtection="0"/>
    <xf numFmtId="0" fontId="148" fillId="0" borderId="0"/>
    <xf numFmtId="0" fontId="148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9" fillId="0" borderId="0"/>
    <xf numFmtId="0" fontId="3" fillId="0" borderId="0"/>
    <xf numFmtId="43" fontId="3" fillId="0" borderId="0" applyFont="0" applyFill="0" applyBorder="0" applyAlignment="0" applyProtection="0"/>
    <xf numFmtId="0" fontId="19" fillId="0" borderId="0"/>
    <xf numFmtId="0" fontId="3" fillId="0" borderId="0"/>
    <xf numFmtId="43" fontId="3" fillId="0" borderId="0" applyFont="0" applyFill="0" applyBorder="0" applyAlignment="0" applyProtection="0"/>
    <xf numFmtId="0" fontId="19" fillId="0" borderId="0"/>
    <xf numFmtId="0" fontId="3" fillId="0" borderId="0"/>
    <xf numFmtId="43" fontId="3" fillId="0" borderId="0" applyFont="0" applyFill="0" applyBorder="0" applyAlignment="0" applyProtection="0"/>
    <xf numFmtId="0" fontId="19" fillId="0" borderId="0"/>
    <xf numFmtId="3" fontId="151" fillId="0" borderId="0" applyBorder="0" applyProtection="0">
      <alignment horizontal="right"/>
    </xf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</cellStyleXfs>
  <cellXfs count="254">
    <xf numFmtId="0" fontId="0" fillId="0" borderId="0" xfId="0"/>
    <xf numFmtId="0" fontId="22" fillId="0" borderId="0" xfId="7" applyFont="1" applyAlignment="1">
      <alignment wrapText="1"/>
    </xf>
    <xf numFmtId="0" fontId="23" fillId="0" borderId="0" xfId="7" applyFont="1"/>
    <xf numFmtId="0" fontId="23" fillId="0" borderId="0" xfId="7" applyFont="1" applyAlignment="1">
      <alignment wrapText="1"/>
    </xf>
    <xf numFmtId="0" fontId="23" fillId="0" borderId="0" xfId="7" applyFont="1" applyAlignment="1"/>
    <xf numFmtId="0" fontId="23" fillId="4" borderId="0" xfId="7" applyFont="1" applyFill="1" applyAlignment="1"/>
    <xf numFmtId="165" fontId="23" fillId="5" borderId="1" xfId="5" applyNumberFormat="1" applyFont="1" applyFill="1" applyBorder="1"/>
    <xf numFmtId="0" fontId="12" fillId="0" borderId="0" xfId="0" applyFont="1"/>
    <xf numFmtId="0" fontId="20" fillId="0" borderId="0" xfId="0" applyFont="1"/>
    <xf numFmtId="0" fontId="20" fillId="3" borderId="1" xfId="0" applyFont="1" applyFill="1" applyBorder="1"/>
    <xf numFmtId="165" fontId="12" fillId="5" borderId="1" xfId="5" applyNumberFormat="1" applyFont="1" applyFill="1" applyBorder="1"/>
    <xf numFmtId="165" fontId="20" fillId="6" borderId="1" xfId="5" applyNumberFormat="1" applyFont="1" applyFill="1" applyBorder="1"/>
    <xf numFmtId="0" fontId="11" fillId="0" borderId="0" xfId="0" applyFont="1"/>
    <xf numFmtId="0" fontId="24" fillId="0" borderId="0" xfId="0" applyFont="1"/>
    <xf numFmtId="0" fontId="23" fillId="0" borderId="12" xfId="7" applyFont="1" applyBorder="1" applyAlignment="1">
      <alignment wrapText="1"/>
    </xf>
    <xf numFmtId="0" fontId="23" fillId="0" borderId="13" xfId="7" applyFont="1" applyBorder="1" applyAlignment="1">
      <alignment wrapText="1"/>
    </xf>
    <xf numFmtId="0" fontId="25" fillId="0" borderId="1" xfId="0" applyFont="1" applyBorder="1"/>
    <xf numFmtId="0" fontId="20" fillId="7" borderId="0" xfId="0" applyFont="1" applyFill="1" applyBorder="1" applyAlignment="1">
      <alignment horizontal="center"/>
    </xf>
    <xf numFmtId="9" fontId="12" fillId="2" borderId="1" xfId="0" applyNumberFormat="1" applyFont="1" applyFill="1" applyBorder="1"/>
    <xf numFmtId="0" fontId="23" fillId="0" borderId="0" xfId="0" applyFont="1" applyBorder="1"/>
    <xf numFmtId="0" fontId="26" fillId="0" borderId="0" xfId="0" applyFont="1"/>
    <xf numFmtId="0" fontId="11" fillId="0" borderId="0" xfId="0" applyFont="1" applyBorder="1"/>
    <xf numFmtId="0" fontId="42" fillId="0" borderId="0" xfId="1" applyFont="1" applyBorder="1"/>
    <xf numFmtId="0" fontId="43" fillId="0" borderId="0" xfId="1" applyFont="1" applyBorder="1"/>
    <xf numFmtId="165" fontId="11" fillId="0" borderId="0" xfId="5" applyNumberFormat="1" applyFont="1"/>
    <xf numFmtId="0" fontId="11" fillId="0" borderId="0" xfId="0" applyFont="1" applyAlignment="1">
      <alignment horizontal="left" indent="2"/>
    </xf>
    <xf numFmtId="0" fontId="20" fillId="0" borderId="0" xfId="0" applyFont="1" applyAlignment="1">
      <alignment horizontal="center"/>
    </xf>
    <xf numFmtId="0" fontId="16" fillId="0" borderId="0" xfId="1" applyFont="1"/>
    <xf numFmtId="0" fontId="23" fillId="0" borderId="0" xfId="2" applyFont="1"/>
    <xf numFmtId="0" fontId="42" fillId="0" borderId="2" xfId="2" applyNumberFormat="1" applyFont="1" applyFill="1" applyBorder="1" applyAlignment="1">
      <alignment horizontal="center" vertical="center" wrapText="1"/>
    </xf>
    <xf numFmtId="0" fontId="42" fillId="0" borderId="0" xfId="2" applyNumberFormat="1" applyFont="1" applyFill="1" applyBorder="1" applyAlignment="1">
      <alignment horizontal="center" vertical="center" wrapText="1"/>
    </xf>
    <xf numFmtId="0" fontId="22" fillId="0" borderId="0" xfId="2" applyFont="1"/>
    <xf numFmtId="0" fontId="22" fillId="4" borderId="0" xfId="2" applyFont="1" applyFill="1"/>
    <xf numFmtId="0" fontId="23" fillId="4" borderId="0" xfId="2" applyFont="1" applyFill="1"/>
    <xf numFmtId="0" fontId="42" fillId="0" borderId="0" xfId="2" applyFont="1" applyFill="1" applyBorder="1" applyAlignment="1"/>
    <xf numFmtId="0" fontId="20" fillId="0" borderId="1" xfId="0" applyFont="1" applyBorder="1"/>
    <xf numFmtId="0" fontId="11" fillId="0" borderId="11" xfId="0" applyFont="1" applyBorder="1"/>
    <xf numFmtId="0" fontId="11" fillId="0" borderId="12" xfId="0" applyFont="1" applyBorder="1"/>
    <xf numFmtId="165" fontId="11" fillId="5" borderId="1" xfId="5" applyNumberFormat="1" applyFont="1" applyFill="1" applyBorder="1"/>
    <xf numFmtId="165" fontId="24" fillId="5" borderId="1" xfId="5" applyNumberFormat="1" applyFont="1" applyFill="1" applyBorder="1"/>
    <xf numFmtId="165" fontId="11" fillId="6" borderId="1" xfId="5" applyNumberFormat="1" applyFont="1" applyFill="1" applyBorder="1"/>
    <xf numFmtId="0" fontId="44" fillId="0" borderId="0" xfId="0" applyFont="1" applyFill="1" applyBorder="1"/>
    <xf numFmtId="9" fontId="20" fillId="6" borderId="1" xfId="6" applyFont="1" applyFill="1" applyBorder="1"/>
    <xf numFmtId="0" fontId="20" fillId="0" borderId="0" xfId="5" applyNumberFormat="1" applyFont="1" applyBorder="1"/>
    <xf numFmtId="0" fontId="10" fillId="3" borderId="1" xfId="0" applyFont="1" applyFill="1" applyBorder="1"/>
    <xf numFmtId="0" fontId="26" fillId="0" borderId="0" xfId="7" applyFont="1" applyAlignment="1">
      <alignment horizontal="right" wrapText="1"/>
    </xf>
    <xf numFmtId="0" fontId="24" fillId="0" borderId="0" xfId="0" applyFont="1" applyAlignment="1">
      <alignment horizontal="right"/>
    </xf>
    <xf numFmtId="0" fontId="10" fillId="0" borderId="0" xfId="0" applyFont="1"/>
    <xf numFmtId="9" fontId="12" fillId="3" borderId="1" xfId="0" applyNumberFormat="1" applyFont="1" applyFill="1" applyBorder="1"/>
    <xf numFmtId="0" fontId="13" fillId="0" borderId="0" xfId="50" applyFont="1" applyFill="1" applyBorder="1" applyAlignment="1" applyProtection="1">
      <alignment horizontal="center"/>
      <protection locked="0"/>
    </xf>
    <xf numFmtId="0" fontId="13" fillId="0" borderId="0" xfId="50" applyFont="1" applyFill="1" applyBorder="1" applyAlignment="1" applyProtection="1">
      <protection locked="0"/>
    </xf>
    <xf numFmtId="43" fontId="13" fillId="0" borderId="0" xfId="354" applyFont="1" applyAlignment="1" applyProtection="1">
      <protection locked="0"/>
    </xf>
    <xf numFmtId="43" fontId="13" fillId="0" borderId="0" xfId="50" applyNumberFormat="1" applyFont="1" applyFill="1" applyBorder="1" applyAlignment="1" applyProtection="1">
      <alignment horizontal="center"/>
      <protection locked="0"/>
    </xf>
    <xf numFmtId="43" fontId="14" fillId="0" borderId="1" xfId="354" applyFont="1" applyFill="1" applyBorder="1" applyAlignment="1" applyProtection="1">
      <alignment horizontal="center" vertical="center" wrapText="1"/>
      <protection locked="0"/>
    </xf>
    <xf numFmtId="0" fontId="13" fillId="48" borderId="0" xfId="50" applyFont="1" applyFill="1" applyBorder="1" applyAlignment="1" applyProtection="1">
      <protection locked="0"/>
    </xf>
    <xf numFmtId="0" fontId="14" fillId="0" borderId="1" xfId="50" applyFont="1" applyFill="1" applyBorder="1" applyAlignment="1" applyProtection="1">
      <alignment horizontal="center" vertical="center" wrapText="1"/>
      <protection locked="0"/>
    </xf>
    <xf numFmtId="0" fontId="13" fillId="0" borderId="0" xfId="50" applyFont="1" applyAlignment="1" applyProtection="1">
      <protection locked="0"/>
    </xf>
    <xf numFmtId="0" fontId="13" fillId="0" borderId="0" xfId="50" applyFont="1" applyAlignment="1" applyProtection="1">
      <alignment horizontal="center"/>
      <protection locked="0"/>
    </xf>
    <xf numFmtId="43" fontId="13" fillId="0" borderId="0" xfId="354" applyFont="1" applyFill="1" applyAlignment="1" applyProtection="1">
      <alignment horizontal="center"/>
      <protection locked="0"/>
    </xf>
    <xf numFmtId="0" fontId="13" fillId="0" borderId="0" xfId="50" applyFont="1" applyFill="1" applyAlignment="1" applyProtection="1">
      <protection locked="0"/>
    </xf>
    <xf numFmtId="0" fontId="13" fillId="0" borderId="0" xfId="50" applyFont="1" applyAlignment="1" applyProtection="1">
      <alignment horizontal="left"/>
      <protection locked="0"/>
    </xf>
    <xf numFmtId="0" fontId="13" fillId="0" borderId="0" xfId="50" applyFont="1" applyFill="1" applyAlignment="1" applyProtection="1">
      <alignment horizontal="left"/>
      <protection locked="0"/>
    </xf>
    <xf numFmtId="0" fontId="14" fillId="0" borderId="0" xfId="50" applyFont="1" applyFill="1" applyBorder="1" applyAlignment="1" applyProtection="1">
      <protection locked="0"/>
    </xf>
    <xf numFmtId="0" fontId="14" fillId="0" borderId="1" xfId="50" applyFont="1" applyFill="1" applyBorder="1" applyAlignment="1" applyProtection="1">
      <alignment horizontal="center" vertical="center"/>
      <protection locked="0"/>
    </xf>
    <xf numFmtId="165" fontId="43" fillId="5" borderId="1" xfId="5" applyNumberFormat="1" applyFont="1" applyFill="1" applyBorder="1"/>
    <xf numFmtId="0" fontId="9" fillId="0" borderId="0" xfId="0" applyFont="1"/>
    <xf numFmtId="165" fontId="9" fillId="2" borderId="1" xfId="5" applyNumberFormat="1" applyFont="1" applyFill="1" applyBorder="1"/>
    <xf numFmtId="43" fontId="12" fillId="0" borderId="0" xfId="0" applyNumberFormat="1" applyFont="1"/>
    <xf numFmtId="0" fontId="8" fillId="7" borderId="0" xfId="0" applyFont="1" applyFill="1" applyBorder="1" applyAlignment="1">
      <alignment horizontal="left" indent="1"/>
    </xf>
    <xf numFmtId="0" fontId="7" fillId="0" borderId="0" xfId="2052" applyNumberFormat="1" applyFont="1"/>
    <xf numFmtId="0" fontId="22" fillId="50" borderId="23" xfId="2053" applyNumberFormat="1" applyFont="1" applyFill="1" applyBorder="1" applyAlignment="1">
      <alignment horizontal="left"/>
    </xf>
    <xf numFmtId="0" fontId="22" fillId="50" borderId="23" xfId="2053" applyNumberFormat="1" applyFont="1" applyFill="1" applyBorder="1" applyAlignment="1">
      <alignment horizontal="center"/>
    </xf>
    <xf numFmtId="0" fontId="22" fillId="50" borderId="24" xfId="2053" applyNumberFormat="1" applyFont="1" applyFill="1" applyBorder="1" applyAlignment="1">
      <alignment horizontal="center"/>
    </xf>
    <xf numFmtId="0" fontId="22" fillId="51" borderId="23" xfId="2053" applyNumberFormat="1" applyFont="1" applyFill="1" applyBorder="1" applyAlignment="1">
      <alignment horizontal="left"/>
    </xf>
    <xf numFmtId="0" fontId="22" fillId="51" borderId="24" xfId="2053" applyNumberFormat="1" applyFont="1" applyFill="1" applyBorder="1" applyAlignment="1">
      <alignment horizontal="center"/>
    </xf>
    <xf numFmtId="0" fontId="20" fillId="6" borderId="23" xfId="2052" applyNumberFormat="1" applyFont="1" applyFill="1" applyBorder="1"/>
    <xf numFmtId="0" fontId="20" fillId="6" borderId="24" xfId="2052" applyNumberFormat="1" applyFont="1" applyFill="1" applyBorder="1"/>
    <xf numFmtId="0" fontId="22" fillId="31" borderId="1" xfId="2053" applyNumberFormat="1" applyFont="1" applyFill="1" applyBorder="1" applyAlignment="1">
      <alignment vertical="center" wrapText="1"/>
    </xf>
    <xf numFmtId="0" fontId="22" fillId="31" borderId="1" xfId="2053" applyNumberFormat="1" applyFont="1" applyFill="1" applyBorder="1" applyAlignment="1">
      <alignment horizontal="left" vertical="center" wrapText="1"/>
    </xf>
    <xf numFmtId="0" fontId="22" fillId="31" borderId="1" xfId="2053" applyNumberFormat="1" applyFont="1" applyFill="1" applyBorder="1" applyAlignment="1">
      <alignment horizontal="center" vertical="center" wrapText="1"/>
    </xf>
    <xf numFmtId="0" fontId="7" fillId="0" borderId="0" xfId="2052" applyNumberFormat="1" applyFont="1" applyAlignment="1">
      <alignment vertical="center"/>
    </xf>
    <xf numFmtId="0" fontId="23" fillId="0" borderId="0" xfId="2" applyFont="1" applyAlignment="1">
      <alignment horizontal="left" indent="1"/>
    </xf>
    <xf numFmtId="43" fontId="23" fillId="0" borderId="0" xfId="5" applyFont="1"/>
    <xf numFmtId="0" fontId="7" fillId="0" borderId="0" xfId="0" applyFont="1"/>
    <xf numFmtId="0" fontId="13" fillId="0" borderId="23" xfId="50" applyFont="1" applyFill="1" applyBorder="1" applyAlignment="1" applyProtection="1">
      <protection locked="0"/>
    </xf>
    <xf numFmtId="0" fontId="14" fillId="0" borderId="24" xfId="50" applyFont="1" applyFill="1" applyBorder="1" applyAlignment="1" applyProtection="1">
      <protection locked="0"/>
    </xf>
    <xf numFmtId="0" fontId="13" fillId="0" borderId="24" xfId="50" applyFont="1" applyFill="1" applyBorder="1" applyAlignment="1" applyProtection="1">
      <protection locked="0"/>
    </xf>
    <xf numFmtId="0" fontId="13" fillId="0" borderId="25" xfId="50" applyFont="1" applyFill="1" applyBorder="1" applyAlignment="1" applyProtection="1">
      <protection locked="0"/>
    </xf>
    <xf numFmtId="43" fontId="13" fillId="53" borderId="0" xfId="354" applyFont="1" applyFill="1" applyAlignment="1" applyProtection="1">
      <alignment horizontal="center"/>
      <protection locked="0"/>
    </xf>
    <xf numFmtId="0" fontId="23" fillId="0" borderId="0" xfId="2" applyFont="1" applyAlignment="1">
      <alignment horizontal="left" indent="3"/>
    </xf>
    <xf numFmtId="0" fontId="22" fillId="0" borderId="0" xfId="2" applyFont="1" applyAlignment="1">
      <alignment horizontal="left" indent="1"/>
    </xf>
    <xf numFmtId="165" fontId="22" fillId="0" borderId="0" xfId="5" applyNumberFormat="1" applyFont="1"/>
    <xf numFmtId="43" fontId="22" fillId="0" borderId="0" xfId="5" applyFont="1"/>
    <xf numFmtId="164" fontId="11" fillId="2" borderId="1" xfId="0" applyNumberFormat="1" applyFont="1" applyFill="1" applyBorder="1"/>
    <xf numFmtId="165" fontId="42" fillId="2" borderId="1" xfId="5" applyNumberFormat="1" applyFont="1" applyFill="1" applyBorder="1"/>
    <xf numFmtId="0" fontId="20" fillId="0" borderId="3" xfId="0" applyFont="1" applyBorder="1"/>
    <xf numFmtId="0" fontId="20" fillId="0" borderId="4" xfId="0" applyFont="1" applyBorder="1"/>
    <xf numFmtId="0" fontId="20" fillId="0" borderId="5" xfId="0" applyFont="1" applyBorder="1"/>
    <xf numFmtId="0" fontId="20" fillId="0" borderId="8" xfId="0" applyFont="1" applyBorder="1"/>
    <xf numFmtId="0" fontId="20" fillId="0" borderId="9" xfId="0" applyFont="1" applyBorder="1"/>
    <xf numFmtId="0" fontId="20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165" fontId="22" fillId="6" borderId="1" xfId="5" applyNumberFormat="1" applyFont="1" applyFill="1" applyBorder="1"/>
    <xf numFmtId="0" fontId="146" fillId="0" borderId="0" xfId="0" applyFont="1"/>
    <xf numFmtId="0" fontId="5" fillId="0" borderId="0" xfId="2052" applyNumberFormat="1" applyFont="1"/>
    <xf numFmtId="0" fontId="5" fillId="0" borderId="0" xfId="0" applyFont="1"/>
    <xf numFmtId="0" fontId="24" fillId="0" borderId="0" xfId="0" applyFont="1" applyAlignment="1">
      <alignment horizontal="left" indent="1"/>
    </xf>
    <xf numFmtId="9" fontId="5" fillId="0" borderId="0" xfId="6" applyFont="1"/>
    <xf numFmtId="9" fontId="11" fillId="0" borderId="0" xfId="6" applyFont="1"/>
    <xf numFmtId="165" fontId="23" fillId="0" borderId="0" xfId="5" applyNumberFormat="1" applyFont="1"/>
    <xf numFmtId="0" fontId="22" fillId="3" borderId="1" xfId="7" applyFont="1" applyFill="1" applyBorder="1" applyAlignment="1">
      <alignment vertical="center" wrapText="1"/>
    </xf>
    <xf numFmtId="0" fontId="22" fillId="3" borderId="1" xfId="7" applyFont="1" applyFill="1" applyBorder="1" applyAlignment="1">
      <alignment horizontal="center" vertical="center" wrapText="1"/>
    </xf>
    <xf numFmtId="0" fontId="23" fillId="0" borderId="0" xfId="7" applyFont="1" applyAlignment="1">
      <alignment horizontal="center"/>
    </xf>
    <xf numFmtId="0" fontId="5" fillId="0" borderId="51" xfId="0" applyFont="1" applyBorder="1"/>
    <xf numFmtId="0" fontId="9" fillId="0" borderId="51" xfId="0" applyFont="1" applyBorder="1"/>
    <xf numFmtId="0" fontId="23" fillId="0" borderId="51" xfId="7" applyFont="1" applyBorder="1" applyAlignment="1">
      <alignment wrapText="1"/>
    </xf>
    <xf numFmtId="0" fontId="5" fillId="0" borderId="0" xfId="0" applyFont="1" applyBorder="1"/>
    <xf numFmtId="0" fontId="23" fillId="0" borderId="0" xfId="7" applyFont="1" applyBorder="1" applyAlignment="1">
      <alignment wrapText="1"/>
    </xf>
    <xf numFmtId="0" fontId="9" fillId="0" borderId="0" xfId="0" applyFont="1" applyBorder="1"/>
    <xf numFmtId="0" fontId="23" fillId="0" borderId="52" xfId="7" applyFont="1" applyBorder="1" applyAlignment="1">
      <alignment wrapText="1"/>
    </xf>
    <xf numFmtId="0" fontId="9" fillId="0" borderId="52" xfId="0" applyFont="1" applyBorder="1"/>
    <xf numFmtId="165" fontId="9" fillId="0" borderId="51" xfId="5" applyNumberFormat="1" applyFont="1" applyBorder="1"/>
    <xf numFmtId="165" fontId="9" fillId="0" borderId="0" xfId="5" applyNumberFormat="1" applyFont="1" applyBorder="1"/>
    <xf numFmtId="165" fontId="9" fillId="0" borderId="52" xfId="5" applyNumberFormat="1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53" xfId="0" applyFont="1" applyBorder="1"/>
    <xf numFmtId="0" fontId="5" fillId="0" borderId="54" xfId="0" applyFont="1" applyBorder="1"/>
    <xf numFmtId="0" fontId="5" fillId="0" borderId="55" xfId="0" applyFont="1" applyBorder="1"/>
    <xf numFmtId="0" fontId="5" fillId="0" borderId="56" xfId="0" applyFont="1" applyBorder="1"/>
    <xf numFmtId="0" fontId="5" fillId="0" borderId="8" xfId="0" applyFont="1" applyBorder="1"/>
    <xf numFmtId="0" fontId="23" fillId="0" borderId="9" xfId="7" applyFont="1" applyBorder="1" applyAlignment="1">
      <alignment wrapText="1"/>
    </xf>
    <xf numFmtId="0" fontId="5" fillId="0" borderId="10" xfId="0" applyFont="1" applyBorder="1"/>
    <xf numFmtId="165" fontId="9" fillId="0" borderId="3" xfId="5" applyNumberFormat="1" applyFont="1" applyBorder="1"/>
    <xf numFmtId="165" fontId="9" fillId="0" borderId="4" xfId="5" applyNumberFormat="1" applyFont="1" applyBorder="1"/>
    <xf numFmtId="165" fontId="9" fillId="0" borderId="5" xfId="5" applyNumberFormat="1" applyFont="1" applyBorder="1"/>
    <xf numFmtId="165" fontId="9" fillId="0" borderId="6" xfId="5" applyNumberFormat="1" applyFont="1" applyBorder="1"/>
    <xf numFmtId="165" fontId="9" fillId="0" borderId="7" xfId="5" applyNumberFormat="1" applyFont="1" applyBorder="1"/>
    <xf numFmtId="165" fontId="9" fillId="0" borderId="53" xfId="5" applyNumberFormat="1" applyFont="1" applyBorder="1"/>
    <xf numFmtId="165" fontId="9" fillId="0" borderId="54" xfId="5" applyNumberFormat="1" applyFont="1" applyBorder="1"/>
    <xf numFmtId="165" fontId="9" fillId="0" borderId="55" xfId="5" applyNumberFormat="1" applyFont="1" applyBorder="1"/>
    <xf numFmtId="165" fontId="9" fillId="0" borderId="56" xfId="5" applyNumberFormat="1" applyFont="1" applyBorder="1"/>
    <xf numFmtId="165" fontId="9" fillId="0" borderId="8" xfId="5" applyNumberFormat="1" applyFont="1" applyBorder="1"/>
    <xf numFmtId="165" fontId="9" fillId="0" borderId="9" xfId="5" applyNumberFormat="1" applyFont="1" applyBorder="1"/>
    <xf numFmtId="165" fontId="9" fillId="0" borderId="10" xfId="5" applyNumberFormat="1" applyFont="1" applyBorder="1"/>
    <xf numFmtId="165" fontId="23" fillId="4" borderId="0" xfId="5" applyNumberFormat="1" applyFont="1" applyFill="1" applyAlignment="1"/>
    <xf numFmtId="0" fontId="22" fillId="0" borderId="0" xfId="2" applyFont="1" applyAlignment="1">
      <alignment horizontal="left"/>
    </xf>
    <xf numFmtId="0" fontId="23" fillId="0" borderId="0" xfId="2" applyFont="1" applyAlignment="1">
      <alignment horizontal="left" indent="2"/>
    </xf>
    <xf numFmtId="0" fontId="23" fillId="0" borderId="0" xfId="2" applyFont="1" applyAlignment="1">
      <alignment horizontal="left"/>
    </xf>
    <xf numFmtId="0" fontId="22" fillId="0" borderId="0" xfId="2" applyFont="1" applyAlignment="1">
      <alignment horizontal="left" indent="2"/>
    </xf>
    <xf numFmtId="0" fontId="26" fillId="0" borderId="0" xfId="2" applyFont="1" applyAlignment="1">
      <alignment horizontal="left"/>
    </xf>
    <xf numFmtId="0" fontId="7" fillId="0" borderId="0" xfId="0" applyFont="1" applyFill="1" applyBorder="1"/>
    <xf numFmtId="0" fontId="12" fillId="0" borderId="0" xfId="0" applyFont="1" applyFill="1" applyBorder="1"/>
    <xf numFmtId="0" fontId="12" fillId="0" borderId="0" xfId="0" applyFont="1" applyFill="1"/>
    <xf numFmtId="14" fontId="5" fillId="0" borderId="0" xfId="0" applyNumberFormat="1" applyFont="1" applyAlignment="1">
      <alignment horizontal="left"/>
    </xf>
    <xf numFmtId="0" fontId="20" fillId="0" borderId="0" xfId="0" applyFont="1" applyFill="1" applyBorder="1"/>
    <xf numFmtId="0" fontId="5" fillId="6" borderId="0" xfId="0" applyFont="1" applyFill="1"/>
    <xf numFmtId="0" fontId="9" fillId="0" borderId="0" xfId="0" applyFont="1" applyFill="1" applyBorder="1" applyAlignment="1">
      <alignment horizontal="left" indent="2"/>
    </xf>
    <xf numFmtId="165" fontId="9" fillId="0" borderId="0" xfId="5" applyNumberFormat="1" applyFont="1" applyFill="1" applyBorder="1"/>
    <xf numFmtId="0" fontId="20" fillId="0" borderId="0" xfId="0" applyFont="1" applyFill="1" applyBorder="1" applyAlignment="1">
      <alignment horizontal="left" indent="1"/>
    </xf>
    <xf numFmtId="0" fontId="7" fillId="0" borderId="0" xfId="0" applyFont="1" applyFill="1" applyBorder="1" applyAlignment="1">
      <alignment horizontal="left" indent="2"/>
    </xf>
    <xf numFmtId="0" fontId="11" fillId="0" borderId="0" xfId="0" applyFont="1" applyFill="1" applyBorder="1" applyAlignment="1">
      <alignment horizontal="left" indent="2"/>
    </xf>
    <xf numFmtId="0" fontId="5" fillId="0" borderId="0" xfId="0" applyFont="1" applyFill="1" applyBorder="1" applyAlignment="1">
      <alignment horizontal="left" indent="2"/>
    </xf>
    <xf numFmtId="3" fontId="12" fillId="0" borderId="0" xfId="0" applyNumberFormat="1" applyFont="1" applyFill="1" applyBorder="1"/>
    <xf numFmtId="0" fontId="12" fillId="0" borderId="0" xfId="0" applyFont="1" applyFill="1" applyBorder="1" applyAlignment="1">
      <alignment horizontal="left" indent="2"/>
    </xf>
    <xf numFmtId="0" fontId="20" fillId="6" borderId="0" xfId="0" applyFont="1" applyFill="1" applyBorder="1"/>
    <xf numFmtId="0" fontId="5" fillId="6" borderId="0" xfId="0" applyFont="1" applyFill="1" applyBorder="1"/>
    <xf numFmtId="165" fontId="20" fillId="0" borderId="0" xfId="0" applyNumberFormat="1" applyFont="1" applyFill="1" applyBorder="1"/>
    <xf numFmtId="0" fontId="11" fillId="0" borderId="0" xfId="0" applyFont="1" applyFill="1" applyBorder="1"/>
    <xf numFmtId="0" fontId="24" fillId="0" borderId="0" xfId="0" applyFont="1" applyFill="1" applyBorder="1" applyAlignment="1">
      <alignment horizontal="left" indent="1"/>
    </xf>
    <xf numFmtId="0" fontId="6" fillId="0" borderId="0" xfId="0" applyFont="1" applyFill="1" applyBorder="1" applyAlignment="1">
      <alignment horizontal="left" indent="1"/>
    </xf>
    <xf numFmtId="0" fontId="9" fillId="0" borderId="0" xfId="0" applyFont="1" applyFill="1" applyBorder="1" applyAlignment="1">
      <alignment horizontal="left" indent="1"/>
    </xf>
    <xf numFmtId="0" fontId="11" fillId="0" borderId="0" xfId="0" applyFont="1" applyFill="1"/>
    <xf numFmtId="9" fontId="20" fillId="54" borderId="0" xfId="6" applyFont="1" applyFill="1"/>
    <xf numFmtId="0" fontId="4" fillId="0" borderId="0" xfId="0" applyFont="1" applyAlignment="1">
      <alignment horizontal="center" vertical="center" wrapText="1"/>
    </xf>
    <xf numFmtId="165" fontId="4" fillId="0" borderId="0" xfId="5" applyNumberFormat="1" applyFont="1"/>
    <xf numFmtId="9" fontId="4" fillId="2" borderId="0" xfId="6" applyFont="1" applyFill="1"/>
    <xf numFmtId="9" fontId="4" fillId="5" borderId="0" xfId="6" applyFont="1" applyFill="1"/>
    <xf numFmtId="0" fontId="3" fillId="0" borderId="0" xfId="0" applyFont="1"/>
    <xf numFmtId="0" fontId="3" fillId="0" borderId="0" xfId="2052" applyNumberFormat="1" applyFont="1"/>
    <xf numFmtId="0" fontId="23" fillId="7" borderId="0" xfId="7" applyFont="1" applyFill="1"/>
    <xf numFmtId="0" fontId="22" fillId="0" borderId="0" xfId="2699" applyFont="1"/>
    <xf numFmtId="0" fontId="23" fillId="0" borderId="0" xfId="2699" applyFont="1"/>
    <xf numFmtId="0" fontId="26" fillId="0" borderId="0" xfId="2699" applyFont="1"/>
    <xf numFmtId="0" fontId="23" fillId="0" borderId="57" xfId="2699" applyFont="1" applyBorder="1"/>
    <xf numFmtId="0" fontId="23" fillId="0" borderId="58" xfId="2699" applyFont="1" applyBorder="1"/>
    <xf numFmtId="0" fontId="22" fillId="0" borderId="0" xfId="2699" applyFont="1" applyAlignment="1">
      <alignment horizontal="center"/>
    </xf>
    <xf numFmtId="0" fontId="22" fillId="0" borderId="57" xfId="2699" applyFont="1" applyBorder="1" applyAlignment="1">
      <alignment horizontal="center"/>
    </xf>
    <xf numFmtId="0" fontId="22" fillId="0" borderId="58" xfId="2699" applyFont="1" applyBorder="1" applyAlignment="1">
      <alignment horizontal="center"/>
    </xf>
    <xf numFmtId="0" fontId="150" fillId="0" borderId="0" xfId="2699" applyFont="1" applyAlignment="1"/>
    <xf numFmtId="0" fontId="23" fillId="4" borderId="0" xfId="2699" applyFont="1" applyFill="1"/>
    <xf numFmtId="0" fontId="22" fillId="4" borderId="0" xfId="2699" applyFont="1" applyFill="1"/>
    <xf numFmtId="0" fontId="23" fillId="4" borderId="57" xfId="2699" applyFont="1" applyFill="1" applyBorder="1"/>
    <xf numFmtId="0" fontId="23" fillId="4" borderId="58" xfId="2699" applyFont="1" applyFill="1" applyBorder="1"/>
    <xf numFmtId="165" fontId="23" fillId="0" borderId="0" xfId="2699" applyNumberFormat="1" applyFont="1"/>
    <xf numFmtId="165" fontId="23" fillId="0" borderId="57" xfId="2699" applyNumberFormat="1" applyFont="1" applyBorder="1"/>
    <xf numFmtId="0" fontId="23" fillId="0" borderId="0" xfId="2699" applyFont="1" applyAlignment="1">
      <alignment horizontal="left" indent="1"/>
    </xf>
    <xf numFmtId="165" fontId="23" fillId="2" borderId="0" xfId="5" applyNumberFormat="1" applyFont="1" applyFill="1"/>
    <xf numFmtId="165" fontId="23" fillId="2" borderId="57" xfId="5" applyNumberFormat="1" applyFont="1" applyFill="1" applyBorder="1"/>
    <xf numFmtId="165" fontId="3" fillId="54" borderId="0" xfId="5" applyNumberFormat="1" applyFont="1" applyFill="1"/>
    <xf numFmtId="165" fontId="3" fillId="54" borderId="57" xfId="5" applyNumberFormat="1" applyFont="1" applyFill="1" applyBorder="1"/>
    <xf numFmtId="165" fontId="3" fillId="49" borderId="58" xfId="5" applyNumberFormat="1" applyFont="1" applyFill="1" applyBorder="1"/>
    <xf numFmtId="165" fontId="3" fillId="49" borderId="0" xfId="5" applyNumberFormat="1" applyFont="1" applyFill="1"/>
    <xf numFmtId="0" fontId="145" fillId="0" borderId="0" xfId="2699" applyFont="1" applyFill="1" applyAlignment="1">
      <alignment horizontal="center"/>
    </xf>
    <xf numFmtId="165" fontId="23" fillId="0" borderId="57" xfId="5" applyNumberFormat="1" applyFont="1" applyBorder="1"/>
    <xf numFmtId="165" fontId="23" fillId="0" borderId="58" xfId="5" applyNumberFormat="1" applyFont="1" applyBorder="1"/>
    <xf numFmtId="0" fontId="24" fillId="0" borderId="0" xfId="2699" applyFont="1"/>
    <xf numFmtId="0" fontId="23" fillId="0" borderId="0" xfId="2699" applyFont="1" applyAlignment="1">
      <alignment horizontal="left" indent="2"/>
    </xf>
    <xf numFmtId="0" fontId="22" fillId="0" borderId="0" xfId="2699" applyFont="1" applyAlignment="1">
      <alignment horizontal="left" indent="1"/>
    </xf>
    <xf numFmtId="165" fontId="23" fillId="0" borderId="58" xfId="2699" applyNumberFormat="1" applyFont="1" applyBorder="1"/>
    <xf numFmtId="9" fontId="23" fillId="0" borderId="58" xfId="6" applyFont="1" applyBorder="1"/>
    <xf numFmtId="9" fontId="23" fillId="0" borderId="0" xfId="6" applyFont="1"/>
    <xf numFmtId="9" fontId="23" fillId="0" borderId="57" xfId="6" applyFont="1" applyBorder="1"/>
    <xf numFmtId="9" fontId="20" fillId="54" borderId="57" xfId="6" applyFont="1" applyFill="1" applyBorder="1"/>
    <xf numFmtId="9" fontId="20" fillId="54" borderId="58" xfId="6" applyFont="1" applyFill="1" applyBorder="1"/>
    <xf numFmtId="43" fontId="20" fillId="54" borderId="0" xfId="5" applyFont="1" applyFill="1"/>
    <xf numFmtId="43" fontId="20" fillId="54" borderId="57" xfId="5" applyFont="1" applyFill="1" applyBorder="1"/>
    <xf numFmtId="43" fontId="20" fillId="54" borderId="58" xfId="5" applyFont="1" applyFill="1" applyBorder="1"/>
    <xf numFmtId="165" fontId="22" fillId="0" borderId="0" xfId="2699" applyNumberFormat="1" applyFont="1"/>
    <xf numFmtId="165" fontId="22" fillId="0" borderId="57" xfId="2699" applyNumberFormat="1" applyFont="1" applyBorder="1"/>
    <xf numFmtId="165" fontId="22" fillId="0" borderId="58" xfId="2699" applyNumberFormat="1" applyFont="1" applyBorder="1"/>
    <xf numFmtId="0" fontId="22" fillId="0" borderId="0" xfId="2699" applyFont="1" applyAlignment="1">
      <alignment horizontal="left"/>
    </xf>
    <xf numFmtId="43" fontId="23" fillId="0" borderId="0" xfId="2699" applyNumberFormat="1" applyFont="1"/>
    <xf numFmtId="232" fontId="23" fillId="0" borderId="57" xfId="2699" applyNumberFormat="1" applyFont="1" applyBorder="1"/>
    <xf numFmtId="0" fontId="3" fillId="0" borderId="0" xfId="2699"/>
    <xf numFmtId="0" fontId="3" fillId="0" borderId="0" xfId="2699" applyFill="1"/>
    <xf numFmtId="0" fontId="3" fillId="0" borderId="0" xfId="2699" applyFont="1"/>
    <xf numFmtId="0" fontId="3" fillId="0" borderId="0" xfId="2052" applyNumberFormat="1" applyFont="1" applyAlignment="1">
      <alignment horizontal="center"/>
    </xf>
    <xf numFmtId="0" fontId="3" fillId="0" borderId="0" xfId="0" applyFont="1" applyFill="1"/>
    <xf numFmtId="10" fontId="11" fillId="0" borderId="0" xfId="0" applyNumberFormat="1" applyFont="1"/>
    <xf numFmtId="165" fontId="12" fillId="0" borderId="0" xfId="0" applyNumberFormat="1" applyFont="1"/>
    <xf numFmtId="0" fontId="2" fillId="0" borderId="0" xfId="0" applyFont="1"/>
    <xf numFmtId="0" fontId="2" fillId="0" borderId="0" xfId="2052" applyNumberFormat="1" applyFont="1" applyAlignment="1">
      <alignment horizontal="center"/>
    </xf>
    <xf numFmtId="0" fontId="2" fillId="0" borderId="0" xfId="2052" applyNumberFormat="1" applyFont="1"/>
    <xf numFmtId="9" fontId="7" fillId="0" borderId="0" xfId="6" applyFont="1"/>
    <xf numFmtId="0" fontId="2" fillId="0" borderId="0" xfId="0" applyFont="1" applyFill="1" applyBorder="1" applyAlignment="1">
      <alignment horizontal="left" indent="2"/>
    </xf>
    <xf numFmtId="165" fontId="9" fillId="0" borderId="0" xfId="0" applyNumberFormat="1" applyFont="1"/>
    <xf numFmtId="0" fontId="23" fillId="0" borderId="0" xfId="7" applyFont="1" applyFill="1" applyAlignment="1">
      <alignment horizontal="center"/>
    </xf>
    <xf numFmtId="0" fontId="23" fillId="0" borderId="0" xfId="7" applyFont="1" applyFill="1" applyAlignment="1"/>
    <xf numFmtId="0" fontId="23" fillId="0" borderId="0" xfId="7" applyFont="1" applyFill="1"/>
    <xf numFmtId="0" fontId="23" fillId="0" borderId="0" xfId="7" applyFont="1" applyFill="1" applyAlignment="1">
      <alignment wrapText="1"/>
    </xf>
    <xf numFmtId="165" fontId="23" fillId="0" borderId="0" xfId="5" applyNumberFormat="1" applyFont="1" applyFill="1"/>
    <xf numFmtId="165" fontId="5" fillId="0" borderId="0" xfId="0" applyNumberFormat="1" applyFont="1"/>
    <xf numFmtId="0" fontId="1" fillId="0" borderId="0" xfId="0" applyFont="1"/>
    <xf numFmtId="0" fontId="14" fillId="0" borderId="23" xfId="50" applyFont="1" applyFill="1" applyBorder="1" applyAlignment="1" applyProtection="1">
      <alignment horizontal="center"/>
      <protection locked="0"/>
    </xf>
    <xf numFmtId="0" fontId="14" fillId="0" borderId="24" xfId="50" applyFont="1" applyFill="1" applyBorder="1" applyAlignment="1" applyProtection="1">
      <alignment horizontal="center"/>
      <protection locked="0"/>
    </xf>
    <xf numFmtId="0" fontId="14" fillId="0" borderId="25" xfId="50" applyFont="1" applyFill="1" applyBorder="1" applyAlignment="1" applyProtection="1">
      <alignment horizontal="center"/>
      <protection locked="0"/>
    </xf>
    <xf numFmtId="165" fontId="12" fillId="55" borderId="1" xfId="5" applyNumberFormat="1" applyFont="1" applyFill="1" applyBorder="1"/>
    <xf numFmtId="165" fontId="24" fillId="2" borderId="1" xfId="5" applyNumberFormat="1" applyFont="1" applyFill="1" applyBorder="1"/>
    <xf numFmtId="0" fontId="152" fillId="56" borderId="0" xfId="0" applyFont="1" applyFill="1"/>
  </cellXfs>
  <cellStyles count="2718">
    <cellStyle name="_x000a_386grabber=M" xfId="54"/>
    <cellStyle name="$0.00" xfId="2048"/>
    <cellStyle name="%" xfId="55"/>
    <cellStyle name="% 2" xfId="56"/>
    <cellStyle name="%_CSI Individual Installation Tool DRAFTv5 test" xfId="57"/>
    <cellStyle name="%_CSI Individual Installation Tool DRAFTv5 test 2" xfId="58"/>
    <cellStyle name="*MB Hardwired" xfId="2054"/>
    <cellStyle name="*MB Input Table Calc" xfId="2055"/>
    <cellStyle name="*MB Normal" xfId="2056"/>
    <cellStyle name="*MB Placeholder" xfId="2057"/>
    <cellStyle name=";;;" xfId="59"/>
    <cellStyle name="?? [0]_VERA" xfId="2058"/>
    <cellStyle name="?????_VERA" xfId="2059"/>
    <cellStyle name="??_VERA" xfId="2060"/>
    <cellStyle name="_x0010_“+ˆÉ•?pý¤" xfId="60"/>
    <cellStyle name="_x0010_“+ˆÉ•?pý¤ 2" xfId="61"/>
    <cellStyle name="_x0010_“+ˆÉ•?pý¤ 3" xfId="62"/>
    <cellStyle name="_x0010_“+ˆÉ•?pý¤ 4" xfId="2061"/>
    <cellStyle name="0.00" xfId="2049"/>
    <cellStyle name="000" xfId="63"/>
    <cellStyle name="000 2" xfId="64"/>
    <cellStyle name="20% - Accent1 2" xfId="9"/>
    <cellStyle name="20% - Accent1 2 2" xfId="65"/>
    <cellStyle name="20% - Accent1 2 2 2" xfId="66"/>
    <cellStyle name="20% - Accent1 2 3" xfId="67"/>
    <cellStyle name="20% - Accent1 2 3 2" xfId="68"/>
    <cellStyle name="20% - Accent1 2 4" xfId="69"/>
    <cellStyle name="20% - Accent1 3" xfId="70"/>
    <cellStyle name="20% - Accent1 3 2" xfId="71"/>
    <cellStyle name="20% - Accent1 4" xfId="72"/>
    <cellStyle name="20% - Accent1 4 2" xfId="73"/>
    <cellStyle name="20% - Accent1 5" xfId="74"/>
    <cellStyle name="20% - Accent1 5 2" xfId="75"/>
    <cellStyle name="20% - Accent1 6" xfId="76"/>
    <cellStyle name="20% - Accent1 6 2" xfId="77"/>
    <cellStyle name="20% - Accent1 7" xfId="2062"/>
    <cellStyle name="20% - Accent1 8" xfId="2063"/>
    <cellStyle name="20% - Accent2 2" xfId="10"/>
    <cellStyle name="20% - Accent2 2 2" xfId="78"/>
    <cellStyle name="20% - Accent2 2 2 2" xfId="79"/>
    <cellStyle name="20% - Accent2 2 3" xfId="80"/>
    <cellStyle name="20% - Accent2 2 3 2" xfId="81"/>
    <cellStyle name="20% - Accent2 2 4" xfId="82"/>
    <cellStyle name="20% - Accent2 3" xfId="83"/>
    <cellStyle name="20% - Accent2 3 2" xfId="84"/>
    <cellStyle name="20% - Accent2 4" xfId="85"/>
    <cellStyle name="20% - Accent2 4 2" xfId="86"/>
    <cellStyle name="20% - Accent2 5" xfId="87"/>
    <cellStyle name="20% - Accent2 5 2" xfId="88"/>
    <cellStyle name="20% - Accent2 6" xfId="89"/>
    <cellStyle name="20% - Accent2 6 2" xfId="90"/>
    <cellStyle name="20% - Accent2 7" xfId="2064"/>
    <cellStyle name="20% - Accent2 8" xfId="2065"/>
    <cellStyle name="20% - Accent3 2" xfId="11"/>
    <cellStyle name="20% - Accent3 2 2" xfId="91"/>
    <cellStyle name="20% - Accent3 2 2 2" xfId="92"/>
    <cellStyle name="20% - Accent3 2 3" xfId="93"/>
    <cellStyle name="20% - Accent3 2 3 2" xfId="94"/>
    <cellStyle name="20% - Accent3 2 4" xfId="95"/>
    <cellStyle name="20% - Accent3 3" xfId="96"/>
    <cellStyle name="20% - Accent3 3 2" xfId="97"/>
    <cellStyle name="20% - Accent3 4" xfId="98"/>
    <cellStyle name="20% - Accent3 4 2" xfId="99"/>
    <cellStyle name="20% - Accent3 5" xfId="100"/>
    <cellStyle name="20% - Accent3 5 2" xfId="101"/>
    <cellStyle name="20% - Accent3 6" xfId="102"/>
    <cellStyle name="20% - Accent3 6 2" xfId="103"/>
    <cellStyle name="20% - Accent3 7" xfId="2066"/>
    <cellStyle name="20% - Accent4 2" xfId="12"/>
    <cellStyle name="20% - Accent4 2 2" xfId="104"/>
    <cellStyle name="20% - Accent4 2 2 2" xfId="105"/>
    <cellStyle name="20% - Accent4 2 3" xfId="106"/>
    <cellStyle name="20% - Accent4 2 3 2" xfId="107"/>
    <cellStyle name="20% - Accent4 2 4" xfId="108"/>
    <cellStyle name="20% - Accent4 3" xfId="109"/>
    <cellStyle name="20% - Accent4 3 2" xfId="110"/>
    <cellStyle name="20% - Accent4 4" xfId="111"/>
    <cellStyle name="20% - Accent4 4 2" xfId="112"/>
    <cellStyle name="20% - Accent4 5" xfId="113"/>
    <cellStyle name="20% - Accent4 5 2" xfId="114"/>
    <cellStyle name="20% - Accent4 6" xfId="115"/>
    <cellStyle name="20% - Accent4 6 2" xfId="116"/>
    <cellStyle name="20% - Accent4 7" xfId="2067"/>
    <cellStyle name="20% - Accent4 8" xfId="2068"/>
    <cellStyle name="20% - Accent5 2" xfId="13"/>
    <cellStyle name="20% - Accent5 2 2" xfId="117"/>
    <cellStyle name="20% - Accent5 2 2 2" xfId="118"/>
    <cellStyle name="20% - Accent5 2 3" xfId="119"/>
    <cellStyle name="20% - Accent5 2 3 2" xfId="120"/>
    <cellStyle name="20% - Accent5 2 4" xfId="121"/>
    <cellStyle name="20% - Accent5 3" xfId="122"/>
    <cellStyle name="20% - Accent5 3 2" xfId="123"/>
    <cellStyle name="20% - Accent5 4" xfId="124"/>
    <cellStyle name="20% - Accent5 4 2" xfId="125"/>
    <cellStyle name="20% - Accent5 5" xfId="126"/>
    <cellStyle name="20% - Accent5 5 2" xfId="127"/>
    <cellStyle name="20% - Accent5 6" xfId="2069"/>
    <cellStyle name="20% - Accent6 2" xfId="14"/>
    <cellStyle name="20% - Accent6 2 2" xfId="128"/>
    <cellStyle name="20% - Accent6 2 2 2" xfId="129"/>
    <cellStyle name="20% - Accent6 2 3" xfId="130"/>
    <cellStyle name="20% - Accent6 2 3 2" xfId="131"/>
    <cellStyle name="20% - Accent6 2 4" xfId="132"/>
    <cellStyle name="20% - Accent6 3" xfId="133"/>
    <cellStyle name="20% - Accent6 3 2" xfId="134"/>
    <cellStyle name="20% - Accent6 4" xfId="135"/>
    <cellStyle name="20% - Accent6 4 2" xfId="136"/>
    <cellStyle name="20% - Accent6 5" xfId="137"/>
    <cellStyle name="20% - Accent6 5 2" xfId="138"/>
    <cellStyle name="20% - Accent6 6" xfId="139"/>
    <cellStyle name="20% - Accent6 6 2" xfId="140"/>
    <cellStyle name="20% - Accent6 7" xfId="2070"/>
    <cellStyle name="40% - Accent1 2" xfId="15"/>
    <cellStyle name="40% - Accent1 2 2" xfId="141"/>
    <cellStyle name="40% - Accent1 2 2 2" xfId="142"/>
    <cellStyle name="40% - Accent1 2 3" xfId="143"/>
    <cellStyle name="40% - Accent1 2 3 2" xfId="144"/>
    <cellStyle name="40% - Accent1 2 4" xfId="145"/>
    <cellStyle name="40% - Accent1 3" xfId="146"/>
    <cellStyle name="40% - Accent1 3 2" xfId="147"/>
    <cellStyle name="40% - Accent1 4" xfId="148"/>
    <cellStyle name="40% - Accent1 4 2" xfId="149"/>
    <cellStyle name="40% - Accent1 5" xfId="150"/>
    <cellStyle name="40% - Accent1 5 2" xfId="151"/>
    <cellStyle name="40% - Accent1 6" xfId="152"/>
    <cellStyle name="40% - Accent1 6 2" xfId="153"/>
    <cellStyle name="40% - Accent1 7" xfId="2071"/>
    <cellStyle name="40% - Accent1 8" xfId="2072"/>
    <cellStyle name="40% - Accent2 2" xfId="16"/>
    <cellStyle name="40% - Accent2 2 2" xfId="154"/>
    <cellStyle name="40% - Accent2 2 2 2" xfId="155"/>
    <cellStyle name="40% - Accent2 2 3" xfId="156"/>
    <cellStyle name="40% - Accent2 2 3 2" xfId="157"/>
    <cellStyle name="40% - Accent2 2 4" xfId="158"/>
    <cellStyle name="40% - Accent2 3" xfId="159"/>
    <cellStyle name="40% - Accent2 3 2" xfId="160"/>
    <cellStyle name="40% - Accent2 4" xfId="161"/>
    <cellStyle name="40% - Accent2 4 2" xfId="162"/>
    <cellStyle name="40% - Accent2 5" xfId="163"/>
    <cellStyle name="40% - Accent2 5 2" xfId="164"/>
    <cellStyle name="40% - Accent2 6" xfId="2073"/>
    <cellStyle name="40% - Accent3 2" xfId="17"/>
    <cellStyle name="40% - Accent3 2 2" xfId="165"/>
    <cellStyle name="40% - Accent3 2 2 2" xfId="166"/>
    <cellStyle name="40% - Accent3 2 3" xfId="167"/>
    <cellStyle name="40% - Accent3 2 3 2" xfId="168"/>
    <cellStyle name="40% - Accent3 2 4" xfId="169"/>
    <cellStyle name="40% - Accent3 3" xfId="170"/>
    <cellStyle name="40% - Accent3 3 2" xfId="171"/>
    <cellStyle name="40% - Accent3 4" xfId="172"/>
    <cellStyle name="40% - Accent3 4 2" xfId="173"/>
    <cellStyle name="40% - Accent3 5" xfId="174"/>
    <cellStyle name="40% - Accent3 5 2" xfId="175"/>
    <cellStyle name="40% - Accent3 6" xfId="176"/>
    <cellStyle name="40% - Accent3 6 2" xfId="177"/>
    <cellStyle name="40% - Accent3 7" xfId="2074"/>
    <cellStyle name="40% - Accent4 2" xfId="18"/>
    <cellStyle name="40% - Accent4 2 2" xfId="178"/>
    <cellStyle name="40% - Accent4 2 2 2" xfId="179"/>
    <cellStyle name="40% - Accent4 2 3" xfId="180"/>
    <cellStyle name="40% - Accent4 2 3 2" xfId="181"/>
    <cellStyle name="40% - Accent4 2 4" xfId="182"/>
    <cellStyle name="40% - Accent4 3" xfId="183"/>
    <cellStyle name="40% - Accent4 3 2" xfId="184"/>
    <cellStyle name="40% - Accent4 4" xfId="185"/>
    <cellStyle name="40% - Accent4 4 2" xfId="186"/>
    <cellStyle name="40% - Accent4 5" xfId="187"/>
    <cellStyle name="40% - Accent4 5 2" xfId="188"/>
    <cellStyle name="40% - Accent4 6" xfId="189"/>
    <cellStyle name="40% - Accent4 6 2" xfId="190"/>
    <cellStyle name="40% - Accent4 7" xfId="2075"/>
    <cellStyle name="40% - Accent4 8" xfId="2076"/>
    <cellStyle name="40% - Accent5 2" xfId="19"/>
    <cellStyle name="40% - Accent5 2 2" xfId="191"/>
    <cellStyle name="40% - Accent5 2 2 2" xfId="192"/>
    <cellStyle name="40% - Accent5 2 3" xfId="193"/>
    <cellStyle name="40% - Accent5 2 3 2" xfId="194"/>
    <cellStyle name="40% - Accent5 2 4" xfId="195"/>
    <cellStyle name="40% - Accent5 3" xfId="196"/>
    <cellStyle name="40% - Accent5 3 2" xfId="197"/>
    <cellStyle name="40% - Accent5 4" xfId="198"/>
    <cellStyle name="40% - Accent5 4 2" xfId="199"/>
    <cellStyle name="40% - Accent5 5" xfId="200"/>
    <cellStyle name="40% - Accent5 5 2" xfId="201"/>
    <cellStyle name="40% - Accent5 6" xfId="202"/>
    <cellStyle name="40% - Accent5 6 2" xfId="203"/>
    <cellStyle name="40% - Accent5 7" xfId="2077"/>
    <cellStyle name="40% - Accent6 2" xfId="20"/>
    <cellStyle name="40% - Accent6 2 2" xfId="204"/>
    <cellStyle name="40% - Accent6 2 2 2" xfId="205"/>
    <cellStyle name="40% - Accent6 2 3" xfId="206"/>
    <cellStyle name="40% - Accent6 2 3 2" xfId="207"/>
    <cellStyle name="40% - Accent6 2 4" xfId="208"/>
    <cellStyle name="40% - Accent6 3" xfId="209"/>
    <cellStyle name="40% - Accent6 3 2" xfId="210"/>
    <cellStyle name="40% - Accent6 4" xfId="211"/>
    <cellStyle name="40% - Accent6 4 2" xfId="212"/>
    <cellStyle name="40% - Accent6 5" xfId="213"/>
    <cellStyle name="40% - Accent6 5 2" xfId="214"/>
    <cellStyle name="40% - Accent6 6" xfId="215"/>
    <cellStyle name="40% - Accent6 6 2" xfId="216"/>
    <cellStyle name="40% - Accent6 7" xfId="2078"/>
    <cellStyle name="40% - Accent6 8" xfId="2079"/>
    <cellStyle name="60% - Accent1 2" xfId="21"/>
    <cellStyle name="60% - Accent1 2 2" xfId="217"/>
    <cellStyle name="60% - Accent1 2 3" xfId="218"/>
    <cellStyle name="60% - Accent1 3" xfId="219"/>
    <cellStyle name="60% - Accent1 4" xfId="220"/>
    <cellStyle name="60% - Accent1 5" xfId="221"/>
    <cellStyle name="60% - Accent1 6" xfId="222"/>
    <cellStyle name="60% - Accent1 7" xfId="2080"/>
    <cellStyle name="60% - Accent1 8" xfId="2081"/>
    <cellStyle name="60% - Accent2 2" xfId="22"/>
    <cellStyle name="60% - Accent2 2 2" xfId="223"/>
    <cellStyle name="60% - Accent2 2 3" xfId="224"/>
    <cellStyle name="60% - Accent2 3" xfId="225"/>
    <cellStyle name="60% - Accent2 4" xfId="226"/>
    <cellStyle name="60% - Accent2 5" xfId="227"/>
    <cellStyle name="60% - Accent2 6" xfId="228"/>
    <cellStyle name="60% - Accent2 7" xfId="2082"/>
    <cellStyle name="60% - Accent3 2" xfId="23"/>
    <cellStyle name="60% - Accent3 2 2" xfId="229"/>
    <cellStyle name="60% - Accent3 2 3" xfId="230"/>
    <cellStyle name="60% - Accent3 3" xfId="231"/>
    <cellStyle name="60% - Accent3 4" xfId="232"/>
    <cellStyle name="60% - Accent3 5" xfId="233"/>
    <cellStyle name="60% - Accent3 6" xfId="234"/>
    <cellStyle name="60% - Accent3 7" xfId="2083"/>
    <cellStyle name="60% - Accent3 8" xfId="2084"/>
    <cellStyle name="60% - Accent4 2" xfId="24"/>
    <cellStyle name="60% - Accent4 2 2" xfId="235"/>
    <cellStyle name="60% - Accent4 2 3" xfId="236"/>
    <cellStyle name="60% - Accent4 3" xfId="237"/>
    <cellStyle name="60% - Accent4 4" xfId="238"/>
    <cellStyle name="60% - Accent4 5" xfId="239"/>
    <cellStyle name="60% - Accent4 6" xfId="240"/>
    <cellStyle name="60% - Accent4 7" xfId="2085"/>
    <cellStyle name="60% - Accent4 8" xfId="2086"/>
    <cellStyle name="60% - Accent5 2" xfId="25"/>
    <cellStyle name="60% - Accent5 2 2" xfId="241"/>
    <cellStyle name="60% - Accent5 2 3" xfId="242"/>
    <cellStyle name="60% - Accent5 3" xfId="243"/>
    <cellStyle name="60% - Accent5 4" xfId="244"/>
    <cellStyle name="60% - Accent5 5" xfId="245"/>
    <cellStyle name="60% - Accent5 6" xfId="246"/>
    <cellStyle name="60% - Accent5 7" xfId="2087"/>
    <cellStyle name="60% - Accent6 2" xfId="26"/>
    <cellStyle name="60% - Accent6 2 2" xfId="247"/>
    <cellStyle name="60% - Accent6 2 3" xfId="248"/>
    <cellStyle name="60% - Accent6 3" xfId="249"/>
    <cellStyle name="60% - Accent6 4" xfId="250"/>
    <cellStyle name="60% - Accent6 5" xfId="251"/>
    <cellStyle name="60% - Accent6 6" xfId="252"/>
    <cellStyle name="60% - Accent6 7" xfId="2088"/>
    <cellStyle name="60% - Accent6 8" xfId="2089"/>
    <cellStyle name="Accent1 2" xfId="27"/>
    <cellStyle name="Accent1 2 2" xfId="253"/>
    <cellStyle name="Accent1 2 3" xfId="254"/>
    <cellStyle name="Accent1 3" xfId="255"/>
    <cellStyle name="Accent1 4" xfId="256"/>
    <cellStyle name="Accent1 5" xfId="257"/>
    <cellStyle name="Accent1 6" xfId="258"/>
    <cellStyle name="Accent1 7" xfId="2090"/>
    <cellStyle name="Accent1 8" xfId="2091"/>
    <cellStyle name="Accent2 2" xfId="28"/>
    <cellStyle name="Accent2 2 2" xfId="259"/>
    <cellStyle name="Accent2 2 3" xfId="260"/>
    <cellStyle name="Accent2 3" xfId="261"/>
    <cellStyle name="Accent2 4" xfId="262"/>
    <cellStyle name="Accent2 5" xfId="263"/>
    <cellStyle name="Accent2 6" xfId="264"/>
    <cellStyle name="Accent2 7" xfId="2092"/>
    <cellStyle name="Accent3 2" xfId="29"/>
    <cellStyle name="Accent3 2 2" xfId="265"/>
    <cellStyle name="Accent3 2 3" xfId="266"/>
    <cellStyle name="Accent3 3" xfId="267"/>
    <cellStyle name="Accent3 4" xfId="268"/>
    <cellStyle name="Accent3 5" xfId="269"/>
    <cellStyle name="Accent3 6" xfId="270"/>
    <cellStyle name="Accent3 7" xfId="2093"/>
    <cellStyle name="Accent4 2" xfId="30"/>
    <cellStyle name="Accent4 2 2" xfId="271"/>
    <cellStyle name="Accent4 2 3" xfId="272"/>
    <cellStyle name="Accent4 3" xfId="273"/>
    <cellStyle name="Accent4 4" xfId="274"/>
    <cellStyle name="Accent4 5" xfId="275"/>
    <cellStyle name="Accent4 6" xfId="276"/>
    <cellStyle name="Accent4 7" xfId="2094"/>
    <cellStyle name="Accent5 2" xfId="31"/>
    <cellStyle name="Accent5 2 2" xfId="277"/>
    <cellStyle name="Accent5 2 3" xfId="278"/>
    <cellStyle name="Accent5 3" xfId="279"/>
    <cellStyle name="Accent5 4" xfId="280"/>
    <cellStyle name="Accent5 5" xfId="281"/>
    <cellStyle name="Accent5 6" xfId="2095"/>
    <cellStyle name="Accent6 2" xfId="32"/>
    <cellStyle name="Accent6 2 2" xfId="282"/>
    <cellStyle name="Accent6 2 3" xfId="283"/>
    <cellStyle name="Accent6 3" xfId="284"/>
    <cellStyle name="Accent6 4" xfId="285"/>
    <cellStyle name="Accent6 5" xfId="286"/>
    <cellStyle name="Accent6 6" xfId="287"/>
    <cellStyle name="Accent6 7" xfId="2096"/>
    <cellStyle name="Accounting" xfId="288"/>
    <cellStyle name="Actual Date" xfId="289"/>
    <cellStyle name="Actual Date 2" xfId="290"/>
    <cellStyle name="Actual Date 3" xfId="2097"/>
    <cellStyle name="AFE" xfId="291"/>
    <cellStyle name="AFE 2" xfId="2098"/>
    <cellStyle name="Arial 10" xfId="292"/>
    <cellStyle name="Arial 10 2" xfId="293"/>
    <cellStyle name="Arial 12" xfId="294"/>
    <cellStyle name="ArialNormal" xfId="295"/>
    <cellStyle name="ArialNormal 2" xfId="296"/>
    <cellStyle name="ariel" xfId="2099"/>
    <cellStyle name="Background" xfId="297"/>
    <cellStyle name="Background 2" xfId="2100"/>
    <cellStyle name="Bad 2" xfId="33"/>
    <cellStyle name="Bad 2 2" xfId="298"/>
    <cellStyle name="Bad 2 3" xfId="299"/>
    <cellStyle name="Bad 3" xfId="300"/>
    <cellStyle name="Bad 4" xfId="301"/>
    <cellStyle name="Bad 5" xfId="302"/>
    <cellStyle name="Bad 6" xfId="303"/>
    <cellStyle name="Bad 7" xfId="2101"/>
    <cellStyle name="BalanceSheet" xfId="304"/>
    <cellStyle name="basic" xfId="2102"/>
    <cellStyle name="Biomass" xfId="305"/>
    <cellStyle name="Black" xfId="306"/>
    <cellStyle name="Black 2" xfId="307"/>
    <cellStyle name="Black 2 2" xfId="308"/>
    <cellStyle name="Black 2 2 2" xfId="309"/>
    <cellStyle name="Black 2 3" xfId="310"/>
    <cellStyle name="Black 3" xfId="311"/>
    <cellStyle name="Black 3 2" xfId="312"/>
    <cellStyle name="Black 4" xfId="313"/>
    <cellStyle name="blank" xfId="314"/>
    <cellStyle name="Blue" xfId="315"/>
    <cellStyle name="Blue 2" xfId="316"/>
    <cellStyle name="Blue 2 2" xfId="317"/>
    <cellStyle name="Blue 2 2 2" xfId="318"/>
    <cellStyle name="Blue 2 3" xfId="319"/>
    <cellStyle name="Blue 3" xfId="320"/>
    <cellStyle name="Blue 3 2" xfId="321"/>
    <cellStyle name="Blue 4" xfId="322"/>
    <cellStyle name="blue$00" xfId="323"/>
    <cellStyle name="Blue_AC 11-12-04" xfId="324"/>
    <cellStyle name="British Pound" xfId="325"/>
    <cellStyle name="Calc Currency (0)" xfId="326"/>
    <cellStyle name="Calc Currency (0) 2" xfId="2103"/>
    <cellStyle name="Calc Currency (2)" xfId="327"/>
    <cellStyle name="Calc Percent (0)" xfId="328"/>
    <cellStyle name="Calc Percent (1)" xfId="329"/>
    <cellStyle name="Calc Percent (2)" xfId="330"/>
    <cellStyle name="Calc Units (0)" xfId="331"/>
    <cellStyle name="Calc Units (1)" xfId="332"/>
    <cellStyle name="Calc Units (2)" xfId="333"/>
    <cellStyle name="Calculation 2" xfId="34"/>
    <cellStyle name="Calculation 2 2" xfId="334"/>
    <cellStyle name="Calculation 2 3" xfId="335"/>
    <cellStyle name="Calculation 3" xfId="336"/>
    <cellStyle name="Calculation 4" xfId="337"/>
    <cellStyle name="Calculation 5" xfId="338"/>
    <cellStyle name="Calculation 6" xfId="339"/>
    <cellStyle name="Calculation 7" xfId="2104"/>
    <cellStyle name="Calculation 8" xfId="2105"/>
    <cellStyle name="Case" xfId="340"/>
    <cellStyle name="CashFlow" xfId="341"/>
    <cellStyle name="Check Cell 2" xfId="35"/>
    <cellStyle name="Check Cell 2 2" xfId="342"/>
    <cellStyle name="Check Cell 2 3" xfId="343"/>
    <cellStyle name="Check Cell 3" xfId="344"/>
    <cellStyle name="Check Cell 4" xfId="345"/>
    <cellStyle name="Check Cell 5" xfId="346"/>
    <cellStyle name="Check Cell 6" xfId="2106"/>
    <cellStyle name="Colhead" xfId="347"/>
    <cellStyle name="Comma" xfId="5" builtinId="3"/>
    <cellStyle name="Comma  - Style1" xfId="2107"/>
    <cellStyle name="Comma  - Style2" xfId="2108"/>
    <cellStyle name="Comma  - Style3" xfId="2109"/>
    <cellStyle name="Comma  - Style4" xfId="2110"/>
    <cellStyle name="Comma  - Style5" xfId="2111"/>
    <cellStyle name="Comma  - Style6" xfId="2112"/>
    <cellStyle name="Comma  - Style7" xfId="2113"/>
    <cellStyle name="Comma  - Style8" xfId="2114"/>
    <cellStyle name="Comma (0)" xfId="348"/>
    <cellStyle name="Comma [0] 3" xfId="2714"/>
    <cellStyle name="Comma [00]" xfId="349"/>
    <cellStyle name="Comma [1]" xfId="350"/>
    <cellStyle name="Comma [2]" xfId="351"/>
    <cellStyle name="Comma 0" xfId="352"/>
    <cellStyle name="Comma 0*" xfId="353"/>
    <cellStyle name="Comma 10" xfId="354"/>
    <cellStyle name="Comma 100" xfId="355"/>
    <cellStyle name="Comma 100 2" xfId="356"/>
    <cellStyle name="Comma 100 3" xfId="357"/>
    <cellStyle name="Comma 101" xfId="358"/>
    <cellStyle name="Comma 101 2" xfId="359"/>
    <cellStyle name="Comma 102" xfId="360"/>
    <cellStyle name="Comma 102 2" xfId="361"/>
    <cellStyle name="Comma 103" xfId="362"/>
    <cellStyle name="Comma 104" xfId="363"/>
    <cellStyle name="Comma 105" xfId="364"/>
    <cellStyle name="Comma 106" xfId="365"/>
    <cellStyle name="Comma 107" xfId="366"/>
    <cellStyle name="Comma 108" xfId="367"/>
    <cellStyle name="Comma 109" xfId="368"/>
    <cellStyle name="Comma 11" xfId="369"/>
    <cellStyle name="Comma 110" xfId="370"/>
    <cellStyle name="Comma 110 2" xfId="371"/>
    <cellStyle name="Comma 110 3" xfId="372"/>
    <cellStyle name="Comma 111" xfId="373"/>
    <cellStyle name="Comma 112" xfId="374"/>
    <cellStyle name="Comma 113" xfId="375"/>
    <cellStyle name="Comma 114" xfId="2046"/>
    <cellStyle name="Comma 114 2" xfId="2115"/>
    <cellStyle name="Comma 115" xfId="2116"/>
    <cellStyle name="Comma 116" xfId="2117"/>
    <cellStyle name="Comma 117" xfId="2687"/>
    <cellStyle name="Comma 118" xfId="2684"/>
    <cellStyle name="Comma 119" xfId="2694"/>
    <cellStyle name="Comma 12" xfId="376"/>
    <cellStyle name="Comma 120" xfId="2691"/>
    <cellStyle name="Comma 121" xfId="2700"/>
    <cellStyle name="Comma 122" xfId="2706"/>
    <cellStyle name="Comma 123" xfId="2709"/>
    <cellStyle name="Comma 124" xfId="2712"/>
    <cellStyle name="Comma 125" xfId="2715"/>
    <cellStyle name="Comma 126" xfId="2716"/>
    <cellStyle name="Comma 13" xfId="377"/>
    <cellStyle name="Comma 14" xfId="378"/>
    <cellStyle name="Comma 15" xfId="379"/>
    <cellStyle name="Comma 16" xfId="380"/>
    <cellStyle name="Comma 17" xfId="381"/>
    <cellStyle name="Comma 17 2" xfId="382"/>
    <cellStyle name="Comma 18" xfId="383"/>
    <cellStyle name="Comma 18 2" xfId="384"/>
    <cellStyle name="Comma 19" xfId="385"/>
    <cellStyle name="Comma 19 2" xfId="386"/>
    <cellStyle name="Comma 2" xfId="3"/>
    <cellStyle name="Comma 2 10" xfId="387"/>
    <cellStyle name="Comma 2 11" xfId="388"/>
    <cellStyle name="Comma 2 11 2" xfId="2118"/>
    <cellStyle name="Comma 2 12" xfId="389"/>
    <cellStyle name="Comma 2 12 2" xfId="390"/>
    <cellStyle name="Comma 2 12 3" xfId="2119"/>
    <cellStyle name="Comma 2 13" xfId="391"/>
    <cellStyle name="Comma 2 13 2" xfId="2120"/>
    <cellStyle name="Comma 2 14" xfId="2121"/>
    <cellStyle name="Comma 2 15" xfId="2122"/>
    <cellStyle name="Comma 2 16" xfId="2123"/>
    <cellStyle name="Comma 2 17" xfId="2124"/>
    <cellStyle name="Comma 2 18" xfId="2125"/>
    <cellStyle name="Comma 2 19" xfId="2126"/>
    <cellStyle name="Comma 2 2" xfId="392"/>
    <cellStyle name="Comma 2 20" xfId="2127"/>
    <cellStyle name="Comma 2 21" xfId="2128"/>
    <cellStyle name="Comma 2 22" xfId="2129"/>
    <cellStyle name="Comma 2 23" xfId="2130"/>
    <cellStyle name="Comma 2 24" xfId="2131"/>
    <cellStyle name="Comma 2 25" xfId="2132"/>
    <cellStyle name="Comma 2 26" xfId="2133"/>
    <cellStyle name="Comma 2 27" xfId="2134"/>
    <cellStyle name="Comma 2 28" xfId="2135"/>
    <cellStyle name="Comma 2 29" xfId="2136"/>
    <cellStyle name="Comma 2 3" xfId="393"/>
    <cellStyle name="Comma 2 3 2" xfId="2717"/>
    <cellStyle name="Comma 2 30" xfId="2137"/>
    <cellStyle name="Comma 2 31" xfId="2138"/>
    <cellStyle name="Comma 2 32" xfId="2139"/>
    <cellStyle name="Comma 2 33" xfId="2140"/>
    <cellStyle name="Comma 2 34" xfId="394"/>
    <cellStyle name="Comma 2 35" xfId="2141"/>
    <cellStyle name="Comma 2 36" xfId="2142"/>
    <cellStyle name="Comma 2 37" xfId="2143"/>
    <cellStyle name="Comma 2 38" xfId="2144"/>
    <cellStyle name="Comma 2 39" xfId="2145"/>
    <cellStyle name="Comma 2 4" xfId="395"/>
    <cellStyle name="Comma 2 40" xfId="2146"/>
    <cellStyle name="Comma 2 41" xfId="2147"/>
    <cellStyle name="Comma 2 42" xfId="2148"/>
    <cellStyle name="Comma 2 43" xfId="2149"/>
    <cellStyle name="Comma 2 44" xfId="2150"/>
    <cellStyle name="Comma 2 45" xfId="2151"/>
    <cellStyle name="Comma 2 46" xfId="2152"/>
    <cellStyle name="Comma 2 47" xfId="2153"/>
    <cellStyle name="Comma 2 48" xfId="2154"/>
    <cellStyle name="Comma 2 49" xfId="2155"/>
    <cellStyle name="Comma 2 5" xfId="396"/>
    <cellStyle name="Comma 2 50" xfId="2156"/>
    <cellStyle name="Comma 2 51" xfId="2157"/>
    <cellStyle name="Comma 2 52" xfId="2158"/>
    <cellStyle name="Comma 2 53" xfId="2159"/>
    <cellStyle name="Comma 2 54" xfId="2160"/>
    <cellStyle name="Comma 2 55" xfId="2161"/>
    <cellStyle name="Comma 2 56" xfId="2162"/>
    <cellStyle name="Comma 2 57" xfId="2163"/>
    <cellStyle name="Comma 2 58" xfId="2164"/>
    <cellStyle name="Comma 2 59" xfId="2165"/>
    <cellStyle name="Comma 2 6" xfId="397"/>
    <cellStyle name="Comma 2 60" xfId="2166"/>
    <cellStyle name="Comma 2 61" xfId="2167"/>
    <cellStyle name="Comma 2 62" xfId="2168"/>
    <cellStyle name="Comma 2 63" xfId="2169"/>
    <cellStyle name="Comma 2 64" xfId="2170"/>
    <cellStyle name="Comma 2 65" xfId="2171"/>
    <cellStyle name="Comma 2 66" xfId="2172"/>
    <cellStyle name="Comma 2 67" xfId="2173"/>
    <cellStyle name="Comma 2 68" xfId="2174"/>
    <cellStyle name="Comma 2 69" xfId="2681"/>
    <cellStyle name="Comma 2 7" xfId="398"/>
    <cellStyle name="Comma 2 70" xfId="2698"/>
    <cellStyle name="Comma 2 8" xfId="399"/>
    <cellStyle name="Comma 2 9" xfId="400"/>
    <cellStyle name="Comma 20" xfId="401"/>
    <cellStyle name="Comma 21" xfId="402"/>
    <cellStyle name="Comma 22" xfId="403"/>
    <cellStyle name="Comma 23" xfId="404"/>
    <cellStyle name="Comma 24" xfId="405"/>
    <cellStyle name="Comma 25" xfId="406"/>
    <cellStyle name="Comma 26" xfId="407"/>
    <cellStyle name="Comma 27" xfId="408"/>
    <cellStyle name="Comma 28" xfId="409"/>
    <cellStyle name="Comma 29" xfId="410"/>
    <cellStyle name="Comma 3" xfId="8"/>
    <cellStyle name="Comma 3 10" xfId="411"/>
    <cellStyle name="Comma 3 11" xfId="412"/>
    <cellStyle name="Comma 3 12" xfId="2689"/>
    <cellStyle name="Comma 3 2" xfId="413"/>
    <cellStyle name="Comma 3 3" xfId="414"/>
    <cellStyle name="Comma 3 4" xfId="415"/>
    <cellStyle name="Comma 3 5" xfId="416"/>
    <cellStyle name="Comma 3 6" xfId="417"/>
    <cellStyle name="Comma 3 7" xfId="418"/>
    <cellStyle name="Comma 3 8" xfId="419"/>
    <cellStyle name="Comma 3 9" xfId="420"/>
    <cellStyle name="Comma 30" xfId="421"/>
    <cellStyle name="Comma 31" xfId="422"/>
    <cellStyle name="Comma 32" xfId="423"/>
    <cellStyle name="Comma 33" xfId="424"/>
    <cellStyle name="Comma 34" xfId="425"/>
    <cellStyle name="Comma 35" xfId="426"/>
    <cellStyle name="Comma 36" xfId="427"/>
    <cellStyle name="Comma 37" xfId="428"/>
    <cellStyle name="Comma 38" xfId="429"/>
    <cellStyle name="Comma 39" xfId="430"/>
    <cellStyle name="Comma 4" xfId="53"/>
    <cellStyle name="Comma 4 10" xfId="431"/>
    <cellStyle name="Comma 4 11" xfId="432"/>
    <cellStyle name="Comma 4 2" xfId="433"/>
    <cellStyle name="Comma 4 3" xfId="434"/>
    <cellStyle name="Comma 4 4" xfId="435"/>
    <cellStyle name="Comma 4 5" xfId="436"/>
    <cellStyle name="Comma 4 6" xfId="437"/>
    <cellStyle name="Comma 4 7" xfId="438"/>
    <cellStyle name="Comma 4 8" xfId="439"/>
    <cellStyle name="Comma 4 9" xfId="440"/>
    <cellStyle name="Comma 40" xfId="441"/>
    <cellStyle name="Comma 41" xfId="442"/>
    <cellStyle name="Comma 42" xfId="443"/>
    <cellStyle name="Comma 42 2" xfId="444"/>
    <cellStyle name="Comma 42 3" xfId="445"/>
    <cellStyle name="Comma 43" xfId="446"/>
    <cellStyle name="Comma 43 2" xfId="447"/>
    <cellStyle name="Comma 43 3" xfId="448"/>
    <cellStyle name="Comma 44" xfId="449"/>
    <cellStyle name="Comma 44 2" xfId="450"/>
    <cellStyle name="Comma 44 3" xfId="451"/>
    <cellStyle name="Comma 45" xfId="452"/>
    <cellStyle name="Comma 45 2" xfId="453"/>
    <cellStyle name="Comma 45 3" xfId="454"/>
    <cellStyle name="Comma 46" xfId="455"/>
    <cellStyle name="Comma 46 2" xfId="456"/>
    <cellStyle name="Comma 46 3" xfId="457"/>
    <cellStyle name="Comma 47" xfId="458"/>
    <cellStyle name="Comma 48" xfId="459"/>
    <cellStyle name="Comma 49" xfId="460"/>
    <cellStyle name="Comma 5" xfId="461"/>
    <cellStyle name="Comma 5 2" xfId="462"/>
    <cellStyle name="Comma 5 2 2" xfId="463"/>
    <cellStyle name="Comma 50" xfId="464"/>
    <cellStyle name="Comma 51" xfId="465"/>
    <cellStyle name="Comma 52" xfId="466"/>
    <cellStyle name="Comma 52 2" xfId="467"/>
    <cellStyle name="Comma 52 3" xfId="468"/>
    <cellStyle name="Comma 53" xfId="469"/>
    <cellStyle name="Comma 53 2" xfId="470"/>
    <cellStyle name="Comma 53 3" xfId="471"/>
    <cellStyle name="Comma 54" xfId="472"/>
    <cellStyle name="Comma 54 2" xfId="473"/>
    <cellStyle name="Comma 54 3" xfId="474"/>
    <cellStyle name="Comma 55" xfId="475"/>
    <cellStyle name="Comma 55 2" xfId="476"/>
    <cellStyle name="Comma 55 3" xfId="477"/>
    <cellStyle name="Comma 56" xfId="478"/>
    <cellStyle name="Comma 56 2" xfId="479"/>
    <cellStyle name="Comma 56 3" xfId="480"/>
    <cellStyle name="Comma 57" xfId="481"/>
    <cellStyle name="Comma 57 2" xfId="482"/>
    <cellStyle name="Comma 57 3" xfId="483"/>
    <cellStyle name="Comma 58" xfId="484"/>
    <cellStyle name="Comma 59" xfId="485"/>
    <cellStyle name="Comma 6" xfId="486"/>
    <cellStyle name="Comma 6 2" xfId="487"/>
    <cellStyle name="Comma 60" xfId="488"/>
    <cellStyle name="Comma 61" xfId="489"/>
    <cellStyle name="Comma 62" xfId="490"/>
    <cellStyle name="Comma 63" xfId="491"/>
    <cellStyle name="Comma 64" xfId="492"/>
    <cellStyle name="Comma 65" xfId="493"/>
    <cellStyle name="Comma 66" xfId="494"/>
    <cellStyle name="Comma 66 2" xfId="495"/>
    <cellStyle name="Comma 66 3" xfId="496"/>
    <cellStyle name="Comma 67" xfId="497"/>
    <cellStyle name="Comma 67 2" xfId="498"/>
    <cellStyle name="Comma 67 3" xfId="499"/>
    <cellStyle name="Comma 68" xfId="500"/>
    <cellStyle name="Comma 68 2" xfId="501"/>
    <cellStyle name="Comma 68 3" xfId="502"/>
    <cellStyle name="Comma 69" xfId="503"/>
    <cellStyle name="Comma 69 2" xfId="504"/>
    <cellStyle name="Comma 69 3" xfId="505"/>
    <cellStyle name="Comma 7" xfId="506"/>
    <cellStyle name="Comma 70" xfId="507"/>
    <cellStyle name="Comma 70 2" xfId="508"/>
    <cellStyle name="Comma 70 3" xfId="509"/>
    <cellStyle name="Comma 71" xfId="510"/>
    <cellStyle name="Comma 71 2" xfId="511"/>
    <cellStyle name="Comma 71 3" xfId="512"/>
    <cellStyle name="Comma 72" xfId="513"/>
    <cellStyle name="Comma 72 2" xfId="514"/>
    <cellStyle name="Comma 72 3" xfId="515"/>
    <cellStyle name="Comma 73" xfId="516"/>
    <cellStyle name="Comma 73 2" xfId="517"/>
    <cellStyle name="Comma 73 3" xfId="518"/>
    <cellStyle name="Comma 74" xfId="519"/>
    <cellStyle name="Comma 74 2" xfId="520"/>
    <cellStyle name="Comma 74 3" xfId="521"/>
    <cellStyle name="Comma 75" xfId="522"/>
    <cellStyle name="Comma 75 2" xfId="523"/>
    <cellStyle name="Comma 75 3" xfId="524"/>
    <cellStyle name="Comma 76" xfId="525"/>
    <cellStyle name="Comma 76 2" xfId="526"/>
    <cellStyle name="Comma 76 3" xfId="527"/>
    <cellStyle name="Comma 77" xfId="528"/>
    <cellStyle name="Comma 77 2" xfId="529"/>
    <cellStyle name="Comma 77 3" xfId="530"/>
    <cellStyle name="Comma 78" xfId="531"/>
    <cellStyle name="Comma 78 2" xfId="532"/>
    <cellStyle name="Comma 78 3" xfId="533"/>
    <cellStyle name="Comma 79" xfId="534"/>
    <cellStyle name="Comma 79 2" xfId="535"/>
    <cellStyle name="Comma 79 3" xfId="536"/>
    <cellStyle name="Comma 8" xfId="537"/>
    <cellStyle name="Comma 8 2" xfId="538"/>
    <cellStyle name="Comma 8 3" xfId="2175"/>
    <cellStyle name="Comma 80" xfId="539"/>
    <cellStyle name="Comma 80 2" xfId="540"/>
    <cellStyle name="Comma 80 3" xfId="541"/>
    <cellStyle name="Comma 81" xfId="542"/>
    <cellStyle name="Comma 81 2" xfId="543"/>
    <cellStyle name="Comma 81 3" xfId="544"/>
    <cellStyle name="Comma 82" xfId="545"/>
    <cellStyle name="Comma 82 2" xfId="546"/>
    <cellStyle name="Comma 82 3" xfId="547"/>
    <cellStyle name="Comma 83" xfId="548"/>
    <cellStyle name="Comma 83 2" xfId="549"/>
    <cellStyle name="Comma 83 3" xfId="550"/>
    <cellStyle name="Comma 84" xfId="551"/>
    <cellStyle name="Comma 84 2" xfId="552"/>
    <cellStyle name="Comma 84 3" xfId="553"/>
    <cellStyle name="Comma 85" xfId="554"/>
    <cellStyle name="Comma 85 2" xfId="555"/>
    <cellStyle name="Comma 85 3" xfId="556"/>
    <cellStyle name="Comma 86" xfId="557"/>
    <cellStyle name="Comma 86 2" xfId="558"/>
    <cellStyle name="Comma 86 3" xfId="559"/>
    <cellStyle name="Comma 87" xfId="560"/>
    <cellStyle name="Comma 87 2" xfId="561"/>
    <cellStyle name="Comma 87 3" xfId="562"/>
    <cellStyle name="Comma 88" xfId="563"/>
    <cellStyle name="Comma 88 2" xfId="564"/>
    <cellStyle name="Comma 88 3" xfId="565"/>
    <cellStyle name="Comma 89" xfId="566"/>
    <cellStyle name="Comma 89 2" xfId="567"/>
    <cellStyle name="Comma 89 3" xfId="568"/>
    <cellStyle name="Comma 9" xfId="569"/>
    <cellStyle name="Comma 90" xfId="570"/>
    <cellStyle name="Comma 90 2" xfId="571"/>
    <cellStyle name="Comma 90 3" xfId="572"/>
    <cellStyle name="Comma 91" xfId="573"/>
    <cellStyle name="Comma 91 2" xfId="574"/>
    <cellStyle name="Comma 91 3" xfId="575"/>
    <cellStyle name="Comma 92" xfId="576"/>
    <cellStyle name="Comma 92 2" xfId="577"/>
    <cellStyle name="Comma 92 3" xfId="578"/>
    <cellStyle name="Comma 93" xfId="579"/>
    <cellStyle name="Comma 93 2" xfId="580"/>
    <cellStyle name="Comma 93 3" xfId="581"/>
    <cellStyle name="Comma 94" xfId="582"/>
    <cellStyle name="Comma 94 2" xfId="583"/>
    <cellStyle name="Comma 94 3" xfId="584"/>
    <cellStyle name="Comma 95" xfId="585"/>
    <cellStyle name="Comma 95 2" xfId="586"/>
    <cellStyle name="Comma 95 3" xfId="587"/>
    <cellStyle name="Comma 96" xfId="588"/>
    <cellStyle name="Comma 96 2" xfId="589"/>
    <cellStyle name="Comma 96 3" xfId="590"/>
    <cellStyle name="Comma 97" xfId="591"/>
    <cellStyle name="Comma 97 2" xfId="592"/>
    <cellStyle name="Comma 97 3" xfId="593"/>
    <cellStyle name="Comma 98" xfId="594"/>
    <cellStyle name="Comma 98 2" xfId="595"/>
    <cellStyle name="Comma 98 3" xfId="596"/>
    <cellStyle name="Comma 99" xfId="597"/>
    <cellStyle name="Comma 99 2" xfId="598"/>
    <cellStyle name="Comma 99 3" xfId="599"/>
    <cellStyle name="Comma[1]" xfId="600"/>
    <cellStyle name="Comma[2]" xfId="601"/>
    <cellStyle name="Comma0" xfId="602"/>
    <cellStyle name="Comma0 10" xfId="603"/>
    <cellStyle name="Comma0 11" xfId="604"/>
    <cellStyle name="Comma0 12" xfId="605"/>
    <cellStyle name="Comma0 2" xfId="606"/>
    <cellStyle name="Comma0 3" xfId="607"/>
    <cellStyle name="Comma0 4" xfId="608"/>
    <cellStyle name="Comma0 5" xfId="609"/>
    <cellStyle name="Comma0 6" xfId="610"/>
    <cellStyle name="Comma0 7" xfId="611"/>
    <cellStyle name="Comma0 8" xfId="612"/>
    <cellStyle name="Comma0 9" xfId="613"/>
    <cellStyle name="Copied" xfId="614"/>
    <cellStyle name="Copied 2" xfId="2176"/>
    <cellStyle name="Currency ($)" xfId="615"/>
    <cellStyle name="Currency ($) 2" xfId="616"/>
    <cellStyle name="Currency (3)" xfId="617"/>
    <cellStyle name="Currency [$0]" xfId="2177"/>
    <cellStyle name="Currency [£0]" xfId="2178"/>
    <cellStyle name="Currency [00]" xfId="618"/>
    <cellStyle name="Currency [1]" xfId="619"/>
    <cellStyle name="Currency [2]" xfId="620"/>
    <cellStyle name="Currency 0" xfId="621"/>
    <cellStyle name="Currency 10" xfId="622"/>
    <cellStyle name="Currency 11" xfId="623"/>
    <cellStyle name="Currency 11 2" xfId="624"/>
    <cellStyle name="Currency 11 3" xfId="625"/>
    <cellStyle name="Currency 12" xfId="626"/>
    <cellStyle name="Currency 12 2" xfId="627"/>
    <cellStyle name="Currency 12 3" xfId="628"/>
    <cellStyle name="Currency 13" xfId="629"/>
    <cellStyle name="Currency 13 2" xfId="630"/>
    <cellStyle name="Currency 13 3" xfId="631"/>
    <cellStyle name="Currency 14" xfId="632"/>
    <cellStyle name="Currency 15" xfId="633"/>
    <cellStyle name="Currency 16" xfId="634"/>
    <cellStyle name="Currency 17" xfId="635"/>
    <cellStyle name="Currency 18" xfId="636"/>
    <cellStyle name="Currency 19" xfId="637"/>
    <cellStyle name="Currency 2" xfId="638"/>
    <cellStyle name="Currency 2 10" xfId="2179"/>
    <cellStyle name="Currency 2 11" xfId="2180"/>
    <cellStyle name="Currency 2 12" xfId="2181"/>
    <cellStyle name="Currency 2 13" xfId="2182"/>
    <cellStyle name="Currency 2 14" xfId="2183"/>
    <cellStyle name="Currency 2 15" xfId="2184"/>
    <cellStyle name="Currency 2 16" xfId="2185"/>
    <cellStyle name="Currency 2 17" xfId="2186"/>
    <cellStyle name="Currency 2 18" xfId="2187"/>
    <cellStyle name="Currency 2 2" xfId="639"/>
    <cellStyle name="Currency 2 2 2" xfId="2188"/>
    <cellStyle name="Currency 2 3" xfId="640"/>
    <cellStyle name="Currency 2 4" xfId="2189"/>
    <cellStyle name="Currency 2 5" xfId="2190"/>
    <cellStyle name="Currency 2 6" xfId="2191"/>
    <cellStyle name="Currency 2 7" xfId="2192"/>
    <cellStyle name="Currency 2 8" xfId="2193"/>
    <cellStyle name="Currency 2 9" xfId="2194"/>
    <cellStyle name="Currency 20" xfId="641"/>
    <cellStyle name="Currency 21" xfId="642"/>
    <cellStyle name="Currency 22" xfId="643"/>
    <cellStyle name="Currency 23" xfId="644"/>
    <cellStyle name="Currency 24" xfId="645"/>
    <cellStyle name="Currency 25" xfId="646"/>
    <cellStyle name="Currency 26" xfId="647"/>
    <cellStyle name="Currency 27" xfId="648"/>
    <cellStyle name="Currency 28" xfId="649"/>
    <cellStyle name="Currency 29" xfId="650"/>
    <cellStyle name="Currency 3" xfId="651"/>
    <cellStyle name="Currency 3 2" xfId="652"/>
    <cellStyle name="Currency 3 3" xfId="653"/>
    <cellStyle name="Currency 3 3 2" xfId="654"/>
    <cellStyle name="Currency 3 4" xfId="655"/>
    <cellStyle name="Currency 30" xfId="656"/>
    <cellStyle name="Currency 31" xfId="657"/>
    <cellStyle name="Currency 32" xfId="658"/>
    <cellStyle name="Currency 33" xfId="659"/>
    <cellStyle name="Currency 34" xfId="660"/>
    <cellStyle name="Currency 35" xfId="661"/>
    <cellStyle name="Currency 36" xfId="662"/>
    <cellStyle name="Currency 37" xfId="663"/>
    <cellStyle name="Currency 38" xfId="664"/>
    <cellStyle name="Currency 38 2" xfId="665"/>
    <cellStyle name="Currency 38 3" xfId="666"/>
    <cellStyle name="Currency 39" xfId="667"/>
    <cellStyle name="Currency 39 2" xfId="668"/>
    <cellStyle name="Currency 39 3" xfId="669"/>
    <cellStyle name="Currency 4" xfId="670"/>
    <cellStyle name="Currency 4 2" xfId="671"/>
    <cellStyle name="Currency 40" xfId="672"/>
    <cellStyle name="Currency 40 2" xfId="673"/>
    <cellStyle name="Currency 40 3" xfId="674"/>
    <cellStyle name="Currency 41" xfId="675"/>
    <cellStyle name="Currency 42" xfId="676"/>
    <cellStyle name="Currency 43" xfId="677"/>
    <cellStyle name="Currency 44" xfId="678"/>
    <cellStyle name="Currency 45" xfId="679"/>
    <cellStyle name="Currency 45 2" xfId="680"/>
    <cellStyle name="Currency 45 3" xfId="681"/>
    <cellStyle name="Currency 46" xfId="682"/>
    <cellStyle name="Currency 47" xfId="683"/>
    <cellStyle name="Currency 48" xfId="684"/>
    <cellStyle name="Currency 49" xfId="2195"/>
    <cellStyle name="Currency 5" xfId="685"/>
    <cellStyle name="Currency 50" xfId="2196"/>
    <cellStyle name="Currency 6" xfId="686"/>
    <cellStyle name="Currency 7" xfId="687"/>
    <cellStyle name="Currency 79" xfId="688"/>
    <cellStyle name="Currency 8" xfId="689"/>
    <cellStyle name="Currency 80" xfId="690"/>
    <cellStyle name="Currency 81" xfId="691"/>
    <cellStyle name="Currency 82" xfId="692"/>
    <cellStyle name="Currency 83" xfId="693"/>
    <cellStyle name="Currency 84" xfId="694"/>
    <cellStyle name="Currency 85" xfId="695"/>
    <cellStyle name="Currency 86" xfId="696"/>
    <cellStyle name="Currency 87" xfId="697"/>
    <cellStyle name="Currency 88" xfId="698"/>
    <cellStyle name="Currency 89" xfId="699"/>
    <cellStyle name="Currency 9" xfId="700"/>
    <cellStyle name="Currency 90" xfId="701"/>
    <cellStyle name="Currency 91" xfId="702"/>
    <cellStyle name="Currency 92" xfId="703"/>
    <cellStyle name="Currency 93" xfId="704"/>
    <cellStyle name="Currency 94" xfId="705"/>
    <cellStyle name="Currency[1]" xfId="706"/>
    <cellStyle name="Currency[2]" xfId="707"/>
    <cellStyle name="Currency0" xfId="708"/>
    <cellStyle name="Currency0 10" xfId="709"/>
    <cellStyle name="Currency0 11" xfId="710"/>
    <cellStyle name="Currency0 12" xfId="711"/>
    <cellStyle name="Currency0 13" xfId="712"/>
    <cellStyle name="Currency0 14" xfId="2197"/>
    <cellStyle name="Currency0 2" xfId="713"/>
    <cellStyle name="Currency0 3" xfId="714"/>
    <cellStyle name="Currency0 4" xfId="715"/>
    <cellStyle name="Currency0 5" xfId="716"/>
    <cellStyle name="Currency0 6" xfId="717"/>
    <cellStyle name="Currency0 7" xfId="718"/>
    <cellStyle name="Currency0 8" xfId="719"/>
    <cellStyle name="Currency0 9" xfId="720"/>
    <cellStyle name="Currency0_Inputs" xfId="2198"/>
    <cellStyle name="Currency1" xfId="721"/>
    <cellStyle name="Currency2" xfId="722"/>
    <cellStyle name="Date" xfId="723"/>
    <cellStyle name="Date 10" xfId="724"/>
    <cellStyle name="Date 11" xfId="725"/>
    <cellStyle name="Date 12" xfId="726"/>
    <cellStyle name="Date 13" xfId="727"/>
    <cellStyle name="Date 14" xfId="2199"/>
    <cellStyle name="Date 2" xfId="728"/>
    <cellStyle name="Date 3" xfId="729"/>
    <cellStyle name="Date 4" xfId="730"/>
    <cellStyle name="Date 5" xfId="731"/>
    <cellStyle name="Date 6" xfId="732"/>
    <cellStyle name="Date 7" xfId="733"/>
    <cellStyle name="Date 8" xfId="734"/>
    <cellStyle name="Date 9" xfId="735"/>
    <cellStyle name="Date Aligned" xfId="736"/>
    <cellStyle name="Date Short" xfId="737"/>
    <cellStyle name="Date_Inputs" xfId="2200"/>
    <cellStyle name="Date1" xfId="738"/>
    <cellStyle name="Dates" xfId="739"/>
    <cellStyle name="DateYear" xfId="740"/>
    <cellStyle name="Decimal  .0" xfId="2050"/>
    <cellStyle name="DELTA" xfId="741"/>
    <cellStyle name="Dollar" xfId="742"/>
    <cellStyle name="Dollar1" xfId="743"/>
    <cellStyle name="Dollar1Blue" xfId="744"/>
    <cellStyle name="Dollar2" xfId="745"/>
    <cellStyle name="Dollars" xfId="746"/>
    <cellStyle name="Dollars &amp; Cents" xfId="2201"/>
    <cellStyle name="DollarWhole" xfId="747"/>
    <cellStyle name="Dotted Line" xfId="748"/>
    <cellStyle name="Double Accounting" xfId="749"/>
    <cellStyle name="Enter Currency (0)" xfId="750"/>
    <cellStyle name="Enter Currency (2)" xfId="751"/>
    <cellStyle name="Enter Units (0)" xfId="752"/>
    <cellStyle name="Enter Units (1)" xfId="753"/>
    <cellStyle name="Enter Units (2)" xfId="754"/>
    <cellStyle name="Entered" xfId="755"/>
    <cellStyle name="Entered 2" xfId="2202"/>
    <cellStyle name="Euro" xfId="756"/>
    <cellStyle name="Euro 2" xfId="757"/>
    <cellStyle name="Explanatory Text 2" xfId="36"/>
    <cellStyle name="Explanatory Text 2 2" xfId="758"/>
    <cellStyle name="Explanatory Text 2 3" xfId="759"/>
    <cellStyle name="Explanatory Text 3" xfId="760"/>
    <cellStyle name="Explanatory Text 4" xfId="761"/>
    <cellStyle name="Explanatory Text 5" xfId="762"/>
    <cellStyle name="Explanatory Text 6" xfId="2203"/>
    <cellStyle name="Fixed" xfId="763"/>
    <cellStyle name="Fixed 10" xfId="764"/>
    <cellStyle name="Fixed 11" xfId="765"/>
    <cellStyle name="Fixed 12" xfId="766"/>
    <cellStyle name="Fixed 13" xfId="767"/>
    <cellStyle name="Fixed 14" xfId="2204"/>
    <cellStyle name="Fixed 2" xfId="768"/>
    <cellStyle name="Fixed 3" xfId="769"/>
    <cellStyle name="Fixed 4" xfId="770"/>
    <cellStyle name="Fixed 5" xfId="771"/>
    <cellStyle name="Fixed 6" xfId="772"/>
    <cellStyle name="Fixed 7" xfId="773"/>
    <cellStyle name="Fixed 8" xfId="774"/>
    <cellStyle name="Fixed 9" xfId="775"/>
    <cellStyle name="Fixed_TEPPC model FINAL" xfId="2205"/>
    <cellStyle name="Footnote" xfId="776"/>
    <cellStyle name="Footnote 2" xfId="777"/>
    <cellStyle name="fred" xfId="2206"/>
    <cellStyle name="Fred%" xfId="2207"/>
    <cellStyle name="Full Date" xfId="778"/>
    <cellStyle name="GENERAL" xfId="779"/>
    <cellStyle name="Good 2" xfId="37"/>
    <cellStyle name="Good 2 2" xfId="780"/>
    <cellStyle name="Good 2 3" xfId="781"/>
    <cellStyle name="Good 3" xfId="782"/>
    <cellStyle name="Good 4" xfId="783"/>
    <cellStyle name="Good 5" xfId="784"/>
    <cellStyle name="Good 6" xfId="785"/>
    <cellStyle name="Good 7" xfId="2208"/>
    <cellStyle name="Gray Border" xfId="786"/>
    <cellStyle name="Green" xfId="787"/>
    <cellStyle name="Green 2" xfId="788"/>
    <cellStyle name="Green 2 2" xfId="789"/>
    <cellStyle name="Green 2 2 2" xfId="790"/>
    <cellStyle name="Green 2 3" xfId="791"/>
    <cellStyle name="Green 3" xfId="792"/>
    <cellStyle name="Green 3 2" xfId="793"/>
    <cellStyle name="Green 4" xfId="794"/>
    <cellStyle name="Grey" xfId="795"/>
    <cellStyle name="Grey 2" xfId="796"/>
    <cellStyle name="GrowthRate" xfId="797"/>
    <cellStyle name="hard no." xfId="798"/>
    <cellStyle name="Hard Percent" xfId="799"/>
    <cellStyle name="Header" xfId="800"/>
    <cellStyle name="HEADER 2" xfId="2209"/>
    <cellStyle name="Header1" xfId="801"/>
    <cellStyle name="Header2" xfId="802"/>
    <cellStyle name="Heading" xfId="803"/>
    <cellStyle name="Heading 1 10" xfId="804"/>
    <cellStyle name="Heading 1 11" xfId="805"/>
    <cellStyle name="Heading 1 12" xfId="806"/>
    <cellStyle name="Heading 1 13" xfId="807"/>
    <cellStyle name="Heading 1 14" xfId="808"/>
    <cellStyle name="Heading 1 15" xfId="809"/>
    <cellStyle name="Heading 1 15 2" xfId="810"/>
    <cellStyle name="Heading 1 15 2 2" xfId="811"/>
    <cellStyle name="Heading 1 15 2 2 2" xfId="812"/>
    <cellStyle name="Heading 1 16" xfId="813"/>
    <cellStyle name="Heading 1 16 2" xfId="814"/>
    <cellStyle name="Heading 1 16 2 2" xfId="815"/>
    <cellStyle name="Heading 1 16 2 2 2" xfId="816"/>
    <cellStyle name="Heading 1 17" xfId="817"/>
    <cellStyle name="Heading 1 17 2" xfId="818"/>
    <cellStyle name="Heading 1 17 2 2" xfId="819"/>
    <cellStyle name="Heading 1 17 2 2 2" xfId="820"/>
    <cellStyle name="Heading 1 18" xfId="821"/>
    <cellStyle name="Heading 1 19" xfId="2210"/>
    <cellStyle name="Heading 1 2" xfId="38"/>
    <cellStyle name="Heading 1 2 10" xfId="2211"/>
    <cellStyle name="Heading 1 2 11" xfId="2212"/>
    <cellStyle name="Heading 1 2 12" xfId="2213"/>
    <cellStyle name="Heading 1 2 13" xfId="2214"/>
    <cellStyle name="Heading 1 2 14" xfId="2215"/>
    <cellStyle name="Heading 1 2 15" xfId="2216"/>
    <cellStyle name="Heading 1 2 16" xfId="2217"/>
    <cellStyle name="Heading 1 2 17" xfId="2218"/>
    <cellStyle name="Heading 1 2 18" xfId="2219"/>
    <cellStyle name="Heading 1 2 19" xfId="2220"/>
    <cellStyle name="Heading 1 2 2" xfId="822"/>
    <cellStyle name="Heading 1 2 2 2" xfId="823"/>
    <cellStyle name="Heading 1 2 2 2 2" xfId="824"/>
    <cellStyle name="Heading 1 2 2 2 2 2" xfId="825"/>
    <cellStyle name="Heading 1 2 2 2 2 3" xfId="826"/>
    <cellStyle name="Heading 1 2 2 2 2 4" xfId="827"/>
    <cellStyle name="Heading 1 2 2 2 2 4 2" xfId="828"/>
    <cellStyle name="Heading 1 2 2 2 2 4 2 2" xfId="829"/>
    <cellStyle name="Heading 1 2 2 2 3" xfId="830"/>
    <cellStyle name="Heading 1 2 2 2 4" xfId="831"/>
    <cellStyle name="Heading 1 2 2 2 4 2" xfId="832"/>
    <cellStyle name="Heading 1 2 2 2 4 2 2" xfId="833"/>
    <cellStyle name="Heading 1 2 2 2 4 2 2 2" xfId="834"/>
    <cellStyle name="Heading 1 2 2 3" xfId="835"/>
    <cellStyle name="Heading 1 2 2 3 2" xfId="836"/>
    <cellStyle name="Heading 1 2 2 3 2 2" xfId="837"/>
    <cellStyle name="Heading 1 2 2 3 2 2 2" xfId="838"/>
    <cellStyle name="Heading 1 2 2 3 2 2 2 2" xfId="839"/>
    <cellStyle name="Heading 1 2 2 3 3" xfId="840"/>
    <cellStyle name="Heading 1 2 2 3 3 2" xfId="841"/>
    <cellStyle name="Heading 1 2 2 3 3 2 2" xfId="842"/>
    <cellStyle name="Heading 1 2 2 3 3 2 2 2" xfId="843"/>
    <cellStyle name="Heading 1 2 2 4" xfId="844"/>
    <cellStyle name="Heading 1 2 2 5" xfId="845"/>
    <cellStyle name="Heading 1 2 2 5 2" xfId="846"/>
    <cellStyle name="Heading 1 2 2 5 2 2" xfId="847"/>
    <cellStyle name="Heading 1 2 2 5 2 2 2" xfId="848"/>
    <cellStyle name="Heading 1 2 20" xfId="2221"/>
    <cellStyle name="Heading 1 2 21" xfId="2222"/>
    <cellStyle name="Heading 1 2 22" xfId="2223"/>
    <cellStyle name="Heading 1 2 23" xfId="2224"/>
    <cellStyle name="Heading 1 2 24" xfId="2225"/>
    <cellStyle name="Heading 1 2 25" xfId="2226"/>
    <cellStyle name="Heading 1 2 26" xfId="2227"/>
    <cellStyle name="Heading 1 2 27" xfId="2228"/>
    <cellStyle name="Heading 1 2 28" xfId="2229"/>
    <cellStyle name="Heading 1 2 29" xfId="2230"/>
    <cellStyle name="Heading 1 2 3" xfId="849"/>
    <cellStyle name="Heading 1 2 30" xfId="2231"/>
    <cellStyle name="Heading 1 2 31" xfId="2232"/>
    <cellStyle name="Heading 1 2 32" xfId="2233"/>
    <cellStyle name="Heading 1 2 33" xfId="2234"/>
    <cellStyle name="Heading 1 2 34" xfId="2235"/>
    <cellStyle name="Heading 1 2 35" xfId="2236"/>
    <cellStyle name="Heading 1 2 36" xfId="2237"/>
    <cellStyle name="Heading 1 2 37" xfId="2238"/>
    <cellStyle name="Heading 1 2 38" xfId="2239"/>
    <cellStyle name="Heading 1 2 39" xfId="2240"/>
    <cellStyle name="Heading 1 2 4" xfId="850"/>
    <cellStyle name="Heading 1 2 40" xfId="2241"/>
    <cellStyle name="Heading 1 2 41" xfId="2242"/>
    <cellStyle name="Heading 1 2 42" xfId="2243"/>
    <cellStyle name="Heading 1 2 43" xfId="2244"/>
    <cellStyle name="Heading 1 2 44" xfId="2245"/>
    <cellStyle name="Heading 1 2 45" xfId="2246"/>
    <cellStyle name="Heading 1 2 46" xfId="2247"/>
    <cellStyle name="Heading 1 2 47" xfId="2248"/>
    <cellStyle name="Heading 1 2 48" xfId="2249"/>
    <cellStyle name="Heading 1 2 49" xfId="2250"/>
    <cellStyle name="Heading 1 2 5" xfId="851"/>
    <cellStyle name="Heading 1 2 5 2" xfId="852"/>
    <cellStyle name="Heading 1 2 5 3" xfId="853"/>
    <cellStyle name="Heading 1 2 5 4" xfId="854"/>
    <cellStyle name="Heading 1 2 5 4 2" xfId="855"/>
    <cellStyle name="Heading 1 2 5 4 2 2" xfId="856"/>
    <cellStyle name="Heading 1 2 50" xfId="2251"/>
    <cellStyle name="Heading 1 2 51" xfId="2252"/>
    <cellStyle name="Heading 1 2 52" xfId="2253"/>
    <cellStyle name="Heading 1 2 53" xfId="2254"/>
    <cellStyle name="Heading 1 2 54" xfId="2255"/>
    <cellStyle name="Heading 1 2 55" xfId="2256"/>
    <cellStyle name="Heading 1 2 56" xfId="2257"/>
    <cellStyle name="Heading 1 2 57" xfId="2258"/>
    <cellStyle name="Heading 1 2 58" xfId="2259"/>
    <cellStyle name="Heading 1 2 59" xfId="2260"/>
    <cellStyle name="Heading 1 2 6" xfId="857"/>
    <cellStyle name="Heading 1 2 6 2" xfId="858"/>
    <cellStyle name="Heading 1 2 6 2 2" xfId="859"/>
    <cellStyle name="Heading 1 2 6 2 2 2" xfId="860"/>
    <cellStyle name="Heading 1 2 6 3" xfId="2261"/>
    <cellStyle name="Heading 1 2 7" xfId="861"/>
    <cellStyle name="Heading 1 2 7 2" xfId="862"/>
    <cellStyle name="Heading 1 2 7 2 2" xfId="863"/>
    <cellStyle name="Heading 1 2 7 3" xfId="2262"/>
    <cellStyle name="Heading 1 2 8" xfId="2263"/>
    <cellStyle name="Heading 1 2 9" xfId="2264"/>
    <cellStyle name="Heading 1 20" xfId="2265"/>
    <cellStyle name="Heading 1 3" xfId="864"/>
    <cellStyle name="Heading 1 4" xfId="865"/>
    <cellStyle name="Heading 1 5" xfId="866"/>
    <cellStyle name="Heading 1 6" xfId="867"/>
    <cellStyle name="Heading 1 7" xfId="868"/>
    <cellStyle name="Heading 1 8" xfId="869"/>
    <cellStyle name="Heading 1 9" xfId="870"/>
    <cellStyle name="Heading 2 10" xfId="871"/>
    <cellStyle name="Heading 2 11" xfId="872"/>
    <cellStyle name="Heading 2 12" xfId="873"/>
    <cellStyle name="Heading 2 13" xfId="874"/>
    <cellStyle name="Heading 2 14" xfId="875"/>
    <cellStyle name="Heading 2 15" xfId="876"/>
    <cellStyle name="Heading 2 15 2" xfId="877"/>
    <cellStyle name="Heading 2 16" xfId="878"/>
    <cellStyle name="Heading 2 16 2" xfId="879"/>
    <cellStyle name="Heading 2 17" xfId="880"/>
    <cellStyle name="Heading 2 17 2" xfId="881"/>
    <cellStyle name="Heading 2 18" xfId="882"/>
    <cellStyle name="Heading 2 19" xfId="2266"/>
    <cellStyle name="Heading 2 2" xfId="39"/>
    <cellStyle name="Heading 2 2 10" xfId="2267"/>
    <cellStyle name="Heading 2 2 11" xfId="2268"/>
    <cellStyle name="Heading 2 2 12" xfId="2269"/>
    <cellStyle name="Heading 2 2 13" xfId="2270"/>
    <cellStyle name="Heading 2 2 14" xfId="2271"/>
    <cellStyle name="Heading 2 2 15" xfId="2272"/>
    <cellStyle name="Heading 2 2 16" xfId="2273"/>
    <cellStyle name="Heading 2 2 17" xfId="2274"/>
    <cellStyle name="Heading 2 2 18" xfId="2275"/>
    <cellStyle name="Heading 2 2 19" xfId="2276"/>
    <cellStyle name="Heading 2 2 2" xfId="883"/>
    <cellStyle name="Heading 2 2 2 2" xfId="884"/>
    <cellStyle name="Heading 2 2 2 2 2" xfId="885"/>
    <cellStyle name="Heading 2 2 2 2 2 2" xfId="886"/>
    <cellStyle name="Heading 2 2 2 2 2 3" xfId="887"/>
    <cellStyle name="Heading 2 2 2 2 2 4" xfId="888"/>
    <cellStyle name="Heading 2 2 2 2 3" xfId="889"/>
    <cellStyle name="Heading 2 2 2 2 4" xfId="890"/>
    <cellStyle name="Heading 2 2 2 2 4 2" xfId="891"/>
    <cellStyle name="Heading 2 2 2 3" xfId="892"/>
    <cellStyle name="Heading 2 2 2 3 2" xfId="893"/>
    <cellStyle name="Heading 2 2 2 3 2 2" xfId="894"/>
    <cellStyle name="Heading 2 2 2 3 3" xfId="895"/>
    <cellStyle name="Heading 2 2 2 3 3 2" xfId="896"/>
    <cellStyle name="Heading 2 2 2 4" xfId="897"/>
    <cellStyle name="Heading 2 2 2 5" xfId="898"/>
    <cellStyle name="Heading 2 2 2 5 2" xfId="899"/>
    <cellStyle name="Heading 2 2 20" xfId="2277"/>
    <cellStyle name="Heading 2 2 21" xfId="2278"/>
    <cellStyle name="Heading 2 2 22" xfId="2279"/>
    <cellStyle name="Heading 2 2 23" xfId="2280"/>
    <cellStyle name="Heading 2 2 24" xfId="2281"/>
    <cellStyle name="Heading 2 2 25" xfId="2282"/>
    <cellStyle name="Heading 2 2 26" xfId="2283"/>
    <cellStyle name="Heading 2 2 27" xfId="2284"/>
    <cellStyle name="Heading 2 2 28" xfId="2285"/>
    <cellStyle name="Heading 2 2 29" xfId="2286"/>
    <cellStyle name="Heading 2 2 3" xfId="900"/>
    <cellStyle name="Heading 2 2 30" xfId="2287"/>
    <cellStyle name="Heading 2 2 31" xfId="2288"/>
    <cellStyle name="Heading 2 2 32" xfId="2289"/>
    <cellStyle name="Heading 2 2 33" xfId="2290"/>
    <cellStyle name="Heading 2 2 34" xfId="2291"/>
    <cellStyle name="Heading 2 2 35" xfId="2292"/>
    <cellStyle name="Heading 2 2 36" xfId="2293"/>
    <cellStyle name="Heading 2 2 37" xfId="2294"/>
    <cellStyle name="Heading 2 2 38" xfId="2295"/>
    <cellStyle name="Heading 2 2 39" xfId="2296"/>
    <cellStyle name="Heading 2 2 4" xfId="901"/>
    <cellStyle name="Heading 2 2 40" xfId="2297"/>
    <cellStyle name="Heading 2 2 41" xfId="2298"/>
    <cellStyle name="Heading 2 2 42" xfId="2299"/>
    <cellStyle name="Heading 2 2 43" xfId="2300"/>
    <cellStyle name="Heading 2 2 44" xfId="2301"/>
    <cellStyle name="Heading 2 2 45" xfId="2302"/>
    <cellStyle name="Heading 2 2 46" xfId="2303"/>
    <cellStyle name="Heading 2 2 47" xfId="2304"/>
    <cellStyle name="Heading 2 2 48" xfId="2305"/>
    <cellStyle name="Heading 2 2 49" xfId="2306"/>
    <cellStyle name="Heading 2 2 5" xfId="902"/>
    <cellStyle name="Heading 2 2 5 2" xfId="903"/>
    <cellStyle name="Heading 2 2 5 3" xfId="904"/>
    <cellStyle name="Heading 2 2 5 4" xfId="905"/>
    <cellStyle name="Heading 2 2 50" xfId="2307"/>
    <cellStyle name="Heading 2 2 51" xfId="2308"/>
    <cellStyle name="Heading 2 2 52" xfId="2309"/>
    <cellStyle name="Heading 2 2 53" xfId="2310"/>
    <cellStyle name="Heading 2 2 54" xfId="2311"/>
    <cellStyle name="Heading 2 2 55" xfId="2312"/>
    <cellStyle name="Heading 2 2 56" xfId="2313"/>
    <cellStyle name="Heading 2 2 57" xfId="2314"/>
    <cellStyle name="Heading 2 2 58" xfId="2315"/>
    <cellStyle name="Heading 2 2 59" xfId="2316"/>
    <cellStyle name="Heading 2 2 6" xfId="906"/>
    <cellStyle name="Heading 2 2 6 2" xfId="907"/>
    <cellStyle name="Heading 2 2 6 3" xfId="2317"/>
    <cellStyle name="Heading 2 2 7" xfId="908"/>
    <cellStyle name="Heading 2 2 7 2" xfId="2318"/>
    <cellStyle name="Heading 2 2 8" xfId="909"/>
    <cellStyle name="Heading 2 2 8 2" xfId="2319"/>
    <cellStyle name="Heading 2 2 9" xfId="2320"/>
    <cellStyle name="Heading 2 20" xfId="2321"/>
    <cellStyle name="Heading 2 3" xfId="910"/>
    <cellStyle name="Heading 2 4" xfId="911"/>
    <cellStyle name="Heading 2 5" xfId="912"/>
    <cellStyle name="Heading 2 6" xfId="913"/>
    <cellStyle name="Heading 2 7" xfId="914"/>
    <cellStyle name="Heading 2 8" xfId="915"/>
    <cellStyle name="Heading 2 9" xfId="916"/>
    <cellStyle name="Heading 3 2" xfId="40"/>
    <cellStyle name="Heading 3 2 2" xfId="917"/>
    <cellStyle name="Heading 3 2 2 2" xfId="918"/>
    <cellStyle name="Heading 3 2 2 2 2" xfId="919"/>
    <cellStyle name="Heading 3 2 2 2 2 2" xfId="920"/>
    <cellStyle name="Heading 3 2 2 2 3" xfId="921"/>
    <cellStyle name="Heading 3 2 2 3" xfId="922"/>
    <cellStyle name="Heading 3 2 2 3 2" xfId="923"/>
    <cellStyle name="Heading 3 2 2 4" xfId="924"/>
    <cellStyle name="Heading 3 2 3" xfId="925"/>
    <cellStyle name="Heading 3 2 3 2" xfId="926"/>
    <cellStyle name="Heading 3 2 3 2 2" xfId="927"/>
    <cellStyle name="Heading 3 2 3 2 2 2" xfId="928"/>
    <cellStyle name="Heading 3 2 3 2 3" xfId="929"/>
    <cellStyle name="Heading 3 2 3 3" xfId="930"/>
    <cellStyle name="Heading 3 2 3 3 2" xfId="931"/>
    <cellStyle name="Heading 3 2 3 4" xfId="932"/>
    <cellStyle name="Heading 3 2 4" xfId="933"/>
    <cellStyle name="Heading 3 2 4 2" xfId="934"/>
    <cellStyle name="Heading 3 2 4 2 2" xfId="935"/>
    <cellStyle name="Heading 3 2 4 2 2 2" xfId="936"/>
    <cellStyle name="Heading 3 2 4 2 3" xfId="937"/>
    <cellStyle name="Heading 3 2 4 3" xfId="938"/>
    <cellStyle name="Heading 3 2 4 3 2" xfId="939"/>
    <cellStyle name="Heading 3 2 4 4" xfId="940"/>
    <cellStyle name="Heading 3 3" xfId="941"/>
    <cellStyle name="Heading 3 3 2" xfId="942"/>
    <cellStyle name="Heading 3 3 2 2" xfId="943"/>
    <cellStyle name="Heading 3 3 2 2 2" xfId="944"/>
    <cellStyle name="Heading 3 3 2 3" xfId="945"/>
    <cellStyle name="Heading 3 3 3" xfId="946"/>
    <cellStyle name="Heading 3 3 3 2" xfId="947"/>
    <cellStyle name="Heading 3 3 4" xfId="948"/>
    <cellStyle name="Heading 3 4" xfId="949"/>
    <cellStyle name="Heading 3 4 2" xfId="950"/>
    <cellStyle name="Heading 3 4 2 2" xfId="951"/>
    <cellStyle name="Heading 3 4 2 2 2" xfId="952"/>
    <cellStyle name="Heading 3 4 2 3" xfId="953"/>
    <cellStyle name="Heading 3 4 3" xfId="954"/>
    <cellStyle name="Heading 3 4 3 2" xfId="955"/>
    <cellStyle name="Heading 3 4 4" xfId="956"/>
    <cellStyle name="Heading 3 5" xfId="957"/>
    <cellStyle name="Heading 3 5 2" xfId="958"/>
    <cellStyle name="Heading 3 5 2 2" xfId="959"/>
    <cellStyle name="Heading 3 5 2 2 2" xfId="960"/>
    <cellStyle name="Heading 3 5 2 3" xfId="961"/>
    <cellStyle name="Heading 3 5 3" xfId="962"/>
    <cellStyle name="Heading 3 5 3 2" xfId="963"/>
    <cellStyle name="Heading 3 5 4" xfId="964"/>
    <cellStyle name="Heading 3 6" xfId="965"/>
    <cellStyle name="Heading 3 7" xfId="2322"/>
    <cellStyle name="Heading 3 8" xfId="2323"/>
    <cellStyle name="Heading 4 2" xfId="41"/>
    <cellStyle name="Heading 4 2 2" xfId="966"/>
    <cellStyle name="Heading 4 2 3" xfId="967"/>
    <cellStyle name="Heading 4 3" xfId="968"/>
    <cellStyle name="Heading 4 4" xfId="969"/>
    <cellStyle name="Heading 4 5" xfId="970"/>
    <cellStyle name="Heading 4 6" xfId="971"/>
    <cellStyle name="Heading 4 7" xfId="2324"/>
    <cellStyle name="Heading Left" xfId="972"/>
    <cellStyle name="Heading Right" xfId="973"/>
    <cellStyle name="Heading1" xfId="974"/>
    <cellStyle name="Heading2" xfId="975"/>
    <cellStyle name="HeadingS" xfId="976"/>
    <cellStyle name="HeadingS 2" xfId="977"/>
    <cellStyle name="HeadingS 2 2" xfId="978"/>
    <cellStyle name="HeadingS 2 2 2" xfId="979"/>
    <cellStyle name="HeadingS 2 3" xfId="980"/>
    <cellStyle name="HeadingS 3" xfId="981"/>
    <cellStyle name="HeadingS 3 2" xfId="982"/>
    <cellStyle name="HeadingS 4" xfId="983"/>
    <cellStyle name="HIGHLIGHT" xfId="984"/>
    <cellStyle name="Hyperlink 2" xfId="2325"/>
    <cellStyle name="Hyperlink 2 2" xfId="2690"/>
    <cellStyle name="IncomeStatement" xfId="985"/>
    <cellStyle name="Input - QA Response" xfId="986"/>
    <cellStyle name="Input % [1]" xfId="987"/>
    <cellStyle name="Input % [2]" xfId="988"/>
    <cellStyle name="Input [0]" xfId="989"/>
    <cellStyle name="Input [yellow]" xfId="990"/>
    <cellStyle name="Input [yellow] 2" xfId="991"/>
    <cellStyle name="input 10" xfId="992"/>
    <cellStyle name="input 11" xfId="993"/>
    <cellStyle name="input 12" xfId="994"/>
    <cellStyle name="input 13" xfId="995"/>
    <cellStyle name="input 14" xfId="996"/>
    <cellStyle name="input 15" xfId="997"/>
    <cellStyle name="input 16" xfId="998"/>
    <cellStyle name="input 17" xfId="999"/>
    <cellStyle name="input 18" xfId="1000"/>
    <cellStyle name="input 19" xfId="1001"/>
    <cellStyle name="Input 2" xfId="42"/>
    <cellStyle name="Input 2 2" xfId="1002"/>
    <cellStyle name="Input 2 3" xfId="1003"/>
    <cellStyle name="input 20" xfId="1004"/>
    <cellStyle name="input 21" xfId="1005"/>
    <cellStyle name="input 22" xfId="1006"/>
    <cellStyle name="input 23" xfId="1007"/>
    <cellStyle name="input 24" xfId="1008"/>
    <cellStyle name="input 25" xfId="1009"/>
    <cellStyle name="input 26" xfId="1010"/>
    <cellStyle name="input 27" xfId="1011"/>
    <cellStyle name="input 28" xfId="1012"/>
    <cellStyle name="input 29" xfId="1013"/>
    <cellStyle name="Input 3" xfId="1014"/>
    <cellStyle name="input 30" xfId="1015"/>
    <cellStyle name="input 31" xfId="1016"/>
    <cellStyle name="input 32" xfId="1017"/>
    <cellStyle name="Input 33" xfId="1018"/>
    <cellStyle name="Input 34" xfId="1019"/>
    <cellStyle name="Input 35" xfId="1020"/>
    <cellStyle name="Input 36" xfId="1021"/>
    <cellStyle name="Input 37" xfId="1022"/>
    <cellStyle name="Input 38" xfId="1023"/>
    <cellStyle name="Input 39" xfId="1024"/>
    <cellStyle name="Input 4" xfId="1025"/>
    <cellStyle name="Input 40" xfId="1026"/>
    <cellStyle name="Input 41" xfId="2047"/>
    <cellStyle name="Input 41 2" xfId="2326"/>
    <cellStyle name="Input 42" xfId="2327"/>
    <cellStyle name="Input 43" xfId="2328"/>
    <cellStyle name="Input 44" xfId="2329"/>
    <cellStyle name="Input 45" xfId="2695"/>
    <cellStyle name="Input 46" xfId="2688"/>
    <cellStyle name="Input 5" xfId="1027"/>
    <cellStyle name="Input 6" xfId="1028"/>
    <cellStyle name="input 7" xfId="1029"/>
    <cellStyle name="input 8" xfId="1030"/>
    <cellStyle name="input 9" xfId="1031"/>
    <cellStyle name="Input no $ [0]" xfId="1032"/>
    <cellStyle name="input.title" xfId="1033"/>
    <cellStyle name="Lable8Left_Def" xfId="1034"/>
    <cellStyle name="Link Currency (0)" xfId="1035"/>
    <cellStyle name="Link Currency (2)" xfId="1036"/>
    <cellStyle name="Link Units (0)" xfId="1037"/>
    <cellStyle name="Link Units (1)" xfId="1038"/>
    <cellStyle name="Link Units (2)" xfId="1039"/>
    <cellStyle name="Linked Cell 2" xfId="43"/>
    <cellStyle name="Linked Cell 2 2" xfId="1040"/>
    <cellStyle name="Linked Cell 2 3" xfId="1041"/>
    <cellStyle name="Linked Cell 3" xfId="1042"/>
    <cellStyle name="Linked Cell 4" xfId="1043"/>
    <cellStyle name="Linked Cell 5" xfId="1044"/>
    <cellStyle name="Linked Cell 6" xfId="1045"/>
    <cellStyle name="Linked Cell 7" xfId="2330"/>
    <cellStyle name="list" xfId="1046"/>
    <cellStyle name="locked" xfId="1047"/>
    <cellStyle name="Margins" xfId="1048"/>
    <cellStyle name="Month Date" xfId="1049"/>
    <cellStyle name="MS_Hebrew" xfId="1050"/>
    <cellStyle name="Multiple" xfId="1051"/>
    <cellStyle name="Multiple [0]" xfId="1052"/>
    <cellStyle name="Multiple [1]" xfId="1053"/>
    <cellStyle name="Multiple_~0055150" xfId="1054"/>
    <cellStyle name="Neutral 2" xfId="44"/>
    <cellStyle name="Neutral 2 2" xfId="1055"/>
    <cellStyle name="Neutral 2 3" xfId="1056"/>
    <cellStyle name="Neutral 3" xfId="1057"/>
    <cellStyle name="Neutral 4" xfId="1058"/>
    <cellStyle name="Neutral 5" xfId="1059"/>
    <cellStyle name="Neutral 6" xfId="1060"/>
    <cellStyle name="Neutral 7" xfId="2331"/>
    <cellStyle name="NEWMULTIPLE" xfId="1061"/>
    <cellStyle name="no dec" xfId="1062"/>
    <cellStyle name="Normal" xfId="0" builtinId="0"/>
    <cellStyle name="Normal - Style1" xfId="1063"/>
    <cellStyle name="Normal - Style1 2" xfId="2332"/>
    <cellStyle name="Normal - Style2" xfId="2333"/>
    <cellStyle name="Normal - Style3" xfId="2334"/>
    <cellStyle name="Normal - Style4" xfId="2335"/>
    <cellStyle name="Normal - Style5" xfId="2336"/>
    <cellStyle name="Normal - Style6" xfId="2337"/>
    <cellStyle name="Normal - Style7" xfId="2338"/>
    <cellStyle name="Normal - Style8" xfId="2339"/>
    <cellStyle name="Normal 10" xfId="50"/>
    <cellStyle name="Normal 10 2" xfId="2053"/>
    <cellStyle name="Normal 11" xfId="1064"/>
    <cellStyle name="Normal 11 2" xfId="1065"/>
    <cellStyle name="Normal 11 3" xfId="1066"/>
    <cellStyle name="Normal 11 4" xfId="1067"/>
    <cellStyle name="Normal 11 5" xfId="1068"/>
    <cellStyle name="Normal 12" xfId="1069"/>
    <cellStyle name="Normal 12 2" xfId="1070"/>
    <cellStyle name="Normal 12 3" xfId="1071"/>
    <cellStyle name="Normal 12 4" xfId="1072"/>
    <cellStyle name="Normal 12 5" xfId="1073"/>
    <cellStyle name="Normal 13" xfId="1074"/>
    <cellStyle name="Normal 13 2" xfId="1075"/>
    <cellStyle name="Normal 13 3" xfId="1076"/>
    <cellStyle name="Normal 13 4" xfId="1077"/>
    <cellStyle name="Normal 13 5" xfId="1078"/>
    <cellStyle name="Normal 13 6" xfId="1079"/>
    <cellStyle name="Normal 14" xfId="1080"/>
    <cellStyle name="Normal 14 2" xfId="1081"/>
    <cellStyle name="Normal 14 3" xfId="1082"/>
    <cellStyle name="Normal 14 4" xfId="1083"/>
    <cellStyle name="Normal 14 5" xfId="1084"/>
    <cellStyle name="Normal 15" xfId="1085"/>
    <cellStyle name="Normal 15 2" xfId="1086"/>
    <cellStyle name="Normal 15 3" xfId="1087"/>
    <cellStyle name="Normal 15 4" xfId="1088"/>
    <cellStyle name="Normal 15 5" xfId="1089"/>
    <cellStyle name="Normal 15 6" xfId="2340"/>
    <cellStyle name="Normal 16" xfId="1090"/>
    <cellStyle name="Normal 16 10" xfId="1091"/>
    <cellStyle name="Normal 16 11" xfId="1092"/>
    <cellStyle name="Normal 16 2" xfId="1093"/>
    <cellStyle name="Normal 16 3" xfId="1094"/>
    <cellStyle name="Normal 16 4" xfId="1095"/>
    <cellStyle name="Normal 16 5" xfId="1096"/>
    <cellStyle name="Normal 16 6" xfId="1097"/>
    <cellStyle name="Normal 16 7" xfId="1098"/>
    <cellStyle name="Normal 16 8" xfId="1099"/>
    <cellStyle name="Normal 16 9" xfId="1100"/>
    <cellStyle name="Normal 16_2020 PLEXOS - 20%" xfId="1101"/>
    <cellStyle name="Normal 17" xfId="1102"/>
    <cellStyle name="Normal 17 2" xfId="1103"/>
    <cellStyle name="Normal 17 3" xfId="1104"/>
    <cellStyle name="Normal 17 4" xfId="1105"/>
    <cellStyle name="Normal 17 5" xfId="1106"/>
    <cellStyle name="Normal 18" xfId="1107"/>
    <cellStyle name="Normal 19" xfId="1108"/>
    <cellStyle name="Normal 2" xfId="2"/>
    <cellStyle name="Normal 2 10" xfId="1109"/>
    <cellStyle name="Normal 2 11" xfId="1110"/>
    <cellStyle name="Normal 2 11 2" xfId="1111"/>
    <cellStyle name="Normal 2 12" xfId="1112"/>
    <cellStyle name="Normal 2 12 2" xfId="1113"/>
    <cellStyle name="Normal 2 13" xfId="1114"/>
    <cellStyle name="Normal 2 13 2" xfId="1115"/>
    <cellStyle name="Normal 2 14" xfId="1116"/>
    <cellStyle name="Normal 2 14 2" xfId="2341"/>
    <cellStyle name="Normal 2 15" xfId="1117"/>
    <cellStyle name="Normal 2 15 2" xfId="2342"/>
    <cellStyle name="Normal 2 16" xfId="1118"/>
    <cellStyle name="Normal 2 16 2" xfId="2343"/>
    <cellStyle name="Normal 2 17" xfId="1119"/>
    <cellStyle name="Normal 2 17 2" xfId="2344"/>
    <cellStyle name="Normal 2 18" xfId="1120"/>
    <cellStyle name="Normal 2 19" xfId="2345"/>
    <cellStyle name="Normal 2 2" xfId="1121"/>
    <cellStyle name="Normal 2 2 10" xfId="1122"/>
    <cellStyle name="Normal 2 2 11" xfId="1123"/>
    <cellStyle name="Normal 2 2 11 2" xfId="2346"/>
    <cellStyle name="Normal 2 2 12" xfId="2347"/>
    <cellStyle name="Normal 2 2 13" xfId="2348"/>
    <cellStyle name="Normal 2 2 14" xfId="2349"/>
    <cellStyle name="Normal 2 2 15" xfId="2350"/>
    <cellStyle name="Normal 2 2 16" xfId="2351"/>
    <cellStyle name="Normal 2 2 17" xfId="2352"/>
    <cellStyle name="Normal 2 2 18" xfId="2353"/>
    <cellStyle name="Normal 2 2 19" xfId="2354"/>
    <cellStyle name="Normal 2 2 2" xfId="1124"/>
    <cellStyle name="Normal 2 2 20" xfId="2355"/>
    <cellStyle name="Normal 2 2 21" xfId="2356"/>
    <cellStyle name="Normal 2 2 22" xfId="2357"/>
    <cellStyle name="Normal 2 2 23" xfId="2358"/>
    <cellStyle name="Normal 2 2 24" xfId="2359"/>
    <cellStyle name="Normal 2 2 25" xfId="2360"/>
    <cellStyle name="Normal 2 2 26" xfId="2361"/>
    <cellStyle name="Normal 2 2 27" xfId="2362"/>
    <cellStyle name="Normal 2 2 3" xfId="1125"/>
    <cellStyle name="Normal 2 2 4" xfId="1126"/>
    <cellStyle name="Normal 2 2 5" xfId="1127"/>
    <cellStyle name="Normal 2 2 6" xfId="1128"/>
    <cellStyle name="Normal 2 2 7" xfId="1129"/>
    <cellStyle name="Normal 2 2 8" xfId="1130"/>
    <cellStyle name="Normal 2 2 9" xfId="1131"/>
    <cellStyle name="Normal 2 2_2020 PLEXOS - 20%" xfId="1132"/>
    <cellStyle name="Normal 2 20" xfId="2363"/>
    <cellStyle name="Normal 2 21" xfId="2364"/>
    <cellStyle name="Normal 2 22" xfId="2365"/>
    <cellStyle name="Normal 2 23" xfId="2366"/>
    <cellStyle name="Normal 2 24" xfId="2367"/>
    <cellStyle name="Normal 2 25" xfId="2368"/>
    <cellStyle name="Normal 2 26" xfId="2369"/>
    <cellStyle name="Normal 2 27" xfId="2370"/>
    <cellStyle name="Normal 2 28" xfId="2371"/>
    <cellStyle name="Normal 2 29" xfId="2372"/>
    <cellStyle name="Normal 2 3" xfId="1133"/>
    <cellStyle name="Normal 2 3 10" xfId="1134"/>
    <cellStyle name="Normal 2 3 11" xfId="1135"/>
    <cellStyle name="Normal 2 3 2" xfId="1136"/>
    <cellStyle name="Normal 2 3 3" xfId="1137"/>
    <cellStyle name="Normal 2 3 4" xfId="1138"/>
    <cellStyle name="Normal 2 3 5" xfId="1139"/>
    <cellStyle name="Normal 2 3 6" xfId="1140"/>
    <cellStyle name="Normal 2 3 7" xfId="1141"/>
    <cellStyle name="Normal 2 3 8" xfId="1142"/>
    <cellStyle name="Normal 2 3 9" xfId="1143"/>
    <cellStyle name="Normal 2 3_2020 PLEXOS - 20%" xfId="1144"/>
    <cellStyle name="Normal 2 30" xfId="2373"/>
    <cellStyle name="Normal 2 31" xfId="2374"/>
    <cellStyle name="Normal 2 32" xfId="2375"/>
    <cellStyle name="Normal 2 33" xfId="2376"/>
    <cellStyle name="Normal 2 34" xfId="2377"/>
    <cellStyle name="Normal 2 35" xfId="2378"/>
    <cellStyle name="Normal 2 36" xfId="2379"/>
    <cellStyle name="Normal 2 37" xfId="2380"/>
    <cellStyle name="Normal 2 38" xfId="2381"/>
    <cellStyle name="Normal 2 39" xfId="2382"/>
    <cellStyle name="Normal 2 4" xfId="1145"/>
    <cellStyle name="Normal 2 4 2" xfId="1146"/>
    <cellStyle name="Normal 2 4 3" xfId="1147"/>
    <cellStyle name="Normal 2 4 4" xfId="1148"/>
    <cellStyle name="Normal 2 4 5" xfId="1149"/>
    <cellStyle name="Normal 2 40" xfId="2383"/>
    <cellStyle name="Normal 2 41" xfId="2384"/>
    <cellStyle name="Normal 2 42" xfId="2385"/>
    <cellStyle name="Normal 2 43" xfId="2386"/>
    <cellStyle name="Normal 2 44" xfId="2387"/>
    <cellStyle name="Normal 2 45" xfId="2388"/>
    <cellStyle name="Normal 2 46" xfId="2389"/>
    <cellStyle name="Normal 2 47" xfId="2390"/>
    <cellStyle name="Normal 2 48" xfId="2391"/>
    <cellStyle name="Normal 2 49" xfId="2392"/>
    <cellStyle name="Normal 2 5" xfId="1150"/>
    <cellStyle name="Normal 2 50" xfId="2393"/>
    <cellStyle name="Normal 2 51" xfId="2394"/>
    <cellStyle name="Normal 2 52" xfId="2395"/>
    <cellStyle name="Normal 2 53" xfId="2396"/>
    <cellStyle name="Normal 2 54" xfId="2397"/>
    <cellStyle name="Normal 2 55" xfId="2398"/>
    <cellStyle name="Normal 2 56" xfId="2399"/>
    <cellStyle name="Normal 2 57" xfId="2400"/>
    <cellStyle name="Normal 2 58" xfId="2401"/>
    <cellStyle name="Normal 2 59" xfId="2402"/>
    <cellStyle name="Normal 2 6" xfId="1151"/>
    <cellStyle name="Normal 2 60" xfId="2403"/>
    <cellStyle name="Normal 2 61" xfId="2404"/>
    <cellStyle name="Normal 2 62" xfId="2405"/>
    <cellStyle name="Normal 2 63" xfId="2406"/>
    <cellStyle name="Normal 2 64" xfId="2407"/>
    <cellStyle name="Normal 2 65" xfId="2408"/>
    <cellStyle name="Normal 2 66" xfId="2409"/>
    <cellStyle name="Normal 2 67" xfId="2410"/>
    <cellStyle name="Normal 2 68" xfId="2411"/>
    <cellStyle name="Normal 2 69" xfId="2412"/>
    <cellStyle name="Normal 2 7" xfId="1152"/>
    <cellStyle name="Normal 2 70" xfId="2413"/>
    <cellStyle name="Normal 2 71" xfId="2414"/>
    <cellStyle name="Normal 2 72" xfId="2692"/>
    <cellStyle name="Normal 2 73" xfId="2683"/>
    <cellStyle name="Normal 2 74" xfId="2696"/>
    <cellStyle name="Normal 2 75" xfId="2686"/>
    <cellStyle name="Normal 2 76" xfId="2699"/>
    <cellStyle name="Normal 2 77" xfId="2702"/>
    <cellStyle name="Normal 2 78" xfId="2701"/>
    <cellStyle name="Normal 2 79" xfId="2704"/>
    <cellStyle name="Normal 2 8" xfId="1153"/>
    <cellStyle name="Normal 2 80" xfId="2707"/>
    <cellStyle name="Normal 2 81" xfId="2710"/>
    <cellStyle name="Normal 2 82" xfId="2713"/>
    <cellStyle name="Normal 2 9" xfId="1154"/>
    <cellStyle name="Normal 2_2020 PLEXOS - 20%" xfId="1155"/>
    <cellStyle name="Normal 20" xfId="1156"/>
    <cellStyle name="Normal 20 2" xfId="1157"/>
    <cellStyle name="Normal 21" xfId="1158"/>
    <cellStyle name="Normal 21 2" xfId="1159"/>
    <cellStyle name="Normal 22" xfId="1160"/>
    <cellStyle name="Normal 23" xfId="1161"/>
    <cellStyle name="Normal 24" xfId="1162"/>
    <cellStyle name="Normal 25" xfId="1163"/>
    <cellStyle name="Normal 26" xfId="1164"/>
    <cellStyle name="Normal 27" xfId="1165"/>
    <cellStyle name="Normal 28" xfId="1166"/>
    <cellStyle name="Normal 29" xfId="1167"/>
    <cellStyle name="Normal 3" xfId="7"/>
    <cellStyle name="Normal 3 10" xfId="1168"/>
    <cellStyle name="Normal 3 11" xfId="1169"/>
    <cellStyle name="Normal 3 12" xfId="1170"/>
    <cellStyle name="Normal 3 13" xfId="1171"/>
    <cellStyle name="Normal 3 14" xfId="1172"/>
    <cellStyle name="Normal 3 15" xfId="1173"/>
    <cellStyle name="Normal 3 16" xfId="1174"/>
    <cellStyle name="Normal 3 16 2" xfId="1175"/>
    <cellStyle name="Normal 3 17" xfId="1176"/>
    <cellStyle name="Normal 3 18" xfId="2415"/>
    <cellStyle name="Normal 3 19" xfId="2416"/>
    <cellStyle name="Normal 3 2" xfId="1177"/>
    <cellStyle name="Normal 3 2 2" xfId="2417"/>
    <cellStyle name="Normal 3 3" xfId="1178"/>
    <cellStyle name="Normal 3 4" xfId="1179"/>
    <cellStyle name="Normal 3 5" xfId="1180"/>
    <cellStyle name="Normal 3 6" xfId="1181"/>
    <cellStyle name="Normal 3 7" xfId="1182"/>
    <cellStyle name="Normal 3 8" xfId="1183"/>
    <cellStyle name="Normal 3 9" xfId="1184"/>
    <cellStyle name="Normal 3_2010-05-27 new consolidated data" xfId="2418"/>
    <cellStyle name="Normal 30" xfId="1185"/>
    <cellStyle name="Normal 31" xfId="1186"/>
    <cellStyle name="Normal 32" xfId="1187"/>
    <cellStyle name="Normal 33" xfId="1188"/>
    <cellStyle name="Normal 34" xfId="1189"/>
    <cellStyle name="Normal 35" xfId="1190"/>
    <cellStyle name="Normal 36" xfId="1191"/>
    <cellStyle name="Normal 37" xfId="1192"/>
    <cellStyle name="Normal 38" xfId="1193"/>
    <cellStyle name="Normal 39" xfId="1194"/>
    <cellStyle name="Normal 4" xfId="4"/>
    <cellStyle name="Normal 4 10" xfId="1195"/>
    <cellStyle name="Normal 4 11" xfId="1196"/>
    <cellStyle name="Normal 4 12" xfId="1197"/>
    <cellStyle name="Normal 4 2" xfId="1198"/>
    <cellStyle name="Normal 4 2 2" xfId="1199"/>
    <cellStyle name="Normal 4 2 3" xfId="1200"/>
    <cellStyle name="Normal 4 2 4" xfId="1201"/>
    <cellStyle name="Normal 4 2 5" xfId="1202"/>
    <cellStyle name="Normal 4 3" xfId="1203"/>
    <cellStyle name="Normal 4 4" xfId="1204"/>
    <cellStyle name="Normal 4 5" xfId="1205"/>
    <cellStyle name="Normal 4 6" xfId="1206"/>
    <cellStyle name="Normal 4 7" xfId="1207"/>
    <cellStyle name="Normal 4 8" xfId="1208"/>
    <cellStyle name="Normal 4 9" xfId="1209"/>
    <cellStyle name="Normal 4_2020 PLEXOS - 20%" xfId="1210"/>
    <cellStyle name="Normal 40" xfId="1211"/>
    <cellStyle name="Normal 41" xfId="1212"/>
    <cellStyle name="Normal 42" xfId="1213"/>
    <cellStyle name="Normal 43" xfId="1214"/>
    <cellStyle name="Normal 44" xfId="1215"/>
    <cellStyle name="Normal 45" xfId="1216"/>
    <cellStyle name="Normal 46" xfId="1217"/>
    <cellStyle name="Normal 47" xfId="1218"/>
    <cellStyle name="Normal 48" xfId="1219"/>
    <cellStyle name="Normal 48 2" xfId="1220"/>
    <cellStyle name="Normal 49" xfId="1221"/>
    <cellStyle name="Normal 5" xfId="1222"/>
    <cellStyle name="Normal 5 10" xfId="1223"/>
    <cellStyle name="Normal 5 11" xfId="2419"/>
    <cellStyle name="Normal 5 12" xfId="2420"/>
    <cellStyle name="Normal 5 13" xfId="2421"/>
    <cellStyle name="Normal 5 14" xfId="2422"/>
    <cellStyle name="Normal 5 15" xfId="2423"/>
    <cellStyle name="Normal 5 16" xfId="2424"/>
    <cellStyle name="Normal 5 17" xfId="2425"/>
    <cellStyle name="Normal 5 18" xfId="2426"/>
    <cellStyle name="Normal 5 2" xfId="1224"/>
    <cellStyle name="Normal 5 3" xfId="1225"/>
    <cellStyle name="Normal 5 4" xfId="1226"/>
    <cellStyle name="Normal 5 5" xfId="1227"/>
    <cellStyle name="Normal 5 6" xfId="1228"/>
    <cellStyle name="Normal 5 7" xfId="1229"/>
    <cellStyle name="Normal 5 8" xfId="1230"/>
    <cellStyle name="Normal 5 9" xfId="1231"/>
    <cellStyle name="Normal 5_2020 PLEXOS - 20%" xfId="1232"/>
    <cellStyle name="Normal 50" xfId="1233"/>
    <cellStyle name="Normal 51" xfId="1234"/>
    <cellStyle name="Normal 52" xfId="1235"/>
    <cellStyle name="Normal 53" xfId="1236"/>
    <cellStyle name="Normal 54" xfId="1237"/>
    <cellStyle name="Normal 54 2" xfId="1238"/>
    <cellStyle name="Normal 55" xfId="1239"/>
    <cellStyle name="Normal 55 2" xfId="1240"/>
    <cellStyle name="Normal 56" xfId="1241"/>
    <cellStyle name="Normal 57" xfId="1242"/>
    <cellStyle name="Normal 58" xfId="1243"/>
    <cellStyle name="Normal 59" xfId="1244"/>
    <cellStyle name="Normal 6" xfId="1245"/>
    <cellStyle name="Normal 6 2" xfId="2427"/>
    <cellStyle name="Normal 60" xfId="1246"/>
    <cellStyle name="Normal 61" xfId="1247"/>
    <cellStyle name="Normal 62" xfId="1248"/>
    <cellStyle name="Normal 63" xfId="1249"/>
    <cellStyle name="Normal 64" xfId="1250"/>
    <cellStyle name="Normal 65" xfId="1251"/>
    <cellStyle name="Normal 66" xfId="1252"/>
    <cellStyle name="Normal 67" xfId="1253"/>
    <cellStyle name="Normal 68" xfId="1254"/>
    <cellStyle name="Normal 69" xfId="1255"/>
    <cellStyle name="Normal 7" xfId="1256"/>
    <cellStyle name="Normal 7 10" xfId="2428"/>
    <cellStyle name="Normal 7 11" xfId="2429"/>
    <cellStyle name="Normal 7 12" xfId="2430"/>
    <cellStyle name="Normal 7 13" xfId="2431"/>
    <cellStyle name="Normal 7 14" xfId="2432"/>
    <cellStyle name="Normal 7 15" xfId="2433"/>
    <cellStyle name="Normal 7 16" xfId="2434"/>
    <cellStyle name="Normal 7 17" xfId="2435"/>
    <cellStyle name="Normal 7 18" xfId="2436"/>
    <cellStyle name="Normal 7 19" xfId="2437"/>
    <cellStyle name="Normal 7 2" xfId="1257"/>
    <cellStyle name="Normal 7 2 2" xfId="2438"/>
    <cellStyle name="Normal 7 20" xfId="2439"/>
    <cellStyle name="Normal 7 21" xfId="2440"/>
    <cellStyle name="Normal 7 22" xfId="2441"/>
    <cellStyle name="Normal 7 23" xfId="2442"/>
    <cellStyle name="Normal 7 24" xfId="2443"/>
    <cellStyle name="Normal 7 25" xfId="2444"/>
    <cellStyle name="Normal 7 26" xfId="2445"/>
    <cellStyle name="Normal 7 27" xfId="2446"/>
    <cellStyle name="Normal 7 3" xfId="1258"/>
    <cellStyle name="Normal 7 4" xfId="2447"/>
    <cellStyle name="Normal 7 5" xfId="2448"/>
    <cellStyle name="Normal 7 6" xfId="2449"/>
    <cellStyle name="Normal 7 7" xfId="2450"/>
    <cellStyle name="Normal 7 8" xfId="2451"/>
    <cellStyle name="Normal 7 9" xfId="2452"/>
    <cellStyle name="Normal 70" xfId="1259"/>
    <cellStyle name="Normal 71" xfId="1260"/>
    <cellStyle name="Normal 72" xfId="1261"/>
    <cellStyle name="Normal 73" xfId="1262"/>
    <cellStyle name="Normal 74" xfId="1263"/>
    <cellStyle name="Normal 75" xfId="1264"/>
    <cellStyle name="Normal 76" xfId="1265"/>
    <cellStyle name="Normal 77" xfId="1266"/>
    <cellStyle name="Normal 78" xfId="1267"/>
    <cellStyle name="Normal 79" xfId="1268"/>
    <cellStyle name="Normal 8" xfId="1269"/>
    <cellStyle name="Normal 8 10" xfId="2453"/>
    <cellStyle name="Normal 8 11" xfId="2454"/>
    <cellStyle name="Normal 8 12" xfId="2455"/>
    <cellStyle name="Normal 8 13" xfId="2456"/>
    <cellStyle name="Normal 8 14" xfId="2457"/>
    <cellStyle name="Normal 8 15" xfId="2458"/>
    <cellStyle name="Normal 8 16" xfId="2459"/>
    <cellStyle name="Normal 8 17" xfId="2460"/>
    <cellStyle name="Normal 8 18" xfId="2461"/>
    <cellStyle name="Normal 8 19" xfId="2462"/>
    <cellStyle name="Normal 8 2" xfId="1270"/>
    <cellStyle name="Normal 8 2 2" xfId="2463"/>
    <cellStyle name="Normal 8 20" xfId="2464"/>
    <cellStyle name="Normal 8 21" xfId="2465"/>
    <cellStyle name="Normal 8 22" xfId="2466"/>
    <cellStyle name="Normal 8 23" xfId="2467"/>
    <cellStyle name="Normal 8 24" xfId="2468"/>
    <cellStyle name="Normal 8 25" xfId="2469"/>
    <cellStyle name="Normal 8 26" xfId="2470"/>
    <cellStyle name="Normal 8 27" xfId="2471"/>
    <cellStyle name="Normal 8 3" xfId="1271"/>
    <cellStyle name="Normal 8 4" xfId="2472"/>
    <cellStyle name="Normal 8 5" xfId="2473"/>
    <cellStyle name="Normal 8 6" xfId="2474"/>
    <cellStyle name="Normal 8 7" xfId="2475"/>
    <cellStyle name="Normal 8 8" xfId="2476"/>
    <cellStyle name="Normal 8 9" xfId="2477"/>
    <cellStyle name="Normal 80" xfId="1272"/>
    <cellStyle name="Normal 80 2" xfId="1273"/>
    <cellStyle name="Normal 80 3" xfId="1274"/>
    <cellStyle name="Normal 81" xfId="1275"/>
    <cellStyle name="Normal 81 2" xfId="1276"/>
    <cellStyle name="Normal 81 3" xfId="1277"/>
    <cellStyle name="Normal 82" xfId="1278"/>
    <cellStyle name="Normal 82 2" xfId="1279"/>
    <cellStyle name="Normal 82 3" xfId="1280"/>
    <cellStyle name="Normal 83" xfId="1281"/>
    <cellStyle name="Normal 83 2" xfId="1282"/>
    <cellStyle name="Normal 83 3" xfId="1283"/>
    <cellStyle name="Normal 84" xfId="1284"/>
    <cellStyle name="Normal 85" xfId="2045"/>
    <cellStyle name="Normal 85 2" xfId="2478"/>
    <cellStyle name="Normal 86" xfId="2052"/>
    <cellStyle name="Normal 87" xfId="2479"/>
    <cellStyle name="Normal 88" xfId="2480"/>
    <cellStyle name="Normal 89" xfId="2481"/>
    <cellStyle name="Normal 9" xfId="1285"/>
    <cellStyle name="Normal 90" xfId="2482"/>
    <cellStyle name="Normal 91" xfId="2679"/>
    <cellStyle name="Normal 92" xfId="2682"/>
    <cellStyle name="Normal 93" xfId="2693"/>
    <cellStyle name="Normal 94" xfId="2685"/>
    <cellStyle name="Normal 95" xfId="2697"/>
    <cellStyle name="Normal 96" xfId="2703"/>
    <cellStyle name="Normal 97" xfId="2705"/>
    <cellStyle name="Normal 98" xfId="2708"/>
    <cellStyle name="Normal 99" xfId="2711"/>
    <cellStyle name="Normal_table Nat" xfId="1"/>
    <cellStyle name="NormalGB" xfId="1286"/>
    <cellStyle name="Note 10" xfId="1287"/>
    <cellStyle name="Note 11" xfId="1288"/>
    <cellStyle name="Note 12" xfId="1289"/>
    <cellStyle name="Note 12 2" xfId="1290"/>
    <cellStyle name="Note 12 3" xfId="1291"/>
    <cellStyle name="Note 13" xfId="2483"/>
    <cellStyle name="Note 2" xfId="45"/>
    <cellStyle name="Note 2 10" xfId="2484"/>
    <cellStyle name="Note 2 11" xfId="2485"/>
    <cellStyle name="Note 2 12" xfId="2486"/>
    <cellStyle name="Note 2 13" xfId="2487"/>
    <cellStyle name="Note 2 14" xfId="2488"/>
    <cellStyle name="Note 2 15" xfId="2489"/>
    <cellStyle name="Note 2 16" xfId="2490"/>
    <cellStyle name="Note 2 17" xfId="2491"/>
    <cellStyle name="Note 2 18" xfId="2492"/>
    <cellStyle name="Note 2 19" xfId="2493"/>
    <cellStyle name="Note 2 2" xfId="1292"/>
    <cellStyle name="Note 2 20" xfId="2494"/>
    <cellStyle name="Note 2 21" xfId="2495"/>
    <cellStyle name="Note 2 22" xfId="2496"/>
    <cellStyle name="Note 2 23" xfId="2497"/>
    <cellStyle name="Note 2 24" xfId="2498"/>
    <cellStyle name="Note 2 25" xfId="2499"/>
    <cellStyle name="Note 2 26" xfId="2500"/>
    <cellStyle name="Note 2 27" xfId="2501"/>
    <cellStyle name="Note 2 28" xfId="2502"/>
    <cellStyle name="Note 2 29" xfId="2503"/>
    <cellStyle name="Note 2 3" xfId="1293"/>
    <cellStyle name="Note 2 30" xfId="2504"/>
    <cellStyle name="Note 2 31" xfId="2505"/>
    <cellStyle name="Note 2 32" xfId="2506"/>
    <cellStyle name="Note 2 33" xfId="2507"/>
    <cellStyle name="Note 2 34" xfId="2508"/>
    <cellStyle name="Note 2 35" xfId="2509"/>
    <cellStyle name="Note 2 36" xfId="2510"/>
    <cellStyle name="Note 2 37" xfId="2511"/>
    <cellStyle name="Note 2 38" xfId="2512"/>
    <cellStyle name="Note 2 39" xfId="2513"/>
    <cellStyle name="Note 2 4" xfId="1294"/>
    <cellStyle name="Note 2 4 2" xfId="2514"/>
    <cellStyle name="Note 2 40" xfId="2515"/>
    <cellStyle name="Note 2 41" xfId="2516"/>
    <cellStyle name="Note 2 42" xfId="2517"/>
    <cellStyle name="Note 2 5" xfId="2518"/>
    <cellStyle name="Note 2 6" xfId="2519"/>
    <cellStyle name="Note 2 7" xfId="2520"/>
    <cellStyle name="Note 2 8" xfId="2521"/>
    <cellStyle name="Note 2 9" xfId="2522"/>
    <cellStyle name="Note 3" xfId="1295"/>
    <cellStyle name="Note 4" xfId="1296"/>
    <cellStyle name="Note 5" xfId="1297"/>
    <cellStyle name="Note 6" xfId="1298"/>
    <cellStyle name="Note 7" xfId="1299"/>
    <cellStyle name="Note 8" xfId="1300"/>
    <cellStyle name="Note 9" xfId="1301"/>
    <cellStyle name="Num0Un" xfId="1302"/>
    <cellStyle name="Num1" xfId="1303"/>
    <cellStyle name="Num1Blue" xfId="1304"/>
    <cellStyle name="Num2" xfId="1305"/>
    <cellStyle name="Num2Un" xfId="1306"/>
    <cellStyle name="Number no Dec" xfId="1307"/>
    <cellStyle name="Number no Dec 2" xfId="1308"/>
    <cellStyle name="Number no Dec 2 10" xfId="1309"/>
    <cellStyle name="Number no Dec 2 11" xfId="1310"/>
    <cellStyle name="Number no Dec 2 2" xfId="1311"/>
    <cellStyle name="Number no Dec 2 3" xfId="1312"/>
    <cellStyle name="Number no Dec 2 4" xfId="1313"/>
    <cellStyle name="Number no Dec 2 5" xfId="1314"/>
    <cellStyle name="Number no Dec 2 6" xfId="1315"/>
    <cellStyle name="Number no Dec 2 7" xfId="1316"/>
    <cellStyle name="Number no Dec 2 8" xfId="1317"/>
    <cellStyle name="Number no Dec 2 9" xfId="1318"/>
    <cellStyle name="Number no Dec 2_2020 PLEXOS - 20%" xfId="1319"/>
    <cellStyle name="Number no Dec 3" xfId="1320"/>
    <cellStyle name="Number no Dec 3 10" xfId="1321"/>
    <cellStyle name="Number no Dec 3 11" xfId="1322"/>
    <cellStyle name="Number no Dec 3 2" xfId="1323"/>
    <cellStyle name="Number no Dec 3 3" xfId="1324"/>
    <cellStyle name="Number no Dec 3 4" xfId="1325"/>
    <cellStyle name="Number no Dec 3 5" xfId="1326"/>
    <cellStyle name="Number no Dec 3 6" xfId="1327"/>
    <cellStyle name="Number no Dec 3 7" xfId="1328"/>
    <cellStyle name="Number no Dec 3 8" xfId="1329"/>
    <cellStyle name="Number no Dec 3 9" xfId="1330"/>
    <cellStyle name="Number no Dec 3_2020 PLEXOS - 20%" xfId="1331"/>
    <cellStyle name="Number no Dec 4" xfId="1332"/>
    <cellStyle name="Number no Dec 4 10" xfId="1333"/>
    <cellStyle name="Number no Dec 4 11" xfId="1334"/>
    <cellStyle name="Number no Dec 4 2" xfId="1335"/>
    <cellStyle name="Number no Dec 4 3" xfId="1336"/>
    <cellStyle name="Number no Dec 4 4" xfId="1337"/>
    <cellStyle name="Number no Dec 4 5" xfId="1338"/>
    <cellStyle name="Number no Dec 4 6" xfId="1339"/>
    <cellStyle name="Number no Dec 4 7" xfId="1340"/>
    <cellStyle name="Number no Dec 4 8" xfId="1341"/>
    <cellStyle name="Number no Dec 4 9" xfId="1342"/>
    <cellStyle name="Number no Dec 4_2020 PLEXOS - 20%" xfId="1343"/>
    <cellStyle name="Number no Dec 5" xfId="1344"/>
    <cellStyle name="Number no Dec 6" xfId="1345"/>
    <cellStyle name="Number no Dec 7" xfId="1346"/>
    <cellStyle name="Number no Dec 8" xfId="1347"/>
    <cellStyle name="Number no Dec 9" xfId="1348"/>
    <cellStyle name="Number no Dec_2020 PLEXOS - 33%" xfId="1349"/>
    <cellStyle name="Number0" xfId="1350"/>
    <cellStyle name="Number1" xfId="1351"/>
    <cellStyle name="Number2" xfId="1352"/>
    <cellStyle name="Outline" xfId="1353"/>
    <cellStyle name="Outline 2" xfId="2523"/>
    <cellStyle name="Output 2" xfId="46"/>
    <cellStyle name="Output 2 2" xfId="1354"/>
    <cellStyle name="Output 2 3" xfId="1355"/>
    <cellStyle name="Output 3" xfId="1356"/>
    <cellStyle name="Output 4" xfId="1357"/>
    <cellStyle name="Output 5" xfId="1358"/>
    <cellStyle name="Output 6" xfId="1359"/>
    <cellStyle name="Output 7" xfId="2524"/>
    <cellStyle name="Output 8" xfId="2525"/>
    <cellStyle name="Output Amounts" xfId="1360"/>
    <cellStyle name="Output Amounts 2" xfId="2526"/>
    <cellStyle name="Output Column Headings" xfId="1361"/>
    <cellStyle name="Output Column Headings 2" xfId="2527"/>
    <cellStyle name="Output Line Items" xfId="1362"/>
    <cellStyle name="Output Line Items 2" xfId="2528"/>
    <cellStyle name="Output Report Heading" xfId="1363"/>
    <cellStyle name="Output Report Heading 2" xfId="2529"/>
    <cellStyle name="Output Report Title" xfId="1364"/>
    <cellStyle name="Output Report Title 2" xfId="2530"/>
    <cellStyle name="Page Number" xfId="1365"/>
    <cellStyle name="Paragraph text" xfId="1366"/>
    <cellStyle name="Paragraph text 10" xfId="1367"/>
    <cellStyle name="Paragraph text 11" xfId="1368"/>
    <cellStyle name="Paragraph text 12" xfId="1369"/>
    <cellStyle name="Paragraph text 12 2" xfId="1370"/>
    <cellStyle name="Paragraph text 12 3" xfId="1371"/>
    <cellStyle name="Paragraph text 13" xfId="2531"/>
    <cellStyle name="Paragraph text 14" xfId="2532"/>
    <cellStyle name="Paragraph text 15" xfId="2533"/>
    <cellStyle name="Paragraph text 16" xfId="2534"/>
    <cellStyle name="Paragraph text 17" xfId="2535"/>
    <cellStyle name="Paragraph text 18" xfId="2536"/>
    <cellStyle name="Paragraph text 2" xfId="1372"/>
    <cellStyle name="Paragraph text 3" xfId="1373"/>
    <cellStyle name="Paragraph text 4" xfId="1374"/>
    <cellStyle name="Paragraph text 5" xfId="1375"/>
    <cellStyle name="Paragraph text 6" xfId="1376"/>
    <cellStyle name="Paragraph text 7" xfId="1377"/>
    <cellStyle name="Paragraph text 8" xfId="1378"/>
    <cellStyle name="Paragraph text 9" xfId="1379"/>
    <cellStyle name="Paragraph text_2020 PLEXOS - 20%" xfId="1380"/>
    <cellStyle name="Parens (1)" xfId="1381"/>
    <cellStyle name="pb_page_heading_LS" xfId="2537"/>
    <cellStyle name="Perc1" xfId="1382"/>
    <cellStyle name="Percent" xfId="6" builtinId="5"/>
    <cellStyle name="Percent (0)" xfId="1383"/>
    <cellStyle name="Percent [0]" xfId="1384"/>
    <cellStyle name="Percent [00]" xfId="1385"/>
    <cellStyle name="Percent [1]" xfId="1386"/>
    <cellStyle name="Percent [1] 2" xfId="1387"/>
    <cellStyle name="Percent [2]" xfId="1388"/>
    <cellStyle name="Percent 10" xfId="1389"/>
    <cellStyle name="Percent 10 10" xfId="1390"/>
    <cellStyle name="Percent 10 11" xfId="1391"/>
    <cellStyle name="Percent 10 2" xfId="1392"/>
    <cellStyle name="Percent 10 3" xfId="1393"/>
    <cellStyle name="Percent 10 4" xfId="1394"/>
    <cellStyle name="Percent 10 5" xfId="1395"/>
    <cellStyle name="Percent 10 6" xfId="1396"/>
    <cellStyle name="Percent 10 7" xfId="1397"/>
    <cellStyle name="Percent 10 8" xfId="1398"/>
    <cellStyle name="Percent 10 9" xfId="1399"/>
    <cellStyle name="Percent 11" xfId="1400"/>
    <cellStyle name="Percent 11 10" xfId="1401"/>
    <cellStyle name="Percent 11 11" xfId="1402"/>
    <cellStyle name="Percent 11 2" xfId="1403"/>
    <cellStyle name="Percent 11 3" xfId="1404"/>
    <cellStyle name="Percent 11 4" xfId="1405"/>
    <cellStyle name="Percent 11 5" xfId="1406"/>
    <cellStyle name="Percent 11 6" xfId="1407"/>
    <cellStyle name="Percent 11 7" xfId="1408"/>
    <cellStyle name="Percent 11 8" xfId="1409"/>
    <cellStyle name="Percent 11 9" xfId="1410"/>
    <cellStyle name="Percent 12" xfId="1411"/>
    <cellStyle name="Percent 12 10" xfId="1412"/>
    <cellStyle name="Percent 12 11" xfId="1413"/>
    <cellStyle name="Percent 12 2" xfId="1414"/>
    <cellStyle name="Percent 12 3" xfId="1415"/>
    <cellStyle name="Percent 12 4" xfId="1416"/>
    <cellStyle name="Percent 12 5" xfId="1417"/>
    <cellStyle name="Percent 12 6" xfId="1418"/>
    <cellStyle name="Percent 12 7" xfId="1419"/>
    <cellStyle name="Percent 12 8" xfId="1420"/>
    <cellStyle name="Percent 12 9" xfId="1421"/>
    <cellStyle name="Percent 13" xfId="1422"/>
    <cellStyle name="Percent 13 10" xfId="1423"/>
    <cellStyle name="Percent 13 11" xfId="1424"/>
    <cellStyle name="Percent 13 2" xfId="1425"/>
    <cellStyle name="Percent 13 3" xfId="1426"/>
    <cellStyle name="Percent 13 4" xfId="1427"/>
    <cellStyle name="Percent 13 5" xfId="1428"/>
    <cellStyle name="Percent 13 6" xfId="1429"/>
    <cellStyle name="Percent 13 7" xfId="1430"/>
    <cellStyle name="Percent 13 8" xfId="1431"/>
    <cellStyle name="Percent 13 9" xfId="1432"/>
    <cellStyle name="Percent 14" xfId="1433"/>
    <cellStyle name="Percent 14 2" xfId="2538"/>
    <cellStyle name="Percent 15" xfId="1434"/>
    <cellStyle name="Percent 15 2" xfId="1435"/>
    <cellStyle name="Percent 16" xfId="1436"/>
    <cellStyle name="Percent 16 2" xfId="1437"/>
    <cellStyle name="Percent 17" xfId="1438"/>
    <cellStyle name="Percent 18" xfId="1439"/>
    <cellStyle name="Percent 19" xfId="1440"/>
    <cellStyle name="Percent 2" xfId="1441"/>
    <cellStyle name="Percent 2 10" xfId="1442"/>
    <cellStyle name="Percent 2 11" xfId="1443"/>
    <cellStyle name="Percent 2 12" xfId="1444"/>
    <cellStyle name="Percent 2 12 2" xfId="1445"/>
    <cellStyle name="Percent 2 12 3" xfId="2539"/>
    <cellStyle name="Percent 2 13" xfId="1446"/>
    <cellStyle name="Percent 2 13 2" xfId="2540"/>
    <cellStyle name="Percent 2 14" xfId="2541"/>
    <cellStyle name="Percent 2 15" xfId="2542"/>
    <cellStyle name="Percent 2 16" xfId="2543"/>
    <cellStyle name="Percent 2 17" xfId="2544"/>
    <cellStyle name="Percent 2 18" xfId="2545"/>
    <cellStyle name="Percent 2 19" xfId="2546"/>
    <cellStyle name="Percent 2 2" xfId="1447"/>
    <cellStyle name="Percent 2 2 2" xfId="1448"/>
    <cellStyle name="Percent 2 2 3" xfId="1449"/>
    <cellStyle name="Percent 2 2 4" xfId="1450"/>
    <cellStyle name="Percent 2 2 5" xfId="1451"/>
    <cellStyle name="Percent 2 20" xfId="2547"/>
    <cellStyle name="Percent 2 21" xfId="2548"/>
    <cellStyle name="Percent 2 22" xfId="2549"/>
    <cellStyle name="Percent 2 23" xfId="2550"/>
    <cellStyle name="Percent 2 24" xfId="2551"/>
    <cellStyle name="Percent 2 25" xfId="2552"/>
    <cellStyle name="Percent 2 26" xfId="2553"/>
    <cellStyle name="Percent 2 27" xfId="2554"/>
    <cellStyle name="Percent 2 28" xfId="2555"/>
    <cellStyle name="Percent 2 29" xfId="2556"/>
    <cellStyle name="Percent 2 3" xfId="1452"/>
    <cellStyle name="Percent 2 30" xfId="2557"/>
    <cellStyle name="Percent 2 31" xfId="2558"/>
    <cellStyle name="Percent 2 32" xfId="2559"/>
    <cellStyle name="Percent 2 33" xfId="2560"/>
    <cellStyle name="Percent 2 34" xfId="2561"/>
    <cellStyle name="Percent 2 35" xfId="2562"/>
    <cellStyle name="Percent 2 36" xfId="2563"/>
    <cellStyle name="Percent 2 37" xfId="2564"/>
    <cellStyle name="Percent 2 38" xfId="2565"/>
    <cellStyle name="Percent 2 39" xfId="2566"/>
    <cellStyle name="Percent 2 4" xfId="1453"/>
    <cellStyle name="Percent 2 40" xfId="2567"/>
    <cellStyle name="Percent 2 41" xfId="2568"/>
    <cellStyle name="Percent 2 42" xfId="2569"/>
    <cellStyle name="Percent 2 43" xfId="2570"/>
    <cellStyle name="Percent 2 44" xfId="2571"/>
    <cellStyle name="Percent 2 45" xfId="2572"/>
    <cellStyle name="Percent 2 46" xfId="2573"/>
    <cellStyle name="Percent 2 47" xfId="2574"/>
    <cellStyle name="Percent 2 48" xfId="2575"/>
    <cellStyle name="Percent 2 49" xfId="2576"/>
    <cellStyle name="Percent 2 5" xfId="1454"/>
    <cellStyle name="Percent 2 50" xfId="2577"/>
    <cellStyle name="Percent 2 51" xfId="2578"/>
    <cellStyle name="Percent 2 52" xfId="2579"/>
    <cellStyle name="Percent 2 53" xfId="2580"/>
    <cellStyle name="Percent 2 54" xfId="2581"/>
    <cellStyle name="Percent 2 55" xfId="2582"/>
    <cellStyle name="Percent 2 56" xfId="2583"/>
    <cellStyle name="Percent 2 57" xfId="2584"/>
    <cellStyle name="Percent 2 58" xfId="2585"/>
    <cellStyle name="Percent 2 59" xfId="2586"/>
    <cellStyle name="Percent 2 6" xfId="1455"/>
    <cellStyle name="Percent 2 60" xfId="2587"/>
    <cellStyle name="Percent 2 61" xfId="2588"/>
    <cellStyle name="Percent 2 62" xfId="2589"/>
    <cellStyle name="Percent 2 63" xfId="2590"/>
    <cellStyle name="Percent 2 64" xfId="2591"/>
    <cellStyle name="Percent 2 65" xfId="2592"/>
    <cellStyle name="Percent 2 66" xfId="2593"/>
    <cellStyle name="Percent 2 67" xfId="2594"/>
    <cellStyle name="Percent 2 68" xfId="2595"/>
    <cellStyle name="Percent 2 69" xfId="2596"/>
    <cellStyle name="Percent 2 7" xfId="1456"/>
    <cellStyle name="Percent 2 70" xfId="2680"/>
    <cellStyle name="Percent 2 8" xfId="1457"/>
    <cellStyle name="Percent 2 9" xfId="1458"/>
    <cellStyle name="Percent 2_Inputs" xfId="2597"/>
    <cellStyle name="Percent 20" xfId="1459"/>
    <cellStyle name="Percent 21" xfId="1460"/>
    <cellStyle name="Percent 22" xfId="1461"/>
    <cellStyle name="Percent 22 2" xfId="1462"/>
    <cellStyle name="Percent 22 3" xfId="1463"/>
    <cellStyle name="Percent 23" xfId="1464"/>
    <cellStyle name="Percent 23 2" xfId="1465"/>
    <cellStyle name="Percent 23 3" xfId="1466"/>
    <cellStyle name="Percent 24" xfId="1467"/>
    <cellStyle name="Percent 24 2" xfId="1468"/>
    <cellStyle name="Percent 24 3" xfId="1469"/>
    <cellStyle name="Percent 25" xfId="1470"/>
    <cellStyle name="Percent 26" xfId="1471"/>
    <cellStyle name="Percent 27" xfId="1472"/>
    <cellStyle name="Percent 28" xfId="1473"/>
    <cellStyle name="Percent 29" xfId="1474"/>
    <cellStyle name="Percent 3" xfId="1475"/>
    <cellStyle name="Percent 3 10" xfId="1476"/>
    <cellStyle name="Percent 3 11" xfId="1477"/>
    <cellStyle name="Percent 3 12" xfId="1478"/>
    <cellStyle name="Percent 3 2" xfId="1479"/>
    <cellStyle name="Percent 3 2 2" xfId="1480"/>
    <cellStyle name="Percent 3 2 3" xfId="1481"/>
    <cellStyle name="Percent 3 2 4" xfId="1482"/>
    <cellStyle name="Percent 3 2 5" xfId="1483"/>
    <cellStyle name="Percent 3 3" xfId="1484"/>
    <cellStyle name="Percent 3 4" xfId="1485"/>
    <cellStyle name="Percent 3 5" xfId="1486"/>
    <cellStyle name="Percent 3 6" xfId="1487"/>
    <cellStyle name="Percent 3 7" xfId="1488"/>
    <cellStyle name="Percent 3 8" xfId="1489"/>
    <cellStyle name="Percent 3 9" xfId="1490"/>
    <cellStyle name="Percent 30" xfId="1491"/>
    <cellStyle name="Percent 31" xfId="1492"/>
    <cellStyle name="Percent 32" xfId="1493"/>
    <cellStyle name="Percent 33" xfId="1494"/>
    <cellStyle name="Percent 34" xfId="1495"/>
    <cellStyle name="Percent 35" xfId="1496"/>
    <cellStyle name="Percent 36" xfId="1497"/>
    <cellStyle name="Percent 37" xfId="1498"/>
    <cellStyle name="Percent 38" xfId="1499"/>
    <cellStyle name="Percent 39" xfId="1500"/>
    <cellStyle name="Percent 4" xfId="1501"/>
    <cellStyle name="Percent 4 10" xfId="1502"/>
    <cellStyle name="Percent 4 11" xfId="1503"/>
    <cellStyle name="Percent 4 12" xfId="2598"/>
    <cellStyle name="Percent 4 2" xfId="1504"/>
    <cellStyle name="Percent 4 3" xfId="1505"/>
    <cellStyle name="Percent 4 4" xfId="1506"/>
    <cellStyle name="Percent 4 5" xfId="1507"/>
    <cellStyle name="Percent 4 6" xfId="1508"/>
    <cellStyle name="Percent 4 7" xfId="1509"/>
    <cellStyle name="Percent 4 8" xfId="1510"/>
    <cellStyle name="Percent 4 9" xfId="1511"/>
    <cellStyle name="Percent 40" xfId="1512"/>
    <cellStyle name="Percent 41" xfId="1513"/>
    <cellStyle name="Percent 42" xfId="1514"/>
    <cellStyle name="Percent 43" xfId="1515"/>
    <cellStyle name="Percent 44" xfId="1516"/>
    <cellStyle name="Percent 45" xfId="1517"/>
    <cellStyle name="Percent 46" xfId="51"/>
    <cellStyle name="Percent 47" xfId="52"/>
    <cellStyle name="Percent 48" xfId="1518"/>
    <cellStyle name="Percent 48 2" xfId="1519"/>
    <cellStyle name="Percent 48 3" xfId="1520"/>
    <cellStyle name="Percent 49" xfId="1521"/>
    <cellStyle name="Percent 49 2" xfId="1522"/>
    <cellStyle name="Percent 49 3" xfId="1523"/>
    <cellStyle name="Percent 5" xfId="1524"/>
    <cellStyle name="Percent 5 10" xfId="1525"/>
    <cellStyle name="Percent 5 11" xfId="1526"/>
    <cellStyle name="Percent 5 2" xfId="1527"/>
    <cellStyle name="Percent 5 3" xfId="1528"/>
    <cellStyle name="Percent 5 4" xfId="1529"/>
    <cellStyle name="Percent 5 5" xfId="1530"/>
    <cellStyle name="Percent 5 6" xfId="1531"/>
    <cellStyle name="Percent 5 7" xfId="1532"/>
    <cellStyle name="Percent 5 8" xfId="1533"/>
    <cellStyle name="Percent 5 9" xfId="1534"/>
    <cellStyle name="Percent 50" xfId="1535"/>
    <cellStyle name="Percent 51" xfId="1536"/>
    <cellStyle name="Percent 51 2" xfId="1537"/>
    <cellStyle name="Percent 51 3" xfId="1538"/>
    <cellStyle name="Percent 52" xfId="1539"/>
    <cellStyle name="Percent 53" xfId="1540"/>
    <cellStyle name="Percent 54" xfId="1541"/>
    <cellStyle name="Percent 55" xfId="1542"/>
    <cellStyle name="Percent 56" xfId="1543"/>
    <cellStyle name="Percent 57" xfId="1544"/>
    <cellStyle name="Percent 58" xfId="1545"/>
    <cellStyle name="Percent 59" xfId="1546"/>
    <cellStyle name="Percent 59 2" xfId="1547"/>
    <cellStyle name="Percent 59 3" xfId="1548"/>
    <cellStyle name="Percent 6" xfId="1549"/>
    <cellStyle name="Percent 6 10" xfId="1550"/>
    <cellStyle name="Percent 6 11" xfId="1551"/>
    <cellStyle name="Percent 6 2" xfId="1552"/>
    <cellStyle name="Percent 6 3" xfId="1553"/>
    <cellStyle name="Percent 6 4" xfId="1554"/>
    <cellStyle name="Percent 6 5" xfId="1555"/>
    <cellStyle name="Percent 6 6" xfId="1556"/>
    <cellStyle name="Percent 6 7" xfId="1557"/>
    <cellStyle name="Percent 6 8" xfId="1558"/>
    <cellStyle name="Percent 6 9" xfId="1559"/>
    <cellStyle name="Percent 60" xfId="1560"/>
    <cellStyle name="Percent 61" xfId="1561"/>
    <cellStyle name="Percent 62" xfId="1562"/>
    <cellStyle name="Percent 63" xfId="1563"/>
    <cellStyle name="Percent 64" xfId="1564"/>
    <cellStyle name="Percent 65" xfId="2599"/>
    <cellStyle name="Percent 66" xfId="2600"/>
    <cellStyle name="Percent 7" xfId="1565"/>
    <cellStyle name="Percent 7 10" xfId="1566"/>
    <cellStyle name="Percent 7 11" xfId="1567"/>
    <cellStyle name="Percent 7 2" xfId="1568"/>
    <cellStyle name="Percent 7 3" xfId="1569"/>
    <cellStyle name="Percent 7 4" xfId="1570"/>
    <cellStyle name="Percent 7 5" xfId="1571"/>
    <cellStyle name="Percent 7 6" xfId="1572"/>
    <cellStyle name="Percent 7 7" xfId="1573"/>
    <cellStyle name="Percent 7 8" xfId="1574"/>
    <cellStyle name="Percent 7 9" xfId="1575"/>
    <cellStyle name="Percent 75" xfId="1576"/>
    <cellStyle name="Percent 76" xfId="1577"/>
    <cellStyle name="Percent 78" xfId="1578"/>
    <cellStyle name="Percent 79" xfId="1579"/>
    <cellStyle name="Percent 8" xfId="1580"/>
    <cellStyle name="Percent 8 10" xfId="1581"/>
    <cellStyle name="Percent 8 11" xfId="1582"/>
    <cellStyle name="Percent 8 2" xfId="1583"/>
    <cellStyle name="Percent 8 3" xfId="1584"/>
    <cellStyle name="Percent 8 4" xfId="1585"/>
    <cellStyle name="Percent 8 5" xfId="1586"/>
    <cellStyle name="Percent 8 6" xfId="1587"/>
    <cellStyle name="Percent 8 7" xfId="1588"/>
    <cellStyle name="Percent 8 8" xfId="1589"/>
    <cellStyle name="Percent 8 9" xfId="1590"/>
    <cellStyle name="Percent 80" xfId="1591"/>
    <cellStyle name="Percent 81" xfId="1592"/>
    <cellStyle name="Percent 82" xfId="1593"/>
    <cellStyle name="Percent 83" xfId="1594"/>
    <cellStyle name="Percent 85" xfId="1595"/>
    <cellStyle name="Percent 86" xfId="1596"/>
    <cellStyle name="Percent 87" xfId="1597"/>
    <cellStyle name="Percent 88" xfId="1598"/>
    <cellStyle name="Percent 89" xfId="1599"/>
    <cellStyle name="Percent 9" xfId="1600"/>
    <cellStyle name="Percent 9 10" xfId="1601"/>
    <cellStyle name="Percent 9 11" xfId="1602"/>
    <cellStyle name="Percent 9 2" xfId="1603"/>
    <cellStyle name="Percent 9 3" xfId="1604"/>
    <cellStyle name="Percent 9 4" xfId="1605"/>
    <cellStyle name="Percent 9 5" xfId="1606"/>
    <cellStyle name="Percent 9 6" xfId="1607"/>
    <cellStyle name="Percent 9 7" xfId="1608"/>
    <cellStyle name="Percent 9 8" xfId="1609"/>
    <cellStyle name="Percent 9 9" xfId="1610"/>
    <cellStyle name="Percent 90" xfId="1611"/>
    <cellStyle name="Percent 91" xfId="1612"/>
    <cellStyle name="Percent 92" xfId="1613"/>
    <cellStyle name="Percent[0]" xfId="1614"/>
    <cellStyle name="Percent[1]" xfId="1615"/>
    <cellStyle name="Percent[2]" xfId="1616"/>
    <cellStyle name="Percent[3]" xfId="1617"/>
    <cellStyle name="Percent1" xfId="1618"/>
    <cellStyle name="Percent1Blue" xfId="1619"/>
    <cellStyle name="Percent2" xfId="1620"/>
    <cellStyle name="Percent2Blue" xfId="1621"/>
    <cellStyle name="PercentPresentation" xfId="1622"/>
    <cellStyle name="POPS" xfId="1623"/>
    <cellStyle name="PrePop Currency (0)" xfId="1624"/>
    <cellStyle name="PrePop Currency (2)" xfId="1625"/>
    <cellStyle name="PrePop Units (0)" xfId="1626"/>
    <cellStyle name="PrePop Units (1)" xfId="1627"/>
    <cellStyle name="PrePop Units (2)" xfId="1628"/>
    <cellStyle name="PresentationZero" xfId="1629"/>
    <cellStyle name="Price" xfId="1630"/>
    <cellStyle name="PriceUn" xfId="1631"/>
    <cellStyle name="PSChar" xfId="1632"/>
    <cellStyle name="PSDate" xfId="1633"/>
    <cellStyle name="PSDec" xfId="1634"/>
    <cellStyle name="PSHeading" xfId="1635"/>
    <cellStyle name="PSHeading 2" xfId="1636"/>
    <cellStyle name="PSHeading 2 2" xfId="1637"/>
    <cellStyle name="PSHeading 2 2 2" xfId="1638"/>
    <cellStyle name="PSHeading 2 3" xfId="1639"/>
    <cellStyle name="PSHeading 3" xfId="1640"/>
    <cellStyle name="PSHeading 3 2" xfId="1641"/>
    <cellStyle name="PSHeading 4" xfId="1642"/>
    <cellStyle name="PSInt" xfId="1643"/>
    <cellStyle name="PSSpacer" xfId="1644"/>
    <cellStyle name="Red" xfId="1645"/>
    <cellStyle name="Red 2" xfId="2601"/>
    <cellStyle name="Remote" xfId="2602"/>
    <cellStyle name="Revenue" xfId="2603"/>
    <cellStyle name="RevList" xfId="1646"/>
    <cellStyle name="RevList 2" xfId="2604"/>
    <cellStyle name="Salomon Logo" xfId="1647"/>
    <cellStyle name="Salomon Logo 2" xfId="1648"/>
    <cellStyle name="Salomon Logo 2 2" xfId="1649"/>
    <cellStyle name="Salomon Logo 2 2 2" xfId="1650"/>
    <cellStyle name="Salomon Logo 2 2 2 2" xfId="1651"/>
    <cellStyle name="Salomon Logo 2 2 2 2 2" xfId="1652"/>
    <cellStyle name="Salomon Logo 2 2 2 3" xfId="1653"/>
    <cellStyle name="Salomon Logo 2 2 3" xfId="1654"/>
    <cellStyle name="Salomon Logo 2 2 3 2" xfId="1655"/>
    <cellStyle name="Salomon Logo 2 2 4" xfId="1656"/>
    <cellStyle name="Salomon Logo 2 3" xfId="1657"/>
    <cellStyle name="Salomon Logo 2 3 2" xfId="1658"/>
    <cellStyle name="Salomon Logo 2 3 2 2" xfId="1659"/>
    <cellStyle name="Salomon Logo 2 3 3" xfId="1660"/>
    <cellStyle name="Salomon Logo 2 4" xfId="1661"/>
    <cellStyle name="Salomon Logo 2 4 2" xfId="1662"/>
    <cellStyle name="Salomon Logo 2 5" xfId="1663"/>
    <cellStyle name="Salomon Logo 3" xfId="1664"/>
    <cellStyle name="Salomon Logo 3 2" xfId="1665"/>
    <cellStyle name="Salomon Logo 3 2 2" xfId="1666"/>
    <cellStyle name="Salomon Logo 3 2 2 2" xfId="1667"/>
    <cellStyle name="Salomon Logo 3 2 3" xfId="1668"/>
    <cellStyle name="Salomon Logo 3 3" xfId="1669"/>
    <cellStyle name="Salomon Logo 3 3 2" xfId="1670"/>
    <cellStyle name="Salomon Logo 3 4" xfId="1671"/>
    <cellStyle name="Salomon Logo 4" xfId="1672"/>
    <cellStyle name="Salomon Logo 4 2" xfId="1673"/>
    <cellStyle name="Salomon Logo 4 2 2" xfId="1674"/>
    <cellStyle name="Salomon Logo 4 3" xfId="1675"/>
    <cellStyle name="Salomon Logo 5" xfId="1676"/>
    <cellStyle name="Salomon Logo 5 2" xfId="1677"/>
    <cellStyle name="Salomon Logo 6" xfId="1678"/>
    <cellStyle name="ScotchRule" xfId="1679"/>
    <cellStyle name="ScotchRule 2" xfId="2605"/>
    <cellStyle name="Shares" xfId="1680"/>
    <cellStyle name="Single Accounting" xfId="1681"/>
    <cellStyle name="STOCK" xfId="1682"/>
    <cellStyle name="Strikethru" xfId="1683"/>
    <cellStyle name="Style 1" xfId="1684"/>
    <cellStyle name="Style 1 10" xfId="1685"/>
    <cellStyle name="Style 1 11" xfId="1686"/>
    <cellStyle name="Style 1 11 2" xfId="1687"/>
    <cellStyle name="Style 1 11 3" xfId="1688"/>
    <cellStyle name="Style 1 12" xfId="2606"/>
    <cellStyle name="Style 1 13" xfId="2607"/>
    <cellStyle name="Style 1 14" xfId="2608"/>
    <cellStyle name="Style 1 15" xfId="2609"/>
    <cellStyle name="Style 1 16" xfId="2610"/>
    <cellStyle name="Style 1 17" xfId="2611"/>
    <cellStyle name="Style 1 18" xfId="2612"/>
    <cellStyle name="Style 1 2" xfId="1689"/>
    <cellStyle name="Style 1 3" xfId="1690"/>
    <cellStyle name="Style 1 4" xfId="1691"/>
    <cellStyle name="Style 1 5" xfId="1692"/>
    <cellStyle name="Style 1 6" xfId="1693"/>
    <cellStyle name="Style 1 7" xfId="1694"/>
    <cellStyle name="Style 1 8" xfId="1695"/>
    <cellStyle name="Style 1 9" xfId="1696"/>
    <cellStyle name="Style 1_2020 PLEXOS - 20%" xfId="1697"/>
    <cellStyle name="Style 21" xfId="1698"/>
    <cellStyle name="Style 22" xfId="1699"/>
    <cellStyle name="Style 23" xfId="1700"/>
    <cellStyle name="Style 24" xfId="1701"/>
    <cellStyle name="Style 25" xfId="1702"/>
    <cellStyle name="Style 26" xfId="1703"/>
    <cellStyle name="Style 27" xfId="1704"/>
    <cellStyle name="Style 28" xfId="1705"/>
    <cellStyle name="Style 29" xfId="1706"/>
    <cellStyle name="Style 30" xfId="1707"/>
    <cellStyle name="Style 31" xfId="1708"/>
    <cellStyle name="Style 31 2" xfId="1709"/>
    <cellStyle name="Style 32" xfId="1710"/>
    <cellStyle name="Style 32 2" xfId="1711"/>
    <cellStyle name="Style 32 2 2" xfId="1712"/>
    <cellStyle name="Style 32 2 2 2" xfId="1713"/>
    <cellStyle name="Style 32 2 3" xfId="1714"/>
    <cellStyle name="Style 32 3" xfId="1715"/>
    <cellStyle name="Style 32 3 2" xfId="1716"/>
    <cellStyle name="Style 32 4" xfId="1717"/>
    <cellStyle name="Style 33" xfId="1718"/>
    <cellStyle name="Style 34" xfId="1719"/>
    <cellStyle name="Style 34 2" xfId="1720"/>
    <cellStyle name="Style 35" xfId="1721"/>
    <cellStyle name="Style 36" xfId="1722"/>
    <cellStyle name="Style 37" xfId="1723"/>
    <cellStyle name="Style 37 2" xfId="1724"/>
    <cellStyle name="Style 38" xfId="1725"/>
    <cellStyle name="Style 38 2" xfId="1726"/>
    <cellStyle name="Style 39" xfId="1727"/>
    <cellStyle name="Style 39 2" xfId="1728"/>
    <cellStyle name="Style 40" xfId="1729"/>
    <cellStyle name="Style 40 2" xfId="1730"/>
    <cellStyle name="Style 41" xfId="1731"/>
    <cellStyle name="Style 41 2" xfId="1732"/>
    <cellStyle name="Style 42" xfId="1733"/>
    <cellStyle name="Style 42 2" xfId="1734"/>
    <cellStyle name="Style 43" xfId="1735"/>
    <cellStyle name="Style 43 2" xfId="1736"/>
    <cellStyle name="Style 44" xfId="1737"/>
    <cellStyle name="Style 45" xfId="1738"/>
    <cellStyle name="Style 46" xfId="1739"/>
    <cellStyle name="Style 47" xfId="1740"/>
    <cellStyle name="Style 48" xfId="1741"/>
    <cellStyle name="Style 49" xfId="1742"/>
    <cellStyle name="Style 50" xfId="1743"/>
    <cellStyle name="Style 51" xfId="1744"/>
    <cellStyle name="Style 52" xfId="1745"/>
    <cellStyle name="Style 53" xfId="1746"/>
    <cellStyle name="Style 54" xfId="1747"/>
    <cellStyle name="Style 55" xfId="1748"/>
    <cellStyle name="Style 56" xfId="1749"/>
    <cellStyle name="Style 57" xfId="1750"/>
    <cellStyle name="Style 58" xfId="1751"/>
    <cellStyle name="Style 59" xfId="1752"/>
    <cellStyle name="Style 60" xfId="1753"/>
    <cellStyle name="Style 61" xfId="1754"/>
    <cellStyle name="Style 62" xfId="1755"/>
    <cellStyle name="Style 63" xfId="1756"/>
    <cellStyle name="Style 64" xfId="1757"/>
    <cellStyle name="Style 65" xfId="1758"/>
    <cellStyle name="Style 66" xfId="1759"/>
    <cellStyle name="Style 66 2" xfId="1760"/>
    <cellStyle name="Style 67" xfId="1761"/>
    <cellStyle name="Style 68" xfId="1762"/>
    <cellStyle name="Style 68 2" xfId="1763"/>
    <cellStyle name="Style 68 2 2" xfId="1764"/>
    <cellStyle name="Style 68 2 2 2" xfId="1765"/>
    <cellStyle name="Style 68 2 3" xfId="1766"/>
    <cellStyle name="Style 68 3" xfId="1767"/>
    <cellStyle name="Style 68 3 2" xfId="1768"/>
    <cellStyle name="Style 68 4" xfId="1769"/>
    <cellStyle name="Style 69" xfId="1770"/>
    <cellStyle name="Style 69 2" xfId="1771"/>
    <cellStyle name="Style 69 2 2" xfId="1772"/>
    <cellStyle name="Style 69 2 2 2" xfId="1773"/>
    <cellStyle name="Style 69 2 3" xfId="1774"/>
    <cellStyle name="Style 69 3" xfId="1775"/>
    <cellStyle name="Style 69 3 2" xfId="1776"/>
    <cellStyle name="Style 69 4" xfId="1777"/>
    <cellStyle name="Style 70" xfId="1778"/>
    <cellStyle name="Style 71" xfId="1779"/>
    <cellStyle name="Style 72" xfId="1780"/>
    <cellStyle name="Style 73" xfId="1781"/>
    <cellStyle name="Style 74" xfId="1782"/>
    <cellStyle name="Style 75" xfId="1783"/>
    <cellStyle name="Style 76" xfId="1784"/>
    <cellStyle name="Style 77" xfId="1785"/>
    <cellStyle name="Style 78" xfId="1786"/>
    <cellStyle name="Style 79" xfId="1787"/>
    <cellStyle name="Style 80" xfId="1788"/>
    <cellStyle name="Style 81" xfId="1789"/>
    <cellStyle name="Style 82" xfId="1790"/>
    <cellStyle name="Style 83" xfId="1791"/>
    <cellStyle name="Style 84" xfId="1792"/>
    <cellStyle name="Style 85" xfId="1793"/>
    <cellStyle name="Style 85 2" xfId="1794"/>
    <cellStyle name="Style 85 2 2" xfId="1795"/>
    <cellStyle name="Style 85 2 2 2" xfId="1796"/>
    <cellStyle name="Style 85 2 3" xfId="1797"/>
    <cellStyle name="Style 85 3" xfId="1798"/>
    <cellStyle name="Style 85 3 2" xfId="1799"/>
    <cellStyle name="Style 85 4" xfId="1800"/>
    <cellStyle name="Style 86" xfId="1801"/>
    <cellStyle name="Style 86 2" xfId="1802"/>
    <cellStyle name="Style 87" xfId="1803"/>
    <cellStyle name="Style 87 2" xfId="1804"/>
    <cellStyle name="Style 87 2 2" xfId="1805"/>
    <cellStyle name="Style 87 2 2 2" xfId="1806"/>
    <cellStyle name="Style 87 2 3" xfId="1807"/>
    <cellStyle name="Style 87 3" xfId="1808"/>
    <cellStyle name="Style 87 3 2" xfId="1809"/>
    <cellStyle name="Style 87 4" xfId="1810"/>
    <cellStyle name="Style 88" xfId="1811"/>
    <cellStyle name="Style 88 2" xfId="1812"/>
    <cellStyle name="Style 89" xfId="1813"/>
    <cellStyle name="Style 89 2" xfId="1814"/>
    <cellStyle name="Style 90" xfId="1815"/>
    <cellStyle name="Style 90 2" xfId="1816"/>
    <cellStyle name="Subtitle" xfId="1817"/>
    <cellStyle name="Subtitle 2" xfId="1818"/>
    <cellStyle name="Subtitle 3" xfId="1819"/>
    <cellStyle name="Subtotal" xfId="1820"/>
    <cellStyle name="Subtotal 2" xfId="2613"/>
    <cellStyle name="Table Head" xfId="1821"/>
    <cellStyle name="Table Head Aligned" xfId="1822"/>
    <cellStyle name="Table Head Blue" xfId="1823"/>
    <cellStyle name="Table Head Green" xfId="1824"/>
    <cellStyle name="Table Head_Val_Sum_Graph" xfId="1825"/>
    <cellStyle name="Table Text" xfId="1826"/>
    <cellStyle name="Table Title" xfId="1827"/>
    <cellStyle name="Table Units" xfId="1828"/>
    <cellStyle name="Table_Header" xfId="1829"/>
    <cellStyle name="taples Plaza" xfId="1830"/>
    <cellStyle name="test a style" xfId="2614"/>
    <cellStyle name="Text 1" xfId="1831"/>
    <cellStyle name="Text 8" xfId="1832"/>
    <cellStyle name="Text Head 1" xfId="1833"/>
    <cellStyle name="Text Indent A" xfId="1834"/>
    <cellStyle name="Text Indent B" xfId="1835"/>
    <cellStyle name="Text Indent C" xfId="1836"/>
    <cellStyle name="Thick Border" xfId="1837"/>
    <cellStyle name="Thick Border 2" xfId="1838"/>
    <cellStyle name="Thick Border 2 2" xfId="1839"/>
    <cellStyle name="Thick Border 2 2 2" xfId="1840"/>
    <cellStyle name="Thick Border 2 3" xfId="1841"/>
    <cellStyle name="Thick Border 3" xfId="1842"/>
    <cellStyle name="Thick Border 3 2" xfId="1843"/>
    <cellStyle name="Thick Border 4" xfId="1844"/>
    <cellStyle name="Thin Border" xfId="1845"/>
    <cellStyle name="Times 10" xfId="1846"/>
    <cellStyle name="Times 12" xfId="1847"/>
    <cellStyle name="Times New Roman" xfId="1848"/>
    <cellStyle name="Title 2" xfId="47"/>
    <cellStyle name="Title 2 2" xfId="1849"/>
    <cellStyle name="Title 2 3" xfId="1850"/>
    <cellStyle name="Title 3" xfId="1851"/>
    <cellStyle name="Title 4" xfId="1852"/>
    <cellStyle name="Title 5" xfId="1853"/>
    <cellStyle name="Title 6" xfId="1854"/>
    <cellStyle name="Title 7" xfId="2615"/>
    <cellStyle name="Title 8" xfId="2616"/>
    <cellStyle name="Title10" xfId="1855"/>
    <cellStyle name="Title2" xfId="1856"/>
    <cellStyle name="Title8" xfId="1857"/>
    <cellStyle name="Title8Left" xfId="1858"/>
    <cellStyle name="TitleCenter" xfId="1859"/>
    <cellStyle name="TitleII" xfId="1860"/>
    <cellStyle name="TitleLeft" xfId="1861"/>
    <cellStyle name="topline" xfId="1862"/>
    <cellStyle name="Total 10" xfId="1863"/>
    <cellStyle name="Total 10 10" xfId="1864"/>
    <cellStyle name="Total 10 11" xfId="1865"/>
    <cellStyle name="Total 10 2" xfId="1866"/>
    <cellStyle name="Total 10 3" xfId="1867"/>
    <cellStyle name="Total 10 4" xfId="1868"/>
    <cellStyle name="Total 10 5" xfId="1869"/>
    <cellStyle name="Total 10 6" xfId="1870"/>
    <cellStyle name="Total 10 7" xfId="1871"/>
    <cellStyle name="Total 10 8" xfId="1872"/>
    <cellStyle name="Total 10 9" xfId="1873"/>
    <cellStyle name="Total 11" xfId="1874"/>
    <cellStyle name="Total 11 10" xfId="1875"/>
    <cellStyle name="Total 11 11" xfId="1876"/>
    <cellStyle name="Total 11 2" xfId="1877"/>
    <cellStyle name="Total 11 3" xfId="1878"/>
    <cellStyle name="Total 11 4" xfId="1879"/>
    <cellStyle name="Total 11 5" xfId="1880"/>
    <cellStyle name="Total 11 6" xfId="1881"/>
    <cellStyle name="Total 11 7" xfId="1882"/>
    <cellStyle name="Total 11 8" xfId="1883"/>
    <cellStyle name="Total 11 9" xfId="1884"/>
    <cellStyle name="Total 12" xfId="1885"/>
    <cellStyle name="Total 12 10" xfId="1886"/>
    <cellStyle name="Total 12 11" xfId="1887"/>
    <cellStyle name="Total 12 2" xfId="1888"/>
    <cellStyle name="Total 12 3" xfId="1889"/>
    <cellStyle name="Total 12 4" xfId="1890"/>
    <cellStyle name="Total 12 5" xfId="1891"/>
    <cellStyle name="Total 12 6" xfId="1892"/>
    <cellStyle name="Total 12 7" xfId="1893"/>
    <cellStyle name="Total 12 8" xfId="1894"/>
    <cellStyle name="Total 12 9" xfId="1895"/>
    <cellStyle name="Total 13" xfId="1896"/>
    <cellStyle name="Total 13 10" xfId="1897"/>
    <cellStyle name="Total 13 11" xfId="1898"/>
    <cellStyle name="Total 13 2" xfId="1899"/>
    <cellStyle name="Total 13 3" xfId="1900"/>
    <cellStyle name="Total 13 4" xfId="1901"/>
    <cellStyle name="Total 13 5" xfId="1902"/>
    <cellStyle name="Total 13 6" xfId="1903"/>
    <cellStyle name="Total 13 7" xfId="1904"/>
    <cellStyle name="Total 13 8" xfId="1905"/>
    <cellStyle name="Total 13 9" xfId="1906"/>
    <cellStyle name="Total 14" xfId="1907"/>
    <cellStyle name="Total 14 10" xfId="1908"/>
    <cellStyle name="Total 14 11" xfId="1909"/>
    <cellStyle name="Total 14 2" xfId="1910"/>
    <cellStyle name="Total 14 3" xfId="1911"/>
    <cellStyle name="Total 14 4" xfId="1912"/>
    <cellStyle name="Total 14 5" xfId="1913"/>
    <cellStyle name="Total 14 6" xfId="1914"/>
    <cellStyle name="Total 14 7" xfId="1915"/>
    <cellStyle name="Total 14 8" xfId="1916"/>
    <cellStyle name="Total 14 9" xfId="1917"/>
    <cellStyle name="Total 15" xfId="1918"/>
    <cellStyle name="Total 16" xfId="1919"/>
    <cellStyle name="Total 17" xfId="1920"/>
    <cellStyle name="Total 18" xfId="1921"/>
    <cellStyle name="Total 19" xfId="2617"/>
    <cellStyle name="Total 2" xfId="48"/>
    <cellStyle name="Total 2 10" xfId="1922"/>
    <cellStyle name="Total 2 11" xfId="1923"/>
    <cellStyle name="Total 2 11 2" xfId="2618"/>
    <cellStyle name="Total 2 12" xfId="2619"/>
    <cellStyle name="Total 2 13" xfId="2620"/>
    <cellStyle name="Total 2 14" xfId="2621"/>
    <cellStyle name="Total 2 15" xfId="2622"/>
    <cellStyle name="Total 2 16" xfId="2623"/>
    <cellStyle name="Total 2 17" xfId="2624"/>
    <cellStyle name="Total 2 18" xfId="2625"/>
    <cellStyle name="Total 2 19" xfId="2626"/>
    <cellStyle name="Total 2 2" xfId="1924"/>
    <cellStyle name="Total 2 2 2" xfId="1925"/>
    <cellStyle name="Total 2 2 2 2" xfId="1926"/>
    <cellStyle name="Total 2 2 2 2 2" xfId="1927"/>
    <cellStyle name="Total 2 2 2 2 3" xfId="1928"/>
    <cellStyle name="Total 2 2 2 3" xfId="1929"/>
    <cellStyle name="Total 2 2 2 4" xfId="1930"/>
    <cellStyle name="Total 2 2 3" xfId="1931"/>
    <cellStyle name="Total 2 2 3 2" xfId="1932"/>
    <cellStyle name="Total 2 2 3 3" xfId="1933"/>
    <cellStyle name="Total 2 2 4" xfId="1934"/>
    <cellStyle name="Total 2 2 5" xfId="1935"/>
    <cellStyle name="Total 2 20" xfId="2627"/>
    <cellStyle name="Total 2 21" xfId="2628"/>
    <cellStyle name="Total 2 22" xfId="2629"/>
    <cellStyle name="Total 2 23" xfId="2630"/>
    <cellStyle name="Total 2 24" xfId="2631"/>
    <cellStyle name="Total 2 25" xfId="2632"/>
    <cellStyle name="Total 2 26" xfId="2633"/>
    <cellStyle name="Total 2 27" xfId="2634"/>
    <cellStyle name="Total 2 28" xfId="2635"/>
    <cellStyle name="Total 2 29" xfId="2636"/>
    <cellStyle name="Total 2 3" xfId="1936"/>
    <cellStyle name="Total 2 30" xfId="2637"/>
    <cellStyle name="Total 2 31" xfId="2638"/>
    <cellStyle name="Total 2 32" xfId="2639"/>
    <cellStyle name="Total 2 33" xfId="2640"/>
    <cellStyle name="Total 2 34" xfId="2641"/>
    <cellStyle name="Total 2 35" xfId="2642"/>
    <cellStyle name="Total 2 36" xfId="2643"/>
    <cellStyle name="Total 2 37" xfId="2644"/>
    <cellStyle name="Total 2 38" xfId="2645"/>
    <cellStyle name="Total 2 39" xfId="2646"/>
    <cellStyle name="Total 2 4" xfId="1937"/>
    <cellStyle name="Total 2 40" xfId="2647"/>
    <cellStyle name="Total 2 41" xfId="2648"/>
    <cellStyle name="Total 2 42" xfId="2649"/>
    <cellStyle name="Total 2 43" xfId="2650"/>
    <cellStyle name="Total 2 44" xfId="2651"/>
    <cellStyle name="Total 2 45" xfId="2652"/>
    <cellStyle name="Total 2 46" xfId="2653"/>
    <cellStyle name="Total 2 47" xfId="2654"/>
    <cellStyle name="Total 2 48" xfId="2655"/>
    <cellStyle name="Total 2 49" xfId="2656"/>
    <cellStyle name="Total 2 5" xfId="1938"/>
    <cellStyle name="Total 2 50" xfId="2657"/>
    <cellStyle name="Total 2 51" xfId="2658"/>
    <cellStyle name="Total 2 52" xfId="2659"/>
    <cellStyle name="Total 2 53" xfId="2660"/>
    <cellStyle name="Total 2 54" xfId="2661"/>
    <cellStyle name="Total 2 55" xfId="2662"/>
    <cellStyle name="Total 2 56" xfId="2663"/>
    <cellStyle name="Total 2 57" xfId="2664"/>
    <cellStyle name="Total 2 58" xfId="2665"/>
    <cellStyle name="Total 2 59" xfId="2666"/>
    <cellStyle name="Total 2 6" xfId="1939"/>
    <cellStyle name="Total 2 60" xfId="2667"/>
    <cellStyle name="Total 2 61" xfId="2668"/>
    <cellStyle name="Total 2 62" xfId="2669"/>
    <cellStyle name="Total 2 63" xfId="2670"/>
    <cellStyle name="Total 2 64" xfId="2671"/>
    <cellStyle name="Total 2 65" xfId="2672"/>
    <cellStyle name="Total 2 66" xfId="2673"/>
    <cellStyle name="Total 2 67" xfId="2674"/>
    <cellStyle name="Total 2 7" xfId="1940"/>
    <cellStyle name="Total 2 7 2" xfId="1941"/>
    <cellStyle name="Total 2 7 3" xfId="1942"/>
    <cellStyle name="Total 2 7 4" xfId="1943"/>
    <cellStyle name="Total 2 8" xfId="1944"/>
    <cellStyle name="Total 2 8 2" xfId="1945"/>
    <cellStyle name="Total 2 9" xfId="1946"/>
    <cellStyle name="Total 20" xfId="2675"/>
    <cellStyle name="Total 3" xfId="1947"/>
    <cellStyle name="Total 3 10" xfId="1948"/>
    <cellStyle name="Total 3 11" xfId="1949"/>
    <cellStyle name="Total 3 2" xfId="1950"/>
    <cellStyle name="Total 3 3" xfId="1951"/>
    <cellStyle name="Total 3 4" xfId="1952"/>
    <cellStyle name="Total 3 5" xfId="1953"/>
    <cellStyle name="Total 3 6" xfId="1954"/>
    <cellStyle name="Total 3 7" xfId="1955"/>
    <cellStyle name="Total 3 8" xfId="1956"/>
    <cellStyle name="Total 3 9" xfId="1957"/>
    <cellStyle name="Total 4" xfId="1958"/>
    <cellStyle name="Total 4 10" xfId="1959"/>
    <cellStyle name="Total 4 11" xfId="1960"/>
    <cellStyle name="Total 4 2" xfId="1961"/>
    <cellStyle name="Total 4 3" xfId="1962"/>
    <cellStyle name="Total 4 4" xfId="1963"/>
    <cellStyle name="Total 4 5" xfId="1964"/>
    <cellStyle name="Total 4 6" xfId="1965"/>
    <cellStyle name="Total 4 7" xfId="1966"/>
    <cellStyle name="Total 4 8" xfId="1967"/>
    <cellStyle name="Total 4 9" xfId="1968"/>
    <cellStyle name="Total 5" xfId="1969"/>
    <cellStyle name="Total 5 10" xfId="1970"/>
    <cellStyle name="Total 5 11" xfId="1971"/>
    <cellStyle name="Total 5 2" xfId="1972"/>
    <cellStyle name="Total 5 3" xfId="1973"/>
    <cellStyle name="Total 5 4" xfId="1974"/>
    <cellStyle name="Total 5 5" xfId="1975"/>
    <cellStyle name="Total 5 6" xfId="1976"/>
    <cellStyle name="Total 5 7" xfId="1977"/>
    <cellStyle name="Total 5 8" xfId="1978"/>
    <cellStyle name="Total 5 9" xfId="1979"/>
    <cellStyle name="Total 6" xfId="1980"/>
    <cellStyle name="Total 6 10" xfId="1981"/>
    <cellStyle name="Total 6 11" xfId="1982"/>
    <cellStyle name="Total 6 2" xfId="1983"/>
    <cellStyle name="Total 6 3" xfId="1984"/>
    <cellStyle name="Total 6 4" xfId="1985"/>
    <cellStyle name="Total 6 5" xfId="1986"/>
    <cellStyle name="Total 6 6" xfId="1987"/>
    <cellStyle name="Total 6 7" xfId="1988"/>
    <cellStyle name="Total 6 8" xfId="1989"/>
    <cellStyle name="Total 6 9" xfId="1990"/>
    <cellStyle name="Total 7" xfId="1991"/>
    <cellStyle name="Total 7 10" xfId="1992"/>
    <cellStyle name="Total 7 11" xfId="1993"/>
    <cellStyle name="Total 7 2" xfId="1994"/>
    <cellStyle name="Total 7 3" xfId="1995"/>
    <cellStyle name="Total 7 4" xfId="1996"/>
    <cellStyle name="Total 7 5" xfId="1997"/>
    <cellStyle name="Total 7 6" xfId="1998"/>
    <cellStyle name="Total 7 7" xfId="1999"/>
    <cellStyle name="Total 7 8" xfId="2000"/>
    <cellStyle name="Total 7 9" xfId="2001"/>
    <cellStyle name="Total 8" xfId="2002"/>
    <cellStyle name="Total 8 10" xfId="2003"/>
    <cellStyle name="Total 8 11" xfId="2004"/>
    <cellStyle name="Total 8 2" xfId="2005"/>
    <cellStyle name="Total 8 3" xfId="2006"/>
    <cellStyle name="Total 8 4" xfId="2007"/>
    <cellStyle name="Total 8 5" xfId="2008"/>
    <cellStyle name="Total 8 6" xfId="2009"/>
    <cellStyle name="Total 8 7" xfId="2010"/>
    <cellStyle name="Total 8 8" xfId="2011"/>
    <cellStyle name="Total 8 9" xfId="2012"/>
    <cellStyle name="Total 9" xfId="2013"/>
    <cellStyle name="Total 9 10" xfId="2014"/>
    <cellStyle name="Total 9 11" xfId="2015"/>
    <cellStyle name="Total 9 2" xfId="2016"/>
    <cellStyle name="Total 9 3" xfId="2017"/>
    <cellStyle name="Total 9 4" xfId="2018"/>
    <cellStyle name="Total 9 5" xfId="2019"/>
    <cellStyle name="Total 9 6" xfId="2020"/>
    <cellStyle name="Total 9 7" xfId="2021"/>
    <cellStyle name="Total 9 8" xfId="2022"/>
    <cellStyle name="Total 9 9" xfId="2023"/>
    <cellStyle name="TransVal" xfId="2024"/>
    <cellStyle name="Underline_Single" xfId="2025"/>
    <cellStyle name="Unprot" xfId="2026"/>
    <cellStyle name="Unprot 2" xfId="2027"/>
    <cellStyle name="Unprot$" xfId="2028"/>
    <cellStyle name="Unprot_Copy of TEPCC model26 mc3" xfId="2029"/>
    <cellStyle name="Unprotect" xfId="2030"/>
    <cellStyle name="Unprotect 2" xfId="2676"/>
    <cellStyle name="Unprotected" xfId="2051"/>
    <cellStyle name="Value" xfId="2677"/>
    <cellStyle name="Warning Text 2" xfId="49"/>
    <cellStyle name="Warning Text 2 2" xfId="2031"/>
    <cellStyle name="Warning Text 2 3" xfId="2032"/>
    <cellStyle name="Warning Text 3" xfId="2033"/>
    <cellStyle name="Warning Text 4" xfId="2034"/>
    <cellStyle name="Warning Text 5" xfId="2035"/>
    <cellStyle name="Warning Text 6" xfId="2678"/>
    <cellStyle name="WholeNumber" xfId="2036"/>
    <cellStyle name="year" xfId="2037"/>
    <cellStyle name="Yen" xfId="2038"/>
    <cellStyle name="Yes No" xfId="2039"/>
    <cellStyle name="桁区切り [0.00]_PERSONAL" xfId="2040"/>
    <cellStyle name="桁区切り_PERSONAL" xfId="2041"/>
    <cellStyle name="標準_PERSONAL" xfId="2042"/>
    <cellStyle name="通貨 [0.00]_PERSONAL" xfId="2043"/>
    <cellStyle name="通貨_PERSONAL" xfId="2044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CAISO Load-Resource</a:t>
            </a:r>
            <a:r>
              <a:rPr lang="en-US" baseline="0"/>
              <a:t> Balance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'Control Panel'!$E$18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Panel'!$F$18:$Y$18</c:f>
              <c:numCache>
                <c:formatCode>_(* #,##0_);_(* \(#,##0\);_(* "-"??_);_(@_)</c:formatCode>
                <c:ptCount val="20"/>
                <c:pt idx="0">
                  <c:v>4486</c:v>
                </c:pt>
                <c:pt idx="1">
                  <c:v>4486</c:v>
                </c:pt>
                <c:pt idx="2">
                  <c:v>4486</c:v>
                </c:pt>
                <c:pt idx="3">
                  <c:v>4486</c:v>
                </c:pt>
                <c:pt idx="4">
                  <c:v>4486</c:v>
                </c:pt>
                <c:pt idx="5">
                  <c:v>4486</c:v>
                </c:pt>
                <c:pt idx="6">
                  <c:v>4486</c:v>
                </c:pt>
                <c:pt idx="7">
                  <c:v>4486</c:v>
                </c:pt>
                <c:pt idx="8">
                  <c:v>4486</c:v>
                </c:pt>
                <c:pt idx="9">
                  <c:v>4486</c:v>
                </c:pt>
                <c:pt idx="10">
                  <c:v>4486</c:v>
                </c:pt>
                <c:pt idx="11">
                  <c:v>4486</c:v>
                </c:pt>
                <c:pt idx="12">
                  <c:v>4486</c:v>
                </c:pt>
                <c:pt idx="13">
                  <c:v>4486</c:v>
                </c:pt>
                <c:pt idx="14">
                  <c:v>4486</c:v>
                </c:pt>
                <c:pt idx="15">
                  <c:v>4486</c:v>
                </c:pt>
                <c:pt idx="16">
                  <c:v>4486</c:v>
                </c:pt>
                <c:pt idx="17">
                  <c:v>4486</c:v>
                </c:pt>
                <c:pt idx="18">
                  <c:v>4486</c:v>
                </c:pt>
                <c:pt idx="19">
                  <c:v>4486</c:v>
                </c:pt>
              </c:numCache>
            </c:numRef>
          </c:val>
        </c:ser>
        <c:ser>
          <c:idx val="1"/>
          <c:order val="1"/>
          <c:tx>
            <c:strRef>
              <c:f>'Control Panel'!$E$19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Panel'!$F$19:$Y$19</c:f>
              <c:numCache>
                <c:formatCode>_(* #,##0_);_(* \(#,##0\);_(* "-"??_);_(@_)</c:formatCode>
                <c:ptCount val="20"/>
                <c:pt idx="0">
                  <c:v>34055.836150000003</c:v>
                </c:pt>
                <c:pt idx="1">
                  <c:v>36450.892300000007</c:v>
                </c:pt>
                <c:pt idx="2">
                  <c:v>38434.948450000004</c:v>
                </c:pt>
                <c:pt idx="3">
                  <c:v>37502.004600000007</c:v>
                </c:pt>
                <c:pt idx="4">
                  <c:v>36707.060750000004</c:v>
                </c:pt>
                <c:pt idx="5">
                  <c:v>35832.116900000008</c:v>
                </c:pt>
                <c:pt idx="6">
                  <c:v>31176.143050000002</c:v>
                </c:pt>
                <c:pt idx="7">
                  <c:v>30301.199200000003</c:v>
                </c:pt>
                <c:pt idx="8">
                  <c:v>29426.255350000003</c:v>
                </c:pt>
                <c:pt idx="9">
                  <c:v>27425.751500000002</c:v>
                </c:pt>
                <c:pt idx="10">
                  <c:v>27425.751500000002</c:v>
                </c:pt>
                <c:pt idx="11">
                  <c:v>27425.751500000002</c:v>
                </c:pt>
                <c:pt idx="12">
                  <c:v>27425.751500000002</c:v>
                </c:pt>
                <c:pt idx="13">
                  <c:v>27425.751500000002</c:v>
                </c:pt>
                <c:pt idx="14">
                  <c:v>27425.751500000002</c:v>
                </c:pt>
                <c:pt idx="15">
                  <c:v>27425.751500000002</c:v>
                </c:pt>
                <c:pt idx="16">
                  <c:v>27425.751500000002</c:v>
                </c:pt>
                <c:pt idx="17">
                  <c:v>27425.751500000002</c:v>
                </c:pt>
                <c:pt idx="18">
                  <c:v>27425.751500000002</c:v>
                </c:pt>
                <c:pt idx="19">
                  <c:v>27425.751500000002</c:v>
                </c:pt>
              </c:numCache>
            </c:numRef>
          </c:val>
        </c:ser>
        <c:ser>
          <c:idx val="2"/>
          <c:order val="2"/>
          <c:tx>
            <c:strRef>
              <c:f>'Control Panel'!$E$21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Panel'!$F$21:$Y$21</c:f>
              <c:numCache>
                <c:formatCode>_(* #,##0_);_(* \(#,##0\);_(* "-"??_);_(@_)</c:formatCode>
                <c:ptCount val="20"/>
                <c:pt idx="0">
                  <c:v>7974.6913200000008</c:v>
                </c:pt>
                <c:pt idx="1">
                  <c:v>7974.6913200000008</c:v>
                </c:pt>
                <c:pt idx="2">
                  <c:v>7974.6913200000008</c:v>
                </c:pt>
                <c:pt idx="3">
                  <c:v>7974.6913200000008</c:v>
                </c:pt>
                <c:pt idx="4">
                  <c:v>7974.6913200000008</c:v>
                </c:pt>
                <c:pt idx="5">
                  <c:v>7974.6913200000008</c:v>
                </c:pt>
                <c:pt idx="6">
                  <c:v>7974.6913200000008</c:v>
                </c:pt>
                <c:pt idx="7">
                  <c:v>7974.6913200000008</c:v>
                </c:pt>
                <c:pt idx="8">
                  <c:v>7974.6913200000008</c:v>
                </c:pt>
                <c:pt idx="9">
                  <c:v>7974.6913200000008</c:v>
                </c:pt>
                <c:pt idx="10">
                  <c:v>7974.6913200000008</c:v>
                </c:pt>
                <c:pt idx="11">
                  <c:v>7974.6913200000008</c:v>
                </c:pt>
                <c:pt idx="12">
                  <c:v>7974.6913200000008</c:v>
                </c:pt>
                <c:pt idx="13">
                  <c:v>7974.6913200000008</c:v>
                </c:pt>
                <c:pt idx="14">
                  <c:v>7974.6913200000008</c:v>
                </c:pt>
                <c:pt idx="15">
                  <c:v>7974.6913200000008</c:v>
                </c:pt>
                <c:pt idx="16">
                  <c:v>7974.6913200000008</c:v>
                </c:pt>
                <c:pt idx="17">
                  <c:v>7974.6913200000008</c:v>
                </c:pt>
                <c:pt idx="18">
                  <c:v>7974.6913200000008</c:v>
                </c:pt>
                <c:pt idx="19">
                  <c:v>7974.6913200000008</c:v>
                </c:pt>
              </c:numCache>
            </c:numRef>
          </c:val>
        </c:ser>
        <c:ser>
          <c:idx val="3"/>
          <c:order val="3"/>
          <c:tx>
            <c:strRef>
              <c:f>'Control Panel'!$E$22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Panel'!$F$22:$Y$22</c:f>
              <c:numCache>
                <c:formatCode>_(* #,##0_);_(* \(#,##0\);_(* "-"??_);_(@_)</c:formatCode>
                <c:ptCount val="20"/>
                <c:pt idx="0">
                  <c:v>580.35</c:v>
                </c:pt>
                <c:pt idx="1">
                  <c:v>580.35</c:v>
                </c:pt>
                <c:pt idx="2">
                  <c:v>609.39</c:v>
                </c:pt>
                <c:pt idx="3">
                  <c:v>656.12761256862541</c:v>
                </c:pt>
                <c:pt idx="4">
                  <c:v>656.12761256862541</c:v>
                </c:pt>
                <c:pt idx="5">
                  <c:v>656.12761256862541</c:v>
                </c:pt>
                <c:pt idx="6">
                  <c:v>656.12761256862541</c:v>
                </c:pt>
                <c:pt idx="7">
                  <c:v>656.12761256862541</c:v>
                </c:pt>
                <c:pt idx="8">
                  <c:v>656.12761256862541</c:v>
                </c:pt>
                <c:pt idx="9">
                  <c:v>656.12761256862541</c:v>
                </c:pt>
                <c:pt idx="10">
                  <c:v>656.3076285331764</c:v>
                </c:pt>
                <c:pt idx="11">
                  <c:v>656.4898946972844</c:v>
                </c:pt>
                <c:pt idx="12">
                  <c:v>656.67443918844378</c:v>
                </c:pt>
                <c:pt idx="13">
                  <c:v>656.86129048574264</c:v>
                </c:pt>
                <c:pt idx="14">
                  <c:v>657.05047742425779</c:v>
                </c:pt>
                <c:pt idx="15">
                  <c:v>657.24202919950426</c:v>
                </c:pt>
                <c:pt idx="16">
                  <c:v>657.43597537194137</c:v>
                </c:pt>
                <c:pt idx="17">
                  <c:v>657.63234587153397</c:v>
                </c:pt>
                <c:pt idx="18">
                  <c:v>667.86045045420337</c:v>
                </c:pt>
                <c:pt idx="19">
                  <c:v>682.76279517095486</c:v>
                </c:pt>
              </c:numCache>
            </c:numRef>
          </c:val>
        </c:ser>
        <c:ser>
          <c:idx val="4"/>
          <c:order val="4"/>
          <c:tx>
            <c:strRef>
              <c:f>'Control Panel'!$E$23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Panel'!$F$23:$Y$23</c:f>
              <c:numCache>
                <c:formatCode>_(* #,##0_);_(* \(#,##0\);_(* "-"??_);_(@_)</c:formatCode>
                <c:ptCount val="20"/>
                <c:pt idx="0">
                  <c:v>1079.1300000000001</c:v>
                </c:pt>
                <c:pt idx="1">
                  <c:v>1079.1300000000001</c:v>
                </c:pt>
                <c:pt idx="2">
                  <c:v>1079.1300000000001</c:v>
                </c:pt>
                <c:pt idx="3">
                  <c:v>1177.1210574158747</c:v>
                </c:pt>
                <c:pt idx="4">
                  <c:v>1205.3199228592919</c:v>
                </c:pt>
                <c:pt idx="5">
                  <c:v>1205.3199228592919</c:v>
                </c:pt>
                <c:pt idx="6">
                  <c:v>1205.3199228592919</c:v>
                </c:pt>
                <c:pt idx="7">
                  <c:v>1205.3199228592919</c:v>
                </c:pt>
                <c:pt idx="8">
                  <c:v>1240.6191022155492</c:v>
                </c:pt>
                <c:pt idx="9">
                  <c:v>1240.6191022155492</c:v>
                </c:pt>
                <c:pt idx="10">
                  <c:v>1240.8280670988734</c:v>
                </c:pt>
                <c:pt idx="11">
                  <c:v>1241.0396440432394</c:v>
                </c:pt>
                <c:pt idx="12">
                  <c:v>1241.2538656994097</c:v>
                </c:pt>
                <c:pt idx="13">
                  <c:v>1241.4707651262825</c:v>
                </c:pt>
                <c:pt idx="14">
                  <c:v>1241.6903757959908</c:v>
                </c:pt>
                <c:pt idx="15">
                  <c:v>1241.9127315990706</c:v>
                </c:pt>
                <c:pt idx="16">
                  <c:v>1242.1378668496891</c:v>
                </c:pt>
                <c:pt idx="17">
                  <c:v>1242.3658162909401</c:v>
                </c:pt>
                <c:pt idx="18">
                  <c:v>1254.2387337073253</c:v>
                </c:pt>
                <c:pt idx="19">
                  <c:v>1271.5375701341932</c:v>
                </c:pt>
              </c:numCache>
            </c:numRef>
          </c:val>
        </c:ser>
        <c:ser>
          <c:idx val="8"/>
          <c:order val="5"/>
          <c:tx>
            <c:strRef>
              <c:f>'Control Panel'!$E$24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Panel'!$F$24:$Y$24</c:f>
              <c:numCache>
                <c:formatCode>_(* #,##0_);_(* \(#,##0\);_(* "-"??_);_(@_)</c:formatCode>
                <c:ptCount val="20"/>
                <c:pt idx="0">
                  <c:v>383.63907443429684</c:v>
                </c:pt>
                <c:pt idx="1">
                  <c:v>458.11159263619811</c:v>
                </c:pt>
                <c:pt idx="2">
                  <c:v>625.6653202419518</c:v>
                </c:pt>
                <c:pt idx="3">
                  <c:v>1000.6239620625171</c:v>
                </c:pt>
                <c:pt idx="4">
                  <c:v>2271.7458900191505</c:v>
                </c:pt>
                <c:pt idx="5">
                  <c:v>2892.4867265451821</c:v>
                </c:pt>
                <c:pt idx="6">
                  <c:v>3570.3764187551214</c:v>
                </c:pt>
                <c:pt idx="7">
                  <c:v>3570.3764187551214</c:v>
                </c:pt>
                <c:pt idx="8">
                  <c:v>4644.0376705905146</c:v>
                </c:pt>
                <c:pt idx="9">
                  <c:v>4644.0376705905146</c:v>
                </c:pt>
                <c:pt idx="10">
                  <c:v>4652.4286313785115</c:v>
                </c:pt>
                <c:pt idx="11">
                  <c:v>4660.9244791763595</c:v>
                </c:pt>
                <c:pt idx="12">
                  <c:v>4669.526525071682</c:v>
                </c:pt>
                <c:pt idx="13">
                  <c:v>4678.2360965406942</c:v>
                </c:pt>
                <c:pt idx="14">
                  <c:v>4687.0545376530699</c:v>
                </c:pt>
                <c:pt idx="15">
                  <c:v>4695.9832092793504</c:v>
                </c:pt>
                <c:pt idx="16">
                  <c:v>4705.0234893009592</c:v>
                </c:pt>
                <c:pt idx="17">
                  <c:v>4714.1767728228369</c:v>
                </c:pt>
                <c:pt idx="18">
                  <c:v>5190.9324022623332</c:v>
                </c:pt>
                <c:pt idx="19">
                  <c:v>5885.5651837453825</c:v>
                </c:pt>
              </c:numCache>
            </c:numRef>
          </c:val>
        </c:ser>
        <c:ser>
          <c:idx val="9"/>
          <c:order val="6"/>
          <c:tx>
            <c:strRef>
              <c:f>'Control Panel'!$E$25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Panel'!$F$25:$Y$25</c:f>
              <c:numCache>
                <c:formatCode>_(* #,##0_);_(* \(#,##0\);_(* "-"??_);_(@_)</c:formatCode>
                <c:ptCount val="20"/>
                <c:pt idx="0">
                  <c:v>339.41998874822337</c:v>
                </c:pt>
                <c:pt idx="1">
                  <c:v>345.86632148554139</c:v>
                </c:pt>
                <c:pt idx="2">
                  <c:v>345.86632148554139</c:v>
                </c:pt>
                <c:pt idx="3">
                  <c:v>358.56948098560991</c:v>
                </c:pt>
                <c:pt idx="4">
                  <c:v>852.18958877195018</c:v>
                </c:pt>
                <c:pt idx="5">
                  <c:v>877.32809799889651</c:v>
                </c:pt>
                <c:pt idx="6">
                  <c:v>1049.9204433631955</c:v>
                </c:pt>
                <c:pt idx="7">
                  <c:v>1049.9204433631955</c:v>
                </c:pt>
                <c:pt idx="8">
                  <c:v>1053.1857930013412</c:v>
                </c:pt>
                <c:pt idx="9">
                  <c:v>1053.1857930013412</c:v>
                </c:pt>
                <c:pt idx="10">
                  <c:v>1055.0537788385136</c:v>
                </c:pt>
                <c:pt idx="11">
                  <c:v>1056.9451144986513</c:v>
                </c:pt>
                <c:pt idx="12">
                  <c:v>1058.8600918545403</c:v>
                </c:pt>
                <c:pt idx="13">
                  <c:v>1060.7990064273779</c:v>
                </c:pt>
                <c:pt idx="14">
                  <c:v>1062.7621574323762</c:v>
                </c:pt>
                <c:pt idx="15">
                  <c:v>1064.7498478249368</c:v>
                </c:pt>
                <c:pt idx="16">
                  <c:v>1066.7623843474046</c:v>
                </c:pt>
                <c:pt idx="17">
                  <c:v>1068.8000775764028</c:v>
                </c:pt>
                <c:pt idx="18">
                  <c:v>1174.9348559511443</c:v>
                </c:pt>
                <c:pt idx="19">
                  <c:v>1329.5731900620781</c:v>
                </c:pt>
              </c:numCache>
            </c:numRef>
          </c:val>
        </c:ser>
        <c:ser>
          <c:idx val="5"/>
          <c:order val="7"/>
          <c:tx>
            <c:strRef>
              <c:f>'Control Panel'!$E$26</c:f>
              <c:strCache>
                <c:ptCount val="1"/>
                <c:pt idx="0">
                  <c:v>Imports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'Control Panel'!$F$7:$Y$7</c:f>
              <c:numCache>
                <c:formatCode>General</c:formatCode>
                <c:ptCount val="2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  <c:pt idx="18">
                  <c:v>2029</c:v>
                </c:pt>
                <c:pt idx="19">
                  <c:v>2030</c:v>
                </c:pt>
              </c:numCache>
            </c:numRef>
          </c:cat>
          <c:val>
            <c:numRef>
              <c:f>'Control Panel'!$F$26:$Y$26</c:f>
              <c:numCache>
                <c:formatCode>_(* #,##0_);_(* \(#,##0\);_(* "-"??_);_(@_)</c:formatCode>
                <c:ptCount val="20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08704000"/>
        <c:axId val="308705920"/>
      </c:barChart>
      <c:lineChart>
        <c:grouping val="standard"/>
        <c:varyColors val="0"/>
        <c:ser>
          <c:idx val="6"/>
          <c:order val="8"/>
          <c:tx>
            <c:strRef>
              <c:f>'Control Panel'!$E$54</c:f>
              <c:strCache>
                <c:ptCount val="1"/>
                <c:pt idx="0">
                  <c:v>Peak Summer Demand</c:v>
                </c:pt>
              </c:strCache>
            </c:strRef>
          </c:tx>
          <c:spPr>
            <a:ln w="31750">
              <a:solidFill>
                <a:schemeClr val="tx1"/>
              </a:solidFill>
              <a:prstDash val="sysDash"/>
            </a:ln>
          </c:spPr>
          <c:marker>
            <c:symbol val="x"/>
            <c:size val="5"/>
            <c:spPr>
              <a:noFill/>
              <a:ln w="25400">
                <a:solidFill>
                  <a:schemeClr val="tx1"/>
                </a:solidFill>
              </a:ln>
            </c:spPr>
          </c:marker>
          <c:val>
            <c:numRef>
              <c:f>'Control Panel'!$F$54:$Y$54</c:f>
              <c:numCache>
                <c:formatCode>_(* #,##0_);_(* \(#,##0\);_(* "-"??_);_(@_)</c:formatCode>
                <c:ptCount val="20"/>
                <c:pt idx="0">
                  <c:v>45710.177420015774</c:v>
                </c:pt>
                <c:pt idx="1">
                  <c:v>45189.804429132266</c:v>
                </c:pt>
                <c:pt idx="2">
                  <c:v>45028.580994139018</c:v>
                </c:pt>
                <c:pt idx="3">
                  <c:v>50258.668165859111</c:v>
                </c:pt>
                <c:pt idx="4">
                  <c:v>50888.312740838628</c:v>
                </c:pt>
                <c:pt idx="5">
                  <c:v>51529.776942756696</c:v>
                </c:pt>
                <c:pt idx="6">
                  <c:v>52221.696642791088</c:v>
                </c:pt>
                <c:pt idx="7">
                  <c:v>52880.489006220509</c:v>
                </c:pt>
                <c:pt idx="8">
                  <c:v>53546.293108114944</c:v>
                </c:pt>
                <c:pt idx="9">
                  <c:v>54273.408651904982</c:v>
                </c:pt>
                <c:pt idx="10">
                  <c:v>54964.636102811914</c:v>
                </c:pt>
                <c:pt idx="11">
                  <c:v>55664.503896855182</c:v>
                </c:pt>
                <c:pt idx="12">
                  <c:v>56373.120038323992</c:v>
                </c:pt>
                <c:pt idx="13">
                  <c:v>57090.593881561166</c:v>
                </c:pt>
                <c:pt idx="14">
                  <c:v>57817.0361478388</c:v>
                </c:pt>
                <c:pt idx="15">
                  <c:v>58552.558942444906</c:v>
                </c:pt>
                <c:pt idx="16">
                  <c:v>59297.275771983586</c:v>
                </c:pt>
                <c:pt idx="17">
                  <c:v>60051.301561891501</c:v>
                </c:pt>
                <c:pt idx="18">
                  <c:v>60814.752674173265</c:v>
                </c:pt>
                <c:pt idx="19">
                  <c:v>61587.746925358551</c:v>
                </c:pt>
              </c:numCache>
            </c:numRef>
          </c:val>
          <c:smooth val="0"/>
        </c:ser>
        <c:ser>
          <c:idx val="7"/>
          <c:order val="9"/>
          <c:tx>
            <c:strRef>
              <c:f>'Control Panel'!$E$56</c:f>
              <c:strCache>
                <c:ptCount val="1"/>
                <c:pt idx="0">
                  <c:v>Total Capacity Requirement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plus"/>
            <c:size val="5"/>
            <c:spPr>
              <a:ln w="28575">
                <a:solidFill>
                  <a:schemeClr val="tx1"/>
                </a:solidFill>
              </a:ln>
            </c:spPr>
          </c:marker>
          <c:val>
            <c:numRef>
              <c:f>'Control Panel'!$F$56:$Y$56</c:f>
              <c:numCache>
                <c:formatCode>_(* #,##0_);_(* \(#,##0\);_(* "-"??_);_(@_)</c:formatCode>
                <c:ptCount val="20"/>
                <c:pt idx="0">
                  <c:v>53480.907581418454</c:v>
                </c:pt>
                <c:pt idx="1">
                  <c:v>52872.07118208475</c:v>
                </c:pt>
                <c:pt idx="2">
                  <c:v>52683.439763142655</c:v>
                </c:pt>
                <c:pt idx="3">
                  <c:v>58802.641754055163</c:v>
                </c:pt>
                <c:pt idx="4">
                  <c:v>59539.325906781196</c:v>
                </c:pt>
                <c:pt idx="5">
                  <c:v>60289.839023025335</c:v>
                </c:pt>
                <c:pt idx="6">
                  <c:v>61099.385072065576</c:v>
                </c:pt>
                <c:pt idx="7">
                  <c:v>61870.172137277994</c:v>
                </c:pt>
                <c:pt idx="8">
                  <c:v>62649.162936494482</c:v>
                </c:pt>
                <c:pt idx="9">
                  <c:v>63499.888122728829</c:v>
                </c:pt>
                <c:pt idx="10">
                  <c:v>64308.624240289937</c:v>
                </c:pt>
                <c:pt idx="11">
                  <c:v>65127.469559320562</c:v>
                </c:pt>
                <c:pt idx="12">
                  <c:v>65956.550444839071</c:v>
                </c:pt>
                <c:pt idx="13">
                  <c:v>66795.994841426567</c:v>
                </c:pt>
                <c:pt idx="14">
                  <c:v>67645.932292971396</c:v>
                </c:pt>
                <c:pt idx="15">
                  <c:v>68506.493962660548</c:v>
                </c:pt>
                <c:pt idx="16">
                  <c:v>69377.812653220797</c:v>
                </c:pt>
                <c:pt idx="17">
                  <c:v>70260.02282741305</c:v>
                </c:pt>
                <c:pt idx="18">
                  <c:v>71153.260628782722</c:v>
                </c:pt>
                <c:pt idx="19">
                  <c:v>72057.663902669505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704000"/>
        <c:axId val="308705920"/>
      </c:lineChart>
      <c:catAx>
        <c:axId val="30870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8705920"/>
        <c:crosses val="autoZero"/>
        <c:auto val="1"/>
        <c:lblAlgn val="ctr"/>
        <c:lblOffset val="100"/>
        <c:noMultiLvlLbl val="0"/>
      </c:catAx>
      <c:valAx>
        <c:axId val="308705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MW</a:t>
                </a:r>
              </a:p>
            </c:rich>
          </c:tx>
          <c:layout/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308704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20" dropStyle="combo" dx="23" fmlaLink="scenario" fmlaRange="rngScenario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puc.ca.gov/PUC/energy/Procurement/RA/ra_history.ht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4</xdr:row>
          <xdr:rowOff>142875</xdr:rowOff>
        </xdr:from>
        <xdr:to>
          <xdr:col>2</xdr:col>
          <xdr:colOff>1304925</xdr:colOff>
          <xdr:row>6</xdr:row>
          <xdr:rowOff>28575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0</xdr:colOff>
      <xdr:row>28</xdr:row>
      <xdr:rowOff>0</xdr:rowOff>
    </xdr:from>
    <xdr:to>
      <xdr:col>25</xdr:col>
      <xdr:colOff>0</xdr:colOff>
      <xdr:row>49</xdr:row>
      <xdr:rowOff>43705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1562100</xdr:colOff>
      <xdr:row>0</xdr:row>
      <xdr:rowOff>0</xdr:rowOff>
    </xdr:from>
    <xdr:to>
      <xdr:col>10</xdr:col>
      <xdr:colOff>107016</xdr:colOff>
      <xdr:row>0</xdr:row>
      <xdr:rowOff>0</xdr:rowOff>
    </xdr:to>
    <xdr:sp macro="" textlink="">
      <xdr:nvSpPr>
        <xdr:cNvPr id="2" name="TextBox 1">
          <a:hlinkClick xmlns:r="http://schemas.openxmlformats.org/officeDocument/2006/relationships" r:id="rId1"/>
        </xdr:cNvPr>
        <xdr:cNvSpPr txBox="1"/>
      </xdr:nvSpPr>
      <xdr:spPr>
        <a:xfrm>
          <a:off x="609600" y="0"/>
          <a:ext cx="4983816" cy="0"/>
        </a:xfrm>
        <a:prstGeom prst="rect">
          <a:avLst/>
        </a:prstGeom>
        <a:solidFill>
          <a:schemeClr val="lt1"/>
        </a:solidFill>
        <a:ln w="9525" cap="rnd" cmpd="sng">
          <a:solidFill>
            <a:schemeClr val="lt1">
              <a:shade val="50000"/>
            </a:schemeClr>
          </a:solidFill>
        </a:ln>
        <a:effectLst>
          <a:outerShdw blurRad="431800" dir="18900000" sy="23000" kx="-1200000" algn="bl" rotWithShape="0">
            <a:prstClr val="black">
              <a:alpha val="2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CPUC or</a:t>
          </a:r>
          <a:r>
            <a:rPr lang="en-US" sz="1100" b="1" u="sng" baseline="0"/>
            <a:t> Other Local Regulatory Agency </a:t>
          </a:r>
          <a:r>
            <a:rPr lang="en-US" sz="1100" b="1" u="sng"/>
            <a:t>Calculation Classification Instructions</a:t>
          </a:r>
        </a:p>
        <a:p>
          <a:endParaRPr lang="en-US" sz="1100"/>
        </a:p>
        <a:p>
          <a:r>
            <a:rPr lang="en-US" sz="1100"/>
            <a:t>See: Qualifying Capacity Methodology, prepared by</a:t>
          </a:r>
        </a:p>
        <a:p>
          <a:r>
            <a:rPr lang="en-US" sz="1100"/>
            <a:t>CPUC Energy Division</a:t>
          </a:r>
        </a:p>
        <a:p>
          <a:r>
            <a:rPr lang="en-US" sz="1100"/>
            <a:t>December 18, 2009</a:t>
          </a:r>
        </a:p>
        <a:p>
          <a:endParaRPr lang="en-US" sz="1100"/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The address of the CPUC Website address of this document is as follows.</a:t>
          </a:r>
        </a:p>
        <a:p>
          <a:r>
            <a:rPr lang="en-US" b="0" u="sng" baseline="0">
              <a:solidFill>
                <a:srgbClr val="00B0F0"/>
              </a:solidFill>
            </a:rPr>
            <a:t>http://www.cpuc.ca.gov/PUC/energy/Procurement/RA/ra_history.htm</a:t>
          </a:r>
        </a:p>
        <a:p>
          <a:endParaRPr lang="en-US" b="0"/>
        </a:p>
        <a:p>
          <a:r>
            <a:rPr lang="en-US" b="1"/>
            <a:t>Under R. 09-10-032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See the line marked "</a:t>
          </a:r>
          <a:r>
            <a:rPr lang="en-US"/>
            <a:t>December 18, 2009: Energy Division publishes detailed </a:t>
          </a:r>
          <a:r>
            <a:rPr lang="en-US">
              <a:solidFill>
                <a:schemeClr val="tx1"/>
              </a:solidFill>
            </a:rPr>
            <a:t>description of </a:t>
          </a:r>
          <a:r>
            <a:rPr lang="en-US">
              <a:solidFill>
                <a:sysClr val="windowText" lastClr="000000"/>
              </a:solidFill>
              <a:hlinkClick xmlns:r="http://schemas.openxmlformats.org/officeDocument/2006/relationships" r:id=""/>
            </a:rPr>
            <a:t>Qualifying Capacity calculation methodologies</a:t>
          </a:r>
          <a:r>
            <a:rPr lang="en-US">
              <a:solidFill>
                <a:schemeClr val="tx1"/>
              </a:solidFill>
            </a:rPr>
            <a:t>.  All appendices (updated 2/18/2010) available in </a:t>
          </a:r>
          <a:r>
            <a:rPr lang="en-US">
              <a:solidFill>
                <a:schemeClr val="tx1"/>
              </a:solidFill>
              <a:hlinkClick xmlns:r="http://schemas.openxmlformats.org/officeDocument/2006/relationships" r:id=""/>
            </a:rPr>
            <a:t>Word</a:t>
          </a:r>
          <a:r>
            <a:rPr lang="en-US">
              <a:solidFill>
                <a:schemeClr val="tx1"/>
              </a:solidFill>
            </a:rPr>
            <a:t> and appendix 1 in </a:t>
          </a:r>
          <a:r>
            <a:rPr lang="en-US">
              <a:solidFill>
                <a:schemeClr val="tx1"/>
              </a:solidFill>
              <a:hlinkClick xmlns:r="http://schemas.openxmlformats.org/officeDocument/2006/relationships" r:id=""/>
            </a:rPr>
            <a:t>Excel</a:t>
          </a:r>
          <a:r>
            <a:rPr lang="en-US">
              <a:solidFill>
                <a:schemeClr val="tx1"/>
              </a:solidFill>
            </a:rPr>
            <a:t> format. "</a:t>
          </a:r>
        </a:p>
        <a:p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The Excel file contains the Column T information.</a:t>
          </a:r>
        </a:p>
        <a:p>
          <a:r>
            <a:rPr lang="en-US" sz="1100"/>
            <a:t>The Word file contains the QC Methodology.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ffs01\rv%20team\Link%20Busta%20(DO%20NOT%20DELETE%20THIS%20FILE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USERS\EMosley\General%20Marketing\Bloomberg%20One%20Pag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 Busta (DO NOT DELETE THIS "/>
      <sheetName val="Traffic_Rev"/>
      <sheetName val="RTL-IP-Dep-FA"/>
      <sheetName val="IA - Summary"/>
      <sheetName val="Assumptions"/>
      <sheetName val="#REF"/>
      <sheetName val="IPRD"/>
      <sheetName val="Inventec"/>
      <sheetName val="Broadcom"/>
      <sheetName val="VARS"/>
      <sheetName val="7 Qtr (1Q00-3Q01)"/>
      <sheetName val="Cap-FA"/>
      <sheetName val="Assumptions and Inputs"/>
      <sheetName val="Summary"/>
      <sheetName val="Risk Data"/>
      <sheetName val="Bal Sht 9-30-01"/>
      <sheetName val="Do not use"/>
      <sheetName val="LOH0197"/>
      <sheetName val="CAPITAL"/>
      <sheetName val="CAPMIP"/>
      <sheetName val="Input1"/>
      <sheetName val="Input2"/>
      <sheetName val="EPG"/>
      <sheetName val="Music"/>
      <sheetName val="Shopping"/>
      <sheetName val="Weather"/>
      <sheetName val="Banking"/>
      <sheetName val="Cost to Customer"/>
      <sheetName val="2001"/>
      <sheetName val="Q3"/>
      <sheetName val="Q4"/>
      <sheetName val="Projections 2"/>
      <sheetName val="Inputs"/>
      <sheetName val="key_inputs"/>
      <sheetName val="Proj. Financials"/>
      <sheetName val="KeyMultInputs"/>
      <sheetName val="Attrition"/>
      <sheetName val="Iowa Curves"/>
      <sheetName val="Historical"/>
      <sheetName val="Mult-3yr"/>
      <sheetName val="WP_Hist ABC"/>
      <sheetName val="Exb II.1_Summary Taira"/>
      <sheetName val="Detail Schedules"/>
      <sheetName val="Forecast"/>
      <sheetName val="Jobs"/>
      <sheetName val="dom-salaries"/>
      <sheetName val="Trends &amp; Rates"/>
      <sheetName val="Deferred Maint - old"/>
      <sheetName val="Deferred Add"/>
      <sheetName val="Existing"/>
      <sheetName val="INPUT"/>
      <sheetName val="DCF"/>
      <sheetName val="Historical 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e-Pager"/>
      <sheetName val="1st Bond"/>
      <sheetName val="2nd Bond"/>
      <sheetName val="3rd Bond"/>
      <sheetName val="Quote"/>
    </sheetNames>
    <sheetDataSet>
      <sheetData sheetId="0" refreshError="1">
        <row r="2">
          <cell r="A2" t="str">
            <v>One New Orchard Road, Armonk, NY 10504, United States</v>
          </cell>
          <cell r="G2" t="str">
            <v>N.A.</v>
          </cell>
          <cell r="I2" t="str">
            <v>914-499-1900</v>
          </cell>
        </row>
        <row r="3">
          <cell r="Q3" t="str">
            <v>One New Orchard Road</v>
          </cell>
        </row>
        <row r="5">
          <cell r="A5" t="str">
            <v>Description</v>
          </cell>
        </row>
        <row r="6">
          <cell r="A6" t="str">
            <v>International Business Machines Corporation (IBM) provides customer solutions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4"/>
  <sheetViews>
    <sheetView tabSelected="1" zoomScale="85" zoomScaleNormal="85" workbookViewId="0">
      <pane ySplit="7" topLeftCell="A35" activePane="bottomLeft" state="frozen"/>
      <selection pane="bottomLeft" activeCell="E50" sqref="E50"/>
    </sheetView>
  </sheetViews>
  <sheetFormatPr defaultRowHeight="12.75"/>
  <cols>
    <col min="1" max="1" width="2.85546875" style="7" customWidth="1"/>
    <col min="2" max="2" width="14.7109375" style="7" customWidth="1"/>
    <col min="3" max="3" width="19.7109375" style="7" bestFit="1" customWidth="1"/>
    <col min="4" max="4" width="2.85546875" style="7" customWidth="1"/>
    <col min="5" max="5" width="30" style="7" customWidth="1"/>
    <col min="6" max="24" width="9.140625" style="7"/>
    <col min="25" max="25" width="10.28515625" style="7" customWidth="1"/>
    <col min="26" max="26" width="3.42578125" style="7" customWidth="1"/>
    <col min="27" max="30" width="10.28515625" style="7" customWidth="1"/>
    <col min="31" max="31" width="3.28515625" style="7" customWidth="1"/>
    <col min="32" max="32" width="10.28515625" style="7" bestFit="1" customWidth="1"/>
    <col min="33" max="16384" width="9.140625" style="7"/>
  </cols>
  <sheetData>
    <row r="1" spans="1:32">
      <c r="A1" s="8" t="s">
        <v>2154</v>
      </c>
    </row>
    <row r="2" spans="1:32">
      <c r="A2" s="247" t="s">
        <v>2428</v>
      </c>
    </row>
    <row r="3" spans="1:32">
      <c r="B3" s="106" t="s">
        <v>2155</v>
      </c>
      <c r="C3" s="158">
        <v>40723</v>
      </c>
      <c r="D3" s="156"/>
      <c r="E3" s="156"/>
      <c r="F3" s="156"/>
      <c r="G3" s="156"/>
    </row>
    <row r="4" spans="1:32">
      <c r="B4" s="106" t="s">
        <v>2156</v>
      </c>
      <c r="C4" s="247" t="s">
        <v>2427</v>
      </c>
      <c r="D4" s="156"/>
      <c r="E4" s="156"/>
      <c r="F4" s="156"/>
      <c r="G4" s="156"/>
    </row>
    <row r="5" spans="1:32">
      <c r="B5" s="156"/>
      <c r="C5" s="156"/>
      <c r="D5" s="156"/>
      <c r="E5" s="156"/>
      <c r="F5" s="156"/>
      <c r="G5" s="156"/>
      <c r="AF5" s="67"/>
    </row>
    <row r="6" spans="1:32">
      <c r="B6" s="159" t="s">
        <v>2157</v>
      </c>
      <c r="C6" s="156"/>
      <c r="D6" s="156"/>
      <c r="E6" s="156"/>
      <c r="F6" s="156"/>
      <c r="G6" s="156"/>
    </row>
    <row r="7" spans="1:32">
      <c r="B7" s="156"/>
      <c r="C7" s="156"/>
      <c r="D7" s="156"/>
      <c r="E7" s="156"/>
      <c r="F7" s="17">
        <v>2011</v>
      </c>
      <c r="G7" s="17">
        <f>+F7+1</f>
        <v>2012</v>
      </c>
      <c r="H7" s="17">
        <f t="shared" ref="H7:O7" si="0">+G7+1</f>
        <v>2013</v>
      </c>
      <c r="I7" s="17">
        <f t="shared" si="0"/>
        <v>2014</v>
      </c>
      <c r="J7" s="17">
        <f t="shared" si="0"/>
        <v>2015</v>
      </c>
      <c r="K7" s="17">
        <f t="shared" si="0"/>
        <v>2016</v>
      </c>
      <c r="L7" s="17">
        <f t="shared" si="0"/>
        <v>2017</v>
      </c>
      <c r="M7" s="17">
        <f t="shared" si="0"/>
        <v>2018</v>
      </c>
      <c r="N7" s="17">
        <f t="shared" si="0"/>
        <v>2019</v>
      </c>
      <c r="O7" s="17">
        <f t="shared" si="0"/>
        <v>2020</v>
      </c>
      <c r="P7" s="17">
        <f t="shared" ref="P7" si="1">+O7+1</f>
        <v>2021</v>
      </c>
      <c r="Q7" s="17">
        <f t="shared" ref="Q7" si="2">+P7+1</f>
        <v>2022</v>
      </c>
      <c r="R7" s="17">
        <f t="shared" ref="R7" si="3">+Q7+1</f>
        <v>2023</v>
      </c>
      <c r="S7" s="17">
        <f t="shared" ref="S7" si="4">+R7+1</f>
        <v>2024</v>
      </c>
      <c r="T7" s="17">
        <f t="shared" ref="T7" si="5">+S7+1</f>
        <v>2025</v>
      </c>
      <c r="U7" s="17">
        <f t="shared" ref="U7" si="6">+T7+1</f>
        <v>2026</v>
      </c>
      <c r="V7" s="17">
        <f t="shared" ref="V7" si="7">+U7+1</f>
        <v>2027</v>
      </c>
      <c r="W7" s="17">
        <f t="shared" ref="W7" si="8">+V7+1</f>
        <v>2028</v>
      </c>
      <c r="X7" s="17">
        <f t="shared" ref="X7" si="9">+W7+1</f>
        <v>2029</v>
      </c>
      <c r="Y7" s="17">
        <f t="shared" ref="Y7" si="10">+X7+1</f>
        <v>2030</v>
      </c>
    </row>
    <row r="8" spans="1:32">
      <c r="A8" s="160"/>
      <c r="B8" s="160"/>
      <c r="C8" s="160"/>
      <c r="D8" s="169" t="s">
        <v>29</v>
      </c>
      <c r="E8" s="169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</row>
    <row r="9" spans="1:32">
      <c r="D9" s="156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6"/>
    </row>
    <row r="10" spans="1:32">
      <c r="D10" s="156"/>
      <c r="E10" s="159" t="s">
        <v>2099</v>
      </c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6"/>
    </row>
    <row r="11" spans="1:32">
      <c r="D11" s="156"/>
      <c r="E11" s="161" t="s">
        <v>2071</v>
      </c>
      <c r="F11" s="162">
        <f ca="1">Capacity!G59</f>
        <v>67122.226533182518</v>
      </c>
      <c r="G11" s="162">
        <f ca="1">Capacity!H59</f>
        <v>69598.201534121734</v>
      </c>
      <c r="H11" s="162">
        <f ca="1">Capacity!I59</f>
        <v>71778.85141172749</v>
      </c>
      <c r="I11" s="162">
        <f ca="1">Capacity!J59</f>
        <v>71378.298033032625</v>
      </c>
      <c r="J11" s="162">
        <f ca="1">Capacity!K59</f>
        <v>72376.295084219018</v>
      </c>
      <c r="K11" s="162">
        <f ca="1">Capacity!L59</f>
        <v>72147.230579972005</v>
      </c>
      <c r="L11" s="162">
        <f ca="1">Capacity!M59</f>
        <v>68341.738767546238</v>
      </c>
      <c r="M11" s="162">
        <f ca="1">Capacity!N59</f>
        <v>67466.794917546242</v>
      </c>
      <c r="N11" s="162">
        <f ca="1">Capacity!O59</f>
        <v>67704.076848376033</v>
      </c>
      <c r="O11" s="162">
        <f ca="1">Capacity!P59</f>
        <v>65703.572998376039</v>
      </c>
      <c r="P11" s="162">
        <f ca="1">Capacity!Q59</f>
        <v>65714.220925849077</v>
      </c>
      <c r="Q11" s="162">
        <f ca="1">Capacity!R59</f>
        <v>65725.001952415536</v>
      </c>
      <c r="R11" s="162">
        <f ca="1">Capacity!S59</f>
        <v>65735.917741814075</v>
      </c>
      <c r="S11" s="162">
        <f ca="1">Capacity!T59</f>
        <v>65746.969978580106</v>
      </c>
      <c r="T11" s="162">
        <f ca="1">Capacity!U59</f>
        <v>65758.160368305689</v>
      </c>
      <c r="U11" s="162">
        <f ca="1">Capacity!V59</f>
        <v>65769.490637902869</v>
      </c>
      <c r="V11" s="162">
        <f ca="1">Capacity!W59</f>
        <v>65780.96253587</v>
      </c>
      <c r="W11" s="162">
        <f ca="1">Capacity!X59</f>
        <v>65792.577832561714</v>
      </c>
      <c r="X11" s="162">
        <f ca="1">Capacity!Y59</f>
        <v>66397.569262375007</v>
      </c>
      <c r="Y11" s="162">
        <f ca="1">Capacity!Z59</f>
        <v>67279.041559112608</v>
      </c>
      <c r="Z11" s="156"/>
    </row>
    <row r="12" spans="1:32">
      <c r="D12" s="156"/>
      <c r="E12" s="239" t="s">
        <v>2419</v>
      </c>
      <c r="F12" s="162">
        <f ca="1">Capacity!G10</f>
        <v>45710.177420015774</v>
      </c>
      <c r="G12" s="162">
        <f ca="1">Capacity!H10</f>
        <v>45189.804429132266</v>
      </c>
      <c r="H12" s="162">
        <f ca="1">Capacity!I10</f>
        <v>45028.580994139018</v>
      </c>
      <c r="I12" s="162">
        <f ca="1">Capacity!J10</f>
        <v>50258.668165859111</v>
      </c>
      <c r="J12" s="162">
        <f ca="1">Capacity!K10</f>
        <v>50888.312740838628</v>
      </c>
      <c r="K12" s="162">
        <f ca="1">Capacity!L10</f>
        <v>51529.776942756696</v>
      </c>
      <c r="L12" s="162">
        <f ca="1">Capacity!M10</f>
        <v>52221.696642791088</v>
      </c>
      <c r="M12" s="162">
        <f ca="1">Capacity!N10</f>
        <v>52880.489006220509</v>
      </c>
      <c r="N12" s="162">
        <f ca="1">Capacity!O10</f>
        <v>53546.293108114944</v>
      </c>
      <c r="O12" s="162">
        <f ca="1">Capacity!P10</f>
        <v>54273.408651904982</v>
      </c>
      <c r="P12" s="162">
        <f ca="1">Capacity!Q10</f>
        <v>54964.636102811914</v>
      </c>
      <c r="Q12" s="162">
        <f ca="1">Capacity!R10</f>
        <v>55664.503896855182</v>
      </c>
      <c r="R12" s="162">
        <f ca="1">Capacity!S10</f>
        <v>56373.120038323992</v>
      </c>
      <c r="S12" s="162">
        <f ca="1">Capacity!T10</f>
        <v>57090.593881561166</v>
      </c>
      <c r="T12" s="162">
        <f ca="1">Capacity!U10</f>
        <v>57817.0361478388</v>
      </c>
      <c r="U12" s="162">
        <f ca="1">Capacity!V10</f>
        <v>58552.558942444906</v>
      </c>
      <c r="V12" s="162">
        <f ca="1">Capacity!W10</f>
        <v>59297.275771983586</v>
      </c>
      <c r="W12" s="162">
        <f ca="1">Capacity!X10</f>
        <v>60051.301561891501</v>
      </c>
      <c r="X12" s="162">
        <f ca="1">Capacity!Y10</f>
        <v>60814.752674173265</v>
      </c>
      <c r="Y12" s="162">
        <f ca="1">Capacity!Z10</f>
        <v>61587.746925358551</v>
      </c>
      <c r="Z12" s="156"/>
    </row>
    <row r="13" spans="1:32">
      <c r="D13" s="156"/>
      <c r="E13" s="239" t="s">
        <v>2420</v>
      </c>
      <c r="F13" s="162">
        <f t="shared" ref="F13:Y13" ca="1" si="11">F12*(1+PRM)</f>
        <v>53480.907581418454</v>
      </c>
      <c r="G13" s="162">
        <f t="shared" ca="1" si="11"/>
        <v>52872.07118208475</v>
      </c>
      <c r="H13" s="162">
        <f t="shared" ca="1" si="11"/>
        <v>52683.439763142647</v>
      </c>
      <c r="I13" s="162">
        <f t="shared" ca="1" si="11"/>
        <v>58802.641754055156</v>
      </c>
      <c r="J13" s="162">
        <f t="shared" ca="1" si="11"/>
        <v>59539.325906781189</v>
      </c>
      <c r="K13" s="162">
        <f t="shared" ca="1" si="11"/>
        <v>60289.839023025328</v>
      </c>
      <c r="L13" s="162">
        <f t="shared" ca="1" si="11"/>
        <v>61099.385072065568</v>
      </c>
      <c r="M13" s="162">
        <f t="shared" ca="1" si="11"/>
        <v>61870.172137277994</v>
      </c>
      <c r="N13" s="162">
        <f t="shared" ca="1" si="11"/>
        <v>62649.162936494482</v>
      </c>
      <c r="O13" s="162">
        <f t="shared" ca="1" si="11"/>
        <v>63499.888122728822</v>
      </c>
      <c r="P13" s="162">
        <f t="shared" ca="1" si="11"/>
        <v>64308.624240289937</v>
      </c>
      <c r="Q13" s="162">
        <f t="shared" ca="1" si="11"/>
        <v>65127.469559320562</v>
      </c>
      <c r="R13" s="162">
        <f t="shared" ca="1" si="11"/>
        <v>65956.550444839071</v>
      </c>
      <c r="S13" s="162">
        <f t="shared" ca="1" si="11"/>
        <v>66795.994841426567</v>
      </c>
      <c r="T13" s="162">
        <f t="shared" ca="1" si="11"/>
        <v>67645.932292971396</v>
      </c>
      <c r="U13" s="162">
        <f t="shared" ca="1" si="11"/>
        <v>68506.493962660534</v>
      </c>
      <c r="V13" s="162">
        <f t="shared" ca="1" si="11"/>
        <v>69377.812653220797</v>
      </c>
      <c r="W13" s="162">
        <f t="shared" ca="1" si="11"/>
        <v>70260.02282741305</v>
      </c>
      <c r="X13" s="162">
        <f t="shared" ca="1" si="11"/>
        <v>71153.260628782722</v>
      </c>
      <c r="Y13" s="162">
        <f t="shared" ca="1" si="11"/>
        <v>72057.663902669505</v>
      </c>
      <c r="Z13" s="156"/>
    </row>
    <row r="14" spans="1:32">
      <c r="D14" s="156"/>
      <c r="E14" s="163" t="s">
        <v>2072</v>
      </c>
      <c r="F14" s="171">
        <f ca="1">F11-F13</f>
        <v>13641.318951764064</v>
      </c>
      <c r="G14" s="171">
        <f t="shared" ref="G14:Y14" ca="1" si="12">G11-G13</f>
        <v>16726.130352036984</v>
      </c>
      <c r="H14" s="171">
        <f t="shared" ca="1" si="12"/>
        <v>19095.411648584843</v>
      </c>
      <c r="I14" s="171">
        <f t="shared" ca="1" si="12"/>
        <v>12575.656278977469</v>
      </c>
      <c r="J14" s="171">
        <f t="shared" ca="1" si="12"/>
        <v>12836.96917743783</v>
      </c>
      <c r="K14" s="171">
        <f t="shared" ca="1" si="12"/>
        <v>11857.391556946677</v>
      </c>
      <c r="L14" s="171">
        <f t="shared" ca="1" si="12"/>
        <v>7242.3536954806696</v>
      </c>
      <c r="M14" s="171">
        <f t="shared" ca="1" si="12"/>
        <v>5596.6227802682479</v>
      </c>
      <c r="N14" s="171">
        <f t="shared" ca="1" si="12"/>
        <v>5054.913911881551</v>
      </c>
      <c r="O14" s="171">
        <f t="shared" ca="1" si="12"/>
        <v>2203.6848756472173</v>
      </c>
      <c r="P14" s="171">
        <f t="shared" ca="1" si="12"/>
        <v>1405.5966855591396</v>
      </c>
      <c r="Q14" s="171">
        <f t="shared" ca="1" si="12"/>
        <v>597.5323930949744</v>
      </c>
      <c r="R14" s="171">
        <f t="shared" ca="1" si="12"/>
        <v>-220.63270302499586</v>
      </c>
      <c r="S14" s="171">
        <f t="shared" ca="1" si="12"/>
        <v>-1049.0248628464615</v>
      </c>
      <c r="T14" s="171">
        <f t="shared" ca="1" si="12"/>
        <v>-1887.771924665707</v>
      </c>
      <c r="U14" s="171">
        <f t="shared" ca="1" si="12"/>
        <v>-2737.0033247576648</v>
      </c>
      <c r="V14" s="171">
        <f t="shared" ca="1" si="12"/>
        <v>-3596.8501173507975</v>
      </c>
      <c r="W14" s="171">
        <f t="shared" ca="1" si="12"/>
        <v>-4467.4449948513357</v>
      </c>
      <c r="X14" s="171">
        <f t="shared" ca="1" si="12"/>
        <v>-4755.6913664077147</v>
      </c>
      <c r="Y14" s="171">
        <f t="shared" ca="1" si="12"/>
        <v>-4778.6223435568972</v>
      </c>
      <c r="Z14" s="156"/>
    </row>
    <row r="15" spans="1:32">
      <c r="D15" s="156"/>
      <c r="E15" s="163" t="s">
        <v>2095</v>
      </c>
      <c r="F15" s="42">
        <f ca="1">F11/F12-1</f>
        <v>0.46843067171712049</v>
      </c>
      <c r="G15" s="42">
        <f t="shared" ref="G15:Y15" ca="1" si="13">G11/G12-1</f>
        <v>0.54013062046478422</v>
      </c>
      <c r="H15" s="42">
        <f t="shared" ca="1" si="13"/>
        <v>0.59407313814908624</v>
      </c>
      <c r="I15" s="42">
        <f t="shared" ca="1" si="13"/>
        <v>0.42021865357586519</v>
      </c>
      <c r="J15" s="42">
        <f t="shared" ca="1" si="13"/>
        <v>0.42225770881446345</v>
      </c>
      <c r="K15" s="42">
        <f t="shared" ca="1" si="13"/>
        <v>0.40010756615769538</v>
      </c>
      <c r="L15" s="42">
        <f t="shared" ca="1" si="13"/>
        <v>0.30868476440013226</v>
      </c>
      <c r="M15" s="42">
        <f t="shared" ca="1" si="13"/>
        <v>0.27583530684842761</v>
      </c>
      <c r="N15" s="42">
        <f t="shared" ca="1" si="13"/>
        <v>0.26440268631995134</v>
      </c>
      <c r="O15" s="42">
        <f t="shared" ca="1" si="13"/>
        <v>0.21060339916700377</v>
      </c>
      <c r="P15" s="42">
        <f t="shared" ca="1" si="13"/>
        <v>0.1955727461368062</v>
      </c>
      <c r="Q15" s="42">
        <f t="shared" ca="1" si="13"/>
        <v>0.18073453190568589</v>
      </c>
      <c r="R15" s="42">
        <f t="shared" ca="1" si="13"/>
        <v>0.16608620734713631</v>
      </c>
      <c r="S15" s="42">
        <f t="shared" ca="1" si="13"/>
        <v>0.15162525923232217</v>
      </c>
      <c r="T15" s="42">
        <f t="shared" ca="1" si="13"/>
        <v>0.13734920967171926</v>
      </c>
      <c r="U15" s="42">
        <f t="shared" ca="1" si="13"/>
        <v>0.12325561556672437</v>
      </c>
      <c r="V15" s="42">
        <f t="shared" ca="1" si="13"/>
        <v>0.10934206807102242</v>
      </c>
      <c r="W15" s="42">
        <f t="shared" ca="1" si="13"/>
        <v>9.5606192061515882E-2</v>
      </c>
      <c r="X15" s="42">
        <f t="shared" ca="1" si="13"/>
        <v>9.1800366567512892E-2</v>
      </c>
      <c r="Y15" s="42">
        <f t="shared" ca="1" si="13"/>
        <v>9.2409528159093757E-2</v>
      </c>
      <c r="Z15" s="156"/>
    </row>
    <row r="16" spans="1:32">
      <c r="D16" s="156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6"/>
    </row>
    <row r="17" spans="2:27">
      <c r="D17" s="156"/>
      <c r="E17" s="159" t="s">
        <v>2105</v>
      </c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</row>
    <row r="18" spans="2:27">
      <c r="D18" s="156"/>
      <c r="E18" s="164" t="s">
        <v>21</v>
      </c>
      <c r="F18" s="10">
        <f ca="1">Capacity!G67</f>
        <v>4486</v>
      </c>
      <c r="G18" s="10">
        <f ca="1">Capacity!H67</f>
        <v>4486</v>
      </c>
      <c r="H18" s="10">
        <f ca="1">Capacity!I67</f>
        <v>4486</v>
      </c>
      <c r="I18" s="10">
        <f ca="1">Capacity!J67</f>
        <v>4486</v>
      </c>
      <c r="J18" s="10">
        <f ca="1">Capacity!K67</f>
        <v>4486</v>
      </c>
      <c r="K18" s="10">
        <f ca="1">Capacity!L67</f>
        <v>4486</v>
      </c>
      <c r="L18" s="10">
        <f ca="1">Capacity!M67</f>
        <v>4486</v>
      </c>
      <c r="M18" s="10">
        <f ca="1">Capacity!N67</f>
        <v>4486</v>
      </c>
      <c r="N18" s="10">
        <f ca="1">Capacity!O67</f>
        <v>4486</v>
      </c>
      <c r="O18" s="10">
        <f ca="1">Capacity!P67</f>
        <v>4486</v>
      </c>
      <c r="P18" s="10">
        <f ca="1">Capacity!Q67</f>
        <v>4486</v>
      </c>
      <c r="Q18" s="10">
        <f ca="1">Capacity!R67</f>
        <v>4486</v>
      </c>
      <c r="R18" s="10">
        <f ca="1">Capacity!S67</f>
        <v>4486</v>
      </c>
      <c r="S18" s="10">
        <f ca="1">Capacity!T67</f>
        <v>4486</v>
      </c>
      <c r="T18" s="10">
        <f ca="1">Capacity!U67</f>
        <v>4486</v>
      </c>
      <c r="U18" s="10">
        <f ca="1">Capacity!V67</f>
        <v>4486</v>
      </c>
      <c r="V18" s="10">
        <f ca="1">Capacity!W67</f>
        <v>4486</v>
      </c>
      <c r="W18" s="10">
        <f ca="1">Capacity!X67</f>
        <v>4486</v>
      </c>
      <c r="X18" s="10">
        <f ca="1">Capacity!Y67</f>
        <v>4486</v>
      </c>
      <c r="Y18" s="10">
        <f ca="1">Capacity!Z67</f>
        <v>4486</v>
      </c>
      <c r="Z18" s="156"/>
    </row>
    <row r="19" spans="2:27">
      <c r="D19" s="156"/>
      <c r="E19" s="165" t="s">
        <v>2149</v>
      </c>
      <c r="F19" s="10">
        <f ca="1">Capacity!G68</f>
        <v>34055.836150000003</v>
      </c>
      <c r="G19" s="10">
        <f ca="1">Capacity!H68</f>
        <v>36450.892300000007</v>
      </c>
      <c r="H19" s="10">
        <f ca="1">Capacity!I68</f>
        <v>38434.948450000004</v>
      </c>
      <c r="I19" s="10">
        <f ca="1">Capacity!J68</f>
        <v>37502.004600000007</v>
      </c>
      <c r="J19" s="10">
        <f ca="1">Capacity!K68</f>
        <v>36707.060750000004</v>
      </c>
      <c r="K19" s="10">
        <f ca="1">Capacity!L68</f>
        <v>35832.116900000008</v>
      </c>
      <c r="L19" s="10">
        <f ca="1">Capacity!M68</f>
        <v>31176.143050000002</v>
      </c>
      <c r="M19" s="10">
        <f ca="1">Capacity!N68</f>
        <v>30301.199200000003</v>
      </c>
      <c r="N19" s="10">
        <f ca="1">Capacity!O68</f>
        <v>29426.255350000003</v>
      </c>
      <c r="O19" s="10">
        <f ca="1">Capacity!P68</f>
        <v>27425.751500000002</v>
      </c>
      <c r="P19" s="10">
        <f ca="1">Capacity!Q68</f>
        <v>27425.751500000002</v>
      </c>
      <c r="Q19" s="10">
        <f ca="1">Capacity!R68</f>
        <v>27425.751500000002</v>
      </c>
      <c r="R19" s="10">
        <f ca="1">Capacity!S68</f>
        <v>27425.751500000002</v>
      </c>
      <c r="S19" s="10">
        <f ca="1">Capacity!T68</f>
        <v>27425.751500000002</v>
      </c>
      <c r="T19" s="10">
        <f ca="1">Capacity!U68</f>
        <v>27425.751500000002</v>
      </c>
      <c r="U19" s="10">
        <f ca="1">Capacity!V68</f>
        <v>27425.751500000002</v>
      </c>
      <c r="V19" s="10">
        <f ca="1">Capacity!W68</f>
        <v>27425.751500000002</v>
      </c>
      <c r="W19" s="10">
        <f ca="1">Capacity!X68</f>
        <v>27425.751500000002</v>
      </c>
      <c r="X19" s="10">
        <f ca="1">Capacity!Y68</f>
        <v>27425.751500000002</v>
      </c>
      <c r="Y19" s="10">
        <f ca="1">Capacity!Z68</f>
        <v>27425.751500000002</v>
      </c>
      <c r="Z19" s="156"/>
    </row>
    <row r="20" spans="2:27">
      <c r="D20" s="156"/>
      <c r="E20" s="239" t="s">
        <v>22</v>
      </c>
      <c r="F20" s="10">
        <f ca="1">Capacity!G75</f>
        <v>1268.4100000000001</v>
      </c>
      <c r="G20" s="10">
        <f ca="1">Capacity!H75</f>
        <v>1268.4100000000001</v>
      </c>
      <c r="H20" s="10">
        <f ca="1">Capacity!I75</f>
        <v>1268.4100000000001</v>
      </c>
      <c r="I20" s="10">
        <f ca="1">Capacity!J75</f>
        <v>1268.4100000000001</v>
      </c>
      <c r="J20" s="10">
        <f ca="1">Capacity!K75</f>
        <v>1268.4100000000001</v>
      </c>
      <c r="K20" s="10">
        <f ca="1">Capacity!L75</f>
        <v>1268.4100000000001</v>
      </c>
      <c r="L20" s="10">
        <f ca="1">Capacity!M75</f>
        <v>1268.4100000000001</v>
      </c>
      <c r="M20" s="10">
        <f ca="1">Capacity!N75</f>
        <v>1268.4100000000001</v>
      </c>
      <c r="N20" s="10">
        <f ca="1">Capacity!O75</f>
        <v>1268.4100000000001</v>
      </c>
      <c r="O20" s="10">
        <f ca="1">Capacity!P75</f>
        <v>1268.4100000000001</v>
      </c>
      <c r="P20" s="10">
        <f ca="1">Capacity!Q75</f>
        <v>1268.4100000000001</v>
      </c>
      <c r="Q20" s="10">
        <f ca="1">Capacity!R75</f>
        <v>1268.4100000000001</v>
      </c>
      <c r="R20" s="10">
        <f ca="1">Capacity!S75</f>
        <v>1268.4100000000001</v>
      </c>
      <c r="S20" s="10">
        <f ca="1">Capacity!T75</f>
        <v>1268.4100000000001</v>
      </c>
      <c r="T20" s="10">
        <f ca="1">Capacity!U75</f>
        <v>1268.4100000000001</v>
      </c>
      <c r="U20" s="10">
        <f ca="1">Capacity!V75</f>
        <v>1268.4100000000001</v>
      </c>
      <c r="V20" s="10">
        <f ca="1">Capacity!W75</f>
        <v>1268.4100000000001</v>
      </c>
      <c r="W20" s="10">
        <f ca="1">Capacity!X75</f>
        <v>1268.4100000000001</v>
      </c>
      <c r="X20" s="10">
        <f ca="1">Capacity!Y75</f>
        <v>1268.4100000000001</v>
      </c>
      <c r="Y20" s="10">
        <f ca="1">Capacity!Z75</f>
        <v>1268.4100000000001</v>
      </c>
      <c r="Z20" s="156"/>
    </row>
    <row r="21" spans="2:27">
      <c r="D21" s="156"/>
      <c r="E21" s="165" t="s">
        <v>18</v>
      </c>
      <c r="F21" s="10">
        <f ca="1">Capacity!G69</f>
        <v>7974.6913200000008</v>
      </c>
      <c r="G21" s="10">
        <f ca="1">Capacity!H69</f>
        <v>7974.6913200000008</v>
      </c>
      <c r="H21" s="10">
        <f ca="1">Capacity!I69</f>
        <v>7974.6913200000008</v>
      </c>
      <c r="I21" s="10">
        <f ca="1">Capacity!J69</f>
        <v>7974.6913200000008</v>
      </c>
      <c r="J21" s="10">
        <f ca="1">Capacity!K69</f>
        <v>7974.6913200000008</v>
      </c>
      <c r="K21" s="10">
        <f ca="1">Capacity!L69</f>
        <v>7974.6913200000008</v>
      </c>
      <c r="L21" s="10">
        <f ca="1">Capacity!M69</f>
        <v>7974.6913200000008</v>
      </c>
      <c r="M21" s="10">
        <f ca="1">Capacity!N69</f>
        <v>7974.6913200000008</v>
      </c>
      <c r="N21" s="10">
        <f ca="1">Capacity!O69</f>
        <v>7974.6913200000008</v>
      </c>
      <c r="O21" s="10">
        <f ca="1">Capacity!P69</f>
        <v>7974.6913200000008</v>
      </c>
      <c r="P21" s="10">
        <f ca="1">Capacity!Q69</f>
        <v>7974.6913200000008</v>
      </c>
      <c r="Q21" s="10">
        <f ca="1">Capacity!R69</f>
        <v>7974.6913200000008</v>
      </c>
      <c r="R21" s="10">
        <f ca="1">Capacity!S69</f>
        <v>7974.6913200000008</v>
      </c>
      <c r="S21" s="10">
        <f ca="1">Capacity!T69</f>
        <v>7974.6913200000008</v>
      </c>
      <c r="T21" s="10">
        <f ca="1">Capacity!U69</f>
        <v>7974.6913200000008</v>
      </c>
      <c r="U21" s="10">
        <f ca="1">Capacity!V69</f>
        <v>7974.6913200000008</v>
      </c>
      <c r="V21" s="10">
        <f ca="1">Capacity!W69</f>
        <v>7974.6913200000008</v>
      </c>
      <c r="W21" s="10">
        <f ca="1">Capacity!X69</f>
        <v>7974.6913200000008</v>
      </c>
      <c r="X21" s="10">
        <f ca="1">Capacity!Y69</f>
        <v>7974.6913200000008</v>
      </c>
      <c r="Y21" s="10">
        <f ca="1">Capacity!Z69</f>
        <v>7974.6913200000008</v>
      </c>
      <c r="Z21" s="156"/>
    </row>
    <row r="22" spans="2:27">
      <c r="D22" s="156"/>
      <c r="E22" s="165" t="s">
        <v>139</v>
      </c>
      <c r="F22" s="10">
        <f ca="1">Capacity!G70</f>
        <v>580.35</v>
      </c>
      <c r="G22" s="10">
        <f ca="1">Capacity!H70</f>
        <v>580.35</v>
      </c>
      <c r="H22" s="10">
        <f ca="1">Capacity!I70</f>
        <v>609.39</v>
      </c>
      <c r="I22" s="10">
        <f ca="1">Capacity!J70</f>
        <v>656.12761256862541</v>
      </c>
      <c r="J22" s="10">
        <f ca="1">Capacity!K70</f>
        <v>656.12761256862541</v>
      </c>
      <c r="K22" s="10">
        <f ca="1">Capacity!L70</f>
        <v>656.12761256862541</v>
      </c>
      <c r="L22" s="10">
        <f ca="1">Capacity!M70</f>
        <v>656.12761256862541</v>
      </c>
      <c r="M22" s="10">
        <f ca="1">Capacity!N70</f>
        <v>656.12761256862541</v>
      </c>
      <c r="N22" s="10">
        <f ca="1">Capacity!O70</f>
        <v>656.12761256862541</v>
      </c>
      <c r="O22" s="10">
        <f ca="1">Capacity!P70</f>
        <v>656.12761256862541</v>
      </c>
      <c r="P22" s="10">
        <f ca="1">Capacity!Q70</f>
        <v>656.3076285331764</v>
      </c>
      <c r="Q22" s="10">
        <f ca="1">Capacity!R70</f>
        <v>656.4898946972844</v>
      </c>
      <c r="R22" s="10">
        <f ca="1">Capacity!S70</f>
        <v>656.67443918844378</v>
      </c>
      <c r="S22" s="10">
        <f ca="1">Capacity!T70</f>
        <v>656.86129048574264</v>
      </c>
      <c r="T22" s="10">
        <f ca="1">Capacity!U70</f>
        <v>657.05047742425779</v>
      </c>
      <c r="U22" s="10">
        <f ca="1">Capacity!V70</f>
        <v>657.24202919950426</v>
      </c>
      <c r="V22" s="10">
        <f ca="1">Capacity!W70</f>
        <v>657.43597537194137</v>
      </c>
      <c r="W22" s="10">
        <f ca="1">Capacity!X70</f>
        <v>657.63234587153397</v>
      </c>
      <c r="X22" s="10">
        <f ca="1">Capacity!Y70</f>
        <v>667.86045045420337</v>
      </c>
      <c r="Y22" s="10">
        <f ca="1">Capacity!Z70</f>
        <v>682.76279517095486</v>
      </c>
      <c r="Z22" s="156"/>
    </row>
    <row r="23" spans="2:27">
      <c r="D23" s="156"/>
      <c r="E23" s="165" t="s">
        <v>136</v>
      </c>
      <c r="F23" s="10">
        <f ca="1">Capacity!G71</f>
        <v>1079.1300000000001</v>
      </c>
      <c r="G23" s="10">
        <f ca="1">Capacity!H71</f>
        <v>1079.1300000000001</v>
      </c>
      <c r="H23" s="10">
        <f ca="1">Capacity!I71</f>
        <v>1079.1300000000001</v>
      </c>
      <c r="I23" s="10">
        <f ca="1">Capacity!J71</f>
        <v>1177.1210574158747</v>
      </c>
      <c r="J23" s="10">
        <f ca="1">Capacity!K71</f>
        <v>1205.3199228592919</v>
      </c>
      <c r="K23" s="10">
        <f ca="1">Capacity!L71</f>
        <v>1205.3199228592919</v>
      </c>
      <c r="L23" s="10">
        <f ca="1">Capacity!M71</f>
        <v>1205.3199228592919</v>
      </c>
      <c r="M23" s="10">
        <f ca="1">Capacity!N71</f>
        <v>1205.3199228592919</v>
      </c>
      <c r="N23" s="10">
        <f ca="1">Capacity!O71</f>
        <v>1240.6191022155492</v>
      </c>
      <c r="O23" s="10">
        <f ca="1">Capacity!P71</f>
        <v>1240.6191022155492</v>
      </c>
      <c r="P23" s="10">
        <f ca="1">Capacity!Q71</f>
        <v>1240.8280670988734</v>
      </c>
      <c r="Q23" s="10">
        <f ca="1">Capacity!R71</f>
        <v>1241.0396440432394</v>
      </c>
      <c r="R23" s="10">
        <f ca="1">Capacity!S71</f>
        <v>1241.2538656994097</v>
      </c>
      <c r="S23" s="10">
        <f ca="1">Capacity!T71</f>
        <v>1241.4707651262825</v>
      </c>
      <c r="T23" s="10">
        <f ca="1">Capacity!U71</f>
        <v>1241.6903757959908</v>
      </c>
      <c r="U23" s="10">
        <f ca="1">Capacity!V71</f>
        <v>1241.9127315990706</v>
      </c>
      <c r="V23" s="10">
        <f ca="1">Capacity!W71</f>
        <v>1242.1378668496891</v>
      </c>
      <c r="W23" s="10">
        <f ca="1">Capacity!X71</f>
        <v>1242.3658162909401</v>
      </c>
      <c r="X23" s="10">
        <f ca="1">Capacity!Y71</f>
        <v>1254.2387337073253</v>
      </c>
      <c r="Y23" s="10">
        <f ca="1">Capacity!Z71</f>
        <v>1271.5375701341932</v>
      </c>
      <c r="Z23" s="156"/>
    </row>
    <row r="24" spans="2:27">
      <c r="D24" s="156"/>
      <c r="E24" s="165" t="s">
        <v>138</v>
      </c>
      <c r="F24" s="10">
        <f ca="1">Capacity!G72</f>
        <v>383.63907443429684</v>
      </c>
      <c r="G24" s="10">
        <f ca="1">Capacity!H72</f>
        <v>458.11159263619811</v>
      </c>
      <c r="H24" s="10">
        <f ca="1">Capacity!I72</f>
        <v>625.6653202419518</v>
      </c>
      <c r="I24" s="10">
        <f ca="1">Capacity!J72</f>
        <v>1000.6239620625171</v>
      </c>
      <c r="J24" s="10">
        <f ca="1">Capacity!K72</f>
        <v>2271.7458900191505</v>
      </c>
      <c r="K24" s="10">
        <f ca="1">Capacity!L72</f>
        <v>2892.4867265451821</v>
      </c>
      <c r="L24" s="10">
        <f ca="1">Capacity!M72</f>
        <v>3570.3764187551214</v>
      </c>
      <c r="M24" s="10">
        <f ca="1">Capacity!N72</f>
        <v>3570.3764187551214</v>
      </c>
      <c r="N24" s="10">
        <f ca="1">Capacity!O72</f>
        <v>4644.0376705905146</v>
      </c>
      <c r="O24" s="10">
        <f ca="1">Capacity!P72</f>
        <v>4644.0376705905146</v>
      </c>
      <c r="P24" s="10">
        <f ca="1">Capacity!Q72</f>
        <v>4652.4286313785115</v>
      </c>
      <c r="Q24" s="10">
        <f ca="1">Capacity!R72</f>
        <v>4660.9244791763595</v>
      </c>
      <c r="R24" s="10">
        <f ca="1">Capacity!S72</f>
        <v>4669.526525071682</v>
      </c>
      <c r="S24" s="10">
        <f ca="1">Capacity!T72</f>
        <v>4678.2360965406942</v>
      </c>
      <c r="T24" s="10">
        <f ca="1">Capacity!U72</f>
        <v>4687.0545376530699</v>
      </c>
      <c r="U24" s="10">
        <f ca="1">Capacity!V72</f>
        <v>4695.9832092793504</v>
      </c>
      <c r="V24" s="10">
        <f ca="1">Capacity!W72</f>
        <v>4705.0234893009592</v>
      </c>
      <c r="W24" s="10">
        <f ca="1">Capacity!X72</f>
        <v>4714.1767728228369</v>
      </c>
      <c r="X24" s="10">
        <f ca="1">Capacity!Y72</f>
        <v>5190.9324022623332</v>
      </c>
      <c r="Y24" s="10">
        <f ca="1">Capacity!Z72</f>
        <v>5885.5651837453825</v>
      </c>
      <c r="Z24" s="156"/>
    </row>
    <row r="25" spans="2:27">
      <c r="D25" s="156"/>
      <c r="E25" s="165" t="s">
        <v>137</v>
      </c>
      <c r="F25" s="10">
        <f ca="1">Capacity!G73</f>
        <v>339.41998874822337</v>
      </c>
      <c r="G25" s="10">
        <f ca="1">Capacity!H73</f>
        <v>345.86632148554139</v>
      </c>
      <c r="H25" s="10">
        <f ca="1">Capacity!I73</f>
        <v>345.86632148554139</v>
      </c>
      <c r="I25" s="10">
        <f ca="1">Capacity!J73</f>
        <v>358.56948098560991</v>
      </c>
      <c r="J25" s="10">
        <f ca="1">Capacity!K73</f>
        <v>852.18958877195018</v>
      </c>
      <c r="K25" s="10">
        <f ca="1">Capacity!L73</f>
        <v>877.32809799889651</v>
      </c>
      <c r="L25" s="10">
        <f ca="1">Capacity!M73</f>
        <v>1049.9204433631955</v>
      </c>
      <c r="M25" s="10">
        <f ca="1">Capacity!N73</f>
        <v>1049.9204433631955</v>
      </c>
      <c r="N25" s="10">
        <f ca="1">Capacity!O73</f>
        <v>1053.1857930013412</v>
      </c>
      <c r="O25" s="10">
        <f ca="1">Capacity!P73</f>
        <v>1053.1857930013412</v>
      </c>
      <c r="P25" s="10">
        <f ca="1">Capacity!Q73</f>
        <v>1055.0537788385136</v>
      </c>
      <c r="Q25" s="10">
        <f ca="1">Capacity!R73</f>
        <v>1056.9451144986513</v>
      </c>
      <c r="R25" s="10">
        <f ca="1">Capacity!S73</f>
        <v>1058.8600918545403</v>
      </c>
      <c r="S25" s="10">
        <f ca="1">Capacity!T73</f>
        <v>1060.7990064273779</v>
      </c>
      <c r="T25" s="10">
        <f ca="1">Capacity!U73</f>
        <v>1062.7621574323762</v>
      </c>
      <c r="U25" s="10">
        <f ca="1">Capacity!V73</f>
        <v>1064.7498478249368</v>
      </c>
      <c r="V25" s="10">
        <f ca="1">Capacity!W73</f>
        <v>1066.7623843474046</v>
      </c>
      <c r="W25" s="10">
        <f ca="1">Capacity!X73</f>
        <v>1068.8000775764028</v>
      </c>
      <c r="X25" s="10">
        <f ca="1">Capacity!Y73</f>
        <v>1174.9348559511443</v>
      </c>
      <c r="Y25" s="10">
        <f ca="1">Capacity!Z73</f>
        <v>1329.5731900620781</v>
      </c>
      <c r="Z25" s="156"/>
    </row>
    <row r="26" spans="2:27">
      <c r="C26" s="253" t="s">
        <v>2429</v>
      </c>
      <c r="D26" s="156"/>
      <c r="E26" s="166" t="s">
        <v>2066</v>
      </c>
      <c r="F26" s="251">
        <v>10000</v>
      </c>
      <c r="G26" s="251">
        <v>10000</v>
      </c>
      <c r="H26" s="251">
        <v>10000</v>
      </c>
      <c r="I26" s="251">
        <v>10000</v>
      </c>
      <c r="J26" s="251">
        <v>10000</v>
      </c>
      <c r="K26" s="251">
        <v>10000</v>
      </c>
      <c r="L26" s="251">
        <v>10000</v>
      </c>
      <c r="M26" s="251">
        <v>10000</v>
      </c>
      <c r="N26" s="251">
        <v>10000</v>
      </c>
      <c r="O26" s="251">
        <v>10000</v>
      </c>
      <c r="P26" s="251">
        <v>10000</v>
      </c>
      <c r="Q26" s="251">
        <v>10000</v>
      </c>
      <c r="R26" s="251">
        <v>10000</v>
      </c>
      <c r="S26" s="251">
        <v>10000</v>
      </c>
      <c r="T26" s="251">
        <v>10000</v>
      </c>
      <c r="U26" s="251">
        <v>10000</v>
      </c>
      <c r="V26" s="251">
        <v>10000</v>
      </c>
      <c r="W26" s="251">
        <v>10000</v>
      </c>
      <c r="X26" s="251">
        <v>10000</v>
      </c>
      <c r="Y26" s="251">
        <v>10000</v>
      </c>
      <c r="Z26" s="156"/>
    </row>
    <row r="27" spans="2:27">
      <c r="B27" s="234"/>
      <c r="D27" s="156"/>
      <c r="E27" s="163" t="s">
        <v>127</v>
      </c>
      <c r="F27" s="11">
        <f t="shared" ref="F27:Y27" ca="1" si="14">SUM(F18:F26)</f>
        <v>60167.476533182518</v>
      </c>
      <c r="G27" s="11">
        <f t="shared" ca="1" si="14"/>
        <v>62643.451534121741</v>
      </c>
      <c r="H27" s="11">
        <f t="shared" ca="1" si="14"/>
        <v>64824.101411727497</v>
      </c>
      <c r="I27" s="11">
        <f t="shared" ca="1" si="14"/>
        <v>64423.548033032639</v>
      </c>
      <c r="J27" s="11">
        <f t="shared" ca="1" si="14"/>
        <v>65421.545084219026</v>
      </c>
      <c r="K27" s="11">
        <f t="shared" ca="1" si="14"/>
        <v>65192.480579972012</v>
      </c>
      <c r="L27" s="11">
        <f t="shared" ca="1" si="14"/>
        <v>61386.988767546238</v>
      </c>
      <c r="M27" s="11">
        <f t="shared" ca="1" si="14"/>
        <v>60512.044917546242</v>
      </c>
      <c r="N27" s="11">
        <f t="shared" ca="1" si="14"/>
        <v>60749.32684837604</v>
      </c>
      <c r="O27" s="11">
        <f t="shared" ca="1" si="14"/>
        <v>58748.822998376032</v>
      </c>
      <c r="P27" s="11">
        <f t="shared" ca="1" si="14"/>
        <v>58759.470925849077</v>
      </c>
      <c r="Q27" s="11">
        <f t="shared" ca="1" si="14"/>
        <v>58770.251952415536</v>
      </c>
      <c r="R27" s="11">
        <f t="shared" ca="1" si="14"/>
        <v>58781.167741814075</v>
      </c>
      <c r="S27" s="11">
        <f t="shared" ca="1" si="14"/>
        <v>58792.219978580091</v>
      </c>
      <c r="T27" s="11">
        <f t="shared" ca="1" si="14"/>
        <v>58803.410368305696</v>
      </c>
      <c r="U27" s="11">
        <f t="shared" ca="1" si="14"/>
        <v>58814.740637902869</v>
      </c>
      <c r="V27" s="11">
        <f t="shared" ca="1" si="14"/>
        <v>58826.21253587</v>
      </c>
      <c r="W27" s="11">
        <f t="shared" ca="1" si="14"/>
        <v>58837.827832561714</v>
      </c>
      <c r="X27" s="11">
        <f t="shared" ca="1" si="14"/>
        <v>59442.819262375</v>
      </c>
      <c r="Y27" s="11">
        <f t="shared" ca="1" si="14"/>
        <v>60324.291559112615</v>
      </c>
      <c r="Z27" s="156"/>
    </row>
    <row r="28" spans="2:27">
      <c r="D28" s="156"/>
      <c r="E28" s="159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6"/>
      <c r="AA28" s="157"/>
    </row>
    <row r="29" spans="2:27">
      <c r="D29" s="156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6"/>
      <c r="AA29" s="157"/>
    </row>
    <row r="30" spans="2:27">
      <c r="D30" s="156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6"/>
      <c r="AA30" s="157"/>
    </row>
    <row r="31" spans="2:27">
      <c r="D31" s="156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6"/>
      <c r="AA31" s="157"/>
    </row>
    <row r="32" spans="2:27">
      <c r="D32" s="156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6"/>
      <c r="AA32" s="157"/>
    </row>
    <row r="33" spans="4:27">
      <c r="D33" s="156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6"/>
      <c r="AA33" s="157"/>
    </row>
    <row r="34" spans="4:27">
      <c r="D34" s="156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6"/>
      <c r="AA34" s="157"/>
    </row>
    <row r="35" spans="4:27">
      <c r="D35" s="156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6"/>
      <c r="AA35" s="157"/>
    </row>
    <row r="36" spans="4:27">
      <c r="D36" s="156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6"/>
      <c r="AA36" s="157"/>
    </row>
    <row r="37" spans="4:27">
      <c r="D37" s="156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6"/>
      <c r="AA37" s="157"/>
    </row>
    <row r="38" spans="4:27">
      <c r="D38" s="156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6"/>
      <c r="AA38" s="157"/>
    </row>
    <row r="39" spans="4:27">
      <c r="D39" s="156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6"/>
      <c r="AA39" s="157"/>
    </row>
    <row r="40" spans="4:27">
      <c r="D40" s="156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6"/>
      <c r="AA40" s="157"/>
    </row>
    <row r="41" spans="4:27">
      <c r="D41" s="156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6"/>
      <c r="AA41" s="157"/>
    </row>
    <row r="42" spans="4:27">
      <c r="D42" s="156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6"/>
      <c r="AA42" s="157"/>
    </row>
    <row r="43" spans="4:27">
      <c r="D43" s="156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6"/>
      <c r="AA43" s="157"/>
    </row>
    <row r="44" spans="4:27">
      <c r="D44" s="156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6"/>
      <c r="AA44" s="157"/>
    </row>
    <row r="45" spans="4:27">
      <c r="D45" s="156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6"/>
      <c r="AA45" s="157"/>
    </row>
    <row r="46" spans="4:27">
      <c r="D46" s="156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6"/>
      <c r="AA46" s="157"/>
    </row>
    <row r="47" spans="4:27">
      <c r="D47" s="156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6"/>
      <c r="AA47" s="157"/>
    </row>
    <row r="48" spans="4:27">
      <c r="D48" s="156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6"/>
      <c r="AA48" s="157"/>
    </row>
    <row r="49" spans="3:28">
      <c r="D49" s="156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6"/>
      <c r="AA49" s="157"/>
    </row>
    <row r="50" spans="3:28">
      <c r="D50" s="156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6"/>
      <c r="AA50" s="157"/>
    </row>
    <row r="51" spans="3:28">
      <c r="D51" s="156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6"/>
      <c r="AA51" s="157"/>
    </row>
    <row r="52" spans="3:28">
      <c r="D52" s="156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6"/>
      <c r="AA52" s="157"/>
    </row>
    <row r="53" spans="3:28">
      <c r="D53" s="156"/>
      <c r="E53" s="159" t="s">
        <v>135</v>
      </c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56"/>
      <c r="AA53" s="157"/>
    </row>
    <row r="54" spans="3:28">
      <c r="C54" s="253" t="s">
        <v>2429</v>
      </c>
      <c r="D54" s="156"/>
      <c r="E54" s="168" t="s">
        <v>124</v>
      </c>
      <c r="F54" s="10">
        <f ca="1">Capacity!G10</f>
        <v>45710.177420015774</v>
      </c>
      <c r="G54" s="10">
        <f ca="1">Capacity!H10</f>
        <v>45189.804429132266</v>
      </c>
      <c r="H54" s="10">
        <f ca="1">Capacity!I10</f>
        <v>45028.580994139018</v>
      </c>
      <c r="I54" s="10">
        <f ca="1">Capacity!J10</f>
        <v>50258.668165859111</v>
      </c>
      <c r="J54" s="10">
        <f ca="1">Capacity!K10</f>
        <v>50888.312740838628</v>
      </c>
      <c r="K54" s="10">
        <f ca="1">Capacity!L10</f>
        <v>51529.776942756696</v>
      </c>
      <c r="L54" s="10">
        <f ca="1">Capacity!M10</f>
        <v>52221.696642791088</v>
      </c>
      <c r="M54" s="10">
        <f ca="1">Capacity!N10</f>
        <v>52880.489006220509</v>
      </c>
      <c r="N54" s="10">
        <f ca="1">Capacity!O10</f>
        <v>53546.293108114944</v>
      </c>
      <c r="O54" s="10">
        <f ca="1">Capacity!P10</f>
        <v>54273.408651904982</v>
      </c>
      <c r="P54" s="10">
        <f ca="1">Capacity!Q10</f>
        <v>54964.636102811914</v>
      </c>
      <c r="Q54" s="10">
        <f ca="1">Capacity!R10</f>
        <v>55664.503896855182</v>
      </c>
      <c r="R54" s="10">
        <f ca="1">Capacity!S10</f>
        <v>56373.120038323992</v>
      </c>
      <c r="S54" s="10">
        <f ca="1">Capacity!T10</f>
        <v>57090.593881561166</v>
      </c>
      <c r="T54" s="10">
        <f ca="1">Capacity!U10</f>
        <v>57817.0361478388</v>
      </c>
      <c r="U54" s="10">
        <f ca="1">Capacity!V10</f>
        <v>58552.558942444906</v>
      </c>
      <c r="V54" s="10">
        <f ca="1">Capacity!W10</f>
        <v>59297.275771983586</v>
      </c>
      <c r="W54" s="10">
        <f ca="1">Capacity!X10</f>
        <v>60051.301561891501</v>
      </c>
      <c r="X54" s="10">
        <f ca="1">Capacity!Y10</f>
        <v>60814.752674173265</v>
      </c>
      <c r="Y54" s="10">
        <f ca="1">Capacity!Z10</f>
        <v>61587.746925358551</v>
      </c>
      <c r="Z54" s="156"/>
    </row>
    <row r="55" spans="3:28">
      <c r="D55" s="156"/>
      <c r="E55" s="165" t="s">
        <v>134</v>
      </c>
      <c r="F55" s="10">
        <f t="shared" ref="F55:O55" ca="1" si="15">F54*PRM</f>
        <v>7770.7301614026819</v>
      </c>
      <c r="G55" s="10">
        <f t="shared" ca="1" si="15"/>
        <v>7682.2667529524861</v>
      </c>
      <c r="H55" s="10">
        <f t="shared" ca="1" si="15"/>
        <v>7654.8587690036338</v>
      </c>
      <c r="I55" s="10">
        <f t="shared" ca="1" si="15"/>
        <v>8543.9735881960496</v>
      </c>
      <c r="J55" s="10">
        <f t="shared" ca="1" si="15"/>
        <v>8651.0131659425679</v>
      </c>
      <c r="K55" s="10">
        <f t="shared" ca="1" si="15"/>
        <v>8760.062080268639</v>
      </c>
      <c r="L55" s="10">
        <f t="shared" ca="1" si="15"/>
        <v>8877.6884292744853</v>
      </c>
      <c r="M55" s="10">
        <f t="shared" ca="1" si="15"/>
        <v>8989.6831310574871</v>
      </c>
      <c r="N55" s="10">
        <f t="shared" ca="1" si="15"/>
        <v>9102.8698283795402</v>
      </c>
      <c r="O55" s="10">
        <f t="shared" ca="1" si="15"/>
        <v>9226.4794708238478</v>
      </c>
      <c r="P55" s="10">
        <f t="shared" ref="P55:Y55" ca="1" si="16">P54*PRM</f>
        <v>9343.9881374780252</v>
      </c>
      <c r="Q55" s="10">
        <f t="shared" ca="1" si="16"/>
        <v>9462.9656624653817</v>
      </c>
      <c r="R55" s="10">
        <f t="shared" ca="1" si="16"/>
        <v>9583.4304065150791</v>
      </c>
      <c r="S55" s="10">
        <f t="shared" ca="1" si="16"/>
        <v>9705.4009598653993</v>
      </c>
      <c r="T55" s="10">
        <f t="shared" ca="1" si="16"/>
        <v>9828.8961451325977</v>
      </c>
      <c r="U55" s="10">
        <f t="shared" ca="1" si="16"/>
        <v>9953.9350202156347</v>
      </c>
      <c r="V55" s="10">
        <f t="shared" ca="1" si="16"/>
        <v>10080.536881237211</v>
      </c>
      <c r="W55" s="10">
        <f t="shared" ca="1" si="16"/>
        <v>10208.721265521555</v>
      </c>
      <c r="X55" s="10">
        <f t="shared" ca="1" si="16"/>
        <v>10338.507954609457</v>
      </c>
      <c r="Y55" s="10">
        <f t="shared" ca="1" si="16"/>
        <v>10469.916977310955</v>
      </c>
      <c r="Z55" s="156"/>
    </row>
    <row r="56" spans="3:28">
      <c r="D56" s="156"/>
      <c r="E56" s="163" t="s">
        <v>123</v>
      </c>
      <c r="F56" s="11">
        <f ca="1">SUM(F54:F55)</f>
        <v>53480.907581418454</v>
      </c>
      <c r="G56" s="11">
        <f t="shared" ref="G56:O56" ca="1" si="17">SUM(G54:G55)</f>
        <v>52872.07118208475</v>
      </c>
      <c r="H56" s="11">
        <f t="shared" ca="1" si="17"/>
        <v>52683.439763142655</v>
      </c>
      <c r="I56" s="11">
        <f t="shared" ca="1" si="17"/>
        <v>58802.641754055163</v>
      </c>
      <c r="J56" s="11">
        <f t="shared" ca="1" si="17"/>
        <v>59539.325906781196</v>
      </c>
      <c r="K56" s="11">
        <f t="shared" ca="1" si="17"/>
        <v>60289.839023025335</v>
      </c>
      <c r="L56" s="11">
        <f t="shared" ca="1" si="17"/>
        <v>61099.385072065576</v>
      </c>
      <c r="M56" s="11">
        <f t="shared" ca="1" si="17"/>
        <v>61870.172137277994</v>
      </c>
      <c r="N56" s="11">
        <f t="shared" ca="1" si="17"/>
        <v>62649.162936494482</v>
      </c>
      <c r="O56" s="11">
        <f t="shared" ca="1" si="17"/>
        <v>63499.888122728829</v>
      </c>
      <c r="P56" s="11">
        <f t="shared" ref="P56:Y56" ca="1" si="18">SUM(P54:P55)</f>
        <v>64308.624240289937</v>
      </c>
      <c r="Q56" s="11">
        <f t="shared" ca="1" si="18"/>
        <v>65127.469559320562</v>
      </c>
      <c r="R56" s="11">
        <f t="shared" ca="1" si="18"/>
        <v>65956.550444839071</v>
      </c>
      <c r="S56" s="11">
        <f t="shared" ca="1" si="18"/>
        <v>66795.994841426567</v>
      </c>
      <c r="T56" s="11">
        <f t="shared" ca="1" si="18"/>
        <v>67645.932292971396</v>
      </c>
      <c r="U56" s="11">
        <f t="shared" ca="1" si="18"/>
        <v>68506.493962660548</v>
      </c>
      <c r="V56" s="11">
        <f t="shared" ca="1" si="18"/>
        <v>69377.812653220797</v>
      </c>
      <c r="W56" s="11">
        <f t="shared" ca="1" si="18"/>
        <v>70260.02282741305</v>
      </c>
      <c r="X56" s="11">
        <f t="shared" ca="1" si="18"/>
        <v>71153.260628782722</v>
      </c>
      <c r="Y56" s="11">
        <f t="shared" ca="1" si="18"/>
        <v>72057.663902669505</v>
      </c>
      <c r="Z56" s="156"/>
    </row>
    <row r="57" spans="3:28">
      <c r="C57" s="157"/>
      <c r="D57" s="156"/>
      <c r="E57" s="156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56"/>
      <c r="AA57" s="157"/>
      <c r="AB57" s="157"/>
    </row>
    <row r="58" spans="3:28">
      <c r="C58" s="157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7"/>
      <c r="AB58" s="157"/>
    </row>
    <row r="59" spans="3:28"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</row>
    <row r="60" spans="3:28"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</row>
    <row r="61" spans="3:28"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</row>
    <row r="62" spans="3:28"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</row>
    <row r="63" spans="3:28">
      <c r="Z63" s="157"/>
    </row>
    <row r="64" spans="3:28">
      <c r="Z64" s="15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Drop Down 3">
              <controlPr defaultSize="0" autoLine="0" autoPict="0">
                <anchor moveWithCells="1">
                  <from>
                    <xdr:col>1</xdr:col>
                    <xdr:colOff>981075</xdr:colOff>
                    <xdr:row>4</xdr:row>
                    <xdr:rowOff>142875</xdr:rowOff>
                  </from>
                  <to>
                    <xdr:col>2</xdr:col>
                    <xdr:colOff>1304925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75"/>
  <sheetViews>
    <sheetView zoomScale="85" zoomScaleNormal="85" workbookViewId="0">
      <pane ySplit="1" topLeftCell="A2" activePane="bottomLeft" state="frozen"/>
      <selection pane="bottomLeft" activeCell="B8" sqref="B8"/>
    </sheetView>
  </sheetViews>
  <sheetFormatPr defaultRowHeight="12.75"/>
  <cols>
    <col min="1" max="1" width="9.140625" style="12"/>
    <col min="2" max="4" width="4.42578125" style="12" customWidth="1"/>
    <col min="5" max="5" width="36.7109375" style="12" customWidth="1"/>
    <col min="6" max="6" width="11.85546875" style="12" customWidth="1"/>
    <col min="7" max="26" width="9.140625" style="24" customWidth="1"/>
    <col min="27" max="16384" width="9.140625" style="12"/>
  </cols>
  <sheetData>
    <row r="1" spans="1:26">
      <c r="E1" s="21"/>
      <c r="F1" s="21"/>
      <c r="G1" s="43">
        <v>2011</v>
      </c>
      <c r="H1" s="43">
        <f>+G1+1</f>
        <v>2012</v>
      </c>
      <c r="I1" s="43">
        <f t="shared" ref="I1:P1" si="0">+H1+1</f>
        <v>2013</v>
      </c>
      <c r="J1" s="43">
        <f t="shared" si="0"/>
        <v>2014</v>
      </c>
      <c r="K1" s="43">
        <f t="shared" si="0"/>
        <v>2015</v>
      </c>
      <c r="L1" s="43">
        <f t="shared" si="0"/>
        <v>2016</v>
      </c>
      <c r="M1" s="43">
        <f t="shared" si="0"/>
        <v>2017</v>
      </c>
      <c r="N1" s="43">
        <f t="shared" si="0"/>
        <v>2018</v>
      </c>
      <c r="O1" s="43">
        <f t="shared" si="0"/>
        <v>2019</v>
      </c>
      <c r="P1" s="43">
        <f t="shared" si="0"/>
        <v>2020</v>
      </c>
      <c r="Q1" s="43">
        <f t="shared" ref="Q1" si="1">+P1+1</f>
        <v>2021</v>
      </c>
      <c r="R1" s="43">
        <f t="shared" ref="R1" si="2">+Q1+1</f>
        <v>2022</v>
      </c>
      <c r="S1" s="43">
        <f t="shared" ref="S1" si="3">+R1+1</f>
        <v>2023</v>
      </c>
      <c r="T1" s="43">
        <f t="shared" ref="T1" si="4">+S1+1</f>
        <v>2024</v>
      </c>
      <c r="U1" s="43">
        <f t="shared" ref="U1" si="5">+T1+1</f>
        <v>2025</v>
      </c>
      <c r="V1" s="43">
        <f t="shared" ref="V1" si="6">+U1+1</f>
        <v>2026</v>
      </c>
      <c r="W1" s="43">
        <f t="shared" ref="W1" si="7">+V1+1</f>
        <v>2027</v>
      </c>
      <c r="X1" s="43">
        <f t="shared" ref="X1" si="8">+W1+1</f>
        <v>2028</v>
      </c>
      <c r="Y1" s="43">
        <f t="shared" ref="Y1" si="9">+X1+1</f>
        <v>2029</v>
      </c>
      <c r="Z1" s="43">
        <f t="shared" ref="Z1" si="10">+Y1+1</f>
        <v>2030</v>
      </c>
    </row>
    <row r="2" spans="1:26">
      <c r="B2" s="8" t="s">
        <v>0</v>
      </c>
    </row>
    <row r="3" spans="1:26">
      <c r="C3" s="12" t="s">
        <v>1</v>
      </c>
      <c r="G3" s="40">
        <f ca="1">Loads!G67</f>
        <v>49142.542093565775</v>
      </c>
      <c r="H3" s="40">
        <f ca="1">Loads!H67</f>
        <v>49901.636376232265</v>
      </c>
      <c r="I3" s="40">
        <f ca="1">Loads!I67</f>
        <v>50678.094414789019</v>
      </c>
      <c r="J3" s="40">
        <f ca="1">Loads!J67</f>
        <v>51283.45558650911</v>
      </c>
      <c r="K3" s="40">
        <f ca="1">Loads!K67</f>
        <v>51913.100161488626</v>
      </c>
      <c r="L3" s="40">
        <f ca="1">Loads!L67</f>
        <v>52554.564363406695</v>
      </c>
      <c r="M3" s="40">
        <f ca="1">Loads!M67</f>
        <v>53246.484063441087</v>
      </c>
      <c r="N3" s="40">
        <f ca="1">Loads!N67</f>
        <v>53905.276426870507</v>
      </c>
      <c r="O3" s="40">
        <f ca="1">Loads!O67</f>
        <v>54571.080528764942</v>
      </c>
      <c r="P3" s="40">
        <f ca="1">Loads!P67</f>
        <v>55298.19607255498</v>
      </c>
      <c r="Q3" s="40">
        <f ca="1">Loads!Q67</f>
        <v>55989.423523461912</v>
      </c>
      <c r="R3" s="40">
        <f ca="1">Loads!R67</f>
        <v>56689.29131750518</v>
      </c>
      <c r="S3" s="40">
        <f ca="1">Loads!S67</f>
        <v>57397.90745897399</v>
      </c>
      <c r="T3" s="40">
        <f ca="1">Loads!T67</f>
        <v>58115.381302211164</v>
      </c>
      <c r="U3" s="40">
        <f ca="1">Loads!U67</f>
        <v>58841.823568488799</v>
      </c>
      <c r="V3" s="40">
        <f ca="1">Loads!V67</f>
        <v>59577.346363094905</v>
      </c>
      <c r="W3" s="40">
        <f ca="1">Loads!W67</f>
        <v>60322.063192633585</v>
      </c>
      <c r="X3" s="40">
        <f ca="1">Loads!X67</f>
        <v>61076.0889825415</v>
      </c>
      <c r="Y3" s="40">
        <f ca="1">Loads!Y67</f>
        <v>61839.540094823264</v>
      </c>
      <c r="Z3" s="40">
        <f ca="1">Loads!Z67</f>
        <v>62612.53434600855</v>
      </c>
    </row>
    <row r="4" spans="1:26">
      <c r="C4" s="12" t="s">
        <v>2</v>
      </c>
    </row>
    <row r="5" spans="1:26">
      <c r="A5" s="12" t="s">
        <v>2429</v>
      </c>
      <c r="D5" s="13" t="s">
        <v>120</v>
      </c>
      <c r="E5" s="13"/>
      <c r="F5" s="13"/>
      <c r="G5" s="39">
        <f ca="1">SUM(Loads!G70:G72)</f>
        <v>145.03700000000001</v>
      </c>
      <c r="H5" s="39">
        <f ca="1">SUM(Loads!H70:H72)</f>
        <v>192.98899999999998</v>
      </c>
      <c r="I5" s="39">
        <f ca="1">SUM(Loads!I70:I72)</f>
        <v>779.05</v>
      </c>
      <c r="J5" s="252">
        <f ca="1">I5</f>
        <v>779.05</v>
      </c>
      <c r="K5" s="252">
        <f t="shared" ref="K5:Z5" ca="1" si="11">J5</f>
        <v>779.05</v>
      </c>
      <c r="L5" s="252">
        <f t="shared" ca="1" si="11"/>
        <v>779.05</v>
      </c>
      <c r="M5" s="252">
        <f t="shared" ca="1" si="11"/>
        <v>779.05</v>
      </c>
      <c r="N5" s="252">
        <f t="shared" ca="1" si="11"/>
        <v>779.05</v>
      </c>
      <c r="O5" s="252">
        <f t="shared" ca="1" si="11"/>
        <v>779.05</v>
      </c>
      <c r="P5" s="252">
        <f t="shared" ca="1" si="11"/>
        <v>779.05</v>
      </c>
      <c r="Q5" s="252">
        <f t="shared" ca="1" si="11"/>
        <v>779.05</v>
      </c>
      <c r="R5" s="252">
        <f t="shared" ca="1" si="11"/>
        <v>779.05</v>
      </c>
      <c r="S5" s="252">
        <f t="shared" ca="1" si="11"/>
        <v>779.05</v>
      </c>
      <c r="T5" s="252">
        <f t="shared" ca="1" si="11"/>
        <v>779.05</v>
      </c>
      <c r="U5" s="252">
        <f t="shared" ca="1" si="11"/>
        <v>779.05</v>
      </c>
      <c r="V5" s="252">
        <f t="shared" ca="1" si="11"/>
        <v>779.05</v>
      </c>
      <c r="W5" s="252">
        <f t="shared" ca="1" si="11"/>
        <v>779.05</v>
      </c>
      <c r="X5" s="252">
        <f t="shared" ca="1" si="11"/>
        <v>779.05</v>
      </c>
      <c r="Y5" s="252">
        <f t="shared" ca="1" si="11"/>
        <v>779.05</v>
      </c>
      <c r="Z5" s="252">
        <f t="shared" ca="1" si="11"/>
        <v>779.05</v>
      </c>
    </row>
    <row r="6" spans="1:26">
      <c r="A6" s="12" t="s">
        <v>2429</v>
      </c>
      <c r="D6" s="13" t="s">
        <v>121</v>
      </c>
      <c r="E6" s="13"/>
      <c r="F6" s="13"/>
      <c r="G6" s="39">
        <f ca="1">SUM(Loads!G80:G82)</f>
        <v>3205.4151999999999</v>
      </c>
      <c r="H6" s="39">
        <f ca="1">SUM(Loads!H80:H82)</f>
        <v>4355.018</v>
      </c>
      <c r="I6" s="39">
        <f ca="1">SUM(Loads!I80:I82)</f>
        <v>4624.7260000000006</v>
      </c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252"/>
      <c r="Z6" s="252"/>
    </row>
    <row r="7" spans="1:26">
      <c r="A7" s="12" t="s">
        <v>2429</v>
      </c>
      <c r="D7" s="13" t="s">
        <v>122</v>
      </c>
      <c r="E7" s="13"/>
      <c r="F7" s="13"/>
      <c r="G7" s="39">
        <f ca="1">SUM(Loads!G75:G77)</f>
        <v>81.912473549999987</v>
      </c>
      <c r="H7" s="39">
        <f ca="1">SUM(Loads!H75:H77)</f>
        <v>163.82494709999997</v>
      </c>
      <c r="I7" s="39">
        <f ca="1">SUM(Loads!I75:I77)</f>
        <v>245.73742064999996</v>
      </c>
      <c r="J7" s="252">
        <f ca="1">I7</f>
        <v>245.73742064999996</v>
      </c>
      <c r="K7" s="252">
        <f t="shared" ref="K7:Z7" ca="1" si="12">J7</f>
        <v>245.73742064999996</v>
      </c>
      <c r="L7" s="252">
        <f t="shared" ca="1" si="12"/>
        <v>245.73742064999996</v>
      </c>
      <c r="M7" s="252">
        <f t="shared" ca="1" si="12"/>
        <v>245.73742064999996</v>
      </c>
      <c r="N7" s="252">
        <f t="shared" ca="1" si="12"/>
        <v>245.73742064999996</v>
      </c>
      <c r="O7" s="252">
        <f t="shared" ca="1" si="12"/>
        <v>245.73742064999996</v>
      </c>
      <c r="P7" s="252">
        <f t="shared" ca="1" si="12"/>
        <v>245.73742064999996</v>
      </c>
      <c r="Q7" s="252">
        <f t="shared" ca="1" si="12"/>
        <v>245.73742064999996</v>
      </c>
      <c r="R7" s="252">
        <f t="shared" ca="1" si="12"/>
        <v>245.73742064999996</v>
      </c>
      <c r="S7" s="252">
        <f t="shared" ca="1" si="12"/>
        <v>245.73742064999996</v>
      </c>
      <c r="T7" s="252">
        <f t="shared" ca="1" si="12"/>
        <v>245.73742064999996</v>
      </c>
      <c r="U7" s="252">
        <f t="shared" ca="1" si="12"/>
        <v>245.73742064999996</v>
      </c>
      <c r="V7" s="252">
        <f t="shared" ca="1" si="12"/>
        <v>245.73742064999996</v>
      </c>
      <c r="W7" s="252">
        <f t="shared" ca="1" si="12"/>
        <v>245.73742064999996</v>
      </c>
      <c r="X7" s="252">
        <f t="shared" ca="1" si="12"/>
        <v>245.73742064999996</v>
      </c>
      <c r="Y7" s="252">
        <f t="shared" ca="1" si="12"/>
        <v>245.73742064999996</v>
      </c>
      <c r="Z7" s="252">
        <f t="shared" ca="1" si="12"/>
        <v>245.73742064999996</v>
      </c>
    </row>
    <row r="8" spans="1:26">
      <c r="D8" s="13" t="s">
        <v>2</v>
      </c>
      <c r="E8" s="13"/>
      <c r="F8" s="13"/>
      <c r="G8" s="40">
        <f t="shared" ref="G8:P8" ca="1" si="13">+SUM(G5:G7)</f>
        <v>3432.3646735499997</v>
      </c>
      <c r="H8" s="40">
        <f t="shared" ca="1" si="13"/>
        <v>4711.8319470999995</v>
      </c>
      <c r="I8" s="40">
        <f t="shared" ca="1" si="13"/>
        <v>5649.5134206500006</v>
      </c>
      <c r="J8" s="40">
        <f t="shared" ca="1" si="13"/>
        <v>1024.7874206499998</v>
      </c>
      <c r="K8" s="40">
        <f t="shared" ca="1" si="13"/>
        <v>1024.7874206499998</v>
      </c>
      <c r="L8" s="40">
        <f t="shared" ca="1" si="13"/>
        <v>1024.7874206499998</v>
      </c>
      <c r="M8" s="40">
        <f t="shared" ca="1" si="13"/>
        <v>1024.7874206499998</v>
      </c>
      <c r="N8" s="40">
        <f t="shared" ca="1" si="13"/>
        <v>1024.7874206499998</v>
      </c>
      <c r="O8" s="40">
        <f t="shared" ca="1" si="13"/>
        <v>1024.7874206499998</v>
      </c>
      <c r="P8" s="40">
        <f t="shared" ca="1" si="13"/>
        <v>1024.7874206499998</v>
      </c>
      <c r="Q8" s="40">
        <f t="shared" ref="Q8:Z8" ca="1" si="14">+SUM(Q5:Q7)</f>
        <v>1024.7874206499998</v>
      </c>
      <c r="R8" s="40">
        <f t="shared" ca="1" si="14"/>
        <v>1024.7874206499998</v>
      </c>
      <c r="S8" s="40">
        <f t="shared" ca="1" si="14"/>
        <v>1024.7874206499998</v>
      </c>
      <c r="T8" s="40">
        <f t="shared" ca="1" si="14"/>
        <v>1024.7874206499998</v>
      </c>
      <c r="U8" s="40">
        <f t="shared" ca="1" si="14"/>
        <v>1024.7874206499998</v>
      </c>
      <c r="V8" s="40">
        <f t="shared" ca="1" si="14"/>
        <v>1024.7874206499998</v>
      </c>
      <c r="W8" s="40">
        <f t="shared" ca="1" si="14"/>
        <v>1024.7874206499998</v>
      </c>
      <c r="X8" s="40">
        <f t="shared" ca="1" si="14"/>
        <v>1024.7874206499998</v>
      </c>
      <c r="Y8" s="40">
        <f t="shared" ca="1" si="14"/>
        <v>1024.7874206499998</v>
      </c>
      <c r="Z8" s="40">
        <f t="shared" ca="1" si="14"/>
        <v>1024.7874206499998</v>
      </c>
    </row>
    <row r="9" spans="1:26">
      <c r="D9" s="13"/>
      <c r="E9" s="13"/>
      <c r="F9" s="13"/>
    </row>
    <row r="10" spans="1:26">
      <c r="C10" s="12" t="s">
        <v>3</v>
      </c>
      <c r="G10" s="40">
        <f t="shared" ref="G10:P10" ca="1" si="15">+G3-G8</f>
        <v>45710.177420015774</v>
      </c>
      <c r="H10" s="40">
        <f t="shared" ca="1" si="15"/>
        <v>45189.804429132266</v>
      </c>
      <c r="I10" s="40">
        <f t="shared" ca="1" si="15"/>
        <v>45028.580994139018</v>
      </c>
      <c r="J10" s="40">
        <f t="shared" ca="1" si="15"/>
        <v>50258.668165859111</v>
      </c>
      <c r="K10" s="40">
        <f t="shared" ca="1" si="15"/>
        <v>50888.312740838628</v>
      </c>
      <c r="L10" s="40">
        <f t="shared" ca="1" si="15"/>
        <v>51529.776942756696</v>
      </c>
      <c r="M10" s="40">
        <f t="shared" ca="1" si="15"/>
        <v>52221.696642791088</v>
      </c>
      <c r="N10" s="40">
        <f t="shared" ca="1" si="15"/>
        <v>52880.489006220509</v>
      </c>
      <c r="O10" s="40">
        <f t="shared" ca="1" si="15"/>
        <v>53546.293108114944</v>
      </c>
      <c r="P10" s="40">
        <f t="shared" ca="1" si="15"/>
        <v>54273.408651904982</v>
      </c>
      <c r="Q10" s="40">
        <f t="shared" ref="Q10:Z10" ca="1" si="16">+Q3-Q8</f>
        <v>54964.636102811914</v>
      </c>
      <c r="R10" s="40">
        <f t="shared" ca="1" si="16"/>
        <v>55664.503896855182</v>
      </c>
      <c r="S10" s="40">
        <f t="shared" ca="1" si="16"/>
        <v>56373.120038323992</v>
      </c>
      <c r="T10" s="40">
        <f t="shared" ca="1" si="16"/>
        <v>57090.593881561166</v>
      </c>
      <c r="U10" s="40">
        <f t="shared" ca="1" si="16"/>
        <v>57817.0361478388</v>
      </c>
      <c r="V10" s="40">
        <f t="shared" ca="1" si="16"/>
        <v>58552.558942444906</v>
      </c>
      <c r="W10" s="40">
        <f t="shared" ca="1" si="16"/>
        <v>59297.275771983586</v>
      </c>
      <c r="X10" s="40">
        <f t="shared" ca="1" si="16"/>
        <v>60051.301561891501</v>
      </c>
      <c r="Y10" s="40">
        <f t="shared" ca="1" si="16"/>
        <v>60814.752674173265</v>
      </c>
      <c r="Z10" s="40">
        <f t="shared" ca="1" si="16"/>
        <v>61587.746925358551</v>
      </c>
    </row>
    <row r="12" spans="1:26">
      <c r="B12" s="8" t="s">
        <v>8</v>
      </c>
      <c r="F12" s="8" t="s">
        <v>2142</v>
      </c>
    </row>
    <row r="13" spans="1:26">
      <c r="B13" s="8"/>
      <c r="C13" s="182" t="s">
        <v>2382</v>
      </c>
      <c r="F13" s="8"/>
      <c r="G13" s="12"/>
    </row>
    <row r="14" spans="1:26">
      <c r="B14" s="8"/>
      <c r="D14" s="13" t="s">
        <v>2061</v>
      </c>
      <c r="F14" s="106" t="s">
        <v>2149</v>
      </c>
      <c r="G14" s="39">
        <f ca="1">SUM(OFFSET(GeneralInputs!$D$13,MATCH($D14,GeneralInputs!$C$14:$C$23,0),0,1,3))</f>
        <v>3512.99</v>
      </c>
      <c r="H14" s="39">
        <f ca="1">SUM(OFFSET(GeneralInputs!$D$13,MATCH($D14,GeneralInputs!$C$14:$C$23,0),0,1,3))</f>
        <v>3512.99</v>
      </c>
      <c r="I14" s="39">
        <f ca="1">SUM(OFFSET(GeneralInputs!$D$13,MATCH($D14,GeneralInputs!$C$14:$C$23,0),0,1,3))</f>
        <v>3512.99</v>
      </c>
      <c r="J14" s="39">
        <f ca="1">SUM(OFFSET(GeneralInputs!$D$13,MATCH($D14,GeneralInputs!$C$14:$C$23,0),0,1,3))</f>
        <v>3512.99</v>
      </c>
      <c r="K14" s="39">
        <f ca="1">SUM(OFFSET(GeneralInputs!$D$13,MATCH($D14,GeneralInputs!$C$14:$C$23,0),0,1,3))</f>
        <v>3512.99</v>
      </c>
      <c r="L14" s="39">
        <f ca="1">SUM(OFFSET(GeneralInputs!$D$13,MATCH($D14,GeneralInputs!$C$14:$C$23,0),0,1,3))</f>
        <v>3512.99</v>
      </c>
      <c r="M14" s="39">
        <f ca="1">SUM(OFFSET(GeneralInputs!$D$13,MATCH($D14,GeneralInputs!$C$14:$C$23,0),0,1,3))</f>
        <v>3512.99</v>
      </c>
      <c r="N14" s="39">
        <f ca="1">SUM(OFFSET(GeneralInputs!$D$13,MATCH($D14,GeneralInputs!$C$14:$C$23,0),0,1,3))</f>
        <v>3512.99</v>
      </c>
      <c r="O14" s="39">
        <f ca="1">SUM(OFFSET(GeneralInputs!$D$13,MATCH($D14,GeneralInputs!$C$14:$C$23,0),0,1,3))</f>
        <v>3512.99</v>
      </c>
      <c r="P14" s="39">
        <f ca="1">SUM(OFFSET(GeneralInputs!$D$13,MATCH($D14,GeneralInputs!$C$14:$C$23,0),0,1,3))</f>
        <v>3512.99</v>
      </c>
      <c r="Q14" s="39">
        <f ca="1">SUM(OFFSET(GeneralInputs!$D$13,MATCH($D14,GeneralInputs!$C$14:$C$23,0),0,1,3))</f>
        <v>3512.99</v>
      </c>
      <c r="R14" s="39">
        <f ca="1">SUM(OFFSET(GeneralInputs!$D$13,MATCH($D14,GeneralInputs!$C$14:$C$23,0),0,1,3))</f>
        <v>3512.99</v>
      </c>
      <c r="S14" s="39">
        <f ca="1">SUM(OFFSET(GeneralInputs!$D$13,MATCH($D14,GeneralInputs!$C$14:$C$23,0),0,1,3))</f>
        <v>3512.99</v>
      </c>
      <c r="T14" s="39">
        <f ca="1">SUM(OFFSET(GeneralInputs!$D$13,MATCH($D14,GeneralInputs!$C$14:$C$23,0),0,1,3))</f>
        <v>3512.99</v>
      </c>
      <c r="U14" s="39">
        <f ca="1">SUM(OFFSET(GeneralInputs!$D$13,MATCH($D14,GeneralInputs!$C$14:$C$23,0),0,1,3))</f>
        <v>3512.99</v>
      </c>
      <c r="V14" s="39">
        <f ca="1">SUM(OFFSET(GeneralInputs!$D$13,MATCH($D14,GeneralInputs!$C$14:$C$23,0),0,1,3))</f>
        <v>3512.99</v>
      </c>
      <c r="W14" s="39">
        <f ca="1">SUM(OFFSET(GeneralInputs!$D$13,MATCH($D14,GeneralInputs!$C$14:$C$23,0),0,1,3))</f>
        <v>3512.99</v>
      </c>
      <c r="X14" s="39">
        <f ca="1">SUM(OFFSET(GeneralInputs!$D$13,MATCH($D14,GeneralInputs!$C$14:$C$23,0),0,1,3))</f>
        <v>3512.99</v>
      </c>
      <c r="Y14" s="39">
        <f ca="1">SUM(OFFSET(GeneralInputs!$D$13,MATCH($D14,GeneralInputs!$C$14:$C$23,0),0,1,3))</f>
        <v>3512.99</v>
      </c>
      <c r="Z14" s="39">
        <f ca="1">SUM(OFFSET(GeneralInputs!$D$13,MATCH($D14,GeneralInputs!$C$14:$C$23,0),0,1,3))</f>
        <v>3512.99</v>
      </c>
    </row>
    <row r="15" spans="1:26">
      <c r="B15" s="8"/>
      <c r="D15" s="13" t="s">
        <v>18</v>
      </c>
      <c r="F15" s="106" t="s">
        <v>18</v>
      </c>
      <c r="G15" s="39">
        <f ca="1">SUM(OFFSET(GeneralInputs!$D$13,MATCH($D15,GeneralInputs!$C$14:$C$23,0),0,1,3))</f>
        <v>7934.6913200000008</v>
      </c>
      <c r="H15" s="39">
        <f ca="1">SUM(OFFSET(GeneralInputs!$D$13,MATCH($D15,GeneralInputs!$C$14:$C$23,0),0,1,3))</f>
        <v>7934.6913200000008</v>
      </c>
      <c r="I15" s="39">
        <f ca="1">SUM(OFFSET(GeneralInputs!$D$13,MATCH($D15,GeneralInputs!$C$14:$C$23,0),0,1,3))</f>
        <v>7934.6913200000008</v>
      </c>
      <c r="J15" s="39">
        <f ca="1">SUM(OFFSET(GeneralInputs!$D$13,MATCH($D15,GeneralInputs!$C$14:$C$23,0),0,1,3))</f>
        <v>7934.6913200000008</v>
      </c>
      <c r="K15" s="39">
        <f ca="1">SUM(OFFSET(GeneralInputs!$D$13,MATCH($D15,GeneralInputs!$C$14:$C$23,0),0,1,3))</f>
        <v>7934.6913200000008</v>
      </c>
      <c r="L15" s="39">
        <f ca="1">SUM(OFFSET(GeneralInputs!$D$13,MATCH($D15,GeneralInputs!$C$14:$C$23,0),0,1,3))</f>
        <v>7934.6913200000008</v>
      </c>
      <c r="M15" s="39">
        <f ca="1">SUM(OFFSET(GeneralInputs!$D$13,MATCH($D15,GeneralInputs!$C$14:$C$23,0),0,1,3))</f>
        <v>7934.6913200000008</v>
      </c>
      <c r="N15" s="39">
        <f ca="1">SUM(OFFSET(GeneralInputs!$D$13,MATCH($D15,GeneralInputs!$C$14:$C$23,0),0,1,3))</f>
        <v>7934.6913200000008</v>
      </c>
      <c r="O15" s="39">
        <f ca="1">SUM(OFFSET(GeneralInputs!$D$13,MATCH($D15,GeneralInputs!$C$14:$C$23,0),0,1,3))</f>
        <v>7934.6913200000008</v>
      </c>
      <c r="P15" s="39">
        <f ca="1">SUM(OFFSET(GeneralInputs!$D$13,MATCH($D15,GeneralInputs!$C$14:$C$23,0),0,1,3))</f>
        <v>7934.6913200000008</v>
      </c>
      <c r="Q15" s="39">
        <f ca="1">SUM(OFFSET(GeneralInputs!$D$13,MATCH($D15,GeneralInputs!$C$14:$C$23,0),0,1,3))</f>
        <v>7934.6913200000008</v>
      </c>
      <c r="R15" s="39">
        <f ca="1">SUM(OFFSET(GeneralInputs!$D$13,MATCH($D15,GeneralInputs!$C$14:$C$23,0),0,1,3))</f>
        <v>7934.6913200000008</v>
      </c>
      <c r="S15" s="39">
        <f ca="1">SUM(OFFSET(GeneralInputs!$D$13,MATCH($D15,GeneralInputs!$C$14:$C$23,0),0,1,3))</f>
        <v>7934.6913200000008</v>
      </c>
      <c r="T15" s="39">
        <f ca="1">SUM(OFFSET(GeneralInputs!$D$13,MATCH($D15,GeneralInputs!$C$14:$C$23,0),0,1,3))</f>
        <v>7934.6913200000008</v>
      </c>
      <c r="U15" s="39">
        <f ca="1">SUM(OFFSET(GeneralInputs!$D$13,MATCH($D15,GeneralInputs!$C$14:$C$23,0),0,1,3))</f>
        <v>7934.6913200000008</v>
      </c>
      <c r="V15" s="39">
        <f ca="1">SUM(OFFSET(GeneralInputs!$D$13,MATCH($D15,GeneralInputs!$C$14:$C$23,0),0,1,3))</f>
        <v>7934.6913200000008</v>
      </c>
      <c r="W15" s="39">
        <f ca="1">SUM(OFFSET(GeneralInputs!$D$13,MATCH($D15,GeneralInputs!$C$14:$C$23,0),0,1,3))</f>
        <v>7934.6913200000008</v>
      </c>
      <c r="X15" s="39">
        <f ca="1">SUM(OFFSET(GeneralInputs!$D$13,MATCH($D15,GeneralInputs!$C$14:$C$23,0),0,1,3))</f>
        <v>7934.6913200000008</v>
      </c>
      <c r="Y15" s="39">
        <f ca="1">SUM(OFFSET(GeneralInputs!$D$13,MATCH($D15,GeneralInputs!$C$14:$C$23,0),0,1,3))</f>
        <v>7934.6913200000008</v>
      </c>
      <c r="Z15" s="39">
        <f ca="1">SUM(OFFSET(GeneralInputs!$D$13,MATCH($D15,GeneralInputs!$C$14:$C$23,0),0,1,3))</f>
        <v>7934.6913200000008</v>
      </c>
    </row>
    <row r="16" spans="1:26">
      <c r="B16" s="8"/>
      <c r="D16" s="13" t="s">
        <v>21</v>
      </c>
      <c r="F16" s="106" t="s">
        <v>21</v>
      </c>
      <c r="G16" s="39">
        <f ca="1">SUM(OFFSET(GeneralInputs!$D$13,MATCH($D16,GeneralInputs!$C$14:$C$23,0),0,1,3))</f>
        <v>4486</v>
      </c>
      <c r="H16" s="39">
        <f ca="1">SUM(OFFSET(GeneralInputs!$D$13,MATCH($D16,GeneralInputs!$C$14:$C$23,0),0,1,3))</f>
        <v>4486</v>
      </c>
      <c r="I16" s="39">
        <f ca="1">SUM(OFFSET(GeneralInputs!$D$13,MATCH($D16,GeneralInputs!$C$14:$C$23,0),0,1,3))</f>
        <v>4486</v>
      </c>
      <c r="J16" s="39">
        <f ca="1">SUM(OFFSET(GeneralInputs!$D$13,MATCH($D16,GeneralInputs!$C$14:$C$23,0),0,1,3))</f>
        <v>4486</v>
      </c>
      <c r="K16" s="39">
        <f ca="1">SUM(OFFSET(GeneralInputs!$D$13,MATCH($D16,GeneralInputs!$C$14:$C$23,0),0,1,3))</f>
        <v>4486</v>
      </c>
      <c r="L16" s="39">
        <f ca="1">SUM(OFFSET(GeneralInputs!$D$13,MATCH($D16,GeneralInputs!$C$14:$C$23,0),0,1,3))</f>
        <v>4486</v>
      </c>
      <c r="M16" s="39">
        <f ca="1">SUM(OFFSET(GeneralInputs!$D$13,MATCH($D16,GeneralInputs!$C$14:$C$23,0),0,1,3))</f>
        <v>4486</v>
      </c>
      <c r="N16" s="39">
        <f ca="1">SUM(OFFSET(GeneralInputs!$D$13,MATCH($D16,GeneralInputs!$C$14:$C$23,0),0,1,3))</f>
        <v>4486</v>
      </c>
      <c r="O16" s="39">
        <f ca="1">SUM(OFFSET(GeneralInputs!$D$13,MATCH($D16,GeneralInputs!$C$14:$C$23,0),0,1,3))</f>
        <v>4486</v>
      </c>
      <c r="P16" s="39">
        <f ca="1">SUM(OFFSET(GeneralInputs!$D$13,MATCH($D16,GeneralInputs!$C$14:$C$23,0),0,1,3))</f>
        <v>4486</v>
      </c>
      <c r="Q16" s="39">
        <f ca="1">SUM(OFFSET(GeneralInputs!$D$13,MATCH($D16,GeneralInputs!$C$14:$C$23,0),0,1,3))</f>
        <v>4486</v>
      </c>
      <c r="R16" s="39">
        <f ca="1">SUM(OFFSET(GeneralInputs!$D$13,MATCH($D16,GeneralInputs!$C$14:$C$23,0),0,1,3))</f>
        <v>4486</v>
      </c>
      <c r="S16" s="39">
        <f ca="1">SUM(OFFSET(GeneralInputs!$D$13,MATCH($D16,GeneralInputs!$C$14:$C$23,0),0,1,3))</f>
        <v>4486</v>
      </c>
      <c r="T16" s="39">
        <f ca="1">SUM(OFFSET(GeneralInputs!$D$13,MATCH($D16,GeneralInputs!$C$14:$C$23,0),0,1,3))</f>
        <v>4486</v>
      </c>
      <c r="U16" s="39">
        <f ca="1">SUM(OFFSET(GeneralInputs!$D$13,MATCH($D16,GeneralInputs!$C$14:$C$23,0),0,1,3))</f>
        <v>4486</v>
      </c>
      <c r="V16" s="39">
        <f ca="1">SUM(OFFSET(GeneralInputs!$D$13,MATCH($D16,GeneralInputs!$C$14:$C$23,0),0,1,3))</f>
        <v>4486</v>
      </c>
      <c r="W16" s="39">
        <f ca="1">SUM(OFFSET(GeneralInputs!$D$13,MATCH($D16,GeneralInputs!$C$14:$C$23,0),0,1,3))</f>
        <v>4486</v>
      </c>
      <c r="X16" s="39">
        <f ca="1">SUM(OFFSET(GeneralInputs!$D$13,MATCH($D16,GeneralInputs!$C$14:$C$23,0),0,1,3))</f>
        <v>4486</v>
      </c>
      <c r="Y16" s="39">
        <f ca="1">SUM(OFFSET(GeneralInputs!$D$13,MATCH($D16,GeneralInputs!$C$14:$C$23,0),0,1,3))</f>
        <v>4486</v>
      </c>
      <c r="Z16" s="39">
        <f ca="1">SUM(OFFSET(GeneralInputs!$D$13,MATCH($D16,GeneralInputs!$C$14:$C$23,0),0,1,3))</f>
        <v>4486</v>
      </c>
    </row>
    <row r="17" spans="2:26">
      <c r="B17" s="8"/>
      <c r="D17" s="13" t="s">
        <v>20</v>
      </c>
      <c r="E17" s="13"/>
      <c r="F17" s="106" t="s">
        <v>2149</v>
      </c>
      <c r="G17" s="39">
        <f ca="1">SUM(OFFSET(GeneralInputs!$D$13,MATCH($D17,GeneralInputs!$C$14:$C$23,0),0,1,3))</f>
        <v>4156.29</v>
      </c>
      <c r="H17" s="39">
        <f ca="1">SUM(OFFSET(GeneralInputs!$D$13,MATCH($D17,GeneralInputs!$C$14:$C$23,0),0,1,3))</f>
        <v>4156.29</v>
      </c>
      <c r="I17" s="39">
        <f ca="1">SUM(OFFSET(GeneralInputs!$D$13,MATCH($D17,GeneralInputs!$C$14:$C$23,0),0,1,3))</f>
        <v>4156.29</v>
      </c>
      <c r="J17" s="39">
        <f ca="1">SUM(OFFSET(GeneralInputs!$D$13,MATCH($D17,GeneralInputs!$C$14:$C$23,0),0,1,3))</f>
        <v>4156.29</v>
      </c>
      <c r="K17" s="39">
        <f ca="1">SUM(OFFSET(GeneralInputs!$D$13,MATCH($D17,GeneralInputs!$C$14:$C$23,0),0,1,3))</f>
        <v>4156.29</v>
      </c>
      <c r="L17" s="39">
        <f ca="1">SUM(OFFSET(GeneralInputs!$D$13,MATCH($D17,GeneralInputs!$C$14:$C$23,0),0,1,3))</f>
        <v>4156.29</v>
      </c>
      <c r="M17" s="39">
        <f ca="1">SUM(OFFSET(GeneralInputs!$D$13,MATCH($D17,GeneralInputs!$C$14:$C$23,0),0,1,3))</f>
        <v>4156.29</v>
      </c>
      <c r="N17" s="39">
        <f ca="1">SUM(OFFSET(GeneralInputs!$D$13,MATCH($D17,GeneralInputs!$C$14:$C$23,0),0,1,3))</f>
        <v>4156.29</v>
      </c>
      <c r="O17" s="39">
        <f ca="1">SUM(OFFSET(GeneralInputs!$D$13,MATCH($D17,GeneralInputs!$C$14:$C$23,0),0,1,3))</f>
        <v>4156.29</v>
      </c>
      <c r="P17" s="39">
        <f ca="1">SUM(OFFSET(GeneralInputs!$D$13,MATCH($D17,GeneralInputs!$C$14:$C$23,0),0,1,3))</f>
        <v>4156.29</v>
      </c>
      <c r="Q17" s="39">
        <f ca="1">SUM(OFFSET(GeneralInputs!$D$13,MATCH($D17,GeneralInputs!$C$14:$C$23,0),0,1,3))</f>
        <v>4156.29</v>
      </c>
      <c r="R17" s="39">
        <f ca="1">SUM(OFFSET(GeneralInputs!$D$13,MATCH($D17,GeneralInputs!$C$14:$C$23,0),0,1,3))</f>
        <v>4156.29</v>
      </c>
      <c r="S17" s="39">
        <f ca="1">SUM(OFFSET(GeneralInputs!$D$13,MATCH($D17,GeneralInputs!$C$14:$C$23,0),0,1,3))</f>
        <v>4156.29</v>
      </c>
      <c r="T17" s="39">
        <f ca="1">SUM(OFFSET(GeneralInputs!$D$13,MATCH($D17,GeneralInputs!$C$14:$C$23,0),0,1,3))</f>
        <v>4156.29</v>
      </c>
      <c r="U17" s="39">
        <f ca="1">SUM(OFFSET(GeneralInputs!$D$13,MATCH($D17,GeneralInputs!$C$14:$C$23,0),0,1,3))</f>
        <v>4156.29</v>
      </c>
      <c r="V17" s="39">
        <f ca="1">SUM(OFFSET(GeneralInputs!$D$13,MATCH($D17,GeneralInputs!$C$14:$C$23,0),0,1,3))</f>
        <v>4156.29</v>
      </c>
      <c r="W17" s="39">
        <f ca="1">SUM(OFFSET(GeneralInputs!$D$13,MATCH($D17,GeneralInputs!$C$14:$C$23,0),0,1,3))</f>
        <v>4156.29</v>
      </c>
      <c r="X17" s="39">
        <f ca="1">SUM(OFFSET(GeneralInputs!$D$13,MATCH($D17,GeneralInputs!$C$14:$C$23,0),0,1,3))</f>
        <v>4156.29</v>
      </c>
      <c r="Y17" s="39">
        <f ca="1">SUM(OFFSET(GeneralInputs!$D$13,MATCH($D17,GeneralInputs!$C$14:$C$23,0),0,1,3))</f>
        <v>4156.29</v>
      </c>
      <c r="Z17" s="39">
        <f ca="1">SUM(OFFSET(GeneralInputs!$D$13,MATCH($D17,GeneralInputs!$C$14:$C$23,0),0,1,3))</f>
        <v>4156.29</v>
      </c>
    </row>
    <row r="18" spans="2:26">
      <c r="B18" s="8"/>
      <c r="D18" s="13" t="s">
        <v>19</v>
      </c>
      <c r="E18" s="13"/>
      <c r="F18" s="106" t="s">
        <v>2149</v>
      </c>
      <c r="G18" s="39">
        <f ca="1">SUM(OFFSET(GeneralInputs!$D$13,MATCH($D18,GeneralInputs!$C$14:$C$23,0),0,1,3))</f>
        <v>26088.100000000002</v>
      </c>
      <c r="H18" s="39">
        <f ca="1">SUM(OFFSET(GeneralInputs!$D$13,MATCH($D18,GeneralInputs!$C$14:$C$23,0),0,1,3))</f>
        <v>26088.100000000002</v>
      </c>
      <c r="I18" s="39">
        <f ca="1">SUM(OFFSET(GeneralInputs!$D$13,MATCH($D18,GeneralInputs!$C$14:$C$23,0),0,1,3))</f>
        <v>26088.100000000002</v>
      </c>
      <c r="J18" s="39">
        <f ca="1">SUM(OFFSET(GeneralInputs!$D$13,MATCH($D18,GeneralInputs!$C$14:$C$23,0),0,1,3))</f>
        <v>26088.100000000002</v>
      </c>
      <c r="K18" s="39">
        <f ca="1">SUM(OFFSET(GeneralInputs!$D$13,MATCH($D18,GeneralInputs!$C$14:$C$23,0),0,1,3))</f>
        <v>26088.100000000002</v>
      </c>
      <c r="L18" s="39">
        <f ca="1">SUM(OFFSET(GeneralInputs!$D$13,MATCH($D18,GeneralInputs!$C$14:$C$23,0),0,1,3))</f>
        <v>26088.100000000002</v>
      </c>
      <c r="M18" s="39">
        <f ca="1">SUM(OFFSET(GeneralInputs!$D$13,MATCH($D18,GeneralInputs!$C$14:$C$23,0),0,1,3))</f>
        <v>26088.100000000002</v>
      </c>
      <c r="N18" s="39">
        <f ca="1">SUM(OFFSET(GeneralInputs!$D$13,MATCH($D18,GeneralInputs!$C$14:$C$23,0),0,1,3))</f>
        <v>26088.100000000002</v>
      </c>
      <c r="O18" s="39">
        <f ca="1">SUM(OFFSET(GeneralInputs!$D$13,MATCH($D18,GeneralInputs!$C$14:$C$23,0),0,1,3))</f>
        <v>26088.100000000002</v>
      </c>
      <c r="P18" s="39">
        <f ca="1">SUM(OFFSET(GeneralInputs!$D$13,MATCH($D18,GeneralInputs!$C$14:$C$23,0),0,1,3))</f>
        <v>26088.100000000002</v>
      </c>
      <c r="Q18" s="39">
        <f ca="1">SUM(OFFSET(GeneralInputs!$D$13,MATCH($D18,GeneralInputs!$C$14:$C$23,0),0,1,3))</f>
        <v>26088.100000000002</v>
      </c>
      <c r="R18" s="39">
        <f ca="1">SUM(OFFSET(GeneralInputs!$D$13,MATCH($D18,GeneralInputs!$C$14:$C$23,0),0,1,3))</f>
        <v>26088.100000000002</v>
      </c>
      <c r="S18" s="39">
        <f ca="1">SUM(OFFSET(GeneralInputs!$D$13,MATCH($D18,GeneralInputs!$C$14:$C$23,0),0,1,3))</f>
        <v>26088.100000000002</v>
      </c>
      <c r="T18" s="39">
        <f ca="1">SUM(OFFSET(GeneralInputs!$D$13,MATCH($D18,GeneralInputs!$C$14:$C$23,0),0,1,3))</f>
        <v>26088.100000000002</v>
      </c>
      <c r="U18" s="39">
        <f ca="1">SUM(OFFSET(GeneralInputs!$D$13,MATCH($D18,GeneralInputs!$C$14:$C$23,0),0,1,3))</f>
        <v>26088.100000000002</v>
      </c>
      <c r="V18" s="39">
        <f ca="1">SUM(OFFSET(GeneralInputs!$D$13,MATCH($D18,GeneralInputs!$C$14:$C$23,0),0,1,3))</f>
        <v>26088.100000000002</v>
      </c>
      <c r="W18" s="39">
        <f ca="1">SUM(OFFSET(GeneralInputs!$D$13,MATCH($D18,GeneralInputs!$C$14:$C$23,0),0,1,3))</f>
        <v>26088.100000000002</v>
      </c>
      <c r="X18" s="39">
        <f ca="1">SUM(OFFSET(GeneralInputs!$D$13,MATCH($D18,GeneralInputs!$C$14:$C$23,0),0,1,3))</f>
        <v>26088.100000000002</v>
      </c>
      <c r="Y18" s="39">
        <f ca="1">SUM(OFFSET(GeneralInputs!$D$13,MATCH($D18,GeneralInputs!$C$14:$C$23,0),0,1,3))</f>
        <v>26088.100000000002</v>
      </c>
      <c r="Z18" s="39">
        <f ca="1">SUM(OFFSET(GeneralInputs!$D$13,MATCH($D18,GeneralInputs!$C$14:$C$23,0),0,1,3))</f>
        <v>26088.100000000002</v>
      </c>
    </row>
    <row r="19" spans="2:26">
      <c r="B19" s="8"/>
      <c r="D19" s="13" t="s">
        <v>22</v>
      </c>
      <c r="E19" s="13"/>
      <c r="F19" s="235" t="s">
        <v>22</v>
      </c>
      <c r="G19" s="39">
        <f ca="1">SUM(OFFSET(GeneralInputs!$D$13,MATCH($D19,GeneralInputs!$C$14:$C$23,0),0,1,3))</f>
        <v>1268.4100000000001</v>
      </c>
      <c r="H19" s="39">
        <f ca="1">SUM(OFFSET(GeneralInputs!$D$13,MATCH($D19,GeneralInputs!$C$14:$C$23,0),0,1,3))</f>
        <v>1268.4100000000001</v>
      </c>
      <c r="I19" s="39">
        <f ca="1">SUM(OFFSET(GeneralInputs!$D$13,MATCH($D19,GeneralInputs!$C$14:$C$23,0),0,1,3))</f>
        <v>1268.4100000000001</v>
      </c>
      <c r="J19" s="39">
        <f ca="1">SUM(OFFSET(GeneralInputs!$D$13,MATCH($D19,GeneralInputs!$C$14:$C$23,0),0,1,3))</f>
        <v>1268.4100000000001</v>
      </c>
      <c r="K19" s="39">
        <f ca="1">SUM(OFFSET(GeneralInputs!$D$13,MATCH($D19,GeneralInputs!$C$14:$C$23,0),0,1,3))</f>
        <v>1268.4100000000001</v>
      </c>
      <c r="L19" s="39">
        <f ca="1">SUM(OFFSET(GeneralInputs!$D$13,MATCH($D19,GeneralInputs!$C$14:$C$23,0),0,1,3))</f>
        <v>1268.4100000000001</v>
      </c>
      <c r="M19" s="39">
        <f ca="1">SUM(OFFSET(GeneralInputs!$D$13,MATCH($D19,GeneralInputs!$C$14:$C$23,0),0,1,3))</f>
        <v>1268.4100000000001</v>
      </c>
      <c r="N19" s="39">
        <f ca="1">SUM(OFFSET(GeneralInputs!$D$13,MATCH($D19,GeneralInputs!$C$14:$C$23,0),0,1,3))</f>
        <v>1268.4100000000001</v>
      </c>
      <c r="O19" s="39">
        <f ca="1">SUM(OFFSET(GeneralInputs!$D$13,MATCH($D19,GeneralInputs!$C$14:$C$23,0),0,1,3))</f>
        <v>1268.4100000000001</v>
      </c>
      <c r="P19" s="39">
        <f ca="1">SUM(OFFSET(GeneralInputs!$D$13,MATCH($D19,GeneralInputs!$C$14:$C$23,0),0,1,3))</f>
        <v>1268.4100000000001</v>
      </c>
      <c r="Q19" s="39">
        <f ca="1">SUM(OFFSET(GeneralInputs!$D$13,MATCH($D19,GeneralInputs!$C$14:$C$23,0),0,1,3))</f>
        <v>1268.4100000000001</v>
      </c>
      <c r="R19" s="39">
        <f ca="1">SUM(OFFSET(GeneralInputs!$D$13,MATCH($D19,GeneralInputs!$C$14:$C$23,0),0,1,3))</f>
        <v>1268.4100000000001</v>
      </c>
      <c r="S19" s="39">
        <f ca="1">SUM(OFFSET(GeneralInputs!$D$13,MATCH($D19,GeneralInputs!$C$14:$C$23,0),0,1,3))</f>
        <v>1268.4100000000001</v>
      </c>
      <c r="T19" s="39">
        <f ca="1">SUM(OFFSET(GeneralInputs!$D$13,MATCH($D19,GeneralInputs!$C$14:$C$23,0),0,1,3))</f>
        <v>1268.4100000000001</v>
      </c>
      <c r="U19" s="39">
        <f ca="1">SUM(OFFSET(GeneralInputs!$D$13,MATCH($D19,GeneralInputs!$C$14:$C$23,0),0,1,3))</f>
        <v>1268.4100000000001</v>
      </c>
      <c r="V19" s="39">
        <f ca="1">SUM(OFFSET(GeneralInputs!$D$13,MATCH($D19,GeneralInputs!$C$14:$C$23,0),0,1,3))</f>
        <v>1268.4100000000001</v>
      </c>
      <c r="W19" s="39">
        <f ca="1">SUM(OFFSET(GeneralInputs!$D$13,MATCH($D19,GeneralInputs!$C$14:$C$23,0),0,1,3))</f>
        <v>1268.4100000000001</v>
      </c>
      <c r="X19" s="39">
        <f ca="1">SUM(OFFSET(GeneralInputs!$D$13,MATCH($D19,GeneralInputs!$C$14:$C$23,0),0,1,3))</f>
        <v>1268.4100000000001</v>
      </c>
      <c r="Y19" s="39">
        <f ca="1">SUM(OFFSET(GeneralInputs!$D$13,MATCH($D19,GeneralInputs!$C$14:$C$23,0),0,1,3))</f>
        <v>1268.4100000000001</v>
      </c>
      <c r="Z19" s="39">
        <f ca="1">SUM(OFFSET(GeneralInputs!$D$13,MATCH($D19,GeneralInputs!$C$14:$C$23,0),0,1,3))</f>
        <v>1268.4100000000001</v>
      </c>
    </row>
    <row r="20" spans="2:26">
      <c r="C20" s="182" t="s">
        <v>2383</v>
      </c>
    </row>
    <row r="21" spans="2:26">
      <c r="D21" s="13" t="s">
        <v>139</v>
      </c>
      <c r="F21" s="106" t="s">
        <v>139</v>
      </c>
      <c r="G21" s="39">
        <f ca="1">SUM(OFFSET(GeneralInputs!$D$13,MATCH($D21,GeneralInputs!$C$14:$C$23,0),0,1,3))*Loads!G$42</f>
        <v>573.09</v>
      </c>
      <c r="H21" s="39">
        <f ca="1">SUM(OFFSET(GeneralInputs!$D$13,MATCH($D21,GeneralInputs!$C$14:$C$23,0),0,1,3))*Loads!H$42</f>
        <v>573.09</v>
      </c>
      <c r="I21" s="39">
        <f ca="1">SUM(OFFSET(GeneralInputs!$D$13,MATCH($D21,GeneralInputs!$C$14:$C$23,0),0,1,3))*Loads!I$42</f>
        <v>573.09</v>
      </c>
      <c r="J21" s="39">
        <f ca="1">SUM(OFFSET(GeneralInputs!$D$13,MATCH($D21,GeneralInputs!$C$14:$C$23,0),0,1,3))*Loads!J$42</f>
        <v>573.09</v>
      </c>
      <c r="K21" s="39">
        <f ca="1">SUM(OFFSET(GeneralInputs!$D$13,MATCH($D21,GeneralInputs!$C$14:$C$23,0),0,1,3))*Loads!K$42</f>
        <v>573.09</v>
      </c>
      <c r="L21" s="39">
        <f ca="1">SUM(OFFSET(GeneralInputs!$D$13,MATCH($D21,GeneralInputs!$C$14:$C$23,0),0,1,3))*Loads!L$42</f>
        <v>573.09</v>
      </c>
      <c r="M21" s="39">
        <f ca="1">SUM(OFFSET(GeneralInputs!$D$13,MATCH($D21,GeneralInputs!$C$14:$C$23,0),0,1,3))*Loads!M$42</f>
        <v>573.09</v>
      </c>
      <c r="N21" s="39">
        <f ca="1">SUM(OFFSET(GeneralInputs!$D$13,MATCH($D21,GeneralInputs!$C$14:$C$23,0),0,1,3))*Loads!N$42</f>
        <v>573.09</v>
      </c>
      <c r="O21" s="39">
        <f ca="1">SUM(OFFSET(GeneralInputs!$D$13,MATCH($D21,GeneralInputs!$C$14:$C$23,0),0,1,3))*Loads!O$42</f>
        <v>573.09</v>
      </c>
      <c r="P21" s="39">
        <f ca="1">SUM(OFFSET(GeneralInputs!$D$13,MATCH($D21,GeneralInputs!$C$14:$C$23,0),0,1,3))*Loads!P$42</f>
        <v>573.09</v>
      </c>
      <c r="Q21" s="39">
        <f ca="1">SUM(OFFSET(GeneralInputs!$D$13,MATCH($D21,GeneralInputs!$C$14:$C$23,0),0,1,3))*Loads!Q$42</f>
        <v>573.09</v>
      </c>
      <c r="R21" s="39">
        <f ca="1">SUM(OFFSET(GeneralInputs!$D$13,MATCH($D21,GeneralInputs!$C$14:$C$23,0),0,1,3))*Loads!R$42</f>
        <v>573.09</v>
      </c>
      <c r="S21" s="39">
        <f ca="1">SUM(OFFSET(GeneralInputs!$D$13,MATCH($D21,GeneralInputs!$C$14:$C$23,0),0,1,3))*Loads!S$42</f>
        <v>573.09</v>
      </c>
      <c r="T21" s="39">
        <f ca="1">SUM(OFFSET(GeneralInputs!$D$13,MATCH($D21,GeneralInputs!$C$14:$C$23,0),0,1,3))*Loads!T$42</f>
        <v>573.09</v>
      </c>
      <c r="U21" s="39">
        <f ca="1">SUM(OFFSET(GeneralInputs!$D$13,MATCH($D21,GeneralInputs!$C$14:$C$23,0),0,1,3))*Loads!U$42</f>
        <v>573.09</v>
      </c>
      <c r="V21" s="39">
        <f ca="1">SUM(OFFSET(GeneralInputs!$D$13,MATCH($D21,GeneralInputs!$C$14:$C$23,0),0,1,3))*Loads!V$42</f>
        <v>573.09</v>
      </c>
      <c r="W21" s="39">
        <f ca="1">SUM(OFFSET(GeneralInputs!$D$13,MATCH($D21,GeneralInputs!$C$14:$C$23,0),0,1,3))*Loads!W$42</f>
        <v>573.09</v>
      </c>
      <c r="X21" s="39">
        <f ca="1">SUM(OFFSET(GeneralInputs!$D$13,MATCH($D21,GeneralInputs!$C$14:$C$23,0),0,1,3))*Loads!X$42</f>
        <v>573.09</v>
      </c>
      <c r="Y21" s="39">
        <f ca="1">SUM(OFFSET(GeneralInputs!$D$13,MATCH($D21,GeneralInputs!$C$14:$C$23,0),0,1,3))*Loads!Y$42</f>
        <v>573.09</v>
      </c>
      <c r="Z21" s="39">
        <f ca="1">SUM(OFFSET(GeneralInputs!$D$13,MATCH($D21,GeneralInputs!$C$14:$C$23,0),0,1,3))*Loads!Z$42</f>
        <v>573.09</v>
      </c>
    </row>
    <row r="22" spans="2:26">
      <c r="D22" s="13" t="s">
        <v>136</v>
      </c>
      <c r="F22" s="106" t="s">
        <v>136</v>
      </c>
      <c r="G22" s="39">
        <f ca="1">SUM(OFFSET(GeneralInputs!$D$13,MATCH($D22,GeneralInputs!$C$14:$C$23,0),0,1,3))*Loads!G$42</f>
        <v>1079.1300000000001</v>
      </c>
      <c r="H22" s="39">
        <f ca="1">SUM(OFFSET(GeneralInputs!$D$13,MATCH($D22,GeneralInputs!$C$14:$C$23,0),0,1,3))*Loads!H$42</f>
        <v>1079.1300000000001</v>
      </c>
      <c r="I22" s="39">
        <f ca="1">SUM(OFFSET(GeneralInputs!$D$13,MATCH($D22,GeneralInputs!$C$14:$C$23,0),0,1,3))*Loads!I$42</f>
        <v>1079.1300000000001</v>
      </c>
      <c r="J22" s="39">
        <f ca="1">SUM(OFFSET(GeneralInputs!$D$13,MATCH($D22,GeneralInputs!$C$14:$C$23,0),0,1,3))*Loads!J$42</f>
        <v>1079.1300000000001</v>
      </c>
      <c r="K22" s="39">
        <f ca="1">SUM(OFFSET(GeneralInputs!$D$13,MATCH($D22,GeneralInputs!$C$14:$C$23,0),0,1,3))*Loads!K$42</f>
        <v>1079.1300000000001</v>
      </c>
      <c r="L22" s="39">
        <f ca="1">SUM(OFFSET(GeneralInputs!$D$13,MATCH($D22,GeneralInputs!$C$14:$C$23,0),0,1,3))*Loads!L$42</f>
        <v>1079.1300000000001</v>
      </c>
      <c r="M22" s="39">
        <f ca="1">SUM(OFFSET(GeneralInputs!$D$13,MATCH($D22,GeneralInputs!$C$14:$C$23,0),0,1,3))*Loads!M$42</f>
        <v>1079.1300000000001</v>
      </c>
      <c r="N22" s="39">
        <f ca="1">SUM(OFFSET(GeneralInputs!$D$13,MATCH($D22,GeneralInputs!$C$14:$C$23,0),0,1,3))*Loads!N$42</f>
        <v>1079.1300000000001</v>
      </c>
      <c r="O22" s="39">
        <f ca="1">SUM(OFFSET(GeneralInputs!$D$13,MATCH($D22,GeneralInputs!$C$14:$C$23,0),0,1,3))*Loads!O$42</f>
        <v>1079.1300000000001</v>
      </c>
      <c r="P22" s="39">
        <f ca="1">SUM(OFFSET(GeneralInputs!$D$13,MATCH($D22,GeneralInputs!$C$14:$C$23,0),0,1,3))*Loads!P$42</f>
        <v>1079.1300000000001</v>
      </c>
      <c r="Q22" s="39">
        <f ca="1">SUM(OFFSET(GeneralInputs!$D$13,MATCH($D22,GeneralInputs!$C$14:$C$23,0),0,1,3))*Loads!Q$42</f>
        <v>1079.1300000000001</v>
      </c>
      <c r="R22" s="39">
        <f ca="1">SUM(OFFSET(GeneralInputs!$D$13,MATCH($D22,GeneralInputs!$C$14:$C$23,0),0,1,3))*Loads!R$42</f>
        <v>1079.1300000000001</v>
      </c>
      <c r="S22" s="39">
        <f ca="1">SUM(OFFSET(GeneralInputs!$D$13,MATCH($D22,GeneralInputs!$C$14:$C$23,0),0,1,3))*Loads!S$42</f>
        <v>1079.1300000000001</v>
      </c>
      <c r="T22" s="39">
        <f ca="1">SUM(OFFSET(GeneralInputs!$D$13,MATCH($D22,GeneralInputs!$C$14:$C$23,0),0,1,3))*Loads!T$42</f>
        <v>1079.1300000000001</v>
      </c>
      <c r="U22" s="39">
        <f ca="1">SUM(OFFSET(GeneralInputs!$D$13,MATCH($D22,GeneralInputs!$C$14:$C$23,0),0,1,3))*Loads!U$42</f>
        <v>1079.1300000000001</v>
      </c>
      <c r="V22" s="39">
        <f ca="1">SUM(OFFSET(GeneralInputs!$D$13,MATCH($D22,GeneralInputs!$C$14:$C$23,0),0,1,3))*Loads!V$42</f>
        <v>1079.1300000000001</v>
      </c>
      <c r="W22" s="39">
        <f ca="1">SUM(OFFSET(GeneralInputs!$D$13,MATCH($D22,GeneralInputs!$C$14:$C$23,0),0,1,3))*Loads!W$42</f>
        <v>1079.1300000000001</v>
      </c>
      <c r="X22" s="39">
        <f ca="1">SUM(OFFSET(GeneralInputs!$D$13,MATCH($D22,GeneralInputs!$C$14:$C$23,0),0,1,3))*Loads!X$42</f>
        <v>1079.1300000000001</v>
      </c>
      <c r="Y22" s="39">
        <f ca="1">SUM(OFFSET(GeneralInputs!$D$13,MATCH($D22,GeneralInputs!$C$14:$C$23,0),0,1,3))*Loads!Y$42</f>
        <v>1079.1300000000001</v>
      </c>
      <c r="Z22" s="39">
        <f ca="1">SUM(OFFSET(GeneralInputs!$D$13,MATCH($D22,GeneralInputs!$C$14:$C$23,0),0,1,3))*Loads!Z$42</f>
        <v>1079.1300000000001</v>
      </c>
    </row>
    <row r="23" spans="2:26">
      <c r="D23" s="13" t="s">
        <v>138</v>
      </c>
      <c r="E23" s="13"/>
      <c r="F23" s="106" t="s">
        <v>138</v>
      </c>
      <c r="G23" s="39">
        <f ca="1">SUM(OFFSET(GeneralInputs!$D$13,MATCH($D23,GeneralInputs!$C$14:$C$23,0),0,1,3))*Loads!G$42</f>
        <v>383.63907443429684</v>
      </c>
      <c r="H23" s="39">
        <f ca="1">SUM(OFFSET(GeneralInputs!$D$13,MATCH($D23,GeneralInputs!$C$14:$C$23,0),0,1,3))*Loads!H$42</f>
        <v>383.63907443429684</v>
      </c>
      <c r="I23" s="39">
        <f ca="1">SUM(OFFSET(GeneralInputs!$D$13,MATCH($D23,GeneralInputs!$C$14:$C$23,0),0,1,3))*Loads!I$42</f>
        <v>383.63907443429684</v>
      </c>
      <c r="J23" s="39">
        <f ca="1">SUM(OFFSET(GeneralInputs!$D$13,MATCH($D23,GeneralInputs!$C$14:$C$23,0),0,1,3))*Loads!J$42</f>
        <v>383.63907443429684</v>
      </c>
      <c r="K23" s="39">
        <f ca="1">SUM(OFFSET(GeneralInputs!$D$13,MATCH($D23,GeneralInputs!$C$14:$C$23,0),0,1,3))*Loads!K$42</f>
        <v>383.63907443429684</v>
      </c>
      <c r="L23" s="39">
        <f ca="1">SUM(OFFSET(GeneralInputs!$D$13,MATCH($D23,GeneralInputs!$C$14:$C$23,0),0,1,3))*Loads!L$42</f>
        <v>383.63907443429684</v>
      </c>
      <c r="M23" s="39">
        <f ca="1">SUM(OFFSET(GeneralInputs!$D$13,MATCH($D23,GeneralInputs!$C$14:$C$23,0),0,1,3))*Loads!M$42</f>
        <v>383.63907443429684</v>
      </c>
      <c r="N23" s="39">
        <f ca="1">SUM(OFFSET(GeneralInputs!$D$13,MATCH($D23,GeneralInputs!$C$14:$C$23,0),0,1,3))*Loads!N$42</f>
        <v>383.63907443429684</v>
      </c>
      <c r="O23" s="39">
        <f ca="1">SUM(OFFSET(GeneralInputs!$D$13,MATCH($D23,GeneralInputs!$C$14:$C$23,0),0,1,3))*Loads!O$42</f>
        <v>383.63907443429684</v>
      </c>
      <c r="P23" s="39">
        <f ca="1">SUM(OFFSET(GeneralInputs!$D$13,MATCH($D23,GeneralInputs!$C$14:$C$23,0),0,1,3))*Loads!P$42</f>
        <v>383.63907443429684</v>
      </c>
      <c r="Q23" s="39">
        <f ca="1">SUM(OFFSET(GeneralInputs!$D$13,MATCH($D23,GeneralInputs!$C$14:$C$23,0),0,1,3))*Loads!Q$42</f>
        <v>383.63907443429684</v>
      </c>
      <c r="R23" s="39">
        <f ca="1">SUM(OFFSET(GeneralInputs!$D$13,MATCH($D23,GeneralInputs!$C$14:$C$23,0),0,1,3))*Loads!R$42</f>
        <v>383.63907443429684</v>
      </c>
      <c r="S23" s="39">
        <f ca="1">SUM(OFFSET(GeneralInputs!$D$13,MATCH($D23,GeneralInputs!$C$14:$C$23,0),0,1,3))*Loads!S$42</f>
        <v>383.63907443429684</v>
      </c>
      <c r="T23" s="39">
        <f ca="1">SUM(OFFSET(GeneralInputs!$D$13,MATCH($D23,GeneralInputs!$C$14:$C$23,0),0,1,3))*Loads!T$42</f>
        <v>383.63907443429684</v>
      </c>
      <c r="U23" s="39">
        <f ca="1">SUM(OFFSET(GeneralInputs!$D$13,MATCH($D23,GeneralInputs!$C$14:$C$23,0),0,1,3))*Loads!U$42</f>
        <v>383.63907443429684</v>
      </c>
      <c r="V23" s="39">
        <f ca="1">SUM(OFFSET(GeneralInputs!$D$13,MATCH($D23,GeneralInputs!$C$14:$C$23,0),0,1,3))*Loads!V$42</f>
        <v>383.63907443429684</v>
      </c>
      <c r="W23" s="39">
        <f ca="1">SUM(OFFSET(GeneralInputs!$D$13,MATCH($D23,GeneralInputs!$C$14:$C$23,0),0,1,3))*Loads!W$42</f>
        <v>383.63907443429684</v>
      </c>
      <c r="X23" s="39">
        <f ca="1">SUM(OFFSET(GeneralInputs!$D$13,MATCH($D23,GeneralInputs!$C$14:$C$23,0),0,1,3))*Loads!X$42</f>
        <v>383.63907443429684</v>
      </c>
      <c r="Y23" s="39">
        <f ca="1">SUM(OFFSET(GeneralInputs!$D$13,MATCH($D23,GeneralInputs!$C$14:$C$23,0),0,1,3))*Loads!Y$42</f>
        <v>383.63907443429684</v>
      </c>
      <c r="Z23" s="39">
        <f ca="1">SUM(OFFSET(GeneralInputs!$D$13,MATCH($D23,GeneralInputs!$C$14:$C$23,0),0,1,3))*Loads!Z$42</f>
        <v>383.63907443429684</v>
      </c>
    </row>
    <row r="24" spans="2:26">
      <c r="D24" s="13" t="s">
        <v>137</v>
      </c>
      <c r="E24" s="13"/>
      <c r="F24" s="106" t="s">
        <v>137</v>
      </c>
      <c r="G24" s="39">
        <f ca="1">SUM(OFFSET(GeneralInputs!$D$13,MATCH($D24,GeneralInputs!$C$14:$C$23,0),0,1,3))*Loads!G$42</f>
        <v>326.83</v>
      </c>
      <c r="H24" s="39">
        <f ca="1">SUM(OFFSET(GeneralInputs!$D$13,MATCH($D24,GeneralInputs!$C$14:$C$23,0),0,1,3))*Loads!H$42</f>
        <v>326.83</v>
      </c>
      <c r="I24" s="39">
        <f ca="1">SUM(OFFSET(GeneralInputs!$D$13,MATCH($D24,GeneralInputs!$C$14:$C$23,0),0,1,3))*Loads!I$42</f>
        <v>326.83</v>
      </c>
      <c r="J24" s="39">
        <f ca="1">SUM(OFFSET(GeneralInputs!$D$13,MATCH($D24,GeneralInputs!$C$14:$C$23,0),0,1,3))*Loads!J$42</f>
        <v>326.83</v>
      </c>
      <c r="K24" s="39">
        <f ca="1">SUM(OFFSET(GeneralInputs!$D$13,MATCH($D24,GeneralInputs!$C$14:$C$23,0),0,1,3))*Loads!K$42</f>
        <v>326.83</v>
      </c>
      <c r="L24" s="39">
        <f ca="1">SUM(OFFSET(GeneralInputs!$D$13,MATCH($D24,GeneralInputs!$C$14:$C$23,0),0,1,3))*Loads!L$42</f>
        <v>326.83</v>
      </c>
      <c r="M24" s="39">
        <f ca="1">SUM(OFFSET(GeneralInputs!$D$13,MATCH($D24,GeneralInputs!$C$14:$C$23,0),0,1,3))*Loads!M$42</f>
        <v>326.83</v>
      </c>
      <c r="N24" s="39">
        <f ca="1">SUM(OFFSET(GeneralInputs!$D$13,MATCH($D24,GeneralInputs!$C$14:$C$23,0),0,1,3))*Loads!N$42</f>
        <v>326.83</v>
      </c>
      <c r="O24" s="39">
        <f ca="1">SUM(OFFSET(GeneralInputs!$D$13,MATCH($D24,GeneralInputs!$C$14:$C$23,0),0,1,3))*Loads!O$42</f>
        <v>326.83</v>
      </c>
      <c r="P24" s="39">
        <f ca="1">SUM(OFFSET(GeneralInputs!$D$13,MATCH($D24,GeneralInputs!$C$14:$C$23,0),0,1,3))*Loads!P$42</f>
        <v>326.83</v>
      </c>
      <c r="Q24" s="39">
        <f ca="1">SUM(OFFSET(GeneralInputs!$D$13,MATCH($D24,GeneralInputs!$C$14:$C$23,0),0,1,3))*Loads!Q$42</f>
        <v>326.83</v>
      </c>
      <c r="R24" s="39">
        <f ca="1">SUM(OFFSET(GeneralInputs!$D$13,MATCH($D24,GeneralInputs!$C$14:$C$23,0),0,1,3))*Loads!R$42</f>
        <v>326.83</v>
      </c>
      <c r="S24" s="39">
        <f ca="1">SUM(OFFSET(GeneralInputs!$D$13,MATCH($D24,GeneralInputs!$C$14:$C$23,0),0,1,3))*Loads!S$42</f>
        <v>326.83</v>
      </c>
      <c r="T24" s="39">
        <f ca="1">SUM(OFFSET(GeneralInputs!$D$13,MATCH($D24,GeneralInputs!$C$14:$C$23,0),0,1,3))*Loads!T$42</f>
        <v>326.83</v>
      </c>
      <c r="U24" s="39">
        <f ca="1">SUM(OFFSET(GeneralInputs!$D$13,MATCH($D24,GeneralInputs!$C$14:$C$23,0),0,1,3))*Loads!U$42</f>
        <v>326.83</v>
      </c>
      <c r="V24" s="39">
        <f ca="1">SUM(OFFSET(GeneralInputs!$D$13,MATCH($D24,GeneralInputs!$C$14:$C$23,0),0,1,3))*Loads!V$42</f>
        <v>326.83</v>
      </c>
      <c r="W24" s="39">
        <f ca="1">SUM(OFFSET(GeneralInputs!$D$13,MATCH($D24,GeneralInputs!$C$14:$C$23,0),0,1,3))*Loads!W$42</f>
        <v>326.83</v>
      </c>
      <c r="X24" s="39">
        <f ca="1">SUM(OFFSET(GeneralInputs!$D$13,MATCH($D24,GeneralInputs!$C$14:$C$23,0),0,1,3))*Loads!X$42</f>
        <v>326.83</v>
      </c>
      <c r="Y24" s="39">
        <f ca="1">SUM(OFFSET(GeneralInputs!$D$13,MATCH($D24,GeneralInputs!$C$14:$C$23,0),0,1,3))*Loads!Y$42</f>
        <v>326.83</v>
      </c>
      <c r="Z24" s="39">
        <f ca="1">SUM(OFFSET(GeneralInputs!$D$13,MATCH($D24,GeneralInputs!$C$14:$C$23,0),0,1,3))*Loads!Z$42</f>
        <v>326.83</v>
      </c>
    </row>
    <row r="25" spans="2:26"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spans="2:26">
      <c r="D26" s="13" t="s">
        <v>125</v>
      </c>
      <c r="E26" s="13"/>
      <c r="F26" s="13"/>
      <c r="G26" s="40">
        <f ca="1">SUM(G14:G19,G21:G24)</f>
        <v>49809.170394434295</v>
      </c>
      <c r="H26" s="40">
        <f t="shared" ref="H26:Z26" ca="1" si="17">SUM(H14:H19,H21:H24)</f>
        <v>49809.170394434295</v>
      </c>
      <c r="I26" s="40">
        <f t="shared" ca="1" si="17"/>
        <v>49809.170394434295</v>
      </c>
      <c r="J26" s="40">
        <f t="shared" ca="1" si="17"/>
        <v>49809.170394434295</v>
      </c>
      <c r="K26" s="40">
        <f t="shared" ca="1" si="17"/>
        <v>49809.170394434295</v>
      </c>
      <c r="L26" s="40">
        <f t="shared" ca="1" si="17"/>
        <v>49809.170394434295</v>
      </c>
      <c r="M26" s="40">
        <f t="shared" ca="1" si="17"/>
        <v>49809.170394434295</v>
      </c>
      <c r="N26" s="40">
        <f t="shared" ca="1" si="17"/>
        <v>49809.170394434295</v>
      </c>
      <c r="O26" s="40">
        <f t="shared" ca="1" si="17"/>
        <v>49809.170394434295</v>
      </c>
      <c r="P26" s="40">
        <f t="shared" ca="1" si="17"/>
        <v>49809.170394434295</v>
      </c>
      <c r="Q26" s="40">
        <f t="shared" ca="1" si="17"/>
        <v>49809.170394434295</v>
      </c>
      <c r="R26" s="40">
        <f t="shared" ca="1" si="17"/>
        <v>49809.170394434295</v>
      </c>
      <c r="S26" s="40">
        <f t="shared" ca="1" si="17"/>
        <v>49809.170394434295</v>
      </c>
      <c r="T26" s="40">
        <f t="shared" ca="1" si="17"/>
        <v>49809.170394434295</v>
      </c>
      <c r="U26" s="40">
        <f t="shared" ca="1" si="17"/>
        <v>49809.170394434295</v>
      </c>
      <c r="V26" s="40">
        <f t="shared" ca="1" si="17"/>
        <v>49809.170394434295</v>
      </c>
      <c r="W26" s="40">
        <f t="shared" ca="1" si="17"/>
        <v>49809.170394434295</v>
      </c>
      <c r="X26" s="40">
        <f t="shared" ca="1" si="17"/>
        <v>49809.170394434295</v>
      </c>
      <c r="Y26" s="40">
        <f t="shared" ca="1" si="17"/>
        <v>49809.170394434295</v>
      </c>
      <c r="Z26" s="40">
        <f t="shared" ca="1" si="17"/>
        <v>49809.170394434295</v>
      </c>
    </row>
    <row r="27" spans="2:26"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2:26">
      <c r="C28" s="12" t="s">
        <v>7</v>
      </c>
    </row>
    <row r="29" spans="2:26">
      <c r="D29" s="13" t="s">
        <v>21</v>
      </c>
      <c r="F29" s="106" t="s">
        <v>21</v>
      </c>
      <c r="G29" s="39">
        <f ca="1">-SUMIF(Plants!$E$7:$E$14,$D29,Plants!I$7:I$14)</f>
        <v>0</v>
      </c>
      <c r="H29" s="39">
        <f ca="1">-SUMIF(Plants!$E$7:$E$14,$D29,Plants!J$7:J$14)</f>
        <v>0</v>
      </c>
      <c r="I29" s="39">
        <f ca="1">-SUMIF(Plants!$E$7:$E$14,$D29,Plants!K$7:K$14)</f>
        <v>0</v>
      </c>
      <c r="J29" s="39">
        <f ca="1">-SUMIF(Plants!$E$7:$E$14,$D29,Plants!L$7:L$14)</f>
        <v>0</v>
      </c>
      <c r="K29" s="39">
        <f ca="1">-SUMIF(Plants!$E$7:$E$14,$D29,Plants!M$7:M$14)</f>
        <v>0</v>
      </c>
      <c r="L29" s="39">
        <f ca="1">-SUMIF(Plants!$E$7:$E$14,$D29,Plants!N$7:N$14)</f>
        <v>0</v>
      </c>
      <c r="M29" s="39">
        <f ca="1">-SUMIF(Plants!$E$7:$E$14,$D29,Plants!O$7:O$14)</f>
        <v>0</v>
      </c>
      <c r="N29" s="39">
        <f ca="1">-SUMIF(Plants!$E$7:$E$14,$D29,Plants!P$7:P$14)</f>
        <v>0</v>
      </c>
      <c r="O29" s="39">
        <f ca="1">-SUMIF(Plants!$E$7:$E$14,$D29,Plants!Q$7:Q$14)</f>
        <v>0</v>
      </c>
      <c r="P29" s="39">
        <f ca="1">-SUMIF(Plants!$E$7:$E$14,$D29,Plants!R$7:R$14)</f>
        <v>0</v>
      </c>
      <c r="Q29" s="39">
        <f ca="1">-SUMIF(Plants!$E$7:$E$14,$D29,Plants!S$7:S$14)</f>
        <v>0</v>
      </c>
      <c r="R29" s="39">
        <f ca="1">-SUMIF(Plants!$E$7:$E$14,$D29,Plants!T$7:T$14)</f>
        <v>0</v>
      </c>
      <c r="S29" s="39">
        <f ca="1">-SUMIF(Plants!$E$7:$E$14,$D29,Plants!U$7:U$14)</f>
        <v>0</v>
      </c>
      <c r="T29" s="39">
        <f ca="1">-SUMIF(Plants!$E$7:$E$14,$D29,Plants!V$7:V$14)</f>
        <v>0</v>
      </c>
      <c r="U29" s="39">
        <f ca="1">-SUMIF(Plants!$E$7:$E$14,$D29,Plants!W$7:W$14)</f>
        <v>0</v>
      </c>
      <c r="V29" s="39">
        <f ca="1">-SUMIF(Plants!$E$7:$E$14,$D29,Plants!X$7:X$14)</f>
        <v>0</v>
      </c>
      <c r="W29" s="39">
        <f ca="1">-SUMIF(Plants!$E$7:$E$14,$D29,Plants!Y$7:Y$14)</f>
        <v>0</v>
      </c>
      <c r="X29" s="39">
        <f ca="1">-SUMIF(Plants!$E$7:$E$14,$D29,Plants!Z$7:Z$14)</f>
        <v>0</v>
      </c>
      <c r="Y29" s="39">
        <f ca="1">-SUMIF(Plants!$E$7:$E$14,$D29,Plants!AA$7:AA$14)</f>
        <v>0</v>
      </c>
      <c r="Z29" s="39">
        <f ca="1">-SUMIF(Plants!$E$7:$E$14,$D29,Plants!AB$7:AB$14)</f>
        <v>0</v>
      </c>
    </row>
    <row r="30" spans="2:26">
      <c r="D30" s="13" t="s">
        <v>20</v>
      </c>
      <c r="F30" s="106" t="s">
        <v>2149</v>
      </c>
      <c r="G30" s="39">
        <f ca="1">-SUMIF(Plants!$E$7:$E$14,$D30,Plants!I$7:I$14)</f>
        <v>-171</v>
      </c>
      <c r="H30" s="39">
        <f ca="1">-SUMIF(Plants!$E$7:$E$14,$D30,Plants!J$7:J$14)</f>
        <v>-336</v>
      </c>
      <c r="I30" s="39">
        <f ca="1">-SUMIF(Plants!$E$7:$E$14,$D30,Plants!K$7:K$14)</f>
        <v>-336</v>
      </c>
      <c r="J30" s="39">
        <f ca="1">-SUMIF(Plants!$E$7:$E$14,$D30,Plants!L$7:L$14)</f>
        <v>-336</v>
      </c>
      <c r="K30" s="39">
        <f ca="1">-SUMIF(Plants!$E$7:$E$14,$D30,Plants!M$7:M$14)</f>
        <v>-336</v>
      </c>
      <c r="L30" s="39">
        <f ca="1">-SUMIF(Plants!$E$7:$E$14,$D30,Plants!N$7:N$14)</f>
        <v>-336</v>
      </c>
      <c r="M30" s="39">
        <f ca="1">-SUMIF(Plants!$E$7:$E$14,$D30,Plants!O$7:O$14)</f>
        <v>-350</v>
      </c>
      <c r="N30" s="39">
        <f ca="1">-SUMIF(Plants!$E$7:$E$14,$D30,Plants!P$7:P$14)</f>
        <v>-350</v>
      </c>
      <c r="O30" s="39">
        <f ca="1">-SUMIF(Plants!$E$7:$E$14,$D30,Plants!Q$7:Q$14)</f>
        <v>-350</v>
      </c>
      <c r="P30" s="39">
        <f ca="1">-SUMIF(Plants!$E$7:$E$14,$D30,Plants!R$7:R$14)</f>
        <v>-350</v>
      </c>
      <c r="Q30" s="39">
        <f ca="1">-SUMIF(Plants!$E$7:$E$14,$D30,Plants!S$7:S$14)</f>
        <v>-350</v>
      </c>
      <c r="R30" s="39">
        <f ca="1">-SUMIF(Plants!$E$7:$E$14,$D30,Plants!T$7:T$14)</f>
        <v>-350</v>
      </c>
      <c r="S30" s="39">
        <f ca="1">-SUMIF(Plants!$E$7:$E$14,$D30,Plants!U$7:U$14)</f>
        <v>-350</v>
      </c>
      <c r="T30" s="39">
        <f ca="1">-SUMIF(Plants!$E$7:$E$14,$D30,Plants!V$7:V$14)</f>
        <v>-350</v>
      </c>
      <c r="U30" s="39">
        <f ca="1">-SUMIF(Plants!$E$7:$E$14,$D30,Plants!W$7:W$14)</f>
        <v>-350</v>
      </c>
      <c r="V30" s="39">
        <f ca="1">-SUMIF(Plants!$E$7:$E$14,$D30,Plants!X$7:X$14)</f>
        <v>-350</v>
      </c>
      <c r="W30" s="39">
        <f ca="1">-SUMIF(Plants!$E$7:$E$14,$D30,Plants!Y$7:Y$14)</f>
        <v>-350</v>
      </c>
      <c r="X30" s="39">
        <f ca="1">-SUMIF(Plants!$E$7:$E$14,$D30,Plants!Z$7:Z$14)</f>
        <v>-350</v>
      </c>
      <c r="Y30" s="39">
        <f ca="1">-SUMIF(Plants!$E$7:$E$14,$D30,Plants!AA$7:AA$14)</f>
        <v>-350</v>
      </c>
      <c r="Z30" s="39">
        <f ca="1">-SUMIF(Plants!$E$7:$E$14,$D30,Plants!AB$7:AB$14)</f>
        <v>-350</v>
      </c>
    </row>
    <row r="31" spans="2:26">
      <c r="D31" s="13" t="s">
        <v>19</v>
      </c>
      <c r="F31" s="106" t="s">
        <v>2149</v>
      </c>
      <c r="G31" s="39">
        <f ca="1">-SUMIF(Plants!$E$7:$E$14,$D31,Plants!I$7:I$14)</f>
        <v>-1088.5999999999999</v>
      </c>
      <c r="H31" s="39">
        <f ca="1">-SUMIF(Plants!$E$7:$E$14,$D31,Plants!J$7:J$14)</f>
        <v>-1088.5999999999999</v>
      </c>
      <c r="I31" s="39">
        <f ca="1">-SUMIF(Plants!$E$7:$E$14,$D31,Plants!K$7:K$14)</f>
        <v>-1088.5999999999999</v>
      </c>
      <c r="J31" s="39">
        <f ca="1">-SUMIF(Plants!$E$7:$E$14,$D31,Plants!L$7:L$14)</f>
        <v>-2097.6</v>
      </c>
      <c r="K31" s="39">
        <f ca="1">-SUMIF(Plants!$E$7:$E$14,$D31,Plants!M$7:M$14)</f>
        <v>-3867.1</v>
      </c>
      <c r="L31" s="39">
        <f ca="1">-SUMIF(Plants!$E$7:$E$14,$D31,Plants!N$7:N$14)</f>
        <v>-4818.1000000000004</v>
      </c>
      <c r="M31" s="39">
        <f ca="1">-SUMIF(Plants!$E$7:$E$14,$D31,Plants!O$7:O$14)</f>
        <v>-9536.130000000001</v>
      </c>
      <c r="N31" s="39">
        <f ca="1">-SUMIF(Plants!$E$7:$E$14,$D31,Plants!P$7:P$14)</f>
        <v>-10487.130000000001</v>
      </c>
      <c r="O31" s="39">
        <f ca="1">-SUMIF(Plants!$E$7:$E$14,$D31,Plants!Q$7:Q$14)</f>
        <v>-11438.130000000001</v>
      </c>
      <c r="P31" s="39">
        <f ca="1">-SUMIF(Plants!$E$7:$E$14,$D31,Plants!R$7:R$14)</f>
        <v>-13514.69</v>
      </c>
      <c r="Q31" s="39">
        <f ca="1">-SUMIF(Plants!$E$7:$E$14,$D31,Plants!S$7:S$14)</f>
        <v>-13514.69</v>
      </c>
      <c r="R31" s="39">
        <f ca="1">-SUMIF(Plants!$E$7:$E$14,$D31,Plants!T$7:T$14)</f>
        <v>-13514.69</v>
      </c>
      <c r="S31" s="39">
        <f ca="1">-SUMIF(Plants!$E$7:$E$14,$D31,Plants!U$7:U$14)</f>
        <v>-13514.69</v>
      </c>
      <c r="T31" s="39">
        <f ca="1">-SUMIF(Plants!$E$7:$E$14,$D31,Plants!V$7:V$14)</f>
        <v>-13514.69</v>
      </c>
      <c r="U31" s="39">
        <f ca="1">-SUMIF(Plants!$E$7:$E$14,$D31,Plants!W$7:W$14)</f>
        <v>-13514.69</v>
      </c>
      <c r="V31" s="39">
        <f ca="1">-SUMIF(Plants!$E$7:$E$14,$D31,Plants!X$7:X$14)</f>
        <v>-13514.69</v>
      </c>
      <c r="W31" s="39">
        <f ca="1">-SUMIF(Plants!$E$7:$E$14,$D31,Plants!Y$7:Y$14)</f>
        <v>-13514.69</v>
      </c>
      <c r="X31" s="39">
        <f ca="1">-SUMIF(Plants!$E$7:$E$14,$D31,Plants!Z$7:Z$14)</f>
        <v>-13514.69</v>
      </c>
      <c r="Y31" s="39">
        <f ca="1">-SUMIF(Plants!$E$7:$E$14,$D31,Plants!AA$7:AA$14)</f>
        <v>-13514.69</v>
      </c>
      <c r="Z31" s="39">
        <f ca="1">-SUMIF(Plants!$E$7:$E$14,$D31,Plants!AB$7:AB$14)</f>
        <v>-13514.69</v>
      </c>
    </row>
    <row r="32" spans="2:26">
      <c r="D32" s="13" t="s">
        <v>126</v>
      </c>
      <c r="G32" s="40">
        <f ca="1">SUM(G29:G31)</f>
        <v>-1259.5999999999999</v>
      </c>
      <c r="H32" s="40">
        <f t="shared" ref="H32:P32" ca="1" si="18">SUM(H29:H31)</f>
        <v>-1424.6</v>
      </c>
      <c r="I32" s="40">
        <f t="shared" ca="1" si="18"/>
        <v>-1424.6</v>
      </c>
      <c r="J32" s="40">
        <f t="shared" ca="1" si="18"/>
        <v>-2433.6</v>
      </c>
      <c r="K32" s="40">
        <f t="shared" ca="1" si="18"/>
        <v>-4203.1000000000004</v>
      </c>
      <c r="L32" s="40">
        <f t="shared" ca="1" si="18"/>
        <v>-5154.1000000000004</v>
      </c>
      <c r="M32" s="40">
        <f t="shared" ca="1" si="18"/>
        <v>-9886.130000000001</v>
      </c>
      <c r="N32" s="40">
        <f t="shared" ca="1" si="18"/>
        <v>-10837.130000000001</v>
      </c>
      <c r="O32" s="40">
        <f t="shared" ca="1" si="18"/>
        <v>-11788.130000000001</v>
      </c>
      <c r="P32" s="40">
        <f t="shared" ca="1" si="18"/>
        <v>-13864.69</v>
      </c>
      <c r="Q32" s="40">
        <f t="shared" ref="Q32:Z32" ca="1" si="19">SUM(Q29:Q31)</f>
        <v>-13864.69</v>
      </c>
      <c r="R32" s="40">
        <f t="shared" ca="1" si="19"/>
        <v>-13864.69</v>
      </c>
      <c r="S32" s="40">
        <f t="shared" ca="1" si="19"/>
        <v>-13864.69</v>
      </c>
      <c r="T32" s="40">
        <f t="shared" ca="1" si="19"/>
        <v>-13864.69</v>
      </c>
      <c r="U32" s="40">
        <f t="shared" ca="1" si="19"/>
        <v>-13864.69</v>
      </c>
      <c r="V32" s="40">
        <f t="shared" ca="1" si="19"/>
        <v>-13864.69</v>
      </c>
      <c r="W32" s="40">
        <f t="shared" ca="1" si="19"/>
        <v>-13864.69</v>
      </c>
      <c r="X32" s="40">
        <f t="shared" ca="1" si="19"/>
        <v>-13864.69</v>
      </c>
      <c r="Y32" s="40">
        <f t="shared" ca="1" si="19"/>
        <v>-13864.69</v>
      </c>
      <c r="Z32" s="40">
        <f t="shared" ca="1" si="19"/>
        <v>-13864.69</v>
      </c>
    </row>
    <row r="33" spans="3:26">
      <c r="D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3:26">
      <c r="C34" s="106" t="s">
        <v>2150</v>
      </c>
      <c r="D34" s="13"/>
    </row>
    <row r="35" spans="3:26">
      <c r="D35" s="13" t="s">
        <v>18</v>
      </c>
      <c r="F35" s="106" t="s">
        <v>18</v>
      </c>
      <c r="G35" s="39">
        <f ca="1">SUMIF(Plants!$E$15:$E$26,$D35,Plants!I$15:I$26)</f>
        <v>40</v>
      </c>
      <c r="H35" s="39">
        <f ca="1">SUMIF(Plants!$E$15:$E$26,$D35,Plants!J$15:J$26)</f>
        <v>40</v>
      </c>
      <c r="I35" s="39">
        <f ca="1">SUMIF(Plants!$E$15:$E$26,$D35,Plants!K$15:K$26)</f>
        <v>40</v>
      </c>
      <c r="J35" s="39">
        <f ca="1">SUMIF(Plants!$E$15:$E$26,$D35,Plants!L$15:L$26)</f>
        <v>40</v>
      </c>
      <c r="K35" s="39">
        <f ca="1">SUMIF(Plants!$E$15:$E$26,$D35,Plants!M$15:M$26)</f>
        <v>40</v>
      </c>
      <c r="L35" s="39">
        <f ca="1">SUMIF(Plants!$E$15:$E$26,$D35,Plants!N$15:N$26)</f>
        <v>40</v>
      </c>
      <c r="M35" s="39">
        <f ca="1">SUMIF(Plants!$E$15:$E$26,$D35,Plants!O$15:O$26)</f>
        <v>40</v>
      </c>
      <c r="N35" s="39">
        <f ca="1">SUMIF(Plants!$E$15:$E$26,$D35,Plants!P$15:P$26)</f>
        <v>40</v>
      </c>
      <c r="O35" s="39">
        <f ca="1">SUMIF(Plants!$E$15:$E$26,$D35,Plants!Q$15:Q$26)</f>
        <v>40</v>
      </c>
      <c r="P35" s="39">
        <f ca="1">SUMIF(Plants!$E$15:$E$26,$D35,Plants!R$15:R$26)</f>
        <v>40</v>
      </c>
      <c r="Q35" s="39">
        <f ca="1">SUMIF(Plants!$E$15:$E$26,$D35,Plants!S$15:S$26)</f>
        <v>40</v>
      </c>
      <c r="R35" s="39">
        <f ca="1">SUMIF(Plants!$E$15:$E$26,$D35,Plants!T$15:T$26)</f>
        <v>40</v>
      </c>
      <c r="S35" s="39">
        <f ca="1">SUMIF(Plants!$E$15:$E$26,$D35,Plants!U$15:U$26)</f>
        <v>40</v>
      </c>
      <c r="T35" s="39">
        <f ca="1">SUMIF(Plants!$E$15:$E$26,$D35,Plants!V$15:V$26)</f>
        <v>40</v>
      </c>
      <c r="U35" s="39">
        <f ca="1">SUMIF(Plants!$E$15:$E$26,$D35,Plants!W$15:W$26)</f>
        <v>40</v>
      </c>
      <c r="V35" s="39">
        <f ca="1">SUMIF(Plants!$E$15:$E$26,$D35,Plants!X$15:X$26)</f>
        <v>40</v>
      </c>
      <c r="W35" s="39">
        <f ca="1">SUMIF(Plants!$E$15:$E$26,$D35,Plants!Y$15:Y$26)</f>
        <v>40</v>
      </c>
      <c r="X35" s="39">
        <f ca="1">SUMIF(Plants!$E$15:$E$26,$D35,Plants!Z$15:Z$26)</f>
        <v>40</v>
      </c>
      <c r="Y35" s="39">
        <f ca="1">SUMIF(Plants!$E$15:$E$26,$D35,Plants!AA$15:AA$26)</f>
        <v>40</v>
      </c>
      <c r="Z35" s="39">
        <f ca="1">SUMIF(Plants!$E$15:$E$26,$D35,Plants!AB$15:AB$26)</f>
        <v>40</v>
      </c>
    </row>
    <row r="36" spans="3:26">
      <c r="D36" s="13" t="s">
        <v>21</v>
      </c>
      <c r="F36" s="106" t="s">
        <v>21</v>
      </c>
      <c r="G36" s="39">
        <f ca="1">SUMIF(Plants!$E$15:$E$26,$D36,Plants!I$15:I$26)</f>
        <v>0</v>
      </c>
      <c r="H36" s="39">
        <f ca="1">SUMIF(Plants!$E$15:$E$26,$D36,Plants!J$15:J$26)</f>
        <v>0</v>
      </c>
      <c r="I36" s="39">
        <f ca="1">SUMIF(Plants!$E$15:$E$26,$D36,Plants!K$15:K$26)</f>
        <v>0</v>
      </c>
      <c r="J36" s="39">
        <f ca="1">SUMIF(Plants!$E$15:$E$26,$D36,Plants!L$15:L$26)</f>
        <v>0</v>
      </c>
      <c r="K36" s="39">
        <f ca="1">SUMIF(Plants!$E$15:$E$26,$D36,Plants!M$15:M$26)</f>
        <v>0</v>
      </c>
      <c r="L36" s="39">
        <f ca="1">SUMIF(Plants!$E$15:$E$26,$D36,Plants!N$15:N$26)</f>
        <v>0</v>
      </c>
      <c r="M36" s="39">
        <f ca="1">SUMIF(Plants!$E$15:$E$26,$D36,Plants!O$15:O$26)</f>
        <v>0</v>
      </c>
      <c r="N36" s="39">
        <f ca="1">SUMIF(Plants!$E$15:$E$26,$D36,Plants!P$15:P$26)</f>
        <v>0</v>
      </c>
      <c r="O36" s="39">
        <f ca="1">SUMIF(Plants!$E$15:$E$26,$D36,Plants!Q$15:Q$26)</f>
        <v>0</v>
      </c>
      <c r="P36" s="39">
        <f ca="1">SUMIF(Plants!$E$15:$E$26,$D36,Plants!R$15:R$26)</f>
        <v>0</v>
      </c>
      <c r="Q36" s="39">
        <f ca="1">SUMIF(Plants!$E$15:$E$26,$D36,Plants!S$15:S$26)</f>
        <v>0</v>
      </c>
      <c r="R36" s="39">
        <f ca="1">SUMIF(Plants!$E$15:$E$26,$D36,Plants!T$15:T$26)</f>
        <v>0</v>
      </c>
      <c r="S36" s="39">
        <f ca="1">SUMIF(Plants!$E$15:$E$26,$D36,Plants!U$15:U$26)</f>
        <v>0</v>
      </c>
      <c r="T36" s="39">
        <f ca="1">SUMIF(Plants!$E$15:$E$26,$D36,Plants!V$15:V$26)</f>
        <v>0</v>
      </c>
      <c r="U36" s="39">
        <f ca="1">SUMIF(Plants!$E$15:$E$26,$D36,Plants!W$15:W$26)</f>
        <v>0</v>
      </c>
      <c r="V36" s="39">
        <f ca="1">SUMIF(Plants!$E$15:$E$26,$D36,Plants!X$15:X$26)</f>
        <v>0</v>
      </c>
      <c r="W36" s="39">
        <f ca="1">SUMIF(Plants!$E$15:$E$26,$D36,Plants!Y$15:Y$26)</f>
        <v>0</v>
      </c>
      <c r="X36" s="39">
        <f ca="1">SUMIF(Plants!$E$15:$E$26,$D36,Plants!Z$15:Z$26)</f>
        <v>0</v>
      </c>
      <c r="Y36" s="39">
        <f ca="1">SUMIF(Plants!$E$15:$E$26,$D36,Plants!AA$15:AA$26)</f>
        <v>0</v>
      </c>
      <c r="Z36" s="39">
        <f ca="1">SUMIF(Plants!$E$15:$E$26,$D36,Plants!AB$15:AB$26)</f>
        <v>0</v>
      </c>
    </row>
    <row r="37" spans="3:26">
      <c r="D37" s="13" t="s">
        <v>20</v>
      </c>
      <c r="F37" s="106" t="s">
        <v>2149</v>
      </c>
      <c r="G37" s="39">
        <f ca="1">SUMIF(Plants!$E$15:$E$26,$D37,Plants!I$15:I$26)</f>
        <v>259</v>
      </c>
      <c r="H37" s="39">
        <f ca="1">SUMIF(Plants!$E$15:$E$26,$D37,Plants!J$15:J$26)</f>
        <v>1143</v>
      </c>
      <c r="I37" s="39">
        <f ca="1">SUMIF(Plants!$E$15:$E$26,$D37,Plants!K$15:K$26)</f>
        <v>1252</v>
      </c>
      <c r="J37" s="39">
        <f ca="1">SUMIF(Plants!$E$15:$E$26,$D37,Plants!L$15:L$26)</f>
        <v>1252</v>
      </c>
      <c r="K37" s="39">
        <f ca="1">SUMIF(Plants!$E$15:$E$26,$D37,Plants!M$15:M$26)</f>
        <v>2150.5</v>
      </c>
      <c r="L37" s="39">
        <f ca="1">SUMIF(Plants!$E$15:$E$26,$D37,Plants!N$15:N$26)</f>
        <v>2150.5</v>
      </c>
      <c r="M37" s="39">
        <f ca="1">SUMIF(Plants!$E$15:$E$26,$D37,Plants!O$15:O$26)</f>
        <v>2150.5</v>
      </c>
      <c r="N37" s="39">
        <f ca="1">SUMIF(Plants!$E$15:$E$26,$D37,Plants!P$15:P$26)</f>
        <v>2150.5</v>
      </c>
      <c r="O37" s="39">
        <f ca="1">SUMIF(Plants!$E$15:$E$26,$D37,Plants!Q$15:Q$26)</f>
        <v>2150.5</v>
      </c>
      <c r="P37" s="39">
        <f ca="1">SUMIF(Plants!$E$15:$E$26,$D37,Plants!R$15:R$26)</f>
        <v>2150.5</v>
      </c>
      <c r="Q37" s="39">
        <f ca="1">SUMIF(Plants!$E$15:$E$26,$D37,Plants!S$15:S$26)</f>
        <v>2150.5</v>
      </c>
      <c r="R37" s="39">
        <f ca="1">SUMIF(Plants!$E$15:$E$26,$D37,Plants!T$15:T$26)</f>
        <v>2150.5</v>
      </c>
      <c r="S37" s="39">
        <f ca="1">SUMIF(Plants!$E$15:$E$26,$D37,Plants!U$15:U$26)</f>
        <v>2150.5</v>
      </c>
      <c r="T37" s="39">
        <f ca="1">SUMIF(Plants!$E$15:$E$26,$D37,Plants!V$15:V$26)</f>
        <v>2150.5</v>
      </c>
      <c r="U37" s="39">
        <f ca="1">SUMIF(Plants!$E$15:$E$26,$D37,Plants!W$15:W$26)</f>
        <v>2150.5</v>
      </c>
      <c r="V37" s="39">
        <f ca="1">SUMIF(Plants!$E$15:$E$26,$D37,Plants!X$15:X$26)</f>
        <v>2150.5</v>
      </c>
      <c r="W37" s="39">
        <f ca="1">SUMIF(Plants!$E$15:$E$26,$D37,Plants!Y$15:Y$26)</f>
        <v>2150.5</v>
      </c>
      <c r="X37" s="39">
        <f ca="1">SUMIF(Plants!$E$15:$E$26,$D37,Plants!Z$15:Z$26)</f>
        <v>2150.5</v>
      </c>
      <c r="Y37" s="39">
        <f ca="1">SUMIF(Plants!$E$15:$E$26,$D37,Plants!AA$15:AA$26)</f>
        <v>2150.5</v>
      </c>
      <c r="Z37" s="39">
        <f ca="1">SUMIF(Plants!$E$15:$E$26,$D37,Plants!AB$15:AB$26)</f>
        <v>2150.5</v>
      </c>
    </row>
    <row r="38" spans="3:26">
      <c r="D38" s="13" t="s">
        <v>19</v>
      </c>
      <c r="F38" s="106" t="s">
        <v>2149</v>
      </c>
      <c r="G38" s="39">
        <f ca="1">SUMIF(Plants!$E$15:$E$26,$D38,Plants!I$15:I$26)</f>
        <v>1223</v>
      </c>
      <c r="H38" s="39">
        <f ca="1">SUMIF(Plants!$E$15:$E$26,$D38,Plants!J$15:J$26)</f>
        <v>2823</v>
      </c>
      <c r="I38" s="39">
        <f ca="1">SUMIF(Plants!$E$15:$E$26,$D38,Plants!K$15:K$26)</f>
        <v>4622</v>
      </c>
      <c r="J38" s="39">
        <f ca="1">SUMIF(Plants!$E$15:$E$26,$D38,Plants!L$15:L$26)</f>
        <v>4622</v>
      </c>
      <c r="K38" s="39">
        <f ca="1">SUMIF(Plants!$E$15:$E$26,$D38,Plants!M$15:M$26)</f>
        <v>4622</v>
      </c>
      <c r="L38" s="39">
        <f ca="1">SUMIF(Plants!$E$15:$E$26,$D38,Plants!N$15:N$26)</f>
        <v>4622</v>
      </c>
      <c r="M38" s="39">
        <f ca="1">SUMIF(Plants!$E$15:$E$26,$D38,Plants!O$15:O$26)</f>
        <v>4622</v>
      </c>
      <c r="N38" s="39">
        <f ca="1">SUMIF(Plants!$E$15:$E$26,$D38,Plants!P$15:P$26)</f>
        <v>4622</v>
      </c>
      <c r="O38" s="39">
        <f ca="1">SUMIF(Plants!$E$15:$E$26,$D38,Plants!Q$15:Q$26)</f>
        <v>4622</v>
      </c>
      <c r="P38" s="39">
        <f ca="1">SUMIF(Plants!$E$15:$E$26,$D38,Plants!R$15:R$26)</f>
        <v>4622</v>
      </c>
      <c r="Q38" s="39">
        <f ca="1">SUMIF(Plants!$E$15:$E$26,$D38,Plants!S$15:S$26)</f>
        <v>4622</v>
      </c>
      <c r="R38" s="39">
        <f ca="1">SUMIF(Plants!$E$15:$E$26,$D38,Plants!T$15:T$26)</f>
        <v>4622</v>
      </c>
      <c r="S38" s="39">
        <f ca="1">SUMIF(Plants!$E$15:$E$26,$D38,Plants!U$15:U$26)</f>
        <v>4622</v>
      </c>
      <c r="T38" s="39">
        <f ca="1">SUMIF(Plants!$E$15:$E$26,$D38,Plants!V$15:V$26)</f>
        <v>4622</v>
      </c>
      <c r="U38" s="39">
        <f ca="1">SUMIF(Plants!$E$15:$E$26,$D38,Plants!W$15:W$26)</f>
        <v>4622</v>
      </c>
      <c r="V38" s="39">
        <f ca="1">SUMIF(Plants!$E$15:$E$26,$D38,Plants!X$15:X$26)</f>
        <v>4622</v>
      </c>
      <c r="W38" s="39">
        <f ca="1">SUMIF(Plants!$E$15:$E$26,$D38,Plants!Y$15:Y$26)</f>
        <v>4622</v>
      </c>
      <c r="X38" s="39">
        <f ca="1">SUMIF(Plants!$E$15:$E$26,$D38,Plants!Z$15:Z$26)</f>
        <v>4622</v>
      </c>
      <c r="Y38" s="39">
        <f ca="1">SUMIF(Plants!$E$15:$E$26,$D38,Plants!AA$15:AA$26)</f>
        <v>4622</v>
      </c>
      <c r="Z38" s="39">
        <f ca="1">SUMIF(Plants!$E$15:$E$26,$D38,Plants!AB$15:AB$26)</f>
        <v>4622</v>
      </c>
    </row>
    <row r="39" spans="3:26">
      <c r="D39" s="13" t="s">
        <v>2153</v>
      </c>
      <c r="G39" s="40">
        <f ca="1">SUM(G35:G38)</f>
        <v>1522</v>
      </c>
      <c r="H39" s="40">
        <f t="shared" ref="H39:Z39" ca="1" si="20">SUM(H35:H38)</f>
        <v>4006</v>
      </c>
      <c r="I39" s="40">
        <f t="shared" ca="1" si="20"/>
        <v>5914</v>
      </c>
      <c r="J39" s="40">
        <f t="shared" ca="1" si="20"/>
        <v>5914</v>
      </c>
      <c r="K39" s="40">
        <f t="shared" ca="1" si="20"/>
        <v>6812.5</v>
      </c>
      <c r="L39" s="40">
        <f t="shared" ca="1" si="20"/>
        <v>6812.5</v>
      </c>
      <c r="M39" s="40">
        <f t="shared" ca="1" si="20"/>
        <v>6812.5</v>
      </c>
      <c r="N39" s="40">
        <f t="shared" ca="1" si="20"/>
        <v>6812.5</v>
      </c>
      <c r="O39" s="40">
        <f t="shared" ca="1" si="20"/>
        <v>6812.5</v>
      </c>
      <c r="P39" s="40">
        <f t="shared" ca="1" si="20"/>
        <v>6812.5</v>
      </c>
      <c r="Q39" s="40">
        <f t="shared" ca="1" si="20"/>
        <v>6812.5</v>
      </c>
      <c r="R39" s="40">
        <f t="shared" ca="1" si="20"/>
        <v>6812.5</v>
      </c>
      <c r="S39" s="40">
        <f t="shared" ca="1" si="20"/>
        <v>6812.5</v>
      </c>
      <c r="T39" s="40">
        <f t="shared" ca="1" si="20"/>
        <v>6812.5</v>
      </c>
      <c r="U39" s="40">
        <f t="shared" ca="1" si="20"/>
        <v>6812.5</v>
      </c>
      <c r="V39" s="40">
        <f t="shared" ca="1" si="20"/>
        <v>6812.5</v>
      </c>
      <c r="W39" s="40">
        <f t="shared" ca="1" si="20"/>
        <v>6812.5</v>
      </c>
      <c r="X39" s="40">
        <f t="shared" ca="1" si="20"/>
        <v>6812.5</v>
      </c>
      <c r="Y39" s="40">
        <f t="shared" ca="1" si="20"/>
        <v>6812.5</v>
      </c>
      <c r="Z39" s="40">
        <f t="shared" ca="1" si="20"/>
        <v>6812.5</v>
      </c>
    </row>
    <row r="40" spans="3:26">
      <c r="D40" s="13"/>
      <c r="F40" s="106"/>
      <c r="G40" s="246">
        <f ca="1">SUM(G37:G38)</f>
        <v>1482</v>
      </c>
      <c r="H40" s="246">
        <f t="shared" ref="H40:Z40" ca="1" si="21">SUM(H37:H38)</f>
        <v>3966</v>
      </c>
      <c r="I40" s="246">
        <f t="shared" ca="1" si="21"/>
        <v>5874</v>
      </c>
      <c r="J40" s="246">
        <f t="shared" ca="1" si="21"/>
        <v>5874</v>
      </c>
      <c r="K40" s="246">
        <f t="shared" ca="1" si="21"/>
        <v>6772.5</v>
      </c>
      <c r="L40" s="246">
        <f t="shared" ca="1" si="21"/>
        <v>6772.5</v>
      </c>
      <c r="M40" s="246">
        <f t="shared" ca="1" si="21"/>
        <v>6772.5</v>
      </c>
      <c r="N40" s="246">
        <f t="shared" ca="1" si="21"/>
        <v>6772.5</v>
      </c>
      <c r="O40" s="246">
        <f t="shared" ca="1" si="21"/>
        <v>6772.5</v>
      </c>
      <c r="P40" s="246">
        <f t="shared" ca="1" si="21"/>
        <v>6772.5</v>
      </c>
      <c r="Q40" s="246">
        <f t="shared" ca="1" si="21"/>
        <v>6772.5</v>
      </c>
      <c r="R40" s="246">
        <f t="shared" ca="1" si="21"/>
        <v>6772.5</v>
      </c>
      <c r="S40" s="246">
        <f t="shared" ca="1" si="21"/>
        <v>6772.5</v>
      </c>
      <c r="T40" s="246">
        <f t="shared" ca="1" si="21"/>
        <v>6772.5</v>
      </c>
      <c r="U40" s="246">
        <f t="shared" ca="1" si="21"/>
        <v>6772.5</v>
      </c>
      <c r="V40" s="246">
        <f t="shared" ca="1" si="21"/>
        <v>6772.5</v>
      </c>
      <c r="W40" s="246">
        <f t="shared" ca="1" si="21"/>
        <v>6772.5</v>
      </c>
      <c r="X40" s="246">
        <f t="shared" ca="1" si="21"/>
        <v>6772.5</v>
      </c>
      <c r="Y40" s="246">
        <f t="shared" ca="1" si="21"/>
        <v>6772.5</v>
      </c>
      <c r="Z40" s="246">
        <f t="shared" ca="1" si="21"/>
        <v>6772.5</v>
      </c>
    </row>
    <row r="41" spans="3:26">
      <c r="C41" s="106" t="s">
        <v>9</v>
      </c>
      <c r="D41" s="13"/>
      <c r="F41" s="106" t="s">
        <v>2149</v>
      </c>
      <c r="G41" s="39">
        <f ca="1">SUM(Loads!G96:G98)</f>
        <v>76.056149999999974</v>
      </c>
      <c r="H41" s="39">
        <f ca="1">SUM(Loads!H96:H98)</f>
        <v>152.11229999999995</v>
      </c>
      <c r="I41" s="39">
        <f ca="1">SUM(Loads!I96:I98)</f>
        <v>228.16844999999995</v>
      </c>
      <c r="J41" s="39">
        <f ca="1">SUM(Loads!J96:J98)</f>
        <v>304.2245999999999</v>
      </c>
      <c r="K41" s="39">
        <f ca="1">SUM(Loads!K96:K98)</f>
        <v>380.2807499999999</v>
      </c>
      <c r="L41" s="39">
        <f ca="1">SUM(Loads!L96:L98)</f>
        <v>456.3368999999999</v>
      </c>
      <c r="M41" s="39">
        <f ca="1">SUM(Loads!M96:M98)</f>
        <v>532.3930499999999</v>
      </c>
      <c r="N41" s="39">
        <f ca="1">SUM(Loads!N96:N98)</f>
        <v>608.44919999999979</v>
      </c>
      <c r="O41" s="39">
        <f ca="1">SUM(Loads!O96:O98)</f>
        <v>684.50534999999979</v>
      </c>
      <c r="P41" s="39">
        <f ca="1">SUM(Loads!P96:P98)</f>
        <v>760.5614999999998</v>
      </c>
      <c r="Q41" s="39">
        <f ca="1">SUM(Loads!Q96:Q98)</f>
        <v>760.5614999999998</v>
      </c>
      <c r="R41" s="39">
        <f ca="1">SUM(Loads!R96:R98)</f>
        <v>760.5614999999998</v>
      </c>
      <c r="S41" s="39">
        <f ca="1">SUM(Loads!S96:S98)</f>
        <v>760.5614999999998</v>
      </c>
      <c r="T41" s="39">
        <f ca="1">SUM(Loads!T96:T98)</f>
        <v>760.5614999999998</v>
      </c>
      <c r="U41" s="39">
        <f ca="1">SUM(Loads!U96:U98)</f>
        <v>760.5614999999998</v>
      </c>
      <c r="V41" s="39">
        <f ca="1">SUM(Loads!V96:V98)</f>
        <v>760.5614999999998</v>
      </c>
      <c r="W41" s="39">
        <f ca="1">SUM(Loads!W96:W98)</f>
        <v>760.5614999999998</v>
      </c>
      <c r="X41" s="39">
        <f ca="1">SUM(Loads!X96:X98)</f>
        <v>760.5614999999998</v>
      </c>
      <c r="Y41" s="39">
        <f ca="1">SUM(Loads!Y96:Y98)</f>
        <v>760.5614999999998</v>
      </c>
      <c r="Z41" s="39">
        <f ca="1">SUM(Loads!Z96:Z98)</f>
        <v>760.5614999999998</v>
      </c>
    </row>
    <row r="42" spans="3:26">
      <c r="D42" s="13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</row>
    <row r="43" spans="3:26">
      <c r="C43" s="106" t="s">
        <v>2151</v>
      </c>
      <c r="D43" s="13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3:26">
      <c r="C44" s="106"/>
      <c r="D44" s="154" t="s">
        <v>139</v>
      </c>
      <c r="F44" s="106" t="s">
        <v>139</v>
      </c>
      <c r="G44" s="39">
        <f ca="1">'RPS NQC'!D72</f>
        <v>7.2599999999999971</v>
      </c>
      <c r="H44" s="39">
        <f ca="1">'RPS NQC'!E72</f>
        <v>7.2599999999999971</v>
      </c>
      <c r="I44" s="39">
        <f ca="1">'RPS NQC'!F72</f>
        <v>36.299999999999997</v>
      </c>
      <c r="J44" s="39">
        <f ca="1">'RPS NQC'!G72</f>
        <v>83.03761256862532</v>
      </c>
      <c r="K44" s="39">
        <f ca="1">'RPS NQC'!H72</f>
        <v>83.03761256862532</v>
      </c>
      <c r="L44" s="39">
        <f ca="1">'RPS NQC'!I72</f>
        <v>83.03761256862532</v>
      </c>
      <c r="M44" s="39">
        <f ca="1">'RPS NQC'!J72</f>
        <v>83.03761256862532</v>
      </c>
      <c r="N44" s="39">
        <f ca="1">'RPS NQC'!K72</f>
        <v>83.03761256862532</v>
      </c>
      <c r="O44" s="39">
        <f ca="1">'RPS NQC'!L72</f>
        <v>83.03761256862532</v>
      </c>
      <c r="P44" s="39">
        <f ca="1">'RPS NQC'!M72</f>
        <v>83.03761256862532</v>
      </c>
      <c r="Q44" s="39">
        <f ca="1">'RPS NQC'!N72</f>
        <v>83.217628533176409</v>
      </c>
      <c r="R44" s="39">
        <f ca="1">'RPS NQC'!O72</f>
        <v>83.399894697284424</v>
      </c>
      <c r="S44" s="39">
        <f ca="1">'RPS NQC'!P72</f>
        <v>83.584439188443795</v>
      </c>
      <c r="T44" s="39">
        <f ca="1">'RPS NQC'!Q72</f>
        <v>83.771290485742625</v>
      </c>
      <c r="U44" s="39">
        <f ca="1">'RPS NQC'!R72</f>
        <v>83.960477424257718</v>
      </c>
      <c r="V44" s="39">
        <f ca="1">'RPS NQC'!S72</f>
        <v>84.152029199504227</v>
      </c>
      <c r="W44" s="39">
        <f ca="1">'RPS NQC'!T72</f>
        <v>84.345975371941336</v>
      </c>
      <c r="X44" s="39">
        <f ca="1">'RPS NQC'!U72</f>
        <v>84.542345871533882</v>
      </c>
      <c r="Y44" s="39">
        <f ca="1">'RPS NQC'!V72</f>
        <v>94.770450454203356</v>
      </c>
      <c r="Z44" s="39">
        <f ca="1">'RPS NQC'!W72</f>
        <v>109.67279517095483</v>
      </c>
    </row>
    <row r="45" spans="3:26">
      <c r="C45" s="106"/>
      <c r="D45" s="154" t="s">
        <v>136</v>
      </c>
      <c r="F45" s="106" t="s">
        <v>136</v>
      </c>
      <c r="G45" s="39">
        <f ca="1">'RPS NQC'!D73</f>
        <v>0</v>
      </c>
      <c r="H45" s="39">
        <f ca="1">'RPS NQC'!E73</f>
        <v>0</v>
      </c>
      <c r="I45" s="39">
        <f ca="1">'RPS NQC'!F73</f>
        <v>0</v>
      </c>
      <c r="J45" s="39">
        <f ca="1">'RPS NQC'!G73</f>
        <v>97.991057415874579</v>
      </c>
      <c r="K45" s="39">
        <f ca="1">'RPS NQC'!H73</f>
        <v>126.18992285929171</v>
      </c>
      <c r="L45" s="39">
        <f ca="1">'RPS NQC'!I73</f>
        <v>126.18992285929171</v>
      </c>
      <c r="M45" s="39">
        <f ca="1">'RPS NQC'!J73</f>
        <v>126.18992285929171</v>
      </c>
      <c r="N45" s="39">
        <f ca="1">'RPS NQC'!K73</f>
        <v>126.18992285929171</v>
      </c>
      <c r="O45" s="39">
        <f ca="1">'RPS NQC'!L73</f>
        <v>161.48910221554908</v>
      </c>
      <c r="P45" s="39">
        <f ca="1">'RPS NQC'!M73</f>
        <v>161.48910221554908</v>
      </c>
      <c r="Q45" s="39">
        <f ca="1">'RPS NQC'!N73</f>
        <v>161.69806709887337</v>
      </c>
      <c r="R45" s="39">
        <f ca="1">'RPS NQC'!O73</f>
        <v>161.90964404323924</v>
      </c>
      <c r="S45" s="39">
        <f ca="1">'RPS NQC'!P73</f>
        <v>162.12386569940969</v>
      </c>
      <c r="T45" s="39">
        <f ca="1">'RPS NQC'!Q73</f>
        <v>162.34076512628224</v>
      </c>
      <c r="U45" s="39">
        <f ca="1">'RPS NQC'!R73</f>
        <v>162.56037579599072</v>
      </c>
      <c r="V45" s="39">
        <f ca="1">'RPS NQC'!S73</f>
        <v>162.78273159907056</v>
      </c>
      <c r="W45" s="39">
        <f ca="1">'RPS NQC'!T73</f>
        <v>163.00786684968887</v>
      </c>
      <c r="X45" s="39">
        <f ca="1">'RPS NQC'!U73</f>
        <v>163.23581629093991</v>
      </c>
      <c r="Y45" s="39">
        <f ca="1">'RPS NQC'!V73</f>
        <v>175.10873370732529</v>
      </c>
      <c r="Z45" s="39">
        <f ca="1">'RPS NQC'!W73</f>
        <v>192.40757013419318</v>
      </c>
    </row>
    <row r="46" spans="3:26">
      <c r="C46" s="106"/>
      <c r="D46" s="154" t="s">
        <v>18</v>
      </c>
      <c r="F46" s="106" t="s">
        <v>18</v>
      </c>
      <c r="G46" s="39">
        <f ca="1">'RPS NQC'!D74</f>
        <v>0</v>
      </c>
      <c r="H46" s="39">
        <f ca="1">'RPS NQC'!E74</f>
        <v>0</v>
      </c>
      <c r="I46" s="39">
        <f ca="1">'RPS NQC'!F74</f>
        <v>0</v>
      </c>
      <c r="J46" s="39">
        <f ca="1">'RPS NQC'!G74</f>
        <v>0</v>
      </c>
      <c r="K46" s="39">
        <f ca="1">'RPS NQC'!H74</f>
        <v>0</v>
      </c>
      <c r="L46" s="39">
        <f ca="1">'RPS NQC'!I74</f>
        <v>0</v>
      </c>
      <c r="M46" s="39">
        <f ca="1">'RPS NQC'!J74</f>
        <v>0</v>
      </c>
      <c r="N46" s="39">
        <f ca="1">'RPS NQC'!K74</f>
        <v>0</v>
      </c>
      <c r="O46" s="39">
        <f ca="1">'RPS NQC'!L74</f>
        <v>0</v>
      </c>
      <c r="P46" s="39">
        <f ca="1">'RPS NQC'!M74</f>
        <v>0</v>
      </c>
      <c r="Q46" s="39">
        <f ca="1">'RPS NQC'!N74</f>
        <v>0</v>
      </c>
      <c r="R46" s="39">
        <f ca="1">'RPS NQC'!O74</f>
        <v>0</v>
      </c>
      <c r="S46" s="39">
        <f ca="1">'RPS NQC'!P74</f>
        <v>0</v>
      </c>
      <c r="T46" s="39">
        <f ca="1">'RPS NQC'!Q74</f>
        <v>0</v>
      </c>
      <c r="U46" s="39">
        <f ca="1">'RPS NQC'!R74</f>
        <v>0</v>
      </c>
      <c r="V46" s="39">
        <f ca="1">'RPS NQC'!S74</f>
        <v>0</v>
      </c>
      <c r="W46" s="39">
        <f ca="1">'RPS NQC'!T74</f>
        <v>0</v>
      </c>
      <c r="X46" s="39">
        <f ca="1">'RPS NQC'!U74</f>
        <v>0</v>
      </c>
      <c r="Y46" s="39">
        <f ca="1">'RPS NQC'!V74</f>
        <v>0</v>
      </c>
      <c r="Z46" s="39">
        <f ca="1">'RPS NQC'!W74</f>
        <v>0</v>
      </c>
    </row>
    <row r="47" spans="3:26">
      <c r="C47" s="106"/>
      <c r="D47" s="154" t="s">
        <v>138</v>
      </c>
      <c r="F47" s="106" t="s">
        <v>138</v>
      </c>
      <c r="G47" s="39">
        <f ca="1">'RPS NQC'!D75</f>
        <v>0</v>
      </c>
      <c r="H47" s="39">
        <f ca="1">'RPS NQC'!E75</f>
        <v>74.472518201901266</v>
      </c>
      <c r="I47" s="39">
        <f ca="1">'RPS NQC'!F75</f>
        <v>242.02624580765499</v>
      </c>
      <c r="J47" s="39">
        <f ca="1">'RPS NQC'!G75</f>
        <v>616.98488762822024</v>
      </c>
      <c r="K47" s="39">
        <f ca="1">'RPS NQC'!H75</f>
        <v>1888.1068155848536</v>
      </c>
      <c r="L47" s="39">
        <f ca="1">'RPS NQC'!I75</f>
        <v>2508.8476521108851</v>
      </c>
      <c r="M47" s="39">
        <f ca="1">'RPS NQC'!J75</f>
        <v>3186.7373443208244</v>
      </c>
      <c r="N47" s="39">
        <f ca="1">'RPS NQC'!K75</f>
        <v>3186.7373443208244</v>
      </c>
      <c r="O47" s="39">
        <f ca="1">'RPS NQC'!L75</f>
        <v>4260.3985961562175</v>
      </c>
      <c r="P47" s="39">
        <f ca="1">'RPS NQC'!M75</f>
        <v>4260.3985961562175</v>
      </c>
      <c r="Q47" s="39">
        <f ca="1">'RPS NQC'!N75</f>
        <v>4268.7895569442144</v>
      </c>
      <c r="R47" s="39">
        <f ca="1">'RPS NQC'!O75</f>
        <v>4277.2854047420624</v>
      </c>
      <c r="S47" s="39">
        <f ca="1">'RPS NQC'!P75</f>
        <v>4285.887450637385</v>
      </c>
      <c r="T47" s="39">
        <f ca="1">'RPS NQC'!Q75</f>
        <v>4294.5970221063972</v>
      </c>
      <c r="U47" s="39">
        <f ca="1">'RPS NQC'!R75</f>
        <v>4303.4154632187729</v>
      </c>
      <c r="V47" s="39">
        <f ca="1">'RPS NQC'!S75</f>
        <v>4312.3441348450533</v>
      </c>
      <c r="W47" s="39">
        <f ca="1">'RPS NQC'!T75</f>
        <v>4321.3844148666622</v>
      </c>
      <c r="X47" s="39">
        <f ca="1">'RPS NQC'!U75</f>
        <v>4330.5376983885399</v>
      </c>
      <c r="Y47" s="39">
        <f ca="1">'RPS NQC'!V75</f>
        <v>4807.2933278280361</v>
      </c>
      <c r="Z47" s="39">
        <f ca="1">'RPS NQC'!W75</f>
        <v>5501.9261093110854</v>
      </c>
    </row>
    <row r="48" spans="3:26">
      <c r="C48" s="106"/>
      <c r="D48" s="154" t="s">
        <v>137</v>
      </c>
      <c r="F48" s="106" t="s">
        <v>137</v>
      </c>
      <c r="G48" s="39">
        <f ca="1">'RPS NQC'!D76</f>
        <v>12.589988748223417</v>
      </c>
      <c r="H48" s="39">
        <f ca="1">'RPS NQC'!E76</f>
        <v>19.036321485541421</v>
      </c>
      <c r="I48" s="39">
        <f ca="1">'RPS NQC'!F76</f>
        <v>19.036321485541421</v>
      </c>
      <c r="J48" s="39">
        <f ca="1">'RPS NQC'!G76</f>
        <v>31.739480985609909</v>
      </c>
      <c r="K48" s="39">
        <f ca="1">'RPS NQC'!H76</f>
        <v>525.35958877195014</v>
      </c>
      <c r="L48" s="39">
        <f ca="1">'RPS NQC'!I76</f>
        <v>550.49809799889647</v>
      </c>
      <c r="M48" s="39">
        <f ca="1">'RPS NQC'!J76</f>
        <v>723.09044336319562</v>
      </c>
      <c r="N48" s="39">
        <f ca="1">'RPS NQC'!K76</f>
        <v>723.09044336319562</v>
      </c>
      <c r="O48" s="39">
        <f ca="1">'RPS NQC'!L76</f>
        <v>726.35579300134123</v>
      </c>
      <c r="P48" s="39">
        <f ca="1">'RPS NQC'!M76</f>
        <v>726.35579300134123</v>
      </c>
      <c r="Q48" s="39">
        <f ca="1">'RPS NQC'!N76</f>
        <v>728.22377883851368</v>
      </c>
      <c r="R48" s="39">
        <f ca="1">'RPS NQC'!O76</f>
        <v>730.11511449865122</v>
      </c>
      <c r="S48" s="39">
        <f ca="1">'RPS NQC'!P76</f>
        <v>732.03009185454039</v>
      </c>
      <c r="T48" s="39">
        <f ca="1">'RPS NQC'!Q76</f>
        <v>733.96900642737796</v>
      </c>
      <c r="U48" s="39">
        <f ca="1">'RPS NQC'!R76</f>
        <v>735.93215743237624</v>
      </c>
      <c r="V48" s="39">
        <f ca="1">'RPS NQC'!S76</f>
        <v>737.91984782493682</v>
      </c>
      <c r="W48" s="39">
        <f ca="1">'RPS NQC'!T76</f>
        <v>739.93238434740454</v>
      </c>
      <c r="X48" s="39">
        <f ca="1">'RPS NQC'!U76</f>
        <v>741.9700775764029</v>
      </c>
      <c r="Y48" s="39">
        <f ca="1">'RPS NQC'!V76</f>
        <v>848.10485595114426</v>
      </c>
      <c r="Z48" s="39">
        <f ca="1">'RPS NQC'!W76</f>
        <v>1002.7431900620782</v>
      </c>
    </row>
    <row r="49" spans="3:26">
      <c r="D49" s="13" t="s">
        <v>2152</v>
      </c>
      <c r="G49" s="40">
        <f ca="1">SUM(G44:G48)</f>
        <v>19.849988748223414</v>
      </c>
      <c r="H49" s="40">
        <f t="shared" ref="H49:Z49" ca="1" si="22">SUM(H44:H48)</f>
        <v>100.76883968744268</v>
      </c>
      <c r="I49" s="40">
        <f t="shared" ca="1" si="22"/>
        <v>297.36256729319638</v>
      </c>
      <c r="J49" s="40">
        <f t="shared" ca="1" si="22"/>
        <v>829.75303859833014</v>
      </c>
      <c r="K49" s="40">
        <f t="shared" ca="1" si="22"/>
        <v>2622.6939397847209</v>
      </c>
      <c r="L49" s="40">
        <f t="shared" ca="1" si="22"/>
        <v>3268.5732855376987</v>
      </c>
      <c r="M49" s="40">
        <f t="shared" ca="1" si="22"/>
        <v>4119.0553231119375</v>
      </c>
      <c r="N49" s="40">
        <f t="shared" ca="1" si="22"/>
        <v>4119.0553231119375</v>
      </c>
      <c r="O49" s="40">
        <f t="shared" ca="1" si="22"/>
        <v>5231.2811039417329</v>
      </c>
      <c r="P49" s="40">
        <f t="shared" ca="1" si="22"/>
        <v>5231.2811039417329</v>
      </c>
      <c r="Q49" s="40">
        <f t="shared" ca="1" si="22"/>
        <v>5241.9290314147775</v>
      </c>
      <c r="R49" s="40">
        <f t="shared" ca="1" si="22"/>
        <v>5252.7100579812377</v>
      </c>
      <c r="S49" s="40">
        <f t="shared" ca="1" si="22"/>
        <v>5263.6258473797789</v>
      </c>
      <c r="T49" s="40">
        <f t="shared" ca="1" si="22"/>
        <v>5274.6780841458003</v>
      </c>
      <c r="U49" s="40">
        <f t="shared" ca="1" si="22"/>
        <v>5285.8684738713982</v>
      </c>
      <c r="V49" s="40">
        <f t="shared" ca="1" si="22"/>
        <v>5297.1987434685652</v>
      </c>
      <c r="W49" s="40">
        <f t="shared" ca="1" si="22"/>
        <v>5308.6706414356977</v>
      </c>
      <c r="X49" s="40">
        <f t="shared" ca="1" si="22"/>
        <v>5320.2859381274166</v>
      </c>
      <c r="Y49" s="40">
        <f t="shared" ca="1" si="22"/>
        <v>5925.2773679407092</v>
      </c>
      <c r="Z49" s="40">
        <f t="shared" ca="1" si="22"/>
        <v>6806.7496646783111</v>
      </c>
    </row>
    <row r="50" spans="3:26">
      <c r="C50" s="12" t="s">
        <v>5</v>
      </c>
    </row>
    <row r="51" spans="3:26">
      <c r="C51" s="41"/>
      <c r="D51" s="65" t="s">
        <v>2066</v>
      </c>
    </row>
    <row r="52" spans="3:26">
      <c r="C52" s="41"/>
      <c r="E52" s="13" t="s">
        <v>2068</v>
      </c>
      <c r="F52" s="13"/>
      <c r="G52" s="39">
        <f>CapData!D6</f>
        <v>6067.25</v>
      </c>
      <c r="H52" s="39">
        <f>CapData!E6</f>
        <v>6067.25</v>
      </c>
      <c r="I52" s="39">
        <f>CapData!F6</f>
        <v>6067.25</v>
      </c>
      <c r="J52" s="39">
        <f>CapData!G6</f>
        <v>6067.25</v>
      </c>
      <c r="K52" s="39">
        <f>CapData!H6</f>
        <v>6067.25</v>
      </c>
      <c r="L52" s="39">
        <f>CapData!I6</f>
        <v>6067.25</v>
      </c>
      <c r="M52" s="39">
        <f>CapData!J6</f>
        <v>6067.25</v>
      </c>
      <c r="N52" s="39">
        <f>CapData!K6</f>
        <v>6067.25</v>
      </c>
      <c r="O52" s="39">
        <f>CapData!L6</f>
        <v>6067.25</v>
      </c>
      <c r="P52" s="39">
        <f>CapData!M6</f>
        <v>6067.25</v>
      </c>
      <c r="Q52" s="39">
        <f>CapData!N6</f>
        <v>6067.25</v>
      </c>
      <c r="R52" s="39">
        <f>CapData!O6</f>
        <v>6067.25</v>
      </c>
      <c r="S52" s="39">
        <f>CapData!P6</f>
        <v>6067.25</v>
      </c>
      <c r="T52" s="39">
        <f>CapData!Q6</f>
        <v>6067.25</v>
      </c>
      <c r="U52" s="39">
        <f>CapData!R6</f>
        <v>6067.25</v>
      </c>
      <c r="V52" s="39">
        <f>CapData!S6</f>
        <v>6067.25</v>
      </c>
      <c r="W52" s="39">
        <f>CapData!T6</f>
        <v>6067.25</v>
      </c>
      <c r="X52" s="39">
        <f>CapData!U6</f>
        <v>6067.25</v>
      </c>
      <c r="Y52" s="39">
        <f>CapData!V6</f>
        <v>6067.25</v>
      </c>
      <c r="Z52" s="39">
        <f>CapData!W6</f>
        <v>6067.25</v>
      </c>
    </row>
    <row r="53" spans="3:26">
      <c r="E53" s="13" t="s">
        <v>2069</v>
      </c>
      <c r="F53" s="13"/>
      <c r="G53" s="39">
        <f>CapData!D7+CapData!D8</f>
        <v>10887.5</v>
      </c>
      <c r="H53" s="39">
        <f>CapData!E7+CapData!E8</f>
        <v>10887.5</v>
      </c>
      <c r="I53" s="39">
        <f>CapData!F7+CapData!F8</f>
        <v>10887.5</v>
      </c>
      <c r="J53" s="39">
        <f>CapData!G7+CapData!G8</f>
        <v>10887.5</v>
      </c>
      <c r="K53" s="39">
        <f>CapData!H7+CapData!H8</f>
        <v>10887.5</v>
      </c>
      <c r="L53" s="39">
        <f>CapData!I7+CapData!I8</f>
        <v>10887.5</v>
      </c>
      <c r="M53" s="39">
        <f>CapData!J7+CapData!J8</f>
        <v>10887.5</v>
      </c>
      <c r="N53" s="39">
        <f>CapData!K7+CapData!K8</f>
        <v>10887.5</v>
      </c>
      <c r="O53" s="39">
        <f>CapData!L7+CapData!L8</f>
        <v>10887.5</v>
      </c>
      <c r="P53" s="39">
        <f>CapData!M7+CapData!M8</f>
        <v>10887.5</v>
      </c>
      <c r="Q53" s="39">
        <f>CapData!N7+CapData!N8</f>
        <v>10887.5</v>
      </c>
      <c r="R53" s="39">
        <f>CapData!O7+CapData!O8</f>
        <v>10887.5</v>
      </c>
      <c r="S53" s="39">
        <f>CapData!P7+CapData!P8</f>
        <v>10887.5</v>
      </c>
      <c r="T53" s="39">
        <f>CapData!Q7+CapData!Q8</f>
        <v>10887.5</v>
      </c>
      <c r="U53" s="39">
        <f>CapData!R7+CapData!R8</f>
        <v>10887.5</v>
      </c>
      <c r="V53" s="39">
        <f>CapData!S7+CapData!S8</f>
        <v>10887.5</v>
      </c>
      <c r="W53" s="39">
        <f>CapData!T7+CapData!T8</f>
        <v>10887.5</v>
      </c>
      <c r="X53" s="39">
        <f>CapData!U7+CapData!U8</f>
        <v>10887.5</v>
      </c>
      <c r="Y53" s="39">
        <f>CapData!V7+CapData!V8</f>
        <v>10887.5</v>
      </c>
      <c r="Z53" s="39">
        <f>CapData!W7+CapData!W8</f>
        <v>10887.5</v>
      </c>
    </row>
    <row r="54" spans="3:26">
      <c r="D54" s="65" t="s">
        <v>2070</v>
      </c>
    </row>
    <row r="55" spans="3:26">
      <c r="E55" s="13" t="s">
        <v>2068</v>
      </c>
      <c r="F55" s="13"/>
      <c r="G55" s="39">
        <f>CapData!D10</f>
        <v>0</v>
      </c>
      <c r="H55" s="39">
        <f>CapData!E10</f>
        <v>0</v>
      </c>
      <c r="I55" s="39">
        <f>CapData!F10</f>
        <v>0</v>
      </c>
      <c r="J55" s="39">
        <f>CapData!G10</f>
        <v>0</v>
      </c>
      <c r="K55" s="39">
        <f>CapData!H10</f>
        <v>0</v>
      </c>
      <c r="L55" s="39">
        <f>CapData!I10</f>
        <v>0</v>
      </c>
      <c r="M55" s="39">
        <f>CapData!J10</f>
        <v>0</v>
      </c>
      <c r="N55" s="39">
        <f>CapData!K10</f>
        <v>0</v>
      </c>
      <c r="O55" s="39">
        <f>CapData!L10</f>
        <v>0</v>
      </c>
      <c r="P55" s="39">
        <f>CapData!M10</f>
        <v>0</v>
      </c>
      <c r="Q55" s="39">
        <f>CapData!N10</f>
        <v>0</v>
      </c>
      <c r="R55" s="39">
        <f>CapData!O10</f>
        <v>0</v>
      </c>
      <c r="S55" s="39">
        <f>CapData!P10</f>
        <v>0</v>
      </c>
      <c r="T55" s="39">
        <f>CapData!Q10</f>
        <v>0</v>
      </c>
      <c r="U55" s="39">
        <f>CapData!R10</f>
        <v>0</v>
      </c>
      <c r="V55" s="39">
        <f>CapData!S10</f>
        <v>0</v>
      </c>
      <c r="W55" s="39">
        <f>CapData!T10</f>
        <v>0</v>
      </c>
      <c r="X55" s="39">
        <f>CapData!U10</f>
        <v>0</v>
      </c>
      <c r="Y55" s="39">
        <f>CapData!V10</f>
        <v>0</v>
      </c>
      <c r="Z55" s="39">
        <f>CapData!W10</f>
        <v>0</v>
      </c>
    </row>
    <row r="56" spans="3:26">
      <c r="D56" s="65"/>
      <c r="E56" s="13" t="s">
        <v>2069</v>
      </c>
      <c r="F56" s="13"/>
      <c r="G56" s="39">
        <f>CapData!D11+CapData!D12</f>
        <v>0</v>
      </c>
      <c r="H56" s="39">
        <f>CapData!E11+CapData!E12</f>
        <v>0</v>
      </c>
      <c r="I56" s="39">
        <f>CapData!F11+CapData!F12</f>
        <v>0</v>
      </c>
      <c r="J56" s="39">
        <f>CapData!G11+CapData!G12</f>
        <v>0</v>
      </c>
      <c r="K56" s="39">
        <f>CapData!H11+CapData!H12</f>
        <v>0</v>
      </c>
      <c r="L56" s="39">
        <f>CapData!I11+CapData!I12</f>
        <v>0</v>
      </c>
      <c r="M56" s="39">
        <f>CapData!J11+CapData!J12</f>
        <v>0</v>
      </c>
      <c r="N56" s="39">
        <f>CapData!K11+CapData!K12</f>
        <v>0</v>
      </c>
      <c r="O56" s="39">
        <f>CapData!L11+CapData!L12</f>
        <v>0</v>
      </c>
      <c r="P56" s="39">
        <f>CapData!M11+CapData!M12</f>
        <v>0</v>
      </c>
      <c r="Q56" s="39">
        <f>CapData!N11+CapData!N12</f>
        <v>0</v>
      </c>
      <c r="R56" s="39">
        <f>CapData!O11+CapData!O12</f>
        <v>0</v>
      </c>
      <c r="S56" s="39">
        <f>CapData!P11+CapData!P12</f>
        <v>0</v>
      </c>
      <c r="T56" s="39">
        <f>CapData!Q11+CapData!Q12</f>
        <v>0</v>
      </c>
      <c r="U56" s="39">
        <f>CapData!R11+CapData!R12</f>
        <v>0</v>
      </c>
      <c r="V56" s="39">
        <f>CapData!S11+CapData!S12</f>
        <v>0</v>
      </c>
      <c r="W56" s="39">
        <f>CapData!T11+CapData!T12</f>
        <v>0</v>
      </c>
      <c r="X56" s="39">
        <f>CapData!U11+CapData!U12</f>
        <v>0</v>
      </c>
      <c r="Y56" s="39">
        <f>CapData!V11+CapData!V12</f>
        <v>0</v>
      </c>
      <c r="Z56" s="39">
        <f>CapData!W11+CapData!W12</f>
        <v>0</v>
      </c>
    </row>
    <row r="57" spans="3:26">
      <c r="D57" s="83" t="s">
        <v>2100</v>
      </c>
      <c r="F57" s="106" t="s">
        <v>2066</v>
      </c>
      <c r="G57" s="40">
        <f>SUM(G52:G53)-SUM(G55:G56)</f>
        <v>16954.75</v>
      </c>
      <c r="H57" s="40">
        <f t="shared" ref="H57:P57" si="23">SUM(H52:H53)-SUM(H55:H56)</f>
        <v>16954.75</v>
      </c>
      <c r="I57" s="40">
        <f t="shared" si="23"/>
        <v>16954.75</v>
      </c>
      <c r="J57" s="40">
        <f t="shared" si="23"/>
        <v>16954.75</v>
      </c>
      <c r="K57" s="40">
        <f t="shared" si="23"/>
        <v>16954.75</v>
      </c>
      <c r="L57" s="40">
        <f t="shared" si="23"/>
        <v>16954.75</v>
      </c>
      <c r="M57" s="40">
        <f t="shared" si="23"/>
        <v>16954.75</v>
      </c>
      <c r="N57" s="40">
        <f t="shared" si="23"/>
        <v>16954.75</v>
      </c>
      <c r="O57" s="40">
        <f t="shared" si="23"/>
        <v>16954.75</v>
      </c>
      <c r="P57" s="40">
        <f t="shared" si="23"/>
        <v>16954.75</v>
      </c>
      <c r="Q57" s="40">
        <f t="shared" ref="Q57:Z57" si="24">SUM(Q52:Q53)-SUM(Q55:Q56)</f>
        <v>16954.75</v>
      </c>
      <c r="R57" s="40">
        <f t="shared" si="24"/>
        <v>16954.75</v>
      </c>
      <c r="S57" s="40">
        <f t="shared" si="24"/>
        <v>16954.75</v>
      </c>
      <c r="T57" s="40">
        <f t="shared" si="24"/>
        <v>16954.75</v>
      </c>
      <c r="U57" s="40">
        <f t="shared" si="24"/>
        <v>16954.75</v>
      </c>
      <c r="V57" s="40">
        <f t="shared" si="24"/>
        <v>16954.75</v>
      </c>
      <c r="W57" s="40">
        <f t="shared" si="24"/>
        <v>16954.75</v>
      </c>
      <c r="X57" s="40">
        <f t="shared" si="24"/>
        <v>16954.75</v>
      </c>
      <c r="Y57" s="40">
        <f t="shared" si="24"/>
        <v>16954.75</v>
      </c>
      <c r="Z57" s="40">
        <f t="shared" si="24"/>
        <v>16954.75</v>
      </c>
    </row>
    <row r="59" spans="3:26">
      <c r="C59" s="12" t="s">
        <v>26</v>
      </c>
      <c r="G59" s="40">
        <f ca="1">SUM(G26,G32,G39,G41,G49,G57)</f>
        <v>67122.226533182518</v>
      </c>
      <c r="H59" s="40">
        <f t="shared" ref="H59:Z59" ca="1" si="25">SUM(H26,H32,H39,H41,H49,H57)</f>
        <v>69598.201534121734</v>
      </c>
      <c r="I59" s="40">
        <f t="shared" ca="1" si="25"/>
        <v>71778.85141172749</v>
      </c>
      <c r="J59" s="40">
        <f t="shared" ca="1" si="25"/>
        <v>71378.298033032625</v>
      </c>
      <c r="K59" s="40">
        <f t="shared" ca="1" si="25"/>
        <v>72376.295084219018</v>
      </c>
      <c r="L59" s="40">
        <f t="shared" ca="1" si="25"/>
        <v>72147.230579972005</v>
      </c>
      <c r="M59" s="40">
        <f t="shared" ca="1" si="25"/>
        <v>68341.738767546238</v>
      </c>
      <c r="N59" s="40">
        <f t="shared" ca="1" si="25"/>
        <v>67466.794917546242</v>
      </c>
      <c r="O59" s="40">
        <f t="shared" ca="1" si="25"/>
        <v>67704.076848376033</v>
      </c>
      <c r="P59" s="40">
        <f t="shared" ca="1" si="25"/>
        <v>65703.572998376039</v>
      </c>
      <c r="Q59" s="40">
        <f t="shared" ca="1" si="25"/>
        <v>65714.220925849077</v>
      </c>
      <c r="R59" s="40">
        <f t="shared" ca="1" si="25"/>
        <v>65725.001952415536</v>
      </c>
      <c r="S59" s="40">
        <f t="shared" ca="1" si="25"/>
        <v>65735.917741814075</v>
      </c>
      <c r="T59" s="40">
        <f t="shared" ca="1" si="25"/>
        <v>65746.969978580106</v>
      </c>
      <c r="U59" s="40">
        <f t="shared" ca="1" si="25"/>
        <v>65758.160368305689</v>
      </c>
      <c r="V59" s="40">
        <f t="shared" ca="1" si="25"/>
        <v>65769.490637902869</v>
      </c>
      <c r="W59" s="40">
        <f t="shared" ca="1" si="25"/>
        <v>65780.96253587</v>
      </c>
      <c r="X59" s="40">
        <f t="shared" ca="1" si="25"/>
        <v>65792.577832561714</v>
      </c>
      <c r="Y59" s="40">
        <f t="shared" ca="1" si="25"/>
        <v>66397.569262375007</v>
      </c>
      <c r="Z59" s="40">
        <f t="shared" ca="1" si="25"/>
        <v>67279.041559112608</v>
      </c>
    </row>
    <row r="61" spans="3:26">
      <c r="C61" s="12" t="s">
        <v>123</v>
      </c>
      <c r="G61" s="40">
        <f t="shared" ref="G61:Z61" ca="1" si="26">+G10*(1+PRM)</f>
        <v>53480.907581418454</v>
      </c>
      <c r="H61" s="40">
        <f t="shared" ca="1" si="26"/>
        <v>52872.07118208475</v>
      </c>
      <c r="I61" s="40">
        <f t="shared" ca="1" si="26"/>
        <v>52683.439763142647</v>
      </c>
      <c r="J61" s="40">
        <f t="shared" ca="1" si="26"/>
        <v>58802.641754055156</v>
      </c>
      <c r="K61" s="40">
        <f t="shared" ca="1" si="26"/>
        <v>59539.325906781189</v>
      </c>
      <c r="L61" s="40">
        <f t="shared" ca="1" si="26"/>
        <v>60289.839023025328</v>
      </c>
      <c r="M61" s="40">
        <f t="shared" ca="1" si="26"/>
        <v>61099.385072065568</v>
      </c>
      <c r="N61" s="40">
        <f t="shared" ca="1" si="26"/>
        <v>61870.172137277994</v>
      </c>
      <c r="O61" s="40">
        <f t="shared" ca="1" si="26"/>
        <v>62649.162936494482</v>
      </c>
      <c r="P61" s="40">
        <f t="shared" ca="1" si="26"/>
        <v>63499.888122728822</v>
      </c>
      <c r="Q61" s="40">
        <f t="shared" ca="1" si="26"/>
        <v>64308.624240289937</v>
      </c>
      <c r="R61" s="40">
        <f t="shared" ca="1" si="26"/>
        <v>65127.469559320562</v>
      </c>
      <c r="S61" s="40">
        <f t="shared" ca="1" si="26"/>
        <v>65956.550444839071</v>
      </c>
      <c r="T61" s="40">
        <f t="shared" ca="1" si="26"/>
        <v>66795.994841426567</v>
      </c>
      <c r="U61" s="40">
        <f t="shared" ca="1" si="26"/>
        <v>67645.932292971396</v>
      </c>
      <c r="V61" s="40">
        <f t="shared" ca="1" si="26"/>
        <v>68506.493962660534</v>
      </c>
      <c r="W61" s="40">
        <f t="shared" ca="1" si="26"/>
        <v>69377.812653220797</v>
      </c>
      <c r="X61" s="40">
        <f t="shared" ca="1" si="26"/>
        <v>70260.02282741305</v>
      </c>
      <c r="Y61" s="40">
        <f t="shared" ca="1" si="26"/>
        <v>71153.260628782722</v>
      </c>
      <c r="Z61" s="40">
        <f t="shared" ca="1" si="26"/>
        <v>72057.663902669505</v>
      </c>
    </row>
    <row r="63" spans="3:26">
      <c r="C63" s="12" t="s">
        <v>28</v>
      </c>
      <c r="G63" s="40">
        <f ca="1">+G59-G61</f>
        <v>13641.318951764064</v>
      </c>
      <c r="H63" s="40">
        <f t="shared" ref="H63:P63" ca="1" si="27">+H59-H61</f>
        <v>16726.130352036984</v>
      </c>
      <c r="I63" s="40">
        <f t="shared" ca="1" si="27"/>
        <v>19095.411648584843</v>
      </c>
      <c r="J63" s="40">
        <f t="shared" ca="1" si="27"/>
        <v>12575.656278977469</v>
      </c>
      <c r="K63" s="40">
        <f t="shared" ca="1" si="27"/>
        <v>12836.96917743783</v>
      </c>
      <c r="L63" s="40">
        <f t="shared" ca="1" si="27"/>
        <v>11857.391556946677</v>
      </c>
      <c r="M63" s="40">
        <f t="shared" ca="1" si="27"/>
        <v>7242.3536954806696</v>
      </c>
      <c r="N63" s="40">
        <f t="shared" ca="1" si="27"/>
        <v>5596.6227802682479</v>
      </c>
      <c r="O63" s="40">
        <f t="shared" ca="1" si="27"/>
        <v>5054.913911881551</v>
      </c>
      <c r="P63" s="40">
        <f t="shared" ca="1" si="27"/>
        <v>2203.6848756472173</v>
      </c>
      <c r="Q63" s="40">
        <f t="shared" ref="Q63:Z63" ca="1" si="28">+Q59-Q61</f>
        <v>1405.5966855591396</v>
      </c>
      <c r="R63" s="40">
        <f t="shared" ca="1" si="28"/>
        <v>597.5323930949744</v>
      </c>
      <c r="S63" s="40">
        <f t="shared" ca="1" si="28"/>
        <v>-220.63270302499586</v>
      </c>
      <c r="T63" s="40">
        <f t="shared" ca="1" si="28"/>
        <v>-1049.0248628464615</v>
      </c>
      <c r="U63" s="40">
        <f t="shared" ca="1" si="28"/>
        <v>-1887.771924665707</v>
      </c>
      <c r="V63" s="40">
        <f t="shared" ca="1" si="28"/>
        <v>-2737.0033247576648</v>
      </c>
      <c r="W63" s="40">
        <f t="shared" ca="1" si="28"/>
        <v>-3596.8501173507975</v>
      </c>
      <c r="X63" s="40">
        <f t="shared" ca="1" si="28"/>
        <v>-4467.4449948513357</v>
      </c>
      <c r="Y63" s="40">
        <f t="shared" ca="1" si="28"/>
        <v>-4755.6913664077147</v>
      </c>
      <c r="Z63" s="40">
        <f t="shared" ca="1" si="28"/>
        <v>-4778.6223435568972</v>
      </c>
    </row>
    <row r="66" spans="3:26">
      <c r="C66" s="83" t="s">
        <v>128</v>
      </c>
    </row>
    <row r="67" spans="3:26">
      <c r="D67" s="106" t="s">
        <v>21</v>
      </c>
      <c r="G67" s="24">
        <f ca="1">SUMIF($F$14:$F$57,$D67,G$14:G$57)</f>
        <v>4486</v>
      </c>
      <c r="H67" s="24">
        <f t="shared" ref="H67:W75" ca="1" si="29">SUMIF($F$14:$F$57,$D67,H$14:H$57)</f>
        <v>4486</v>
      </c>
      <c r="I67" s="24">
        <f t="shared" ca="1" si="29"/>
        <v>4486</v>
      </c>
      <c r="J67" s="24">
        <f t="shared" ca="1" si="29"/>
        <v>4486</v>
      </c>
      <c r="K67" s="24">
        <f t="shared" ca="1" si="29"/>
        <v>4486</v>
      </c>
      <c r="L67" s="24">
        <f t="shared" ca="1" si="29"/>
        <v>4486</v>
      </c>
      <c r="M67" s="24">
        <f t="shared" ca="1" si="29"/>
        <v>4486</v>
      </c>
      <c r="N67" s="24">
        <f t="shared" ca="1" si="29"/>
        <v>4486</v>
      </c>
      <c r="O67" s="24">
        <f t="shared" ca="1" si="29"/>
        <v>4486</v>
      </c>
      <c r="P67" s="24">
        <f t="shared" ca="1" si="29"/>
        <v>4486</v>
      </c>
      <c r="Q67" s="24">
        <f t="shared" ca="1" si="29"/>
        <v>4486</v>
      </c>
      <c r="R67" s="24">
        <f t="shared" ca="1" si="29"/>
        <v>4486</v>
      </c>
      <c r="S67" s="24">
        <f t="shared" ca="1" si="29"/>
        <v>4486</v>
      </c>
      <c r="T67" s="24">
        <f t="shared" ca="1" si="29"/>
        <v>4486</v>
      </c>
      <c r="U67" s="24">
        <f t="shared" ca="1" si="29"/>
        <v>4486</v>
      </c>
      <c r="V67" s="24">
        <f t="shared" ca="1" si="29"/>
        <v>4486</v>
      </c>
      <c r="W67" s="24">
        <f t="shared" ca="1" si="29"/>
        <v>4486</v>
      </c>
      <c r="X67" s="24">
        <f t="shared" ref="X67:Z75" ca="1" si="30">SUMIF($F$14:$F$57,$D67,X$14:X$57)</f>
        <v>4486</v>
      </c>
      <c r="Y67" s="24">
        <f t="shared" ca="1" si="30"/>
        <v>4486</v>
      </c>
      <c r="Z67" s="24">
        <f t="shared" ca="1" si="30"/>
        <v>4486</v>
      </c>
    </row>
    <row r="68" spans="3:26">
      <c r="D68" s="106" t="s">
        <v>2149</v>
      </c>
      <c r="G68" s="24">
        <f t="shared" ref="G68:G75" ca="1" si="31">SUMIF($F$14:$F$57,$D68,G$14:G$57)</f>
        <v>34055.836150000003</v>
      </c>
      <c r="H68" s="24">
        <f t="shared" ca="1" si="29"/>
        <v>36450.892300000007</v>
      </c>
      <c r="I68" s="24">
        <f t="shared" ca="1" si="29"/>
        <v>38434.948450000004</v>
      </c>
      <c r="J68" s="24">
        <f t="shared" ca="1" si="29"/>
        <v>37502.004600000007</v>
      </c>
      <c r="K68" s="24">
        <f t="shared" ca="1" si="29"/>
        <v>36707.060750000004</v>
      </c>
      <c r="L68" s="24">
        <f t="shared" ca="1" si="29"/>
        <v>35832.116900000008</v>
      </c>
      <c r="M68" s="24">
        <f t="shared" ca="1" si="29"/>
        <v>31176.143050000002</v>
      </c>
      <c r="N68" s="24">
        <f t="shared" ca="1" si="29"/>
        <v>30301.199200000003</v>
      </c>
      <c r="O68" s="24">
        <f t="shared" ca="1" si="29"/>
        <v>29426.255350000003</v>
      </c>
      <c r="P68" s="24">
        <f t="shared" ca="1" si="29"/>
        <v>27425.751500000002</v>
      </c>
      <c r="Q68" s="24">
        <f t="shared" ca="1" si="29"/>
        <v>27425.751500000002</v>
      </c>
      <c r="R68" s="24">
        <f t="shared" ca="1" si="29"/>
        <v>27425.751500000002</v>
      </c>
      <c r="S68" s="24">
        <f t="shared" ca="1" si="29"/>
        <v>27425.751500000002</v>
      </c>
      <c r="T68" s="24">
        <f t="shared" ca="1" si="29"/>
        <v>27425.751500000002</v>
      </c>
      <c r="U68" s="24">
        <f t="shared" ca="1" si="29"/>
        <v>27425.751500000002</v>
      </c>
      <c r="V68" s="24">
        <f t="shared" ca="1" si="29"/>
        <v>27425.751500000002</v>
      </c>
      <c r="W68" s="24">
        <f t="shared" ca="1" si="29"/>
        <v>27425.751500000002</v>
      </c>
      <c r="X68" s="24">
        <f t="shared" ca="1" si="30"/>
        <v>27425.751500000002</v>
      </c>
      <c r="Y68" s="24">
        <f t="shared" ca="1" si="30"/>
        <v>27425.751500000002</v>
      </c>
      <c r="Z68" s="24">
        <f t="shared" ca="1" si="30"/>
        <v>27425.751500000002</v>
      </c>
    </row>
    <row r="69" spans="3:26">
      <c r="D69" s="106" t="s">
        <v>18</v>
      </c>
      <c r="G69" s="24">
        <f t="shared" ca="1" si="31"/>
        <v>7974.6913200000008</v>
      </c>
      <c r="H69" s="24">
        <f t="shared" ca="1" si="29"/>
        <v>7974.6913200000008</v>
      </c>
      <c r="I69" s="24">
        <f t="shared" ca="1" si="29"/>
        <v>7974.6913200000008</v>
      </c>
      <c r="J69" s="24">
        <f t="shared" ca="1" si="29"/>
        <v>7974.6913200000008</v>
      </c>
      <c r="K69" s="24">
        <f t="shared" ca="1" si="29"/>
        <v>7974.6913200000008</v>
      </c>
      <c r="L69" s="24">
        <f t="shared" ca="1" si="29"/>
        <v>7974.6913200000008</v>
      </c>
      <c r="M69" s="24">
        <f t="shared" ca="1" si="29"/>
        <v>7974.6913200000008</v>
      </c>
      <c r="N69" s="24">
        <f t="shared" ca="1" si="29"/>
        <v>7974.6913200000008</v>
      </c>
      <c r="O69" s="24">
        <f t="shared" ca="1" si="29"/>
        <v>7974.6913200000008</v>
      </c>
      <c r="P69" s="24">
        <f t="shared" ca="1" si="29"/>
        <v>7974.6913200000008</v>
      </c>
      <c r="Q69" s="24">
        <f t="shared" ca="1" si="29"/>
        <v>7974.6913200000008</v>
      </c>
      <c r="R69" s="24">
        <f t="shared" ca="1" si="29"/>
        <v>7974.6913200000008</v>
      </c>
      <c r="S69" s="24">
        <f t="shared" ca="1" si="29"/>
        <v>7974.6913200000008</v>
      </c>
      <c r="T69" s="24">
        <f t="shared" ca="1" si="29"/>
        <v>7974.6913200000008</v>
      </c>
      <c r="U69" s="24">
        <f t="shared" ca="1" si="29"/>
        <v>7974.6913200000008</v>
      </c>
      <c r="V69" s="24">
        <f t="shared" ca="1" si="29"/>
        <v>7974.6913200000008</v>
      </c>
      <c r="W69" s="24">
        <f t="shared" ca="1" si="29"/>
        <v>7974.6913200000008</v>
      </c>
      <c r="X69" s="24">
        <f t="shared" ca="1" si="30"/>
        <v>7974.6913200000008</v>
      </c>
      <c r="Y69" s="24">
        <f t="shared" ca="1" si="30"/>
        <v>7974.6913200000008</v>
      </c>
      <c r="Z69" s="24">
        <f t="shared" ca="1" si="30"/>
        <v>7974.6913200000008</v>
      </c>
    </row>
    <row r="70" spans="3:26">
      <c r="D70" s="106" t="s">
        <v>139</v>
      </c>
      <c r="G70" s="24">
        <f t="shared" ca="1" si="31"/>
        <v>580.35</v>
      </c>
      <c r="H70" s="24">
        <f t="shared" ca="1" si="29"/>
        <v>580.35</v>
      </c>
      <c r="I70" s="24">
        <f t="shared" ca="1" si="29"/>
        <v>609.39</v>
      </c>
      <c r="J70" s="24">
        <f t="shared" ca="1" si="29"/>
        <v>656.12761256862541</v>
      </c>
      <c r="K70" s="24">
        <f t="shared" ca="1" si="29"/>
        <v>656.12761256862541</v>
      </c>
      <c r="L70" s="24">
        <f t="shared" ca="1" si="29"/>
        <v>656.12761256862541</v>
      </c>
      <c r="M70" s="24">
        <f t="shared" ca="1" si="29"/>
        <v>656.12761256862541</v>
      </c>
      <c r="N70" s="24">
        <f t="shared" ca="1" si="29"/>
        <v>656.12761256862541</v>
      </c>
      <c r="O70" s="24">
        <f t="shared" ca="1" si="29"/>
        <v>656.12761256862541</v>
      </c>
      <c r="P70" s="24">
        <f t="shared" ca="1" si="29"/>
        <v>656.12761256862541</v>
      </c>
      <c r="Q70" s="24">
        <f t="shared" ca="1" si="29"/>
        <v>656.3076285331764</v>
      </c>
      <c r="R70" s="24">
        <f t="shared" ca="1" si="29"/>
        <v>656.4898946972844</v>
      </c>
      <c r="S70" s="24">
        <f t="shared" ca="1" si="29"/>
        <v>656.67443918844378</v>
      </c>
      <c r="T70" s="24">
        <f t="shared" ca="1" si="29"/>
        <v>656.86129048574264</v>
      </c>
      <c r="U70" s="24">
        <f t="shared" ca="1" si="29"/>
        <v>657.05047742425779</v>
      </c>
      <c r="V70" s="24">
        <f t="shared" ca="1" si="29"/>
        <v>657.24202919950426</v>
      </c>
      <c r="W70" s="24">
        <f t="shared" ca="1" si="29"/>
        <v>657.43597537194137</v>
      </c>
      <c r="X70" s="24">
        <f t="shared" ca="1" si="30"/>
        <v>657.63234587153397</v>
      </c>
      <c r="Y70" s="24">
        <f t="shared" ca="1" si="30"/>
        <v>667.86045045420337</v>
      </c>
      <c r="Z70" s="24">
        <f t="shared" ca="1" si="30"/>
        <v>682.76279517095486</v>
      </c>
    </row>
    <row r="71" spans="3:26">
      <c r="D71" s="106" t="s">
        <v>136</v>
      </c>
      <c r="G71" s="24">
        <f t="shared" ca="1" si="31"/>
        <v>1079.1300000000001</v>
      </c>
      <c r="H71" s="24">
        <f t="shared" ca="1" si="29"/>
        <v>1079.1300000000001</v>
      </c>
      <c r="I71" s="24">
        <f t="shared" ca="1" si="29"/>
        <v>1079.1300000000001</v>
      </c>
      <c r="J71" s="24">
        <f t="shared" ca="1" si="29"/>
        <v>1177.1210574158747</v>
      </c>
      <c r="K71" s="24">
        <f t="shared" ca="1" si="29"/>
        <v>1205.3199228592919</v>
      </c>
      <c r="L71" s="24">
        <f t="shared" ca="1" si="29"/>
        <v>1205.3199228592919</v>
      </c>
      <c r="M71" s="24">
        <f t="shared" ca="1" si="29"/>
        <v>1205.3199228592919</v>
      </c>
      <c r="N71" s="24">
        <f t="shared" ca="1" si="29"/>
        <v>1205.3199228592919</v>
      </c>
      <c r="O71" s="24">
        <f t="shared" ca="1" si="29"/>
        <v>1240.6191022155492</v>
      </c>
      <c r="P71" s="24">
        <f t="shared" ca="1" si="29"/>
        <v>1240.6191022155492</v>
      </c>
      <c r="Q71" s="24">
        <f t="shared" ca="1" si="29"/>
        <v>1240.8280670988734</v>
      </c>
      <c r="R71" s="24">
        <f t="shared" ca="1" si="29"/>
        <v>1241.0396440432394</v>
      </c>
      <c r="S71" s="24">
        <f t="shared" ca="1" si="29"/>
        <v>1241.2538656994097</v>
      </c>
      <c r="T71" s="24">
        <f t="shared" ca="1" si="29"/>
        <v>1241.4707651262825</v>
      </c>
      <c r="U71" s="24">
        <f t="shared" ca="1" si="29"/>
        <v>1241.6903757959908</v>
      </c>
      <c r="V71" s="24">
        <f t="shared" ca="1" si="29"/>
        <v>1241.9127315990706</v>
      </c>
      <c r="W71" s="24">
        <f t="shared" ca="1" si="29"/>
        <v>1242.1378668496891</v>
      </c>
      <c r="X71" s="24">
        <f t="shared" ca="1" si="30"/>
        <v>1242.3658162909401</v>
      </c>
      <c r="Y71" s="24">
        <f t="shared" ca="1" si="30"/>
        <v>1254.2387337073253</v>
      </c>
      <c r="Z71" s="24">
        <f t="shared" ca="1" si="30"/>
        <v>1271.5375701341932</v>
      </c>
    </row>
    <row r="72" spans="3:26">
      <c r="D72" s="106" t="s">
        <v>138</v>
      </c>
      <c r="G72" s="24">
        <f t="shared" ca="1" si="31"/>
        <v>383.63907443429684</v>
      </c>
      <c r="H72" s="24">
        <f t="shared" ca="1" si="29"/>
        <v>458.11159263619811</v>
      </c>
      <c r="I72" s="24">
        <f t="shared" ca="1" si="29"/>
        <v>625.6653202419518</v>
      </c>
      <c r="J72" s="24">
        <f t="shared" ca="1" si="29"/>
        <v>1000.6239620625171</v>
      </c>
      <c r="K72" s="24">
        <f t="shared" ca="1" si="29"/>
        <v>2271.7458900191505</v>
      </c>
      <c r="L72" s="24">
        <f t="shared" ca="1" si="29"/>
        <v>2892.4867265451821</v>
      </c>
      <c r="M72" s="24">
        <f t="shared" ca="1" si="29"/>
        <v>3570.3764187551214</v>
      </c>
      <c r="N72" s="24">
        <f t="shared" ca="1" si="29"/>
        <v>3570.3764187551214</v>
      </c>
      <c r="O72" s="24">
        <f t="shared" ca="1" si="29"/>
        <v>4644.0376705905146</v>
      </c>
      <c r="P72" s="24">
        <f t="shared" ca="1" si="29"/>
        <v>4644.0376705905146</v>
      </c>
      <c r="Q72" s="24">
        <f t="shared" ca="1" si="29"/>
        <v>4652.4286313785115</v>
      </c>
      <c r="R72" s="24">
        <f t="shared" ca="1" si="29"/>
        <v>4660.9244791763595</v>
      </c>
      <c r="S72" s="24">
        <f t="shared" ca="1" si="29"/>
        <v>4669.526525071682</v>
      </c>
      <c r="T72" s="24">
        <f t="shared" ca="1" si="29"/>
        <v>4678.2360965406942</v>
      </c>
      <c r="U72" s="24">
        <f t="shared" ca="1" si="29"/>
        <v>4687.0545376530699</v>
      </c>
      <c r="V72" s="24">
        <f t="shared" ca="1" si="29"/>
        <v>4695.9832092793504</v>
      </c>
      <c r="W72" s="24">
        <f t="shared" ca="1" si="29"/>
        <v>4705.0234893009592</v>
      </c>
      <c r="X72" s="24">
        <f t="shared" ca="1" si="30"/>
        <v>4714.1767728228369</v>
      </c>
      <c r="Y72" s="24">
        <f t="shared" ca="1" si="30"/>
        <v>5190.9324022623332</v>
      </c>
      <c r="Z72" s="24">
        <f t="shared" ca="1" si="30"/>
        <v>5885.5651837453825</v>
      </c>
    </row>
    <row r="73" spans="3:26">
      <c r="D73" s="182" t="s">
        <v>137</v>
      </c>
      <c r="G73" s="24">
        <f t="shared" ca="1" si="31"/>
        <v>339.41998874822337</v>
      </c>
      <c r="H73" s="24">
        <f t="shared" ca="1" si="29"/>
        <v>345.86632148554139</v>
      </c>
      <c r="I73" s="24">
        <f t="shared" ca="1" si="29"/>
        <v>345.86632148554139</v>
      </c>
      <c r="J73" s="24">
        <f t="shared" ca="1" si="29"/>
        <v>358.56948098560991</v>
      </c>
      <c r="K73" s="24">
        <f t="shared" ca="1" si="29"/>
        <v>852.18958877195018</v>
      </c>
      <c r="L73" s="24">
        <f t="shared" ca="1" si="29"/>
        <v>877.32809799889651</v>
      </c>
      <c r="M73" s="24">
        <f t="shared" ca="1" si="29"/>
        <v>1049.9204433631955</v>
      </c>
      <c r="N73" s="24">
        <f t="shared" ca="1" si="29"/>
        <v>1049.9204433631955</v>
      </c>
      <c r="O73" s="24">
        <f t="shared" ca="1" si="29"/>
        <v>1053.1857930013412</v>
      </c>
      <c r="P73" s="24">
        <f t="shared" ca="1" si="29"/>
        <v>1053.1857930013412</v>
      </c>
      <c r="Q73" s="24">
        <f t="shared" ca="1" si="29"/>
        <v>1055.0537788385136</v>
      </c>
      <c r="R73" s="24">
        <f t="shared" ca="1" si="29"/>
        <v>1056.9451144986513</v>
      </c>
      <c r="S73" s="24">
        <f t="shared" ca="1" si="29"/>
        <v>1058.8600918545403</v>
      </c>
      <c r="T73" s="24">
        <f t="shared" ca="1" si="29"/>
        <v>1060.7990064273779</v>
      </c>
      <c r="U73" s="24">
        <f t="shared" ca="1" si="29"/>
        <v>1062.7621574323762</v>
      </c>
      <c r="V73" s="24">
        <f t="shared" ca="1" si="29"/>
        <v>1064.7498478249368</v>
      </c>
      <c r="W73" s="24">
        <f t="shared" ca="1" si="29"/>
        <v>1066.7623843474046</v>
      </c>
      <c r="X73" s="24">
        <f t="shared" ca="1" si="30"/>
        <v>1068.8000775764028</v>
      </c>
      <c r="Y73" s="24">
        <f t="shared" ca="1" si="30"/>
        <v>1174.9348559511443</v>
      </c>
      <c r="Z73" s="24">
        <f t="shared" ca="1" si="30"/>
        <v>1329.5731900620781</v>
      </c>
    </row>
    <row r="74" spans="3:26">
      <c r="D74" s="182" t="s">
        <v>2066</v>
      </c>
      <c r="G74" s="24">
        <f t="shared" si="31"/>
        <v>16954.75</v>
      </c>
      <c r="H74" s="24">
        <f t="shared" si="29"/>
        <v>16954.75</v>
      </c>
      <c r="I74" s="24">
        <f t="shared" si="29"/>
        <v>16954.75</v>
      </c>
      <c r="J74" s="24">
        <f t="shared" si="29"/>
        <v>16954.75</v>
      </c>
      <c r="K74" s="24">
        <f t="shared" si="29"/>
        <v>16954.75</v>
      </c>
      <c r="L74" s="24">
        <f t="shared" si="29"/>
        <v>16954.75</v>
      </c>
      <c r="M74" s="24">
        <f t="shared" si="29"/>
        <v>16954.75</v>
      </c>
      <c r="N74" s="24">
        <f t="shared" si="29"/>
        <v>16954.75</v>
      </c>
      <c r="O74" s="24">
        <f t="shared" si="29"/>
        <v>16954.75</v>
      </c>
      <c r="P74" s="24">
        <f t="shared" si="29"/>
        <v>16954.75</v>
      </c>
      <c r="Q74" s="24">
        <f t="shared" si="29"/>
        <v>16954.75</v>
      </c>
      <c r="R74" s="24">
        <f t="shared" si="29"/>
        <v>16954.75</v>
      </c>
      <c r="S74" s="24">
        <f t="shared" si="29"/>
        <v>16954.75</v>
      </c>
      <c r="T74" s="24">
        <f t="shared" si="29"/>
        <v>16954.75</v>
      </c>
      <c r="U74" s="24">
        <f t="shared" si="29"/>
        <v>16954.75</v>
      </c>
      <c r="V74" s="24">
        <f t="shared" si="29"/>
        <v>16954.75</v>
      </c>
      <c r="W74" s="24">
        <f t="shared" si="29"/>
        <v>16954.75</v>
      </c>
      <c r="X74" s="24">
        <f t="shared" si="30"/>
        <v>16954.75</v>
      </c>
      <c r="Y74" s="24">
        <f t="shared" si="30"/>
        <v>16954.75</v>
      </c>
      <c r="Z74" s="24">
        <f t="shared" si="30"/>
        <v>16954.75</v>
      </c>
    </row>
    <row r="75" spans="3:26">
      <c r="D75" s="235" t="s">
        <v>22</v>
      </c>
      <c r="G75" s="24">
        <f t="shared" ca="1" si="31"/>
        <v>1268.4100000000001</v>
      </c>
      <c r="H75" s="24">
        <f t="shared" ca="1" si="29"/>
        <v>1268.4100000000001</v>
      </c>
      <c r="I75" s="24">
        <f t="shared" ca="1" si="29"/>
        <v>1268.4100000000001</v>
      </c>
      <c r="J75" s="24">
        <f t="shared" ca="1" si="29"/>
        <v>1268.4100000000001</v>
      </c>
      <c r="K75" s="24">
        <f t="shared" ca="1" si="29"/>
        <v>1268.4100000000001</v>
      </c>
      <c r="L75" s="24">
        <f t="shared" ca="1" si="29"/>
        <v>1268.4100000000001</v>
      </c>
      <c r="M75" s="24">
        <f t="shared" ca="1" si="29"/>
        <v>1268.4100000000001</v>
      </c>
      <c r="N75" s="24">
        <f t="shared" ca="1" si="29"/>
        <v>1268.4100000000001</v>
      </c>
      <c r="O75" s="24">
        <f t="shared" ca="1" si="29"/>
        <v>1268.4100000000001</v>
      </c>
      <c r="P75" s="24">
        <f t="shared" ca="1" si="29"/>
        <v>1268.4100000000001</v>
      </c>
      <c r="Q75" s="24">
        <f t="shared" ca="1" si="29"/>
        <v>1268.4100000000001</v>
      </c>
      <c r="R75" s="24">
        <f t="shared" ca="1" si="29"/>
        <v>1268.4100000000001</v>
      </c>
      <c r="S75" s="24">
        <f t="shared" ca="1" si="29"/>
        <v>1268.4100000000001</v>
      </c>
      <c r="T75" s="24">
        <f t="shared" ca="1" si="29"/>
        <v>1268.4100000000001</v>
      </c>
      <c r="U75" s="24">
        <f t="shared" ca="1" si="29"/>
        <v>1268.4100000000001</v>
      </c>
      <c r="V75" s="24">
        <f t="shared" ca="1" si="29"/>
        <v>1268.4100000000001</v>
      </c>
      <c r="W75" s="24">
        <f t="shared" ca="1" si="29"/>
        <v>1268.4100000000001</v>
      </c>
      <c r="X75" s="24">
        <f t="shared" ca="1" si="30"/>
        <v>1268.4100000000001</v>
      </c>
      <c r="Y75" s="24">
        <f t="shared" ca="1" si="30"/>
        <v>1268.4100000000001</v>
      </c>
      <c r="Z75" s="24">
        <f t="shared" ca="1" si="30"/>
        <v>1268.4100000000001</v>
      </c>
    </row>
  </sheetData>
  <sortState ref="D60:D69">
    <sortCondition ref="D6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98"/>
  <sheetViews>
    <sheetView zoomScale="85" zoomScaleNormal="85" workbookViewId="0">
      <selection activeCell="G56" sqref="G56"/>
    </sheetView>
  </sheetViews>
  <sheetFormatPr defaultRowHeight="12.75"/>
  <cols>
    <col min="1" max="1" width="9.140625" style="186"/>
    <col min="2" max="2" width="2.7109375" style="186" customWidth="1"/>
    <col min="3" max="3" width="36.28515625" style="186" customWidth="1"/>
    <col min="4" max="4" width="2.5703125" style="186" customWidth="1"/>
    <col min="5" max="27" width="10.5703125" style="186" customWidth="1"/>
    <col min="28" max="28" width="16" style="186" bestFit="1" customWidth="1"/>
    <col min="29" max="29" width="11.7109375" style="186" bestFit="1" customWidth="1"/>
    <col min="30" max="42" width="10.5703125" style="186" customWidth="1"/>
    <col min="43" max="16384" width="9.140625" style="186"/>
  </cols>
  <sheetData>
    <row r="1" spans="1:29">
      <c r="A1" s="185" t="s">
        <v>2297</v>
      </c>
    </row>
    <row r="2" spans="1:29">
      <c r="A2" s="187" t="s">
        <v>2298</v>
      </c>
    </row>
    <row r="3" spans="1:29">
      <c r="A3" s="187" t="s">
        <v>2299</v>
      </c>
      <c r="G3" s="110"/>
      <c r="H3" s="110"/>
      <c r="I3" s="110"/>
      <c r="J3" s="110"/>
      <c r="K3" s="110"/>
      <c r="L3" s="110"/>
      <c r="M3" s="110"/>
      <c r="N3" s="110"/>
      <c r="O3" s="110"/>
      <c r="P3" s="110"/>
    </row>
    <row r="4" spans="1:29">
      <c r="A4" s="187" t="s">
        <v>2300</v>
      </c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29">
      <c r="G5" s="110"/>
      <c r="H5" s="110"/>
      <c r="I5" s="110"/>
      <c r="J5" s="110"/>
      <c r="K5" s="110"/>
      <c r="L5" s="110"/>
      <c r="M5" s="110"/>
      <c r="N5" s="110"/>
      <c r="O5" s="110"/>
      <c r="P5" s="110"/>
    </row>
    <row r="6" spans="1:29">
      <c r="E6" s="185" t="s">
        <v>2301</v>
      </c>
      <c r="F6" s="188"/>
      <c r="G6" s="185" t="s">
        <v>2302</v>
      </c>
      <c r="P6" s="188"/>
      <c r="Q6" s="189"/>
    </row>
    <row r="7" spans="1:29">
      <c r="E7" s="190">
        <v>2009</v>
      </c>
      <c r="F7" s="191">
        <v>2010</v>
      </c>
      <c r="G7" s="190">
        <v>2011</v>
      </c>
      <c r="H7" s="190">
        <f t="shared" ref="H7:Z7" si="0">G7+1</f>
        <v>2012</v>
      </c>
      <c r="I7" s="190">
        <f t="shared" si="0"/>
        <v>2013</v>
      </c>
      <c r="J7" s="190">
        <f t="shared" si="0"/>
        <v>2014</v>
      </c>
      <c r="K7" s="190">
        <f t="shared" si="0"/>
        <v>2015</v>
      </c>
      <c r="L7" s="190">
        <f t="shared" si="0"/>
        <v>2016</v>
      </c>
      <c r="M7" s="190">
        <f t="shared" si="0"/>
        <v>2017</v>
      </c>
      <c r="N7" s="190">
        <f t="shared" si="0"/>
        <v>2018</v>
      </c>
      <c r="O7" s="190">
        <f t="shared" si="0"/>
        <v>2019</v>
      </c>
      <c r="P7" s="191">
        <f t="shared" si="0"/>
        <v>2020</v>
      </c>
      <c r="Q7" s="192">
        <f t="shared" si="0"/>
        <v>2021</v>
      </c>
      <c r="R7" s="190">
        <f t="shared" si="0"/>
        <v>2022</v>
      </c>
      <c r="S7" s="190">
        <f t="shared" si="0"/>
        <v>2023</v>
      </c>
      <c r="T7" s="190">
        <f t="shared" si="0"/>
        <v>2024</v>
      </c>
      <c r="U7" s="190">
        <f t="shared" si="0"/>
        <v>2025</v>
      </c>
      <c r="V7" s="190">
        <f t="shared" si="0"/>
        <v>2026</v>
      </c>
      <c r="W7" s="190">
        <f t="shared" si="0"/>
        <v>2027</v>
      </c>
      <c r="X7" s="190">
        <f t="shared" si="0"/>
        <v>2028</v>
      </c>
      <c r="Y7" s="190">
        <f t="shared" si="0"/>
        <v>2029</v>
      </c>
      <c r="Z7" s="190">
        <f t="shared" si="0"/>
        <v>2030</v>
      </c>
      <c r="AB7" s="190" t="s">
        <v>2106</v>
      </c>
      <c r="AC7" s="193" t="s">
        <v>2303</v>
      </c>
    </row>
    <row r="8" spans="1:29">
      <c r="F8" s="188"/>
      <c r="P8" s="188"/>
      <c r="Q8" s="189"/>
    </row>
    <row r="9" spans="1:29">
      <c r="A9" s="194"/>
      <c r="B9" s="195" t="s">
        <v>2304</v>
      </c>
      <c r="C9" s="194"/>
      <c r="D9" s="194"/>
      <c r="E9" s="194"/>
      <c r="F9" s="196"/>
      <c r="G9" s="194"/>
      <c r="H9" s="194"/>
      <c r="I9" s="194"/>
      <c r="J9" s="194"/>
      <c r="K9" s="194"/>
      <c r="L9" s="194"/>
      <c r="M9" s="194"/>
      <c r="N9" s="194"/>
      <c r="O9" s="194"/>
      <c r="P9" s="196"/>
      <c r="Q9" s="197"/>
      <c r="R9" s="194"/>
      <c r="S9" s="194"/>
      <c r="T9" s="194"/>
      <c r="U9" s="194"/>
      <c r="V9" s="194"/>
      <c r="W9" s="194"/>
      <c r="X9" s="194"/>
      <c r="Y9" s="194"/>
      <c r="Z9" s="194"/>
      <c r="AA9" s="194"/>
      <c r="AB9" s="194"/>
      <c r="AC9" s="194"/>
    </row>
    <row r="10" spans="1:29">
      <c r="F10" s="188"/>
      <c r="H10" s="198"/>
      <c r="I10" s="198"/>
      <c r="J10" s="198"/>
      <c r="K10" s="198"/>
      <c r="L10" s="198"/>
      <c r="M10" s="198"/>
      <c r="N10" s="198"/>
      <c r="O10" s="198"/>
      <c r="P10" s="199"/>
      <c r="Q10" s="189"/>
    </row>
    <row r="11" spans="1:29">
      <c r="C11" s="185" t="s">
        <v>2305</v>
      </c>
      <c r="F11" s="188"/>
      <c r="H11" s="198"/>
      <c r="I11" s="198"/>
      <c r="J11" s="198"/>
      <c r="K11" s="198"/>
      <c r="L11" s="198"/>
      <c r="M11" s="198"/>
      <c r="N11" s="198"/>
      <c r="O11" s="198"/>
      <c r="P11" s="199"/>
      <c r="Q11" s="189"/>
    </row>
    <row r="12" spans="1:29">
      <c r="C12" s="200" t="s">
        <v>805</v>
      </c>
      <c r="E12" s="201">
        <v>85458.880000000005</v>
      </c>
      <c r="F12" s="202">
        <v>85705.06</v>
      </c>
      <c r="G12" s="203">
        <f ca="1">OFFSET(LoadVars!H$7,$AC12,0)</f>
        <v>86682.04</v>
      </c>
      <c r="H12" s="203">
        <f ca="1">OFFSET(LoadVars!I$7,$AC12,0)</f>
        <v>87881.75</v>
      </c>
      <c r="I12" s="203">
        <f ca="1">OFFSET(LoadVars!J$7,$AC12,0)</f>
        <v>89267.82</v>
      </c>
      <c r="J12" s="203">
        <f ca="1">OFFSET(LoadVars!K$7,$AC12,0)</f>
        <v>90265.03</v>
      </c>
      <c r="K12" s="203">
        <f ca="1">OFFSET(LoadVars!L$7,$AC12,0)</f>
        <v>91252.55</v>
      </c>
      <c r="L12" s="203">
        <f ca="1">OFFSET(LoadVars!M$7,$AC12,0)</f>
        <v>92276.58</v>
      </c>
      <c r="M12" s="203">
        <f ca="1">OFFSET(LoadVars!N$7,$AC12,0)</f>
        <v>93389.92</v>
      </c>
      <c r="N12" s="203">
        <f ca="1">OFFSET(LoadVars!O$7,$AC12,0)</f>
        <v>94445.52</v>
      </c>
      <c r="O12" s="203">
        <f ca="1">OFFSET(LoadVars!P$7,$AC12,0)</f>
        <v>95500.63</v>
      </c>
      <c r="P12" s="204">
        <f ca="1">OFFSET(LoadVars!Q$7,$AC12,0)</f>
        <v>96612.25</v>
      </c>
      <c r="Q12" s="205">
        <f ca="1">P12*(1+GeneralInputs!$D$56)</f>
        <v>97819.903124999997</v>
      </c>
      <c r="R12" s="206">
        <f ca="1">Q12*(1+GeneralInputs!$D$56)</f>
        <v>99042.651914062488</v>
      </c>
      <c r="S12" s="206">
        <f ca="1">R12*(1+GeneralInputs!$D$56)</f>
        <v>100280.68506298827</v>
      </c>
      <c r="T12" s="206">
        <f ca="1">S12*(1+GeneralInputs!$D$56)</f>
        <v>101534.19362627562</v>
      </c>
      <c r="U12" s="206">
        <f ca="1">T12*(1+GeneralInputs!$D$56)</f>
        <v>102803.37104660406</v>
      </c>
      <c r="V12" s="206">
        <f ca="1">U12*(1+GeneralInputs!$D$56)</f>
        <v>104088.41318468661</v>
      </c>
      <c r="W12" s="206">
        <f ca="1">V12*(1+GeneralInputs!$D$56)</f>
        <v>105389.51834949519</v>
      </c>
      <c r="X12" s="206">
        <f ca="1">W12*(1+GeneralInputs!$D$56)</f>
        <v>106706.88732886387</v>
      </c>
      <c r="Y12" s="206">
        <f ca="1">X12*(1+GeneralInputs!$D$56)</f>
        <v>108040.72342047466</v>
      </c>
      <c r="Z12" s="206">
        <f ca="1">Y12*(1+GeneralInputs!$D$56)</f>
        <v>109391.2324632306</v>
      </c>
      <c r="AB12" s="186" t="s">
        <v>2306</v>
      </c>
      <c r="AC12" s="207">
        <f ca="1">MATCH($AB12&amp;"_"&amp;scenLoad,OFFSET(LoadVars!$G$7,1,0,ctLoadVar,1),0)</f>
        <v>1</v>
      </c>
    </row>
    <row r="13" spans="1:29">
      <c r="C13" s="200" t="s">
        <v>804</v>
      </c>
      <c r="E13" s="201">
        <v>86376.87</v>
      </c>
      <c r="F13" s="202">
        <v>86442.22</v>
      </c>
      <c r="G13" s="203">
        <f ca="1">OFFSET(LoadVars!H$7,$AC13,0)</f>
        <v>87319.679999999993</v>
      </c>
      <c r="H13" s="203">
        <f ca="1">OFFSET(LoadVars!I$7,$AC13,0)</f>
        <v>88485.11</v>
      </c>
      <c r="I13" s="203">
        <f ca="1">OFFSET(LoadVars!J$7,$AC13,0)</f>
        <v>89912.49</v>
      </c>
      <c r="J13" s="203">
        <f ca="1">OFFSET(LoadVars!K$7,$AC13,0)</f>
        <v>90992.4</v>
      </c>
      <c r="K13" s="203">
        <f ca="1">OFFSET(LoadVars!L$7,$AC13,0)</f>
        <v>92120.62</v>
      </c>
      <c r="L13" s="203">
        <f ca="1">OFFSET(LoadVars!M$7,$AC13,0)</f>
        <v>93274.17</v>
      </c>
      <c r="M13" s="203">
        <f ca="1">OFFSET(LoadVars!N$7,$AC13,0)</f>
        <v>94467.66</v>
      </c>
      <c r="N13" s="203">
        <f ca="1">OFFSET(LoadVars!O$7,$AC13,0)</f>
        <v>95616.28</v>
      </c>
      <c r="O13" s="203">
        <f ca="1">OFFSET(LoadVars!P$7,$AC13,0)</f>
        <v>96783.039999999994</v>
      </c>
      <c r="P13" s="204">
        <f ca="1">OFFSET(LoadVars!Q$7,$AC13,0)</f>
        <v>97995.33</v>
      </c>
      <c r="Q13" s="205">
        <f ca="1">P13*(1+GeneralInputs!$D$56)</f>
        <v>99220.271624999994</v>
      </c>
      <c r="R13" s="206">
        <f ca="1">Q13*(1+GeneralInputs!$D$56)</f>
        <v>100460.52502031249</v>
      </c>
      <c r="S13" s="206">
        <f ca="1">R13*(1+GeneralInputs!$D$56)</f>
        <v>101716.28158306639</v>
      </c>
      <c r="T13" s="206">
        <f ca="1">S13*(1+GeneralInputs!$D$56)</f>
        <v>102987.73510285471</v>
      </c>
      <c r="U13" s="206">
        <f ca="1">T13*(1+GeneralInputs!$D$56)</f>
        <v>104275.08179164039</v>
      </c>
      <c r="V13" s="206">
        <f ca="1">U13*(1+GeneralInputs!$D$56)</f>
        <v>105578.52031403589</v>
      </c>
      <c r="W13" s="206">
        <f ca="1">V13*(1+GeneralInputs!$D$56)</f>
        <v>106898.25181796134</v>
      </c>
      <c r="X13" s="206">
        <f ca="1">W13*(1+GeneralInputs!$D$56)</f>
        <v>108234.47996568585</v>
      </c>
      <c r="Y13" s="206">
        <f ca="1">X13*(1+GeneralInputs!$D$56)</f>
        <v>109587.41096525692</v>
      </c>
      <c r="Z13" s="206">
        <f ca="1">Y13*(1+GeneralInputs!$D$56)</f>
        <v>110957.25360232263</v>
      </c>
      <c r="AB13" s="186" t="s">
        <v>2307</v>
      </c>
      <c r="AC13" s="207">
        <f ca="1">MATCH($AB13&amp;"_"&amp;scenLoad,OFFSET(LoadVars!$G$7,1,0,ctLoadVar,1),0)</f>
        <v>2</v>
      </c>
    </row>
    <row r="14" spans="1:29">
      <c r="C14" s="200" t="s">
        <v>807</v>
      </c>
      <c r="E14" s="201">
        <v>20168.688067473664</v>
      </c>
      <c r="F14" s="202">
        <v>20258.46028259024</v>
      </c>
      <c r="G14" s="203">
        <f ca="1">OFFSET(LoadVars!H$7,$AC14,0)</f>
        <v>20488.075419128018</v>
      </c>
      <c r="H14" s="203">
        <f ca="1">OFFSET(LoadVars!I$7,$AC14,0)</f>
        <v>20808.685761089291</v>
      </c>
      <c r="I14" s="203">
        <f ca="1">OFFSET(LoadVars!J$7,$AC14,0)</f>
        <v>21178.894164285219</v>
      </c>
      <c r="J14" s="203">
        <f ca="1">OFFSET(LoadVars!K$7,$AC14,0)</f>
        <v>21456.995890429269</v>
      </c>
      <c r="K14" s="203">
        <f ca="1">OFFSET(LoadVars!L$7,$AC14,0)</f>
        <v>21741.612687431767</v>
      </c>
      <c r="L14" s="203">
        <f ca="1">OFFSET(LoadVars!M$7,$AC14,0)</f>
        <v>21996.665118608398</v>
      </c>
      <c r="M14" s="203">
        <f ca="1">OFFSET(LoadVars!N$7,$AC14,0)</f>
        <v>22265.957192738253</v>
      </c>
      <c r="N14" s="203">
        <f ca="1">OFFSET(LoadVars!O$7,$AC14,0)</f>
        <v>22532.320846751725</v>
      </c>
      <c r="O14" s="203">
        <f ca="1">OFFSET(LoadVars!P$7,$AC14,0)</f>
        <v>22816.401974887325</v>
      </c>
      <c r="P14" s="204">
        <f ca="1">OFFSET(LoadVars!Q$7,$AC14,0)</f>
        <v>23102.300508587083</v>
      </c>
      <c r="Q14" s="205">
        <f ca="1">P14*(1+GeneralInputs!$D$56)</f>
        <v>23391.079264944419</v>
      </c>
      <c r="R14" s="206">
        <f ca="1">Q14*(1+GeneralInputs!$D$56)</f>
        <v>23683.467755756225</v>
      </c>
      <c r="S14" s="206">
        <f ca="1">R14*(1+GeneralInputs!$D$56)</f>
        <v>23979.511102703178</v>
      </c>
      <c r="T14" s="206">
        <f ca="1">S14*(1+GeneralInputs!$D$56)</f>
        <v>24279.254991486967</v>
      </c>
      <c r="U14" s="206">
        <f ca="1">T14*(1+GeneralInputs!$D$56)</f>
        <v>24582.745678880554</v>
      </c>
      <c r="V14" s="206">
        <f ca="1">U14*(1+GeneralInputs!$D$56)</f>
        <v>24890.029999866561</v>
      </c>
      <c r="W14" s="206">
        <f ca="1">V14*(1+GeneralInputs!$D$56)</f>
        <v>25201.155374864891</v>
      </c>
      <c r="X14" s="206">
        <f ca="1">W14*(1+GeneralInputs!$D$56)</f>
        <v>25516.169817050701</v>
      </c>
      <c r="Y14" s="206">
        <f ca="1">X14*(1+GeneralInputs!$D$56)</f>
        <v>25835.121939763834</v>
      </c>
      <c r="Z14" s="206">
        <f ca="1">Y14*(1+GeneralInputs!$D$56)</f>
        <v>26158.060964010881</v>
      </c>
      <c r="AB14" s="186" t="s">
        <v>2308</v>
      </c>
      <c r="AC14" s="207">
        <f ca="1">MATCH($AB14&amp;"_"&amp;scenLoad,OFFSET(LoadVars!$G$7,1,0,ctLoadVar,1),0)</f>
        <v>3</v>
      </c>
    </row>
    <row r="15" spans="1:29">
      <c r="F15" s="188"/>
      <c r="H15" s="198"/>
      <c r="I15" s="198"/>
      <c r="J15" s="198"/>
      <c r="K15" s="198"/>
      <c r="L15" s="198"/>
      <c r="M15" s="198"/>
      <c r="N15" s="198"/>
      <c r="O15" s="198"/>
      <c r="P15" s="199"/>
      <c r="Q15" s="189"/>
    </row>
    <row r="16" spans="1:29">
      <c r="C16" s="200" t="s">
        <v>2309</v>
      </c>
      <c r="E16" s="201">
        <v>206953.1950674736</v>
      </c>
      <c r="F16" s="202">
        <v>207398.36875259024</v>
      </c>
      <c r="G16" s="203">
        <f ca="1">OFFSET(LoadVars!H$7,$AC16,0)</f>
        <v>209660.82427382804</v>
      </c>
      <c r="H16" s="203">
        <f ca="1">OFFSET(LoadVars!I$7,$AC16,0)</f>
        <v>212590.6440043363</v>
      </c>
      <c r="I16" s="203">
        <f ca="1">OFFSET(LoadVars!J$7,$AC16,0)</f>
        <v>216000.92088996465</v>
      </c>
      <c r="J16" s="203">
        <f ca="1">OFFSET(LoadVars!K$7,$AC16,0)</f>
        <v>218509.48028336553</v>
      </c>
      <c r="K16" s="203">
        <f ca="1">OFFSET(LoadVars!L$7,$AC16,0)</f>
        <v>221071.0940242974</v>
      </c>
      <c r="L16" s="203">
        <f ca="1">OFFSET(LoadVars!M$7,$AC16,0)</f>
        <v>223670.17276884269</v>
      </c>
      <c r="M16" s="203">
        <f ca="1">OFFSET(LoadVars!N$7,$AC16,0)</f>
        <v>226417.96061947488</v>
      </c>
      <c r="N16" s="203">
        <f ca="1">OFFSET(LoadVars!O$7,$AC16,0)</f>
        <v>229045.61960775565</v>
      </c>
      <c r="O16" s="203">
        <f ca="1">OFFSET(LoadVars!P$7,$AC16,0)</f>
        <v>231707.93572350134</v>
      </c>
      <c r="P16" s="204">
        <f ca="1">OFFSET(LoadVars!Q$7,$AC16,0)</f>
        <v>234479.12899468723</v>
      </c>
      <c r="Q16" s="205">
        <f ca="1">P16*(1+GeneralInputs!$D$56)</f>
        <v>237410.1181071208</v>
      </c>
      <c r="R16" s="206">
        <f ca="1">Q16*(1+GeneralInputs!$D$56)</f>
        <v>240377.7445834598</v>
      </c>
      <c r="S16" s="206">
        <f ca="1">R16*(1+GeneralInputs!$D$56)</f>
        <v>243382.46639075305</v>
      </c>
      <c r="T16" s="206">
        <f ca="1">S16*(1+GeneralInputs!$D$56)</f>
        <v>246424.74722063745</v>
      </c>
      <c r="U16" s="206">
        <f ca="1">T16*(1+GeneralInputs!$D$56)</f>
        <v>249505.05656089541</v>
      </c>
      <c r="V16" s="206">
        <f ca="1">U16*(1+GeneralInputs!$D$56)</f>
        <v>252623.86976790658</v>
      </c>
      <c r="W16" s="206">
        <f ca="1">V16*(1+GeneralInputs!$D$56)</f>
        <v>255781.66814000541</v>
      </c>
      <c r="X16" s="206">
        <f ca="1">W16*(1+GeneralInputs!$D$56)</f>
        <v>258978.93899175545</v>
      </c>
      <c r="Y16" s="206">
        <f ca="1">X16*(1+GeneralInputs!$D$56)</f>
        <v>262216.1757291524</v>
      </c>
      <c r="Z16" s="206">
        <f ca="1">Y16*(1+GeneralInputs!$D$56)</f>
        <v>265493.87792576681</v>
      </c>
      <c r="AB16" s="186" t="s">
        <v>2310</v>
      </c>
      <c r="AC16" s="207">
        <f ca="1">MATCH($AB16&amp;"_"&amp;scenLoad,OFFSET(LoadVars!$G$7,1,0,ctLoadVar,1),0)</f>
        <v>4</v>
      </c>
    </row>
    <row r="17" spans="3:29">
      <c r="C17" s="200"/>
      <c r="F17" s="188"/>
      <c r="G17" s="110"/>
      <c r="H17" s="110"/>
      <c r="I17" s="110"/>
      <c r="J17" s="110"/>
      <c r="K17" s="110"/>
      <c r="L17" s="110"/>
      <c r="M17" s="110"/>
      <c r="N17" s="110"/>
      <c r="O17" s="110"/>
      <c r="P17" s="208"/>
      <c r="Q17" s="209"/>
      <c r="R17" s="110"/>
      <c r="S17" s="110"/>
      <c r="T17" s="110"/>
      <c r="U17" s="110"/>
      <c r="V17" s="110"/>
      <c r="W17" s="110"/>
      <c r="X17" s="110"/>
      <c r="Y17" s="110"/>
      <c r="Z17" s="110"/>
    </row>
    <row r="18" spans="3:29">
      <c r="C18" s="185" t="s">
        <v>2311</v>
      </c>
      <c r="F18" s="188"/>
      <c r="P18" s="188"/>
      <c r="Q18" s="189"/>
    </row>
    <row r="19" spans="3:29">
      <c r="C19" s="200" t="s">
        <v>805</v>
      </c>
      <c r="E19" s="201">
        <v>0</v>
      </c>
      <c r="F19" s="202">
        <v>0</v>
      </c>
      <c r="G19" s="203">
        <f ca="1">OFFSET(LoadVars!H$7,$AC19,0)</f>
        <v>0</v>
      </c>
      <c r="H19" s="203">
        <f ca="1">OFFSET(LoadVars!I$7,$AC19,0)</f>
        <v>0</v>
      </c>
      <c r="I19" s="203">
        <f ca="1">OFFSET(LoadVars!J$7,$AC19,0)</f>
        <v>1449</v>
      </c>
      <c r="J19" s="203">
        <f ca="1">OFFSET(LoadVars!K$7,$AC19,0)</f>
        <v>2054</v>
      </c>
      <c r="K19" s="203">
        <f ca="1">OFFSET(LoadVars!L$7,$AC19,0)</f>
        <v>2612</v>
      </c>
      <c r="L19" s="203">
        <f ca="1">OFFSET(LoadVars!M$7,$AC19,0)</f>
        <v>3329</v>
      </c>
      <c r="M19" s="203">
        <f ca="1">OFFSET(LoadVars!N$7,$AC19,0)</f>
        <v>4166</v>
      </c>
      <c r="N19" s="203">
        <f ca="1">OFFSET(LoadVars!O$7,$AC19,0)</f>
        <v>4995</v>
      </c>
      <c r="O19" s="203">
        <f ca="1">OFFSET(LoadVars!P$7,$AC19,0)</f>
        <v>5667</v>
      </c>
      <c r="P19" s="204">
        <f ca="1">OFFSET(LoadVars!Q$7,$AC19,0)</f>
        <v>6214</v>
      </c>
      <c r="Q19" s="205">
        <f ca="1">P19*(1+GeneralInputs!$D$57)</f>
        <v>6214</v>
      </c>
      <c r="R19" s="206">
        <f ca="1">Q19*(1+GeneralInputs!$D$57)</f>
        <v>6214</v>
      </c>
      <c r="S19" s="206">
        <f ca="1">R19*(1+GeneralInputs!$D$57)</f>
        <v>6214</v>
      </c>
      <c r="T19" s="206">
        <f ca="1">S19*(1+GeneralInputs!$D$57)</f>
        <v>6214</v>
      </c>
      <c r="U19" s="206">
        <f ca="1">T19*(1+GeneralInputs!$D$57)</f>
        <v>6214</v>
      </c>
      <c r="V19" s="206">
        <f ca="1">U19*(1+GeneralInputs!$D$57)</f>
        <v>6214</v>
      </c>
      <c r="W19" s="206">
        <f ca="1">V19*(1+GeneralInputs!$D$57)</f>
        <v>6214</v>
      </c>
      <c r="X19" s="206">
        <f ca="1">W19*(1+GeneralInputs!$D$57)</f>
        <v>6214</v>
      </c>
      <c r="Y19" s="206">
        <f ca="1">X19*(1+GeneralInputs!$D$57)</f>
        <v>6214</v>
      </c>
      <c r="Z19" s="206">
        <f ca="1">Y19*(1+GeneralInputs!$D$57)</f>
        <v>6214</v>
      </c>
      <c r="AB19" s="210" t="s">
        <v>2312</v>
      </c>
      <c r="AC19" s="207">
        <f ca="1">MATCH($AB19&amp;"_"&amp;scenLoad,OFFSET(LoadVars!$G$7,1,0,ctLoadVar,1),0)</f>
        <v>24</v>
      </c>
    </row>
    <row r="20" spans="3:29">
      <c r="C20" s="200" t="s">
        <v>804</v>
      </c>
      <c r="E20" s="201">
        <v>0</v>
      </c>
      <c r="F20" s="202">
        <v>0</v>
      </c>
      <c r="G20" s="203">
        <f ca="1">OFFSET(LoadVars!H$7,$AC20,0)</f>
        <v>0</v>
      </c>
      <c r="H20" s="203">
        <f ca="1">OFFSET(LoadVars!I$7,$AC20,0)</f>
        <v>0</v>
      </c>
      <c r="I20" s="203">
        <f ca="1">OFFSET(LoadVars!J$7,$AC20,0)</f>
        <v>1066</v>
      </c>
      <c r="J20" s="203">
        <f ca="1">OFFSET(LoadVars!K$7,$AC20,0)</f>
        <v>1707</v>
      </c>
      <c r="K20" s="203">
        <f ca="1">OFFSET(LoadVars!L$7,$AC20,0)</f>
        <v>2324</v>
      </c>
      <c r="L20" s="203">
        <f ca="1">OFFSET(LoadVars!M$7,$AC20,0)</f>
        <v>3078</v>
      </c>
      <c r="M20" s="203">
        <f ca="1">OFFSET(LoadVars!N$7,$AC20,0)</f>
        <v>3954</v>
      </c>
      <c r="N20" s="203">
        <f ca="1">OFFSET(LoadVars!O$7,$AC20,0)</f>
        <v>4838</v>
      </c>
      <c r="O20" s="203">
        <f ca="1">OFFSET(LoadVars!P$7,$AC20,0)</f>
        <v>5607</v>
      </c>
      <c r="P20" s="204">
        <f ca="1">OFFSET(LoadVars!Q$7,$AC20,0)</f>
        <v>6286</v>
      </c>
      <c r="Q20" s="205">
        <f ca="1">P20*(1+GeneralInputs!$D$57)</f>
        <v>6286</v>
      </c>
      <c r="R20" s="206">
        <f ca="1">Q20*(1+GeneralInputs!$D$57)</f>
        <v>6286</v>
      </c>
      <c r="S20" s="206">
        <f ca="1">R20*(1+GeneralInputs!$D$57)</f>
        <v>6286</v>
      </c>
      <c r="T20" s="206">
        <f ca="1">S20*(1+GeneralInputs!$D$57)</f>
        <v>6286</v>
      </c>
      <c r="U20" s="206">
        <f ca="1">T20*(1+GeneralInputs!$D$57)</f>
        <v>6286</v>
      </c>
      <c r="V20" s="206">
        <f ca="1">U20*(1+GeneralInputs!$D$57)</f>
        <v>6286</v>
      </c>
      <c r="W20" s="206">
        <f ca="1">V20*(1+GeneralInputs!$D$57)</f>
        <v>6286</v>
      </c>
      <c r="X20" s="206">
        <f ca="1">W20*(1+GeneralInputs!$D$57)</f>
        <v>6286</v>
      </c>
      <c r="Y20" s="206">
        <f ca="1">X20*(1+GeneralInputs!$D$57)</f>
        <v>6286</v>
      </c>
      <c r="Z20" s="206">
        <f ca="1">Y20*(1+GeneralInputs!$D$57)</f>
        <v>6286</v>
      </c>
      <c r="AB20" s="210" t="s">
        <v>2313</v>
      </c>
      <c r="AC20" s="207">
        <f ca="1">MATCH($AB20&amp;"_"&amp;scenLoad,OFFSET(LoadVars!$G$7,1,0,ctLoadVar,1),0)</f>
        <v>25</v>
      </c>
    </row>
    <row r="21" spans="3:29">
      <c r="C21" s="200" t="s">
        <v>807</v>
      </c>
      <c r="E21" s="201">
        <v>0</v>
      </c>
      <c r="F21" s="202">
        <v>0</v>
      </c>
      <c r="G21" s="203">
        <f ca="1">OFFSET(LoadVars!H$7,$AC21,0)</f>
        <v>0</v>
      </c>
      <c r="H21" s="203">
        <f ca="1">OFFSET(LoadVars!I$7,$AC21,0)</f>
        <v>0</v>
      </c>
      <c r="I21" s="203">
        <f ca="1">OFFSET(LoadVars!J$7,$AC21,0)</f>
        <v>194</v>
      </c>
      <c r="J21" s="203">
        <f ca="1">OFFSET(LoadVars!K$7,$AC21,0)</f>
        <v>325</v>
      </c>
      <c r="K21" s="203">
        <f ca="1">OFFSET(LoadVars!L$7,$AC21,0)</f>
        <v>449</v>
      </c>
      <c r="L21" s="203">
        <f ca="1">OFFSET(LoadVars!M$7,$AC21,0)</f>
        <v>604</v>
      </c>
      <c r="M21" s="203">
        <f ca="1">OFFSET(LoadVars!N$7,$AC21,0)</f>
        <v>791</v>
      </c>
      <c r="N21" s="203">
        <f ca="1">OFFSET(LoadVars!O$7,$AC21,0)</f>
        <v>977</v>
      </c>
      <c r="O21" s="203">
        <f ca="1">OFFSET(LoadVars!P$7,$AC21,0)</f>
        <v>1133</v>
      </c>
      <c r="P21" s="204">
        <f ca="1">OFFSET(LoadVars!Q$7,$AC21,0)</f>
        <v>1267</v>
      </c>
      <c r="Q21" s="205">
        <f ca="1">P21*(1+GeneralInputs!$D$57)</f>
        <v>1267</v>
      </c>
      <c r="R21" s="206">
        <f ca="1">Q21*(1+GeneralInputs!$D$57)</f>
        <v>1267</v>
      </c>
      <c r="S21" s="206">
        <f ca="1">R21*(1+GeneralInputs!$D$57)</f>
        <v>1267</v>
      </c>
      <c r="T21" s="206">
        <f ca="1">S21*(1+GeneralInputs!$D$57)</f>
        <v>1267</v>
      </c>
      <c r="U21" s="206">
        <f ca="1">T21*(1+GeneralInputs!$D$57)</f>
        <v>1267</v>
      </c>
      <c r="V21" s="206">
        <f ca="1">U21*(1+GeneralInputs!$D$57)</f>
        <v>1267</v>
      </c>
      <c r="W21" s="206">
        <f ca="1">V21*(1+GeneralInputs!$D$57)</f>
        <v>1267</v>
      </c>
      <c r="X21" s="206">
        <f ca="1">W21*(1+GeneralInputs!$D$57)</f>
        <v>1267</v>
      </c>
      <c r="Y21" s="206">
        <f ca="1">X21*(1+GeneralInputs!$D$57)</f>
        <v>1267</v>
      </c>
      <c r="Z21" s="206">
        <f ca="1">Y21*(1+GeneralInputs!$D$57)</f>
        <v>1267</v>
      </c>
      <c r="AB21" s="210" t="s">
        <v>2314</v>
      </c>
      <c r="AC21" s="207">
        <f ca="1">MATCH($AB21&amp;"_"&amp;scenLoad,OFFSET(LoadVars!$G$7,1,0,ctLoadVar,1),0)</f>
        <v>26</v>
      </c>
    </row>
    <row r="22" spans="3:29">
      <c r="F22" s="188"/>
      <c r="G22" s="198"/>
      <c r="H22" s="198"/>
      <c r="I22" s="198"/>
      <c r="J22" s="198"/>
      <c r="K22" s="198"/>
      <c r="L22" s="198"/>
      <c r="M22" s="198"/>
      <c r="N22" s="198"/>
      <c r="O22" s="198"/>
      <c r="P22" s="199"/>
      <c r="Q22" s="189"/>
    </row>
    <row r="23" spans="3:29">
      <c r="C23" s="185" t="s">
        <v>2315</v>
      </c>
      <c r="F23" s="188"/>
      <c r="P23" s="188"/>
      <c r="Q23" s="189"/>
    </row>
    <row r="24" spans="3:29">
      <c r="C24" s="200" t="s">
        <v>805</v>
      </c>
      <c r="E24" s="201">
        <v>0</v>
      </c>
      <c r="F24" s="202">
        <v>0</v>
      </c>
      <c r="G24" s="203">
        <f ca="1">OFFSET(LoadVars!H$7,$AC24,0)</f>
        <v>301.07070003430459</v>
      </c>
      <c r="H24" s="203">
        <f ca="1">OFFSET(LoadVars!I$7,$AC24,0)</f>
        <v>602.14140006860919</v>
      </c>
      <c r="I24" s="203">
        <f ca="1">OFFSET(LoadVars!J$7,$AC24,0)</f>
        <v>903.21210010291372</v>
      </c>
      <c r="J24" s="203">
        <f ca="1">OFFSET(LoadVars!K$7,$AC24,0)</f>
        <v>1204.2828001372184</v>
      </c>
      <c r="K24" s="203">
        <f ca="1">OFFSET(LoadVars!L$7,$AC24,0)</f>
        <v>1505.3535001715231</v>
      </c>
      <c r="L24" s="203">
        <f ca="1">OFFSET(LoadVars!M$7,$AC24,0)</f>
        <v>1806.4242002058277</v>
      </c>
      <c r="M24" s="203">
        <f ca="1">OFFSET(LoadVars!N$7,$AC24,0)</f>
        <v>2107.4949002401327</v>
      </c>
      <c r="N24" s="203">
        <f ca="1">OFFSET(LoadVars!O$7,$AC24,0)</f>
        <v>2408.5656002744372</v>
      </c>
      <c r="O24" s="203">
        <f ca="1">OFFSET(LoadVars!P$7,$AC24,0)</f>
        <v>2709.6363003087417</v>
      </c>
      <c r="P24" s="204">
        <f ca="1">OFFSET(LoadVars!Q$7,$AC24,0)</f>
        <v>3010.7070003430467</v>
      </c>
      <c r="Q24" s="205">
        <f ca="1">P24*(1+GeneralInputs!$D$59)</f>
        <v>3010.7070003430467</v>
      </c>
      <c r="R24" s="206">
        <f ca="1">Q24*(1+GeneralInputs!$D$59)</f>
        <v>3010.7070003430467</v>
      </c>
      <c r="S24" s="206">
        <f ca="1">R24*(1+GeneralInputs!$D$59)</f>
        <v>3010.7070003430467</v>
      </c>
      <c r="T24" s="206">
        <f ca="1">S24*(1+GeneralInputs!$D$59)</f>
        <v>3010.7070003430467</v>
      </c>
      <c r="U24" s="206">
        <f ca="1">T24*(1+GeneralInputs!$D$59)</f>
        <v>3010.7070003430467</v>
      </c>
      <c r="V24" s="206">
        <f ca="1">U24*(1+GeneralInputs!$D$59)</f>
        <v>3010.7070003430467</v>
      </c>
      <c r="W24" s="206">
        <f ca="1">V24*(1+GeneralInputs!$D$59)</f>
        <v>3010.7070003430467</v>
      </c>
      <c r="X24" s="206">
        <f ca="1">W24*(1+GeneralInputs!$D$59)</f>
        <v>3010.7070003430467</v>
      </c>
      <c r="Y24" s="206">
        <f ca="1">X24*(1+GeneralInputs!$D$59)</f>
        <v>3010.7070003430467</v>
      </c>
      <c r="Z24" s="206">
        <f ca="1">Y24*(1+GeneralInputs!$D$59)</f>
        <v>3010.7070003430467</v>
      </c>
      <c r="AB24" s="186" t="s">
        <v>2316</v>
      </c>
      <c r="AC24" s="207">
        <f ca="1">MATCH($AB24&amp;"_"&amp;scenLoad,OFFSET(LoadVars!$G$7,1,0,ctLoadVar,1),0)</f>
        <v>15</v>
      </c>
    </row>
    <row r="25" spans="3:29">
      <c r="C25" s="200" t="s">
        <v>804</v>
      </c>
      <c r="E25" s="201">
        <v>0</v>
      </c>
      <c r="F25" s="202">
        <v>0</v>
      </c>
      <c r="G25" s="203">
        <f ca="1">OFFSET(LoadVars!H$7,$AC25,0)</f>
        <v>269.64220465705813</v>
      </c>
      <c r="H25" s="203">
        <f ca="1">OFFSET(LoadVars!I$7,$AC25,0)</f>
        <v>539.28440931411626</v>
      </c>
      <c r="I25" s="203">
        <f ca="1">OFFSET(LoadVars!J$7,$AC25,0)</f>
        <v>808.92661397117445</v>
      </c>
      <c r="J25" s="203">
        <f ca="1">OFFSET(LoadVars!K$7,$AC25,0)</f>
        <v>1078.5688186282325</v>
      </c>
      <c r="K25" s="203">
        <f ca="1">OFFSET(LoadVars!L$7,$AC25,0)</f>
        <v>1348.2110232852908</v>
      </c>
      <c r="L25" s="203">
        <f ca="1">OFFSET(LoadVars!M$7,$AC25,0)</f>
        <v>1617.8532279423491</v>
      </c>
      <c r="M25" s="203">
        <f ca="1">OFFSET(LoadVars!N$7,$AC25,0)</f>
        <v>1887.4954325994072</v>
      </c>
      <c r="N25" s="203">
        <f ca="1">OFFSET(LoadVars!O$7,$AC25,0)</f>
        <v>2157.137637256465</v>
      </c>
      <c r="O25" s="203">
        <f ca="1">OFFSET(LoadVars!P$7,$AC25,0)</f>
        <v>2426.7798419135233</v>
      </c>
      <c r="P25" s="204">
        <f ca="1">OFFSET(LoadVars!Q$7,$AC25,0)</f>
        <v>2696.4220465705807</v>
      </c>
      <c r="Q25" s="205">
        <f ca="1">P25*(1+GeneralInputs!$D$59)</f>
        <v>2696.4220465705807</v>
      </c>
      <c r="R25" s="206">
        <f ca="1">Q25*(1+GeneralInputs!$D$59)</f>
        <v>2696.4220465705807</v>
      </c>
      <c r="S25" s="206">
        <f ca="1">R25*(1+GeneralInputs!$D$59)</f>
        <v>2696.4220465705807</v>
      </c>
      <c r="T25" s="206">
        <f ca="1">S25*(1+GeneralInputs!$D$59)</f>
        <v>2696.4220465705807</v>
      </c>
      <c r="U25" s="206">
        <f ca="1">T25*(1+GeneralInputs!$D$59)</f>
        <v>2696.4220465705807</v>
      </c>
      <c r="V25" s="206">
        <f ca="1">U25*(1+GeneralInputs!$D$59)</f>
        <v>2696.4220465705807</v>
      </c>
      <c r="W25" s="206">
        <f ca="1">V25*(1+GeneralInputs!$D$59)</f>
        <v>2696.4220465705807</v>
      </c>
      <c r="X25" s="206">
        <f ca="1">W25*(1+GeneralInputs!$D$59)</f>
        <v>2696.4220465705807</v>
      </c>
      <c r="Y25" s="206">
        <f ca="1">X25*(1+GeneralInputs!$D$59)</f>
        <v>2696.4220465705807</v>
      </c>
      <c r="Z25" s="206">
        <f ca="1">Y25*(1+GeneralInputs!$D$59)</f>
        <v>2696.4220465705807</v>
      </c>
      <c r="AB25" s="186" t="s">
        <v>2317</v>
      </c>
      <c r="AC25" s="207">
        <f ca="1">MATCH($AB25&amp;"_"&amp;scenLoad,OFFSET(LoadVars!$G$7,1,0,ctLoadVar,1),0)</f>
        <v>16</v>
      </c>
    </row>
    <row r="26" spans="3:29">
      <c r="C26" s="200" t="s">
        <v>807</v>
      </c>
      <c r="E26" s="201">
        <v>0</v>
      </c>
      <c r="F26" s="202">
        <v>0</v>
      </c>
      <c r="G26" s="203">
        <f ca="1">OFFSET(LoadVars!H$7,$AC26,0)</f>
        <v>43.57132313663719</v>
      </c>
      <c r="H26" s="203">
        <f ca="1">OFFSET(LoadVars!I$7,$AC26,0)</f>
        <v>87.14264627327438</v>
      </c>
      <c r="I26" s="203">
        <f ca="1">OFFSET(LoadVars!J$7,$AC26,0)</f>
        <v>130.71396940991158</v>
      </c>
      <c r="J26" s="203">
        <f ca="1">OFFSET(LoadVars!K$7,$AC26,0)</f>
        <v>174.28529254654876</v>
      </c>
      <c r="K26" s="203">
        <f ca="1">OFFSET(LoadVars!L$7,$AC26,0)</f>
        <v>217.85661568318594</v>
      </c>
      <c r="L26" s="203">
        <f ca="1">OFFSET(LoadVars!M$7,$AC26,0)</f>
        <v>261.42793881982311</v>
      </c>
      <c r="M26" s="203">
        <f ca="1">OFFSET(LoadVars!N$7,$AC26,0)</f>
        <v>304.99926195646026</v>
      </c>
      <c r="N26" s="203">
        <f ca="1">OFFSET(LoadVars!O$7,$AC26,0)</f>
        <v>348.57058509309746</v>
      </c>
      <c r="O26" s="203">
        <f ca="1">OFFSET(LoadVars!P$7,$AC26,0)</f>
        <v>392.14190822973461</v>
      </c>
      <c r="P26" s="204">
        <f ca="1">OFFSET(LoadVars!Q$7,$AC26,0)</f>
        <v>435.71323136637182</v>
      </c>
      <c r="Q26" s="205">
        <f ca="1">P26*(1+GeneralInputs!$D$59)</f>
        <v>435.71323136637182</v>
      </c>
      <c r="R26" s="206">
        <f ca="1">Q26*(1+GeneralInputs!$D$59)</f>
        <v>435.71323136637182</v>
      </c>
      <c r="S26" s="206">
        <f ca="1">R26*(1+GeneralInputs!$D$59)</f>
        <v>435.71323136637182</v>
      </c>
      <c r="T26" s="206">
        <f ca="1">S26*(1+GeneralInputs!$D$59)</f>
        <v>435.71323136637182</v>
      </c>
      <c r="U26" s="206">
        <f ca="1">T26*(1+GeneralInputs!$D$59)</f>
        <v>435.71323136637182</v>
      </c>
      <c r="V26" s="206">
        <f ca="1">U26*(1+GeneralInputs!$D$59)</f>
        <v>435.71323136637182</v>
      </c>
      <c r="W26" s="206">
        <f ca="1">V26*(1+GeneralInputs!$D$59)</f>
        <v>435.71323136637182</v>
      </c>
      <c r="X26" s="206">
        <f ca="1">W26*(1+GeneralInputs!$D$59)</f>
        <v>435.71323136637182</v>
      </c>
      <c r="Y26" s="206">
        <f ca="1">X26*(1+GeneralInputs!$D$59)</f>
        <v>435.71323136637182</v>
      </c>
      <c r="Z26" s="206">
        <f ca="1">Y26*(1+GeneralInputs!$D$59)</f>
        <v>435.71323136637182</v>
      </c>
      <c r="AB26" s="186" t="s">
        <v>2318</v>
      </c>
      <c r="AC26" s="207">
        <f ca="1">MATCH($AB26&amp;"_"&amp;scenLoad,OFFSET(LoadVars!$G$7,1,0,ctLoadVar,1),0)</f>
        <v>17</v>
      </c>
    </row>
    <row r="27" spans="3:29">
      <c r="F27" s="188"/>
      <c r="G27" s="198"/>
      <c r="H27" s="198"/>
      <c r="I27" s="198"/>
      <c r="J27" s="198"/>
      <c r="K27" s="198"/>
      <c r="L27" s="198"/>
      <c r="M27" s="198"/>
      <c r="N27" s="198"/>
      <c r="O27" s="198"/>
      <c r="P27" s="199"/>
      <c r="Q27" s="189"/>
    </row>
    <row r="28" spans="3:29">
      <c r="C28" s="185" t="s">
        <v>2319</v>
      </c>
      <c r="F28" s="188"/>
      <c r="P28" s="188"/>
      <c r="Q28" s="189"/>
    </row>
    <row r="29" spans="3:29">
      <c r="C29" s="211" t="s">
        <v>805</v>
      </c>
      <c r="E29" s="110">
        <f t="shared" ref="E29:Z31" si="1">E12-E19-E24</f>
        <v>85458.880000000005</v>
      </c>
      <c r="F29" s="208">
        <f t="shared" si="1"/>
        <v>85705.06</v>
      </c>
      <c r="G29" s="110">
        <f t="shared" ca="1" si="1"/>
        <v>86380.969299965684</v>
      </c>
      <c r="H29" s="110">
        <f t="shared" ca="1" si="1"/>
        <v>87279.608599931395</v>
      </c>
      <c r="I29" s="110">
        <f t="shared" ca="1" si="1"/>
        <v>86915.607899897092</v>
      </c>
      <c r="J29" s="110">
        <f t="shared" ca="1" si="1"/>
        <v>87006.747199862773</v>
      </c>
      <c r="K29" s="110">
        <f t="shared" ca="1" si="1"/>
        <v>87135.196499828482</v>
      </c>
      <c r="L29" s="110">
        <f t="shared" ca="1" si="1"/>
        <v>87141.155799794171</v>
      </c>
      <c r="M29" s="110">
        <f t="shared" ca="1" si="1"/>
        <v>87116.425099759872</v>
      </c>
      <c r="N29" s="110">
        <f t="shared" ca="1" si="1"/>
        <v>87041.954399725568</v>
      </c>
      <c r="O29" s="110">
        <f t="shared" ca="1" si="1"/>
        <v>87123.993699691258</v>
      </c>
      <c r="P29" s="208">
        <f t="shared" ca="1" si="1"/>
        <v>87387.542999656958</v>
      </c>
      <c r="Q29" s="209">
        <f t="shared" ca="1" si="1"/>
        <v>88595.196124656955</v>
      </c>
      <c r="R29" s="110">
        <f t="shared" ca="1" si="1"/>
        <v>89817.944913719446</v>
      </c>
      <c r="S29" s="110">
        <f t="shared" ca="1" si="1"/>
        <v>91055.978062645227</v>
      </c>
      <c r="T29" s="110">
        <f t="shared" ca="1" si="1"/>
        <v>92309.486625932579</v>
      </c>
      <c r="U29" s="110">
        <f t="shared" ca="1" si="1"/>
        <v>93578.664046261023</v>
      </c>
      <c r="V29" s="110">
        <f t="shared" ca="1" si="1"/>
        <v>94863.706184343566</v>
      </c>
      <c r="W29" s="110">
        <f t="shared" ca="1" si="1"/>
        <v>96164.811349152151</v>
      </c>
      <c r="X29" s="110">
        <f t="shared" ca="1" si="1"/>
        <v>97482.18032852083</v>
      </c>
      <c r="Y29" s="110">
        <f t="shared" ca="1" si="1"/>
        <v>98816.016420131622</v>
      </c>
      <c r="Z29" s="110">
        <f t="shared" ca="1" si="1"/>
        <v>100166.52546288756</v>
      </c>
    </row>
    <row r="30" spans="3:29">
      <c r="C30" s="211" t="s">
        <v>804</v>
      </c>
      <c r="E30" s="110">
        <f t="shared" si="1"/>
        <v>86376.87</v>
      </c>
      <c r="F30" s="208">
        <f t="shared" si="1"/>
        <v>86442.22</v>
      </c>
      <c r="G30" s="110">
        <f t="shared" ca="1" si="1"/>
        <v>87050.037795342942</v>
      </c>
      <c r="H30" s="110">
        <f t="shared" ca="1" si="1"/>
        <v>87945.825590685883</v>
      </c>
      <c r="I30" s="110">
        <f t="shared" ca="1" si="1"/>
        <v>88037.563386028836</v>
      </c>
      <c r="J30" s="110">
        <f t="shared" ca="1" si="1"/>
        <v>88206.831181371759</v>
      </c>
      <c r="K30" s="110">
        <f t="shared" ca="1" si="1"/>
        <v>88448.408976714709</v>
      </c>
      <c r="L30" s="110">
        <f t="shared" ca="1" si="1"/>
        <v>88578.316772057646</v>
      </c>
      <c r="M30" s="110">
        <f t="shared" ca="1" si="1"/>
        <v>88626.164567400599</v>
      </c>
      <c r="N30" s="110">
        <f t="shared" ca="1" si="1"/>
        <v>88621.142362743529</v>
      </c>
      <c r="O30" s="110">
        <f t="shared" ca="1" si="1"/>
        <v>88749.260158086472</v>
      </c>
      <c r="P30" s="208">
        <f t="shared" ca="1" si="1"/>
        <v>89012.907953429414</v>
      </c>
      <c r="Q30" s="209">
        <f t="shared" ca="1" si="1"/>
        <v>90237.849578429406</v>
      </c>
      <c r="R30" s="110">
        <f t="shared" ca="1" si="1"/>
        <v>91478.102973741901</v>
      </c>
      <c r="S30" s="110">
        <f t="shared" ca="1" si="1"/>
        <v>92733.859536495802</v>
      </c>
      <c r="T30" s="110">
        <f t="shared" ca="1" si="1"/>
        <v>94005.313056284125</v>
      </c>
      <c r="U30" s="110">
        <f t="shared" ca="1" si="1"/>
        <v>95292.659745069803</v>
      </c>
      <c r="V30" s="110">
        <f t="shared" ca="1" si="1"/>
        <v>96596.098267465306</v>
      </c>
      <c r="W30" s="110">
        <f t="shared" ca="1" si="1"/>
        <v>97915.829771390752</v>
      </c>
      <c r="X30" s="110">
        <f t="shared" ca="1" si="1"/>
        <v>99252.057919115265</v>
      </c>
      <c r="Y30" s="110">
        <f t="shared" ca="1" si="1"/>
        <v>100604.98891868633</v>
      </c>
      <c r="Z30" s="110">
        <f t="shared" ca="1" si="1"/>
        <v>101974.83155575204</v>
      </c>
    </row>
    <row r="31" spans="3:29">
      <c r="C31" s="211" t="s">
        <v>807</v>
      </c>
      <c r="E31" s="110">
        <f t="shared" si="1"/>
        <v>20168.688067473664</v>
      </c>
      <c r="F31" s="208">
        <f t="shared" si="1"/>
        <v>20258.46028259024</v>
      </c>
      <c r="G31" s="110">
        <f t="shared" ca="1" si="1"/>
        <v>20444.504095991379</v>
      </c>
      <c r="H31" s="110">
        <f t="shared" ca="1" si="1"/>
        <v>20721.543114816017</v>
      </c>
      <c r="I31" s="110">
        <f t="shared" ca="1" si="1"/>
        <v>20854.180194875305</v>
      </c>
      <c r="J31" s="110">
        <f t="shared" ca="1" si="1"/>
        <v>20957.71059788272</v>
      </c>
      <c r="K31" s="110">
        <f t="shared" ca="1" si="1"/>
        <v>21074.756071748579</v>
      </c>
      <c r="L31" s="110">
        <f t="shared" ca="1" si="1"/>
        <v>21131.237179788575</v>
      </c>
      <c r="M31" s="110">
        <f t="shared" ca="1" si="1"/>
        <v>21169.957930781791</v>
      </c>
      <c r="N31" s="110">
        <f t="shared" ca="1" si="1"/>
        <v>21206.750261658628</v>
      </c>
      <c r="O31" s="110">
        <f t="shared" ca="1" si="1"/>
        <v>21291.260066657589</v>
      </c>
      <c r="P31" s="208">
        <f t="shared" ca="1" si="1"/>
        <v>21399.587277220711</v>
      </c>
      <c r="Q31" s="209">
        <f t="shared" ca="1" si="1"/>
        <v>21688.366033578048</v>
      </c>
      <c r="R31" s="110">
        <f t="shared" ca="1" si="1"/>
        <v>21980.754524389853</v>
      </c>
      <c r="S31" s="110">
        <f t="shared" ca="1" si="1"/>
        <v>22276.797871336807</v>
      </c>
      <c r="T31" s="110">
        <f t="shared" ca="1" si="1"/>
        <v>22576.541760120595</v>
      </c>
      <c r="U31" s="110">
        <f t="shared" ca="1" si="1"/>
        <v>22880.032447514182</v>
      </c>
      <c r="V31" s="110">
        <f t="shared" ca="1" si="1"/>
        <v>23187.31676850019</v>
      </c>
      <c r="W31" s="110">
        <f t="shared" ca="1" si="1"/>
        <v>23498.44214349852</v>
      </c>
      <c r="X31" s="110">
        <f t="shared" ca="1" si="1"/>
        <v>23813.456585684329</v>
      </c>
      <c r="Y31" s="110">
        <f t="shared" ca="1" si="1"/>
        <v>24132.408708397463</v>
      </c>
      <c r="Z31" s="110">
        <f t="shared" ca="1" si="1"/>
        <v>24455.34773264451</v>
      </c>
    </row>
    <row r="32" spans="3:29">
      <c r="C32" s="212" t="s">
        <v>2320</v>
      </c>
      <c r="E32" s="198">
        <f>SUM(E29:E31)</f>
        <v>192004.43806747367</v>
      </c>
      <c r="F32" s="199">
        <f>SUM(F29:F31)</f>
        <v>192405.74028259024</v>
      </c>
      <c r="G32" s="198">
        <f ca="1">SUM(G29:G31)</f>
        <v>193875.5111913</v>
      </c>
      <c r="H32" s="198">
        <f t="shared" ref="H32:Z32" ca="1" si="2">SUM(H29:H31)</f>
        <v>195946.97730543331</v>
      </c>
      <c r="I32" s="198">
        <f t="shared" ca="1" si="2"/>
        <v>195807.35148080124</v>
      </c>
      <c r="J32" s="198">
        <f t="shared" ca="1" si="2"/>
        <v>196171.28897911726</v>
      </c>
      <c r="K32" s="198">
        <f t="shared" ca="1" si="2"/>
        <v>196658.36154829178</v>
      </c>
      <c r="L32" s="198">
        <f t="shared" ca="1" si="2"/>
        <v>196850.70975164039</v>
      </c>
      <c r="M32" s="198">
        <f t="shared" ca="1" si="2"/>
        <v>196912.54759794226</v>
      </c>
      <c r="N32" s="198">
        <f t="shared" ca="1" si="2"/>
        <v>196869.84702412772</v>
      </c>
      <c r="O32" s="198">
        <f t="shared" ca="1" si="2"/>
        <v>197164.51392443533</v>
      </c>
      <c r="P32" s="199">
        <f t="shared" ca="1" si="2"/>
        <v>197800.03823030708</v>
      </c>
      <c r="Q32" s="213">
        <f t="shared" ca="1" si="2"/>
        <v>200521.41173666442</v>
      </c>
      <c r="R32" s="198">
        <f t="shared" ca="1" si="2"/>
        <v>203276.80241185121</v>
      </c>
      <c r="S32" s="198">
        <f t="shared" ca="1" si="2"/>
        <v>206066.63547047784</v>
      </c>
      <c r="T32" s="198">
        <f t="shared" ca="1" si="2"/>
        <v>208891.34144233732</v>
      </c>
      <c r="U32" s="198">
        <f t="shared" ca="1" si="2"/>
        <v>211751.35623884501</v>
      </c>
      <c r="V32" s="198">
        <f t="shared" ca="1" si="2"/>
        <v>214647.12122030905</v>
      </c>
      <c r="W32" s="198">
        <f t="shared" ca="1" si="2"/>
        <v>217579.0832640414</v>
      </c>
      <c r="X32" s="198">
        <f t="shared" ca="1" si="2"/>
        <v>220547.69483332042</v>
      </c>
      <c r="Y32" s="198">
        <f t="shared" ca="1" si="2"/>
        <v>223553.41404721542</v>
      </c>
      <c r="Z32" s="198">
        <f t="shared" ca="1" si="2"/>
        <v>226596.70475128409</v>
      </c>
    </row>
    <row r="33" spans="1:29">
      <c r="C33" s="212"/>
      <c r="F33" s="188"/>
      <c r="G33" s="198"/>
      <c r="H33" s="198"/>
      <c r="I33" s="198"/>
      <c r="J33" s="198"/>
      <c r="K33" s="198"/>
      <c r="L33" s="198"/>
      <c r="M33" s="198"/>
      <c r="N33" s="198"/>
      <c r="O33" s="198"/>
      <c r="P33" s="199"/>
      <c r="Q33" s="213"/>
      <c r="R33" s="198"/>
      <c r="S33" s="198"/>
      <c r="T33" s="198"/>
      <c r="U33" s="198"/>
      <c r="V33" s="198"/>
      <c r="W33" s="198"/>
      <c r="X33" s="198"/>
      <c r="Y33" s="198"/>
      <c r="Z33" s="198"/>
    </row>
    <row r="34" spans="1:29">
      <c r="C34" s="185" t="s">
        <v>2321</v>
      </c>
      <c r="F34" s="188"/>
      <c r="G34" s="198"/>
      <c r="H34" s="198"/>
      <c r="I34" s="198"/>
      <c r="J34" s="198"/>
      <c r="K34" s="198"/>
      <c r="L34" s="198"/>
      <c r="M34" s="198"/>
      <c r="N34" s="198"/>
      <c r="O34" s="198"/>
      <c r="P34" s="199"/>
      <c r="Q34" s="214"/>
      <c r="R34" s="198"/>
      <c r="S34" s="198"/>
      <c r="T34" s="198"/>
      <c r="U34" s="198"/>
      <c r="V34" s="198"/>
      <c r="W34" s="198"/>
      <c r="X34" s="198"/>
      <c r="Y34" s="198"/>
      <c r="Z34" s="198"/>
    </row>
    <row r="35" spans="1:29">
      <c r="C35" s="211" t="s">
        <v>2322</v>
      </c>
      <c r="E35" s="110">
        <f>E32</f>
        <v>192004.43806747367</v>
      </c>
      <c r="F35" s="208">
        <f>F32</f>
        <v>192405.74028259024</v>
      </c>
      <c r="G35" s="198">
        <f ca="1">G32</f>
        <v>193875.5111913</v>
      </c>
      <c r="H35" s="198">
        <f t="shared" ref="H35:Z35" ca="1" si="3">H32</f>
        <v>195946.97730543331</v>
      </c>
      <c r="I35" s="198">
        <f t="shared" ca="1" si="3"/>
        <v>195807.35148080124</v>
      </c>
      <c r="J35" s="198">
        <f t="shared" ca="1" si="3"/>
        <v>196171.28897911726</v>
      </c>
      <c r="K35" s="198">
        <f t="shared" ca="1" si="3"/>
        <v>196658.36154829178</v>
      </c>
      <c r="L35" s="198">
        <f t="shared" ca="1" si="3"/>
        <v>196850.70975164039</v>
      </c>
      <c r="M35" s="198">
        <f t="shared" ca="1" si="3"/>
        <v>196912.54759794226</v>
      </c>
      <c r="N35" s="198">
        <f t="shared" ca="1" si="3"/>
        <v>196869.84702412772</v>
      </c>
      <c r="O35" s="198">
        <f t="shared" ca="1" si="3"/>
        <v>197164.51392443533</v>
      </c>
      <c r="P35" s="199">
        <f t="shared" ca="1" si="3"/>
        <v>197800.03823030708</v>
      </c>
      <c r="Q35" s="213">
        <f t="shared" ca="1" si="3"/>
        <v>200521.41173666442</v>
      </c>
      <c r="R35" s="198">
        <f t="shared" ca="1" si="3"/>
        <v>203276.80241185121</v>
      </c>
      <c r="S35" s="198">
        <f t="shared" ca="1" si="3"/>
        <v>206066.63547047784</v>
      </c>
      <c r="T35" s="198">
        <f t="shared" ca="1" si="3"/>
        <v>208891.34144233732</v>
      </c>
      <c r="U35" s="198">
        <f t="shared" ca="1" si="3"/>
        <v>211751.35623884501</v>
      </c>
      <c r="V35" s="198">
        <f t="shared" ca="1" si="3"/>
        <v>214647.12122030905</v>
      </c>
      <c r="W35" s="198">
        <f t="shared" ca="1" si="3"/>
        <v>217579.0832640414</v>
      </c>
      <c r="X35" s="198">
        <f t="shared" ca="1" si="3"/>
        <v>220547.69483332042</v>
      </c>
      <c r="Y35" s="198">
        <f t="shared" ca="1" si="3"/>
        <v>223553.41404721542</v>
      </c>
      <c r="Z35" s="198">
        <f t="shared" ca="1" si="3"/>
        <v>226596.70475128409</v>
      </c>
    </row>
    <row r="36" spans="1:29">
      <c r="C36" s="211" t="s">
        <v>2309</v>
      </c>
      <c r="E36" s="110">
        <f t="shared" ref="E36:Z36" si="4">E16-SUM(E19:E21,E24:E26)</f>
        <v>206953.1950674736</v>
      </c>
      <c r="F36" s="208">
        <f t="shared" si="4"/>
        <v>207398.36875259024</v>
      </c>
      <c r="G36" s="110">
        <f t="shared" ca="1" si="4"/>
        <v>209046.54004600004</v>
      </c>
      <c r="H36" s="110">
        <f t="shared" ca="1" si="4"/>
        <v>211362.0755486803</v>
      </c>
      <c r="I36" s="110">
        <f t="shared" ca="1" si="4"/>
        <v>211449.06820648065</v>
      </c>
      <c r="J36" s="110">
        <f t="shared" ca="1" si="4"/>
        <v>211966.34337205352</v>
      </c>
      <c r="K36" s="110">
        <f t="shared" ca="1" si="4"/>
        <v>212614.6728851574</v>
      </c>
      <c r="L36" s="110">
        <f t="shared" ca="1" si="4"/>
        <v>212973.46740187469</v>
      </c>
      <c r="M36" s="110">
        <f t="shared" ca="1" si="4"/>
        <v>213206.97102467887</v>
      </c>
      <c r="N36" s="110">
        <f t="shared" ca="1" si="4"/>
        <v>213321.34578513165</v>
      </c>
      <c r="O36" s="110">
        <f t="shared" ca="1" si="4"/>
        <v>213772.37767304934</v>
      </c>
      <c r="P36" s="208">
        <f t="shared" ca="1" si="4"/>
        <v>214569.28671640722</v>
      </c>
      <c r="Q36" s="209">
        <f t="shared" ca="1" si="4"/>
        <v>217500.27582884079</v>
      </c>
      <c r="R36" s="110">
        <f t="shared" ca="1" si="4"/>
        <v>220467.9023051798</v>
      </c>
      <c r="S36" s="110">
        <f t="shared" ca="1" si="4"/>
        <v>223472.62411247304</v>
      </c>
      <c r="T36" s="110">
        <f t="shared" ca="1" si="4"/>
        <v>226514.90494235745</v>
      </c>
      <c r="U36" s="110">
        <f t="shared" ca="1" si="4"/>
        <v>229595.2142826154</v>
      </c>
      <c r="V36" s="110">
        <f t="shared" ca="1" si="4"/>
        <v>232714.02748962658</v>
      </c>
      <c r="W36" s="110">
        <f t="shared" ca="1" si="4"/>
        <v>235871.8258617254</v>
      </c>
      <c r="X36" s="110">
        <f t="shared" ca="1" si="4"/>
        <v>239069.09671347545</v>
      </c>
      <c r="Y36" s="110">
        <f t="shared" ca="1" si="4"/>
        <v>242306.33345087239</v>
      </c>
      <c r="Z36" s="110">
        <f t="shared" ca="1" si="4"/>
        <v>245584.0356474868</v>
      </c>
    </row>
    <row r="37" spans="1:29">
      <c r="C37" s="212" t="s">
        <v>2323</v>
      </c>
      <c r="E37" s="215">
        <f>E35/E36</f>
        <v>0.9277674500501133</v>
      </c>
      <c r="F37" s="216">
        <f>F35/F36</f>
        <v>0.92771096243343643</v>
      </c>
      <c r="G37" s="215">
        <f ca="1">G35/G36</f>
        <v>0.92742750561017795</v>
      </c>
      <c r="H37" s="215">
        <f t="shared" ref="H37:Z37" ca="1" si="5">H35/H36</f>
        <v>0.92706781382974912</v>
      </c>
      <c r="I37" s="215">
        <f t="shared" ca="1" si="5"/>
        <v>0.92602607872263021</v>
      </c>
      <c r="J37" s="215">
        <f t="shared" ca="1" si="5"/>
        <v>0.92548319633361786</v>
      </c>
      <c r="K37" s="215">
        <f t="shared" ca="1" si="5"/>
        <v>0.92495197476100655</v>
      </c>
      <c r="L37" s="215">
        <f t="shared" ca="1" si="5"/>
        <v>0.92429687206148015</v>
      </c>
      <c r="M37" s="215">
        <f t="shared" ca="1" si="5"/>
        <v>0.92357462165319859</v>
      </c>
      <c r="N37" s="215">
        <f t="shared" ca="1" si="5"/>
        <v>0.92287926601787551</v>
      </c>
      <c r="O37" s="215">
        <f t="shared" ca="1" si="5"/>
        <v>0.92231052519790635</v>
      </c>
      <c r="P37" s="216">
        <f t="shared" ca="1" si="5"/>
        <v>0.92184692999299667</v>
      </c>
      <c r="Q37" s="214">
        <f t="shared" ca="1" si="5"/>
        <v>0.92193635604610591</v>
      </c>
      <c r="R37" s="215">
        <f t="shared" ca="1" si="5"/>
        <v>0.92202447742469085</v>
      </c>
      <c r="S37" s="215">
        <f t="shared" ca="1" si="5"/>
        <v>0.92211131582168726</v>
      </c>
      <c r="T37" s="215">
        <f t="shared" ca="1" si="5"/>
        <v>0.92219689249806802</v>
      </c>
      <c r="U37" s="215">
        <f t="shared" ca="1" si="5"/>
        <v>0.92228122829334813</v>
      </c>
      <c r="V37" s="215">
        <f t="shared" ca="1" si="5"/>
        <v>0.92236434363578335</v>
      </c>
      <c r="W37" s="215">
        <f t="shared" ca="1" si="5"/>
        <v>0.92244625855227103</v>
      </c>
      <c r="X37" s="215">
        <f t="shared" ca="1" si="5"/>
        <v>0.92252699267796645</v>
      </c>
      <c r="Y37" s="215">
        <f t="shared" ca="1" si="5"/>
        <v>0.92260656526562013</v>
      </c>
      <c r="Z37" s="215">
        <f t="shared" ca="1" si="5"/>
        <v>0.92268499519464997</v>
      </c>
    </row>
    <row r="38" spans="1:29">
      <c r="F38" s="188"/>
      <c r="G38" s="198"/>
      <c r="H38" s="198"/>
      <c r="I38" s="198"/>
      <c r="J38" s="198"/>
      <c r="K38" s="198"/>
      <c r="L38" s="198"/>
      <c r="M38" s="198"/>
      <c r="N38" s="198"/>
      <c r="O38" s="198"/>
      <c r="P38" s="199"/>
      <c r="Q38" s="213"/>
      <c r="R38" s="198"/>
      <c r="S38" s="198"/>
      <c r="T38" s="198"/>
      <c r="U38" s="198"/>
      <c r="V38" s="198"/>
      <c r="W38" s="198"/>
      <c r="X38" s="198"/>
      <c r="Y38" s="198"/>
      <c r="Z38" s="198"/>
    </row>
    <row r="39" spans="1:29">
      <c r="A39" s="194"/>
      <c r="B39" s="195" t="s">
        <v>2324</v>
      </c>
      <c r="C39" s="194"/>
      <c r="D39" s="194"/>
      <c r="E39" s="194"/>
      <c r="F39" s="196"/>
      <c r="G39" s="194"/>
      <c r="H39" s="194"/>
      <c r="I39" s="194"/>
      <c r="J39" s="194"/>
      <c r="K39" s="194"/>
      <c r="L39" s="194"/>
      <c r="M39" s="194"/>
      <c r="N39" s="194"/>
      <c r="O39" s="194"/>
      <c r="P39" s="196"/>
      <c r="Q39" s="197"/>
      <c r="R39" s="194"/>
      <c r="S39" s="194"/>
      <c r="T39" s="194"/>
      <c r="U39" s="194"/>
      <c r="V39" s="194"/>
      <c r="W39" s="194"/>
      <c r="X39" s="194"/>
      <c r="Y39" s="194"/>
      <c r="Z39" s="194"/>
      <c r="AA39" s="194"/>
      <c r="AB39" s="194"/>
      <c r="AC39" s="194"/>
    </row>
    <row r="40" spans="1:29">
      <c r="F40" s="188"/>
      <c r="P40" s="188"/>
      <c r="Q40" s="189"/>
    </row>
    <row r="41" spans="1:29">
      <c r="C41" s="185" t="s">
        <v>2172</v>
      </c>
      <c r="F41" s="188"/>
      <c r="G41" s="177">
        <f ca="1">OFFSET(YearlyInputs!E$4,$AC41,0)</f>
        <v>0.2</v>
      </c>
      <c r="H41" s="177">
        <f ca="1">OFFSET(YearlyInputs!F$4,$AC41,0)</f>
        <v>0.2</v>
      </c>
      <c r="I41" s="177">
        <f ca="1">OFFSET(YearlyInputs!G$4,$AC41,0)</f>
        <v>0.2</v>
      </c>
      <c r="J41" s="177">
        <f ca="1">OFFSET(YearlyInputs!H$4,$AC41,0)</f>
        <v>0.21666666666666667</v>
      </c>
      <c r="K41" s="177">
        <f ca="1">OFFSET(YearlyInputs!I$4,$AC41,0)</f>
        <v>0.23333333333333334</v>
      </c>
      <c r="L41" s="177">
        <f ca="1">OFFSET(YearlyInputs!J$4,$AC41,0)</f>
        <v>0.25</v>
      </c>
      <c r="M41" s="177">
        <f ca="1">OFFSET(YearlyInputs!K$4,$AC41,0)</f>
        <v>0.27</v>
      </c>
      <c r="N41" s="177">
        <f ca="1">OFFSET(YearlyInputs!L$4,$AC41,0)</f>
        <v>0.28999999999999998</v>
      </c>
      <c r="O41" s="177">
        <f ca="1">OFFSET(YearlyInputs!M$4,$AC41,0)</f>
        <v>0.31</v>
      </c>
      <c r="P41" s="217">
        <f ca="1">OFFSET(YearlyInputs!N$4,$AC41,0)</f>
        <v>0.33</v>
      </c>
      <c r="Q41" s="218">
        <f ca="1">OFFSET(YearlyInputs!O$4,$AC41,0)</f>
        <v>0.33</v>
      </c>
      <c r="R41" s="177">
        <f ca="1">OFFSET(YearlyInputs!P$4,$AC41,0)</f>
        <v>0.33</v>
      </c>
      <c r="S41" s="177">
        <f ca="1">OFFSET(YearlyInputs!Q$4,$AC41,0)</f>
        <v>0.33</v>
      </c>
      <c r="T41" s="177">
        <f ca="1">OFFSET(YearlyInputs!R$4,$AC41,0)</f>
        <v>0.33</v>
      </c>
      <c r="U41" s="177">
        <f ca="1">OFFSET(YearlyInputs!S$4,$AC41,0)</f>
        <v>0.33</v>
      </c>
      <c r="V41" s="177">
        <f ca="1">OFFSET(YearlyInputs!T$4,$AC41,0)</f>
        <v>0.33</v>
      </c>
      <c r="W41" s="177">
        <f ca="1">OFFSET(YearlyInputs!U$4,$AC41,0)</f>
        <v>0.33</v>
      </c>
      <c r="X41" s="177">
        <f ca="1">OFFSET(YearlyInputs!V$4,$AC41,0)</f>
        <v>0.33</v>
      </c>
      <c r="Y41" s="177">
        <f ca="1">OFFSET(YearlyInputs!W$4,$AC41,0)</f>
        <v>0.33</v>
      </c>
      <c r="Z41" s="177">
        <f ca="1">OFFSET(YearlyInputs!X$4,$AC41,0)</f>
        <v>0.33</v>
      </c>
      <c r="AB41" s="186" t="s">
        <v>2325</v>
      </c>
      <c r="AC41" s="207">
        <f ca="1">MATCH($AB41&amp;"_"&amp;scenario,OFFSET(YearlyInputs!$C$4,1,0,ctVars,1),0)</f>
        <v>1</v>
      </c>
    </row>
    <row r="42" spans="1:29">
      <c r="C42" s="185" t="s">
        <v>2326</v>
      </c>
      <c r="F42" s="188"/>
      <c r="G42" s="219">
        <f ca="1">OFFSET(YearlyInputs!E$4,$AC42,0)</f>
        <v>1</v>
      </c>
      <c r="H42" s="219">
        <f ca="1">OFFSET(YearlyInputs!F$4,$AC42,0)</f>
        <v>1</v>
      </c>
      <c r="I42" s="219">
        <f ca="1">OFFSET(YearlyInputs!G$4,$AC42,0)</f>
        <v>1</v>
      </c>
      <c r="J42" s="219">
        <f ca="1">OFFSET(YearlyInputs!H$4,$AC42,0)</f>
        <v>1</v>
      </c>
      <c r="K42" s="219">
        <f ca="1">OFFSET(YearlyInputs!I$4,$AC42,0)</f>
        <v>1</v>
      </c>
      <c r="L42" s="219">
        <f ca="1">OFFSET(YearlyInputs!J$4,$AC42,0)</f>
        <v>1</v>
      </c>
      <c r="M42" s="219">
        <f ca="1">OFFSET(YearlyInputs!K$4,$AC42,0)</f>
        <v>1</v>
      </c>
      <c r="N42" s="219">
        <f ca="1">OFFSET(YearlyInputs!L$4,$AC42,0)</f>
        <v>1</v>
      </c>
      <c r="O42" s="219">
        <f ca="1">OFFSET(YearlyInputs!M$4,$AC42,0)</f>
        <v>1</v>
      </c>
      <c r="P42" s="220">
        <f ca="1">OFFSET(YearlyInputs!N$4,$AC42,0)</f>
        <v>1</v>
      </c>
      <c r="Q42" s="221">
        <f ca="1">OFFSET(YearlyInputs!O$4,$AC42,0)</f>
        <v>1</v>
      </c>
      <c r="R42" s="219">
        <f ca="1">OFFSET(YearlyInputs!P$4,$AC42,0)</f>
        <v>1</v>
      </c>
      <c r="S42" s="219">
        <f ca="1">OFFSET(YearlyInputs!Q$4,$AC42,0)</f>
        <v>1</v>
      </c>
      <c r="T42" s="219">
        <f ca="1">OFFSET(YearlyInputs!R$4,$AC42,0)</f>
        <v>1</v>
      </c>
      <c r="U42" s="219">
        <f ca="1">OFFSET(YearlyInputs!S$4,$AC42,0)</f>
        <v>1</v>
      </c>
      <c r="V42" s="219">
        <f ca="1">OFFSET(YearlyInputs!T$4,$AC42,0)</f>
        <v>1</v>
      </c>
      <c r="W42" s="219">
        <f ca="1">OFFSET(YearlyInputs!U$4,$AC42,0)</f>
        <v>1</v>
      </c>
      <c r="X42" s="219">
        <f ca="1">OFFSET(YearlyInputs!V$4,$AC42,0)</f>
        <v>1</v>
      </c>
      <c r="Y42" s="219">
        <f ca="1">OFFSET(YearlyInputs!W$4,$AC42,0)</f>
        <v>1</v>
      </c>
      <c r="Z42" s="219">
        <f ca="1">OFFSET(YearlyInputs!X$4,$AC42,0)</f>
        <v>1</v>
      </c>
      <c r="AB42" s="186" t="s">
        <v>2327</v>
      </c>
      <c r="AC42" s="207">
        <f ca="1">MATCH($AB42&amp;"_"&amp;scenario,OFFSET(YearlyInputs!$C$4,1,0,ctVars,1),0)</f>
        <v>14</v>
      </c>
    </row>
    <row r="43" spans="1:29">
      <c r="F43" s="188"/>
      <c r="P43" s="188"/>
      <c r="Q43" s="189"/>
    </row>
    <row r="44" spans="1:29">
      <c r="C44" s="185" t="s">
        <v>2173</v>
      </c>
      <c r="F44" s="188"/>
      <c r="P44" s="188"/>
      <c r="Q44" s="189"/>
    </row>
    <row r="45" spans="1:29">
      <c r="C45" s="211" t="s">
        <v>2174</v>
      </c>
      <c r="F45" s="188"/>
      <c r="G45" s="110">
        <f t="shared" ref="G45:Z45" ca="1" si="6">G32*G$41</f>
        <v>38775.102238259999</v>
      </c>
      <c r="H45" s="110">
        <f t="shared" ca="1" si="6"/>
        <v>39189.395461086664</v>
      </c>
      <c r="I45" s="110">
        <f t="shared" ca="1" si="6"/>
        <v>39161.470296160252</v>
      </c>
      <c r="J45" s="110">
        <f t="shared" ca="1" si="6"/>
        <v>42503.779278808739</v>
      </c>
      <c r="K45" s="110">
        <f t="shared" ca="1" si="6"/>
        <v>45886.951027934752</v>
      </c>
      <c r="L45" s="110">
        <f t="shared" ca="1" si="6"/>
        <v>49212.677437910097</v>
      </c>
      <c r="M45" s="110">
        <f t="shared" ca="1" si="6"/>
        <v>53166.387851444415</v>
      </c>
      <c r="N45" s="110">
        <f t="shared" ca="1" si="6"/>
        <v>57092.255636997033</v>
      </c>
      <c r="O45" s="110">
        <f t="shared" ca="1" si="6"/>
        <v>61120.999316574955</v>
      </c>
      <c r="P45" s="208">
        <f t="shared" ca="1" si="6"/>
        <v>65274.012616001339</v>
      </c>
      <c r="Q45" s="209">
        <f t="shared" ca="1" si="6"/>
        <v>66172.065873099258</v>
      </c>
      <c r="R45" s="110">
        <f t="shared" ca="1" si="6"/>
        <v>67081.344795910903</v>
      </c>
      <c r="S45" s="110">
        <f t="shared" ca="1" si="6"/>
        <v>68001.989705257685</v>
      </c>
      <c r="T45" s="110">
        <f t="shared" ca="1" si="6"/>
        <v>68934.142675971321</v>
      </c>
      <c r="U45" s="110">
        <f t="shared" ca="1" si="6"/>
        <v>69877.947558818851</v>
      </c>
      <c r="V45" s="110">
        <f t="shared" ca="1" si="6"/>
        <v>70833.550002701988</v>
      </c>
      <c r="W45" s="110">
        <f t="shared" ca="1" si="6"/>
        <v>71801.097477133662</v>
      </c>
      <c r="X45" s="110">
        <f t="shared" ca="1" si="6"/>
        <v>72780.739294995743</v>
      </c>
      <c r="Y45" s="110">
        <f t="shared" ca="1" si="6"/>
        <v>73772.626635581095</v>
      </c>
      <c r="Z45" s="110">
        <f t="shared" ca="1" si="6"/>
        <v>74776.912567923748</v>
      </c>
    </row>
    <row r="46" spans="1:29">
      <c r="C46" s="211" t="s">
        <v>2175</v>
      </c>
      <c r="F46" s="188"/>
      <c r="G46" s="198">
        <f ca="1">SUM(GeneralInputs!$D$62:$D$69)*G$42</f>
        <v>25203.255000000001</v>
      </c>
      <c r="H46" s="198">
        <f ca="1">SUM(GeneralInputs!$D$62:$D$69)*H$42</f>
        <v>25203.255000000001</v>
      </c>
      <c r="I46" s="198">
        <f ca="1">SUM(GeneralInputs!$D$62:$D$69)*I$42</f>
        <v>25203.255000000001</v>
      </c>
      <c r="J46" s="198">
        <f ca="1">SUM(GeneralInputs!$D$62:$D$69)*J$42</f>
        <v>25203.255000000001</v>
      </c>
      <c r="K46" s="198">
        <f ca="1">SUM(GeneralInputs!$D$62:$D$69)*K$42</f>
        <v>25203.255000000001</v>
      </c>
      <c r="L46" s="198">
        <f ca="1">SUM(GeneralInputs!$D$62:$D$69)*L$42</f>
        <v>25203.255000000001</v>
      </c>
      <c r="M46" s="198">
        <f ca="1">SUM(GeneralInputs!$D$62:$D$69)*M$42</f>
        <v>25203.255000000001</v>
      </c>
      <c r="N46" s="198">
        <f ca="1">SUM(GeneralInputs!$D$62:$D$69)*N$42</f>
        <v>25203.255000000001</v>
      </c>
      <c r="O46" s="198">
        <f ca="1">SUM(GeneralInputs!$D$62:$D$69)*O$42</f>
        <v>25203.255000000001</v>
      </c>
      <c r="P46" s="199">
        <f ca="1">SUM(GeneralInputs!$D$62:$D$69)*P$42</f>
        <v>25203.255000000001</v>
      </c>
      <c r="Q46" s="213">
        <f ca="1">SUM(GeneralInputs!$D$62:$D$69)*Q$42</f>
        <v>25203.255000000001</v>
      </c>
      <c r="R46" s="198">
        <f ca="1">SUM(GeneralInputs!$D$62:$D$69)*R$42</f>
        <v>25203.255000000001</v>
      </c>
      <c r="S46" s="198">
        <f ca="1">SUM(GeneralInputs!$D$62:$D$69)*S$42</f>
        <v>25203.255000000001</v>
      </c>
      <c r="T46" s="198">
        <f ca="1">SUM(GeneralInputs!$D$62:$D$69)*T$42</f>
        <v>25203.255000000001</v>
      </c>
      <c r="U46" s="198">
        <f ca="1">SUM(GeneralInputs!$D$62:$D$69)*U$42</f>
        <v>25203.255000000001</v>
      </c>
      <c r="V46" s="198">
        <f ca="1">SUM(GeneralInputs!$D$62:$D$69)*V$42</f>
        <v>25203.255000000001</v>
      </c>
      <c r="W46" s="198">
        <f ca="1">SUM(GeneralInputs!$D$62:$D$69)*W$42</f>
        <v>25203.255000000001</v>
      </c>
      <c r="X46" s="198">
        <f ca="1">SUM(GeneralInputs!$D$62:$D$69)*X$42</f>
        <v>25203.255000000001</v>
      </c>
      <c r="Y46" s="198">
        <f ca="1">SUM(GeneralInputs!$D$62:$D$69)*Y$42</f>
        <v>25203.255000000001</v>
      </c>
      <c r="Z46" s="198">
        <f ca="1">SUM(GeneralInputs!$D$62:$D$69)*Z$42</f>
        <v>25203.255000000001</v>
      </c>
    </row>
    <row r="47" spans="1:29">
      <c r="C47" s="211" t="s">
        <v>2176</v>
      </c>
      <c r="F47" s="188"/>
      <c r="G47" s="198">
        <f t="array" aca="1" ref="G47" ca="1">SUM(IF(OFFSET(RPS_Scen!$A$11,0,0,ctRPSproj,1)=scenRPS,CHOOSE(OFFSET(RPS_Scen!$I$11,0,0,ctRPSproj,1),RPS_Scen!$D$4,RPS_Scen!$D$5,RPS_Scen!$D$6,RPS_Scen!$D$7)*OFFSET(RPS_Scen!N$11,0,0,ctRPSproj,1)))</f>
        <v>1175.9653886897258</v>
      </c>
      <c r="H47" s="198">
        <f t="array" aca="1" ref="H47" ca="1">SUM(IF(OFFSET(RPS_Scen!$A$11,0,0,ctRPSproj,1)=scenRPS,CHOOSE(OFFSET(RPS_Scen!$I$11,0,0,ctRPSproj,1),RPS_Scen!$D$4,RPS_Scen!$D$5,RPS_Scen!$D$6,RPS_Scen!$D$7)*OFFSET(RPS_Scen!O$11,0,0,ctRPSproj,1)))</f>
        <v>3661.6273325156217</v>
      </c>
      <c r="I47" s="198">
        <f t="array" aca="1" ref="I47" ca="1">SUM(IF(OFFSET(RPS_Scen!$A$11,0,0,ctRPSproj,1)=scenRPS,CHOOSE(OFFSET(RPS_Scen!$I$11,0,0,ctRPSproj,1),RPS_Scen!$D$4,RPS_Scen!$D$5,RPS_Scen!$D$6,RPS_Scen!$D$7)*OFFSET(RPS_Scen!P$11,0,0,ctRPSproj,1)))</f>
        <v>6928.3478274122626</v>
      </c>
      <c r="J47" s="198">
        <f t="array" aca="1" ref="J47" ca="1">SUM(IF(OFFSET(RPS_Scen!$A$11,0,0,ctRPSproj,1)=scenRPS,CHOOSE(OFFSET(RPS_Scen!$I$11,0,0,ctRPSproj,1),RPS_Scen!$D$4,RPS_Scen!$D$5,RPS_Scen!$D$6,RPS_Scen!$D$7)*OFFSET(RPS_Scen!Q$11,0,0,ctRPSproj,1)))</f>
        <v>10803.264263807052</v>
      </c>
      <c r="K47" s="198">
        <f t="array" aca="1" ref="K47" ca="1">SUM(IF(OFFSET(RPS_Scen!$A$11,0,0,ctRPSproj,1)=scenRPS,CHOOSE(OFFSET(RPS_Scen!$I$11,0,0,ctRPSproj,1),RPS_Scen!$D$4,RPS_Scen!$D$5,RPS_Scen!$D$6,RPS_Scen!$D$7)*OFFSET(RPS_Scen!R$11,0,0,ctRPSproj,1)))</f>
        <v>30661.620949028729</v>
      </c>
      <c r="L47" s="198">
        <f t="array" aca="1" ref="L47" ca="1">SUM(IF(OFFSET(RPS_Scen!$A$11,0,0,ctRPSproj,1)=scenRPS,CHOOSE(OFFSET(RPS_Scen!$I$11,0,0,ctRPSproj,1),RPS_Scen!$D$4,RPS_Scen!$D$5,RPS_Scen!$D$6,RPS_Scen!$D$7)*OFFSET(RPS_Scen!S$11,0,0,ctRPSproj,1)))</f>
        <v>33923.546784230784</v>
      </c>
      <c r="M47" s="198">
        <f t="array" aca="1" ref="M47" ca="1">SUM(IF(OFFSET(RPS_Scen!$A$11,0,0,ctRPSproj,1)=scenRPS,CHOOSE(OFFSET(RPS_Scen!$I$11,0,0,ctRPSproj,1),RPS_Scen!$D$4,RPS_Scen!$D$5,RPS_Scen!$D$6,RPS_Scen!$D$7)*OFFSET(RPS_Scen!T$11,0,0,ctRPSproj,1)))</f>
        <v>36871.299235269398</v>
      </c>
      <c r="N47" s="198">
        <f t="array" aca="1" ref="N47" ca="1">SUM(IF(OFFSET(RPS_Scen!$A$11,0,0,ctRPSproj,1)=scenRPS,CHOOSE(OFFSET(RPS_Scen!$I$11,0,0,ctRPSproj,1),RPS_Scen!$D$4,RPS_Scen!$D$5,RPS_Scen!$D$6,RPS_Scen!$D$7)*OFFSET(RPS_Scen!U$11,0,0,ctRPSproj,1)))</f>
        <v>36871.299235269398</v>
      </c>
      <c r="O47" s="198">
        <f t="array" aca="1" ref="O47" ca="1">SUM(IF(OFFSET(RPS_Scen!$A$11,0,0,ctRPSproj,1)=scenRPS,CHOOSE(OFFSET(RPS_Scen!$I$11,0,0,ctRPSproj,1),RPS_Scen!$D$4,RPS_Scen!$D$5,RPS_Scen!$D$6,RPS_Scen!$D$7)*OFFSET(RPS_Scen!V$11,0,0,ctRPSproj,1)))</f>
        <v>40070.757616001341</v>
      </c>
      <c r="P47" s="199">
        <f t="array" aca="1" ref="P47" ca="1">SUM(IF(OFFSET(RPS_Scen!$A$11,0,0,ctRPSproj,1)=scenRPS,CHOOSE(OFFSET(RPS_Scen!$I$11,0,0,ctRPSproj,1),RPS_Scen!$D$4,RPS_Scen!$D$5,RPS_Scen!$D$6,RPS_Scen!$D$7)*OFFSET(RPS_Scen!W$11,0,0,ctRPSproj,1)))</f>
        <v>40070.757616001341</v>
      </c>
      <c r="Q47" s="213">
        <f t="array" aca="1" ref="Q47" ca="1">SUM(IF(OFFSET(RPS_Scen!$A$11,0,0,ctRPSproj,1)=scenRPS,CHOOSE(OFFSET(RPS_Scen!$I$11,0,0,ctRPSproj,1),RPS_Scen!$D$4,RPS_Scen!$D$5,RPS_Scen!$D$6,RPS_Scen!$D$7)*OFFSET(RPS_Scen!X$11,0,0,ctRPSproj,1)))</f>
        <v>40070.757616001341</v>
      </c>
      <c r="R47" s="198">
        <f t="array" aca="1" ref="R47" ca="1">SUM(IF(OFFSET(RPS_Scen!$A$11,0,0,ctRPSproj,1)=scenRPS,CHOOSE(OFFSET(RPS_Scen!$I$11,0,0,ctRPSproj,1),RPS_Scen!$D$4,RPS_Scen!$D$5,RPS_Scen!$D$6,RPS_Scen!$D$7)*OFFSET(RPS_Scen!Y$11,0,0,ctRPSproj,1)))</f>
        <v>40070.757616001341</v>
      </c>
      <c r="S47" s="198">
        <f t="array" aca="1" ref="S47" ca="1">SUM(IF(OFFSET(RPS_Scen!$A$11,0,0,ctRPSproj,1)=scenRPS,CHOOSE(OFFSET(RPS_Scen!$I$11,0,0,ctRPSproj,1),RPS_Scen!$D$4,RPS_Scen!$D$5,RPS_Scen!$D$6,RPS_Scen!$D$7)*OFFSET(RPS_Scen!Z$11,0,0,ctRPSproj,1)))</f>
        <v>40070.757616001341</v>
      </c>
      <c r="T47" s="198">
        <f t="array" aca="1" ref="T47" ca="1">SUM(IF(OFFSET(RPS_Scen!$A$11,0,0,ctRPSproj,1)=scenRPS,CHOOSE(OFFSET(RPS_Scen!$I$11,0,0,ctRPSproj,1),RPS_Scen!$D$4,RPS_Scen!$D$5,RPS_Scen!$D$6,RPS_Scen!$D$7)*OFFSET(RPS_Scen!AA$11,0,0,ctRPSproj,1)))</f>
        <v>40070.757616001341</v>
      </c>
      <c r="U47" s="198">
        <f t="array" aca="1" ref="U47" ca="1">SUM(IF(OFFSET(RPS_Scen!$A$11,0,0,ctRPSproj,1)=scenRPS,CHOOSE(OFFSET(RPS_Scen!$I$11,0,0,ctRPSproj,1),RPS_Scen!$D$4,RPS_Scen!$D$5,RPS_Scen!$D$6,RPS_Scen!$D$7)*OFFSET(RPS_Scen!AB$11,0,0,ctRPSproj,1)))</f>
        <v>40070.757616001341</v>
      </c>
      <c r="V47" s="198">
        <f t="array" aca="1" ref="V47" ca="1">SUM(IF(OFFSET(RPS_Scen!$A$11,0,0,ctRPSproj,1)=scenRPS,CHOOSE(OFFSET(RPS_Scen!$I$11,0,0,ctRPSproj,1),RPS_Scen!$D$4,RPS_Scen!$D$5,RPS_Scen!$D$6,RPS_Scen!$D$7)*OFFSET(RPS_Scen!AC$11,0,0,ctRPSproj,1)))</f>
        <v>40070.757616001341</v>
      </c>
      <c r="W47" s="198">
        <f t="array" aca="1" ref="W47" ca="1">SUM(IF(OFFSET(RPS_Scen!$A$11,0,0,ctRPSproj,1)=scenRPS,CHOOSE(OFFSET(RPS_Scen!$I$11,0,0,ctRPSproj,1),RPS_Scen!$D$4,RPS_Scen!$D$5,RPS_Scen!$D$6,RPS_Scen!$D$7)*OFFSET(RPS_Scen!AD$11,0,0,ctRPSproj,1)))</f>
        <v>40070.757616001341</v>
      </c>
      <c r="X47" s="198">
        <f t="array" aca="1" ref="X47" ca="1">SUM(IF(OFFSET(RPS_Scen!$A$11,0,0,ctRPSproj,1)=scenRPS,CHOOSE(OFFSET(RPS_Scen!$I$11,0,0,ctRPSproj,1),RPS_Scen!$D$4,RPS_Scen!$D$5,RPS_Scen!$D$6,RPS_Scen!$D$7)*OFFSET(RPS_Scen!AE$11,0,0,ctRPSproj,1)))</f>
        <v>40070.757616001341</v>
      </c>
      <c r="Y47" s="198">
        <f t="array" aca="1" ref="Y47" ca="1">SUM(IF(OFFSET(RPS_Scen!$A$11,0,0,ctRPSproj,1)=scenRPS,CHOOSE(OFFSET(RPS_Scen!$I$11,0,0,ctRPSproj,1),RPS_Scen!$D$4,RPS_Scen!$D$5,RPS_Scen!$D$6,RPS_Scen!$D$7)*OFFSET(RPS_Scen!AF$11,0,0,ctRPSproj,1)))</f>
        <v>40070.757616001341</v>
      </c>
      <c r="Z47" s="198">
        <f t="array" aca="1" ref="Z47" ca="1">SUM(IF(OFFSET(RPS_Scen!$A$11,0,0,ctRPSproj,1)=scenRPS,CHOOSE(OFFSET(RPS_Scen!$I$11,0,0,ctRPSproj,1),RPS_Scen!$D$4,RPS_Scen!$D$5,RPS_Scen!$D$6,RPS_Scen!$D$7)*OFFSET(RPS_Scen!AG$11,0,0,ctRPSproj,1)))</f>
        <v>40070.757616001341</v>
      </c>
    </row>
    <row r="48" spans="1:29">
      <c r="C48" s="212" t="s">
        <v>2177</v>
      </c>
      <c r="F48" s="188"/>
      <c r="G48" s="222">
        <f ca="1">SUM(G46:G47)-G45</f>
        <v>-12395.881849570273</v>
      </c>
      <c r="H48" s="222">
        <f t="shared" ref="H48:Z48" ca="1" si="7">SUM(H46:H47)-H45</f>
        <v>-10324.513128571041</v>
      </c>
      <c r="I48" s="222">
        <f t="shared" ca="1" si="7"/>
        <v>-7029.867468747987</v>
      </c>
      <c r="J48" s="222">
        <f t="shared" ca="1" si="7"/>
        <v>-6497.2600150016879</v>
      </c>
      <c r="K48" s="222">
        <f t="shared" ca="1" si="7"/>
        <v>9977.9249210939815</v>
      </c>
      <c r="L48" s="222">
        <f t="shared" ca="1" si="7"/>
        <v>9914.124346320692</v>
      </c>
      <c r="M48" s="222">
        <f t="shared" ca="1" si="7"/>
        <v>8908.1663838249879</v>
      </c>
      <c r="N48" s="222">
        <f t="shared" ca="1" si="7"/>
        <v>4982.2985982723694</v>
      </c>
      <c r="O48" s="222">
        <f t="shared" ca="1" si="7"/>
        <v>4153.0132994263913</v>
      </c>
      <c r="P48" s="223">
        <f t="shared" ca="1" si="7"/>
        <v>0</v>
      </c>
      <c r="Q48" s="224">
        <f t="shared" ca="1" si="7"/>
        <v>-898.05325709791214</v>
      </c>
      <c r="R48" s="222">
        <f t="shared" ca="1" si="7"/>
        <v>-1807.3321799095575</v>
      </c>
      <c r="S48" s="222">
        <f t="shared" ca="1" si="7"/>
        <v>-2727.9770892563392</v>
      </c>
      <c r="T48" s="222">
        <f t="shared" ca="1" si="7"/>
        <v>-3660.1300599699753</v>
      </c>
      <c r="U48" s="222">
        <f t="shared" ca="1" si="7"/>
        <v>-4603.9349428175046</v>
      </c>
      <c r="V48" s="222">
        <f t="shared" ca="1" si="7"/>
        <v>-5559.5373867006419</v>
      </c>
      <c r="W48" s="222">
        <f t="shared" ca="1" si="7"/>
        <v>-6527.0848611323163</v>
      </c>
      <c r="X48" s="222">
        <f t="shared" ca="1" si="7"/>
        <v>-7506.7266789943969</v>
      </c>
      <c r="Y48" s="222">
        <f t="shared" ca="1" si="7"/>
        <v>-8498.6140195797489</v>
      </c>
      <c r="Z48" s="222">
        <f t="shared" ca="1" si="7"/>
        <v>-9502.8999519224017</v>
      </c>
    </row>
    <row r="49" spans="1:29">
      <c r="C49" s="212"/>
      <c r="F49" s="188"/>
      <c r="G49" s="222"/>
      <c r="H49" s="222"/>
      <c r="I49" s="222"/>
      <c r="J49" s="222"/>
      <c r="K49" s="222"/>
      <c r="L49" s="222"/>
      <c r="M49" s="222"/>
      <c r="N49" s="222"/>
      <c r="O49" s="222"/>
      <c r="P49" s="223"/>
      <c r="Q49" s="224"/>
      <c r="R49" s="222"/>
      <c r="S49" s="222"/>
      <c r="T49" s="222"/>
      <c r="U49" s="222"/>
      <c r="V49" s="222"/>
      <c r="W49" s="222"/>
      <c r="X49" s="222"/>
      <c r="Y49" s="222"/>
      <c r="Z49" s="222"/>
    </row>
    <row r="50" spans="1:29">
      <c r="C50" s="225" t="s">
        <v>2178</v>
      </c>
      <c r="F50" s="188"/>
      <c r="G50" s="222"/>
      <c r="H50" s="222"/>
      <c r="I50" s="222"/>
      <c r="J50" s="222"/>
      <c r="K50" s="222"/>
      <c r="L50" s="222"/>
      <c r="M50" s="222"/>
      <c r="N50" s="222"/>
      <c r="O50" s="222"/>
      <c r="P50" s="223"/>
      <c r="Q50" s="224"/>
      <c r="R50" s="222"/>
      <c r="S50" s="222"/>
      <c r="T50" s="222"/>
      <c r="U50" s="222"/>
      <c r="V50" s="222"/>
      <c r="W50" s="222"/>
      <c r="X50" s="222"/>
      <c r="Y50" s="222"/>
      <c r="Z50" s="222"/>
    </row>
    <row r="51" spans="1:29">
      <c r="C51" s="200" t="s">
        <v>2179</v>
      </c>
      <c r="F51" s="188"/>
      <c r="G51" s="198">
        <f>F54</f>
        <v>0</v>
      </c>
      <c r="H51" s="198">
        <f t="shared" ref="H51:Z51" ca="1" si="8">G54</f>
        <v>0</v>
      </c>
      <c r="I51" s="198">
        <f t="shared" ca="1" si="8"/>
        <v>0</v>
      </c>
      <c r="J51" s="198">
        <f t="shared" ca="1" si="8"/>
        <v>0</v>
      </c>
      <c r="K51" s="198">
        <f t="shared" ca="1" si="8"/>
        <v>0</v>
      </c>
      <c r="L51" s="198">
        <f t="shared" ca="1" si="8"/>
        <v>9977.9249210939815</v>
      </c>
      <c r="M51" s="198">
        <f t="shared" ca="1" si="8"/>
        <v>19892.049267414674</v>
      </c>
      <c r="N51" s="198">
        <f t="shared" ca="1" si="8"/>
        <v>28800.215651239661</v>
      </c>
      <c r="O51" s="198">
        <f t="shared" ca="1" si="8"/>
        <v>33782.514249512031</v>
      </c>
      <c r="P51" s="199">
        <f t="shared" ca="1" si="8"/>
        <v>37935.527548938422</v>
      </c>
      <c r="Q51" s="213">
        <f t="shared" ca="1" si="8"/>
        <v>37935.527548938422</v>
      </c>
      <c r="R51" s="198">
        <f t="shared" ca="1" si="8"/>
        <v>37037.47429184051</v>
      </c>
      <c r="S51" s="198">
        <f t="shared" ca="1" si="8"/>
        <v>35230.142111930953</v>
      </c>
      <c r="T51" s="198">
        <f t="shared" ca="1" si="8"/>
        <v>32502.165022674613</v>
      </c>
      <c r="U51" s="198">
        <f t="shared" ca="1" si="8"/>
        <v>28842.034962704638</v>
      </c>
      <c r="V51" s="198">
        <f t="shared" ca="1" si="8"/>
        <v>24238.100019887133</v>
      </c>
      <c r="W51" s="198">
        <f t="shared" ca="1" si="8"/>
        <v>18678.562633186491</v>
      </c>
      <c r="X51" s="198">
        <f t="shared" ca="1" si="8"/>
        <v>12151.477772054175</v>
      </c>
      <c r="Y51" s="198">
        <f t="shared" ca="1" si="8"/>
        <v>4644.7510930597782</v>
      </c>
      <c r="Z51" s="198">
        <f t="shared" ca="1" si="8"/>
        <v>0</v>
      </c>
    </row>
    <row r="52" spans="1:29">
      <c r="C52" s="200" t="s">
        <v>2180</v>
      </c>
      <c r="F52" s="188"/>
      <c r="G52" s="198">
        <f ca="1">MAX(0,G48)*Controls!$H$18</f>
        <v>0</v>
      </c>
      <c r="H52" s="198">
        <f ca="1">MAX(0,H48)*Controls!$H$18</f>
        <v>0</v>
      </c>
      <c r="I52" s="198">
        <f ca="1">MAX(0,I48)*Controls!$H$18</f>
        <v>0</v>
      </c>
      <c r="J52" s="198">
        <f ca="1">MAX(0,J48)*Controls!$H$18</f>
        <v>0</v>
      </c>
      <c r="K52" s="198">
        <f ca="1">MAX(0,K48)*Controls!$H$18</f>
        <v>9977.9249210939815</v>
      </c>
      <c r="L52" s="198">
        <f ca="1">MAX(0,L48)*Controls!$H$18</f>
        <v>9914.124346320692</v>
      </c>
      <c r="M52" s="198">
        <f ca="1">MAX(0,M48)*Controls!$H$18</f>
        <v>8908.1663838249879</v>
      </c>
      <c r="N52" s="198">
        <f ca="1">MAX(0,N48)*Controls!$H$18</f>
        <v>4982.2985982723694</v>
      </c>
      <c r="O52" s="198">
        <f ca="1">MAX(0,O48)*Controls!$H$18</f>
        <v>4153.0132994263913</v>
      </c>
      <c r="P52" s="199">
        <f ca="1">MAX(0,P48)*Controls!$H$18</f>
        <v>0</v>
      </c>
      <c r="Q52" s="213">
        <f ca="1">MAX(0,Q48)*Controls!$H$18</f>
        <v>0</v>
      </c>
      <c r="R52" s="198">
        <f ca="1">MAX(0,R48)*Controls!$H$18</f>
        <v>0</v>
      </c>
      <c r="S52" s="198">
        <f ca="1">MAX(0,S48)*Controls!$H$18</f>
        <v>0</v>
      </c>
      <c r="T52" s="198">
        <f ca="1">MAX(0,T48)*Controls!$H$18</f>
        <v>0</v>
      </c>
      <c r="U52" s="198">
        <f ca="1">MAX(0,U48)*Controls!$H$18</f>
        <v>0</v>
      </c>
      <c r="V52" s="198">
        <f ca="1">MAX(0,V48)*Controls!$H$18</f>
        <v>0</v>
      </c>
      <c r="W52" s="198">
        <f ca="1">MAX(0,W48)*Controls!$H$18</f>
        <v>0</v>
      </c>
      <c r="X52" s="198">
        <f ca="1">MAX(0,X48)*Controls!$H$18</f>
        <v>0</v>
      </c>
      <c r="Y52" s="198">
        <f ca="1">MAX(0,Y48)*Controls!$H$18</f>
        <v>0</v>
      </c>
      <c r="Z52" s="198">
        <f ca="1">MAX(0,Z48)*Controls!$H$18</f>
        <v>0</v>
      </c>
    </row>
    <row r="53" spans="1:29">
      <c r="C53" s="200" t="s">
        <v>2181</v>
      </c>
      <c r="F53" s="188"/>
      <c r="G53" s="198">
        <f ca="1">MAX(0,MIN(G51,-G48))*Controls!$H$18</f>
        <v>0</v>
      </c>
      <c r="H53" s="198">
        <f ca="1">MAX(0,MIN(H51,-H48))*Controls!$H$18</f>
        <v>0</v>
      </c>
      <c r="I53" s="198">
        <f ca="1">MAX(0,MIN(I51,-I48))*Controls!$H$18</f>
        <v>0</v>
      </c>
      <c r="J53" s="198">
        <f ca="1">MAX(0,MIN(J51,-J48))*Controls!$H$18</f>
        <v>0</v>
      </c>
      <c r="K53" s="198">
        <f ca="1">MAX(0,MIN(K51,-K48))*Controls!$H$18</f>
        <v>0</v>
      </c>
      <c r="L53" s="198">
        <f ca="1">MAX(0,MIN(L51,-L48))*Controls!$H$18</f>
        <v>0</v>
      </c>
      <c r="M53" s="198">
        <f ca="1">MAX(0,MIN(M51,-M48))*Controls!$H$18</f>
        <v>0</v>
      </c>
      <c r="N53" s="198">
        <f ca="1">MAX(0,MIN(N51,-N48))*Controls!$H$18</f>
        <v>0</v>
      </c>
      <c r="O53" s="198">
        <f ca="1">MAX(0,MIN(O51,-O48))*Controls!$H$18</f>
        <v>0</v>
      </c>
      <c r="P53" s="199">
        <f ca="1">MAX(0,MIN(P51,-P48))*Controls!$H$18</f>
        <v>0</v>
      </c>
      <c r="Q53" s="213">
        <f ca="1">MAX(0,MIN(Q51,-Q48))*Controls!$H$18</f>
        <v>898.05325709791214</v>
      </c>
      <c r="R53" s="198">
        <f ca="1">MAX(0,MIN(R51,-R48))*Controls!$H$18</f>
        <v>1807.3321799095575</v>
      </c>
      <c r="S53" s="198">
        <f ca="1">MAX(0,MIN(S51,-S48))*Controls!$H$18</f>
        <v>2727.9770892563392</v>
      </c>
      <c r="T53" s="198">
        <f ca="1">MAX(0,MIN(T51,-T48))*Controls!$H$18</f>
        <v>3660.1300599699753</v>
      </c>
      <c r="U53" s="198">
        <f ca="1">MAX(0,MIN(U51,-U48))*Controls!$H$18</f>
        <v>4603.9349428175046</v>
      </c>
      <c r="V53" s="198">
        <f ca="1">MAX(0,MIN(V51,-V48))*Controls!$H$18</f>
        <v>5559.5373867006419</v>
      </c>
      <c r="W53" s="198">
        <f ca="1">MAX(0,MIN(W51,-W48))*Controls!$H$18</f>
        <v>6527.0848611323163</v>
      </c>
      <c r="X53" s="198">
        <f ca="1">MAX(0,MIN(X51,-X48))*Controls!$H$18</f>
        <v>7506.7266789943969</v>
      </c>
      <c r="Y53" s="198">
        <f ca="1">MAX(0,MIN(Y51,-Y48))*Controls!$H$18</f>
        <v>4644.7510930597782</v>
      </c>
      <c r="Z53" s="198">
        <f ca="1">MAX(0,MIN(Z51,-Z48))*Controls!$H$18</f>
        <v>0</v>
      </c>
    </row>
    <row r="54" spans="1:29">
      <c r="C54" s="200" t="s">
        <v>2182</v>
      </c>
      <c r="F54" s="188"/>
      <c r="G54" s="198">
        <f ca="1">G51+G52-G53</f>
        <v>0</v>
      </c>
      <c r="H54" s="198">
        <f t="shared" ref="H54:Z54" ca="1" si="9">H51+H52-H53</f>
        <v>0</v>
      </c>
      <c r="I54" s="198">
        <f t="shared" ca="1" si="9"/>
        <v>0</v>
      </c>
      <c r="J54" s="198">
        <f t="shared" ca="1" si="9"/>
        <v>0</v>
      </c>
      <c r="K54" s="198">
        <f t="shared" ca="1" si="9"/>
        <v>9977.9249210939815</v>
      </c>
      <c r="L54" s="198">
        <f t="shared" ca="1" si="9"/>
        <v>19892.049267414674</v>
      </c>
      <c r="M54" s="198">
        <f t="shared" ca="1" si="9"/>
        <v>28800.215651239661</v>
      </c>
      <c r="N54" s="198">
        <f t="shared" ca="1" si="9"/>
        <v>33782.514249512031</v>
      </c>
      <c r="O54" s="198">
        <f t="shared" ca="1" si="9"/>
        <v>37935.527548938422</v>
      </c>
      <c r="P54" s="199">
        <f t="shared" ca="1" si="9"/>
        <v>37935.527548938422</v>
      </c>
      <c r="Q54" s="213">
        <f t="shared" ca="1" si="9"/>
        <v>37037.47429184051</v>
      </c>
      <c r="R54" s="198">
        <f t="shared" ca="1" si="9"/>
        <v>35230.142111930953</v>
      </c>
      <c r="S54" s="198">
        <f t="shared" ca="1" si="9"/>
        <v>32502.165022674613</v>
      </c>
      <c r="T54" s="198">
        <f t="shared" ca="1" si="9"/>
        <v>28842.034962704638</v>
      </c>
      <c r="U54" s="198">
        <f t="shared" ca="1" si="9"/>
        <v>24238.100019887133</v>
      </c>
      <c r="V54" s="198">
        <f t="shared" ca="1" si="9"/>
        <v>18678.562633186491</v>
      </c>
      <c r="W54" s="198">
        <f t="shared" ca="1" si="9"/>
        <v>12151.477772054175</v>
      </c>
      <c r="X54" s="198">
        <f t="shared" ca="1" si="9"/>
        <v>4644.7510930597782</v>
      </c>
      <c r="Y54" s="198">
        <f t="shared" ca="1" si="9"/>
        <v>0</v>
      </c>
      <c r="Z54" s="198">
        <f t="shared" ca="1" si="9"/>
        <v>0</v>
      </c>
    </row>
    <row r="55" spans="1:29">
      <c r="C55" s="200"/>
      <c r="F55" s="188"/>
      <c r="G55" s="198"/>
      <c r="H55" s="198"/>
      <c r="I55" s="198"/>
      <c r="J55" s="198"/>
      <c r="K55" s="198"/>
      <c r="L55" s="198"/>
      <c r="M55" s="198"/>
      <c r="N55" s="198"/>
      <c r="O55" s="198"/>
      <c r="P55" s="199"/>
      <c r="Q55" s="213"/>
      <c r="R55" s="198"/>
      <c r="S55" s="198"/>
      <c r="T55" s="198"/>
      <c r="U55" s="198"/>
      <c r="V55" s="198"/>
      <c r="W55" s="198"/>
      <c r="X55" s="198"/>
      <c r="Y55" s="198"/>
      <c r="Z55" s="198"/>
    </row>
    <row r="56" spans="1:29">
      <c r="C56" s="225" t="s">
        <v>2183</v>
      </c>
      <c r="F56" s="188"/>
      <c r="G56" s="198">
        <f ca="1">IF(Controls!$H$18=1,MAX(G45-SUM(G46:G47)-G53,0),IF(G$7&gt;2020,MAX(-G48,0),0))</f>
        <v>12395.881849570273</v>
      </c>
      <c r="H56" s="198">
        <f ca="1">IF(Controls!$H$18=1,MAX(H45-SUM(H46:H47)-H53,0),IF(H$7&gt;2020,MAX(-H48,0),0))</f>
        <v>10324.513128571041</v>
      </c>
      <c r="I56" s="198">
        <f ca="1">IF(Controls!$H$18=1,MAX(I45-SUM(I46:I47)-I53,0),IF(I$7&gt;2020,MAX(-I48,0),0))</f>
        <v>7029.867468747987</v>
      </c>
      <c r="J56" s="198">
        <f ca="1">IF(Controls!$H$18=1,MAX(J45-SUM(J46:J47)-J53,0),IF(J$7&gt;2020,MAX(-J48,0),0))</f>
        <v>6497.2600150016879</v>
      </c>
      <c r="K56" s="198">
        <f ca="1">IF(Controls!$H$18=1,MAX(K45-SUM(K46:K47)-K53,0),IF(K$7&gt;2020,MAX(-K48,0),0))</f>
        <v>0</v>
      </c>
      <c r="L56" s="198">
        <f ca="1">IF(Controls!$H$18=1,MAX(L45-SUM(L46:L47)-L53,0),IF(L$7&gt;2020,MAX(-L48,0),0))</f>
        <v>0</v>
      </c>
      <c r="M56" s="198">
        <f ca="1">IF(Controls!$H$18=1,MAX(M45-SUM(M46:M47)-M53,0),IF(M$7&gt;2020,MAX(-M48,0),0))</f>
        <v>0</v>
      </c>
      <c r="N56" s="198">
        <f ca="1">IF(Controls!$H$18=1,MAX(N45-SUM(N46:N47)-N53,0),IF(N$7&gt;2020,MAX(-N48,0),0))</f>
        <v>0</v>
      </c>
      <c r="O56" s="198">
        <f ca="1">IF(Controls!$H$18=1,MAX(O45-SUM(O46:O47)-O53,0),IF(O$7&gt;2020,MAX(-O48,0),0))</f>
        <v>0</v>
      </c>
      <c r="P56" s="199">
        <f ca="1">IF(Controls!$H$18=1,MAX(P45-SUM(P46:P47)-P53,0),IF(P$7&gt;2020,MAX(-P48,0),0))</f>
        <v>0</v>
      </c>
      <c r="Q56" s="213">
        <f ca="1">IF(Controls!$H$18=1,MAX(Q45-SUM(Q46:Q47)-Q53,0),IF(Q$7&gt;2020,MAX(-Q48,0),0))</f>
        <v>0</v>
      </c>
      <c r="R56" s="198">
        <f ca="1">IF(Controls!$H$18=1,MAX(R45-SUM(R46:R47)-R53,0),IF(R$7&gt;2020,MAX(-R48,0),0))</f>
        <v>0</v>
      </c>
      <c r="S56" s="198">
        <f ca="1">IF(Controls!$H$18=1,MAX(S45-SUM(S46:S47)-S53,0),IF(S$7&gt;2020,MAX(-S48,0),0))</f>
        <v>0</v>
      </c>
      <c r="T56" s="198">
        <f ca="1">IF(Controls!$H$18=1,MAX(T45-SUM(T46:T47)-T53,0),IF(T$7&gt;2020,MAX(-T48,0),0))</f>
        <v>0</v>
      </c>
      <c r="U56" s="198">
        <f ca="1">IF(Controls!$H$18=1,MAX(U45-SUM(U46:U47)-U53,0),IF(U$7&gt;2020,MAX(-U48,0),0))</f>
        <v>0</v>
      </c>
      <c r="V56" s="198">
        <f ca="1">IF(Controls!$H$18=1,MAX(V45-SUM(V46:V47)-V53,0),IF(V$7&gt;2020,MAX(-V48,0),0))</f>
        <v>0</v>
      </c>
      <c r="W56" s="198">
        <f ca="1">IF(Controls!$H$18=1,MAX(W45-SUM(W46:W47)-W53,0),IF(W$7&gt;2020,MAX(-W48,0),0))</f>
        <v>0</v>
      </c>
      <c r="X56" s="198">
        <f ca="1">IF(Controls!$H$18=1,MAX(X45-SUM(X46:X47)-X53,0),IF(X$7&gt;2020,MAX(-X48,0),0))</f>
        <v>0</v>
      </c>
      <c r="Y56" s="198">
        <f ca="1">IF(Controls!$H$18=1,MAX(Y45-SUM(Y46:Y47)-Y53,0),IF(Y$7&gt;2020,MAX(-Y48,0),0))</f>
        <v>3853.8629265199706</v>
      </c>
      <c r="Z56" s="198">
        <f ca="1">IF(Controls!$H$18=1,MAX(Z45-SUM(Z46:Z47)-Z53,0),IF(Z$7&gt;2020,MAX(-Z48,0),0))</f>
        <v>9502.8999519224017</v>
      </c>
    </row>
    <row r="57" spans="1:29">
      <c r="C57" s="200"/>
      <c r="F57" s="188"/>
      <c r="G57" s="198"/>
      <c r="H57" s="198"/>
      <c r="I57" s="198"/>
      <c r="J57" s="198"/>
      <c r="K57" s="198"/>
      <c r="L57" s="198"/>
      <c r="M57" s="198"/>
      <c r="N57" s="198"/>
      <c r="O57" s="198"/>
      <c r="P57" s="199"/>
      <c r="Q57" s="213"/>
      <c r="R57" s="198"/>
      <c r="S57" s="198"/>
      <c r="T57" s="198"/>
      <c r="U57" s="198"/>
      <c r="V57" s="198"/>
      <c r="W57" s="198"/>
      <c r="X57" s="198"/>
      <c r="Y57" s="198"/>
      <c r="Z57" s="198"/>
    </row>
    <row r="58" spans="1:29">
      <c r="F58" s="188"/>
      <c r="P58" s="188"/>
      <c r="Q58" s="189"/>
    </row>
    <row r="59" spans="1:29">
      <c r="A59" s="194"/>
      <c r="B59" s="195" t="s">
        <v>2329</v>
      </c>
      <c r="C59" s="194"/>
      <c r="D59" s="194"/>
      <c r="E59" s="194"/>
      <c r="F59" s="196"/>
      <c r="G59" s="194"/>
      <c r="H59" s="194"/>
      <c r="I59" s="194"/>
      <c r="J59" s="194"/>
      <c r="K59" s="194"/>
      <c r="L59" s="194"/>
      <c r="M59" s="194"/>
      <c r="N59" s="194"/>
      <c r="O59" s="194"/>
      <c r="P59" s="196"/>
      <c r="Q59" s="197"/>
      <c r="R59" s="194"/>
      <c r="S59" s="194"/>
      <c r="T59" s="194"/>
      <c r="U59" s="194"/>
      <c r="V59" s="194"/>
      <c r="W59" s="194"/>
      <c r="X59" s="194"/>
      <c r="Y59" s="194"/>
      <c r="Z59" s="194"/>
      <c r="AA59" s="194"/>
      <c r="AB59" s="194"/>
      <c r="AC59" s="194"/>
    </row>
    <row r="60" spans="1:29">
      <c r="F60" s="188"/>
      <c r="P60" s="188"/>
      <c r="Q60" s="189"/>
    </row>
    <row r="61" spans="1:29">
      <c r="C61" s="185" t="s">
        <v>2330</v>
      </c>
      <c r="F61" s="188"/>
      <c r="P61" s="188"/>
      <c r="Q61" s="189"/>
    </row>
    <row r="62" spans="1:29">
      <c r="C62" s="211" t="s">
        <v>805</v>
      </c>
      <c r="E62" s="201">
        <v>19772.810000000001</v>
      </c>
      <c r="F62" s="202">
        <v>19918.84</v>
      </c>
      <c r="G62" s="203">
        <f ca="1">OFFSET(LoadVars!H$7,$AC62,0)</f>
        <v>20193.04</v>
      </c>
      <c r="H62" s="203">
        <f ca="1">OFFSET(LoadVars!I$7,$AC62,0)</f>
        <v>20510.330000000002</v>
      </c>
      <c r="I62" s="203">
        <f ca="1">OFFSET(LoadVars!J$7,$AC62,0)</f>
        <v>20828.990000000002</v>
      </c>
      <c r="J62" s="203">
        <f ca="1">OFFSET(LoadVars!K$7,$AC62,0)</f>
        <v>21071.47</v>
      </c>
      <c r="K62" s="203">
        <f ca="1">OFFSET(LoadVars!L$7,$AC62,0)</f>
        <v>21318.160000000003</v>
      </c>
      <c r="L62" s="203">
        <f ca="1">OFFSET(LoadVars!M$7,$AC62,0)</f>
        <v>21572.009999999995</v>
      </c>
      <c r="M62" s="203">
        <f ca="1">OFFSET(LoadVars!N$7,$AC62,0)</f>
        <v>21851.200000000004</v>
      </c>
      <c r="N62" s="203">
        <f ca="1">OFFSET(LoadVars!O$7,$AC62,0)</f>
        <v>22117.29</v>
      </c>
      <c r="O62" s="203">
        <f ca="1">OFFSET(LoadVars!P$7,$AC62,0)</f>
        <v>22382.9</v>
      </c>
      <c r="P62" s="204">
        <f ca="1">OFFSET(LoadVars!Q$7,$AC62,0)</f>
        <v>22683.42</v>
      </c>
      <c r="Q62" s="205">
        <f ca="1">P62*(1+GeneralInputs!$D$56)</f>
        <v>22966.962749999999</v>
      </c>
      <c r="R62" s="206">
        <f ca="1">Q62*(1+GeneralInputs!$D$56)</f>
        <v>23254.049784374998</v>
      </c>
      <c r="S62" s="206">
        <f ca="1">R62*(1+GeneralInputs!$D$56)</f>
        <v>23544.725406679685</v>
      </c>
      <c r="T62" s="206">
        <f ca="1">S62*(1+GeneralInputs!$D$56)</f>
        <v>23839.034474263179</v>
      </c>
      <c r="U62" s="206">
        <f ca="1">T62*(1+GeneralInputs!$D$56)</f>
        <v>24137.022405191467</v>
      </c>
      <c r="V62" s="206">
        <f ca="1">U62*(1+GeneralInputs!$D$56)</f>
        <v>24438.735185256359</v>
      </c>
      <c r="W62" s="206">
        <f ca="1">V62*(1+GeneralInputs!$D$56)</f>
        <v>24744.219375072062</v>
      </c>
      <c r="X62" s="206">
        <f ca="1">W62*(1+GeneralInputs!$D$56)</f>
        <v>25053.522117260462</v>
      </c>
      <c r="Y62" s="206">
        <f ca="1">X62*(1+GeneralInputs!$D$56)</f>
        <v>25366.691143726217</v>
      </c>
      <c r="Z62" s="206">
        <f ca="1">Y62*(1+GeneralInputs!$D$56)</f>
        <v>25683.774783022793</v>
      </c>
      <c r="AB62" s="187" t="s">
        <v>2331</v>
      </c>
      <c r="AC62" s="207">
        <f ca="1">MATCH($AB62&amp;"_"&amp;scenLoad,OFFSET(LoadVars!$G$7,1,0,ctLoadVar,1),0)</f>
        <v>5</v>
      </c>
    </row>
    <row r="63" spans="1:29">
      <c r="C63" s="211" t="s">
        <v>804</v>
      </c>
      <c r="E63" s="201">
        <v>20899.36</v>
      </c>
      <c r="F63" s="202">
        <v>21022.649999999998</v>
      </c>
      <c r="G63" s="203">
        <f ca="1">OFFSET(LoadVars!H$7,$AC63,0)</f>
        <v>21304.68</v>
      </c>
      <c r="H63" s="203">
        <f ca="1">OFFSET(LoadVars!I$7,$AC63,0)</f>
        <v>21634.29</v>
      </c>
      <c r="I63" s="203">
        <f ca="1">OFFSET(LoadVars!J$7,$AC63,0)</f>
        <v>21980.859999999997</v>
      </c>
      <c r="J63" s="203">
        <f ca="1">OFFSET(LoadVars!K$7,$AC63,0)</f>
        <v>22262.240000000002</v>
      </c>
      <c r="K63" s="203">
        <f ca="1">OFFSET(LoadVars!L$7,$AC63,0)</f>
        <v>22560.980000000003</v>
      </c>
      <c r="L63" s="203">
        <f ca="1">OFFSET(LoadVars!M$7,$AC63,0)</f>
        <v>22867.190000000002</v>
      </c>
      <c r="M63" s="203">
        <f ca="1">OFFSET(LoadVars!N$7,$AC63,0)</f>
        <v>23188.98</v>
      </c>
      <c r="N63" s="203">
        <f ca="1">OFFSET(LoadVars!O$7,$AC63,0)</f>
        <v>23497.3</v>
      </c>
      <c r="O63" s="203">
        <f ca="1">OFFSET(LoadVars!P$7,$AC63,0)</f>
        <v>23809.66</v>
      </c>
      <c r="P63" s="204">
        <f ca="1">OFFSET(LoadVars!Q$7,$AC63,0)</f>
        <v>24145.919999999998</v>
      </c>
      <c r="Q63" s="205">
        <f ca="1">P63*(1+GeneralInputs!$D$56)</f>
        <v>24447.743999999999</v>
      </c>
      <c r="R63" s="206">
        <f ca="1">Q63*(1+GeneralInputs!$D$56)</f>
        <v>24753.340799999998</v>
      </c>
      <c r="S63" s="206">
        <f ca="1">R63*(1+GeneralInputs!$D$56)</f>
        <v>25062.757559999998</v>
      </c>
      <c r="T63" s="206">
        <f ca="1">S63*(1+GeneralInputs!$D$56)</f>
        <v>25376.042029499997</v>
      </c>
      <c r="U63" s="206">
        <f ca="1">T63*(1+GeneralInputs!$D$56)</f>
        <v>25693.242554868746</v>
      </c>
      <c r="V63" s="206">
        <f ca="1">U63*(1+GeneralInputs!$D$56)</f>
        <v>26014.408086804604</v>
      </c>
      <c r="W63" s="206">
        <f ca="1">V63*(1+GeneralInputs!$D$56)</f>
        <v>26339.588187889662</v>
      </c>
      <c r="X63" s="206">
        <f ca="1">W63*(1+GeneralInputs!$D$56)</f>
        <v>26668.833040238282</v>
      </c>
      <c r="Y63" s="206">
        <f ca="1">X63*(1+GeneralInputs!$D$56)</f>
        <v>27002.19345324126</v>
      </c>
      <c r="Z63" s="206">
        <f ca="1">Y63*(1+GeneralInputs!$D$56)</f>
        <v>27339.720871406775</v>
      </c>
      <c r="AB63" s="187" t="s">
        <v>2332</v>
      </c>
      <c r="AC63" s="207">
        <f ca="1">MATCH($AB63&amp;"_"&amp;scenLoad,OFFSET(LoadVars!$G$7,1,0,ctLoadVar,1),0)</f>
        <v>6</v>
      </c>
    </row>
    <row r="64" spans="1:29">
      <c r="C64" s="211" t="s">
        <v>807</v>
      </c>
      <c r="E64" s="201">
        <v>4486.515885876378</v>
      </c>
      <c r="F64" s="202">
        <v>4515.8421922696252</v>
      </c>
      <c r="G64" s="203">
        <f ca="1">OFFSET(LoadVars!H$7,$AC64,0)</f>
        <v>4577.8518029818706</v>
      </c>
      <c r="H64" s="203">
        <f ca="1">OFFSET(LoadVars!I$7,$AC64,0)</f>
        <v>4658.160884992295</v>
      </c>
      <c r="I64" s="203">
        <f ca="1">OFFSET(LoadVars!J$7,$AC64,0)</f>
        <v>4738.2793859617796</v>
      </c>
      <c r="J64" s="203">
        <f ca="1">OFFSET(LoadVars!K$7,$AC64,0)</f>
        <v>4797.0323924099712</v>
      </c>
      <c r="K64" s="203">
        <f ca="1">OFFSET(LoadVars!L$7,$AC64,0)</f>
        <v>4855.5745940273855</v>
      </c>
      <c r="L64" s="203">
        <f ca="1">OFFSET(LoadVars!M$7,$AC64,0)</f>
        <v>4910.7257147806076</v>
      </c>
      <c r="M64" s="203">
        <f ca="1">OFFSET(LoadVars!N$7,$AC64,0)</f>
        <v>4972.9216747097398</v>
      </c>
      <c r="N64" s="203">
        <f ca="1">OFFSET(LoadVars!O$7,$AC64,0)</f>
        <v>5031.7743098064821</v>
      </c>
      <c r="O64" s="203">
        <f ca="1">OFFSET(LoadVars!P$7,$AC64,0)</f>
        <v>5094.0197077610856</v>
      </c>
      <c r="P64" s="204">
        <f ca="1">OFFSET(LoadVars!Q$7,$AC64,0)</f>
        <v>5157.0227966590292</v>
      </c>
      <c r="Q64" s="205">
        <f ca="1">P64*(1+GeneralInputs!$D$56)</f>
        <v>5221.4855816172667</v>
      </c>
      <c r="R64" s="206">
        <f ca="1">Q64*(1+GeneralInputs!$D$56)</f>
        <v>5286.7541513874821</v>
      </c>
      <c r="S64" s="206">
        <f ca="1">R64*(1+GeneralInputs!$D$56)</f>
        <v>5352.838578279825</v>
      </c>
      <c r="T64" s="206">
        <f ca="1">S64*(1+GeneralInputs!$D$56)</f>
        <v>5419.7490605083221</v>
      </c>
      <c r="U64" s="206">
        <f ca="1">T64*(1+GeneralInputs!$D$56)</f>
        <v>5487.4959237646763</v>
      </c>
      <c r="V64" s="206">
        <f ca="1">U64*(1+GeneralInputs!$D$56)</f>
        <v>5556.0896228117344</v>
      </c>
      <c r="W64" s="206">
        <f ca="1">V64*(1+GeneralInputs!$D$56)</f>
        <v>5625.5407430968808</v>
      </c>
      <c r="X64" s="206">
        <f ca="1">W64*(1+GeneralInputs!$D$56)</f>
        <v>5695.8600023855915</v>
      </c>
      <c r="Y64" s="206">
        <f ca="1">X64*(1+GeneralInputs!$D$56)</f>
        <v>5767.0582524154115</v>
      </c>
      <c r="Z64" s="206">
        <f ca="1">Y64*(1+GeneralInputs!$D$56)</f>
        <v>5839.1464805706037</v>
      </c>
      <c r="AB64" s="187" t="s">
        <v>2333</v>
      </c>
      <c r="AC64" s="207">
        <f ca="1">MATCH($AB64&amp;"_"&amp;scenLoad,OFFSET(LoadVars!$G$7,1,0,ctLoadVar,1),0)</f>
        <v>7</v>
      </c>
    </row>
    <row r="65" spans="3:29">
      <c r="C65" s="212" t="s">
        <v>2334</v>
      </c>
      <c r="E65" s="110">
        <f>SUM(E62:E64)</f>
        <v>45158.685885876374</v>
      </c>
      <c r="F65" s="208">
        <f>SUM(F62:F64)</f>
        <v>45457.33219226962</v>
      </c>
      <c r="G65" s="110">
        <f ca="1">SUM(G62:G64)</f>
        <v>46075.571802981874</v>
      </c>
      <c r="H65" s="110">
        <f t="shared" ref="H65:Z65" ca="1" si="10">SUM(H62:H64)</f>
        <v>46802.780884992295</v>
      </c>
      <c r="I65" s="110">
        <f t="shared" ca="1" si="10"/>
        <v>47548.12938596178</v>
      </c>
      <c r="J65" s="110">
        <f t="shared" ca="1" si="10"/>
        <v>48130.742392409978</v>
      </c>
      <c r="K65" s="110">
        <f t="shared" ca="1" si="10"/>
        <v>48734.714594027391</v>
      </c>
      <c r="L65" s="110">
        <f t="shared" ca="1" si="10"/>
        <v>49349.925714780606</v>
      </c>
      <c r="M65" s="110">
        <f t="shared" ca="1" si="10"/>
        <v>50013.101674709746</v>
      </c>
      <c r="N65" s="110">
        <f t="shared" ca="1" si="10"/>
        <v>50646.364309806479</v>
      </c>
      <c r="O65" s="110">
        <f t="shared" ca="1" si="10"/>
        <v>51286.579707761084</v>
      </c>
      <c r="P65" s="208">
        <f t="shared" ca="1" si="10"/>
        <v>51986.362796659028</v>
      </c>
      <c r="Q65" s="209">
        <f t="shared" ca="1" si="10"/>
        <v>52636.192331617262</v>
      </c>
      <c r="R65" s="110">
        <f t="shared" ca="1" si="10"/>
        <v>53294.144735762478</v>
      </c>
      <c r="S65" s="110">
        <f t="shared" ca="1" si="10"/>
        <v>53960.321544959515</v>
      </c>
      <c r="T65" s="110">
        <f t="shared" ca="1" si="10"/>
        <v>54634.825564271501</v>
      </c>
      <c r="U65" s="110">
        <f t="shared" ca="1" si="10"/>
        <v>55317.760883824893</v>
      </c>
      <c r="V65" s="110">
        <f t="shared" ca="1" si="10"/>
        <v>56009.232894872694</v>
      </c>
      <c r="W65" s="110">
        <f t="shared" ca="1" si="10"/>
        <v>56709.3483060586</v>
      </c>
      <c r="X65" s="110">
        <f t="shared" ca="1" si="10"/>
        <v>57418.215159884334</v>
      </c>
      <c r="Y65" s="110">
        <f t="shared" ca="1" si="10"/>
        <v>58135.942849382882</v>
      </c>
      <c r="Z65" s="110">
        <f t="shared" ca="1" si="10"/>
        <v>58862.642135000176</v>
      </c>
      <c r="AB65" s="187"/>
      <c r="AC65" s="187"/>
    </row>
    <row r="66" spans="3:29">
      <c r="C66" s="212"/>
      <c r="F66" s="188"/>
      <c r="G66" s="110"/>
      <c r="H66" s="110"/>
      <c r="I66" s="110"/>
      <c r="J66" s="110"/>
      <c r="K66" s="110"/>
      <c r="L66" s="110"/>
      <c r="M66" s="110"/>
      <c r="N66" s="110"/>
      <c r="O66" s="110"/>
      <c r="P66" s="208"/>
      <c r="Q66" s="209"/>
      <c r="R66" s="110"/>
      <c r="S66" s="110"/>
      <c r="T66" s="110"/>
      <c r="U66" s="110"/>
      <c r="V66" s="110"/>
      <c r="W66" s="110"/>
      <c r="X66" s="110"/>
      <c r="Y66" s="110"/>
      <c r="Z66" s="110"/>
      <c r="AB66" s="187"/>
      <c r="AC66" s="187"/>
    </row>
    <row r="67" spans="3:29">
      <c r="C67" s="225" t="s">
        <v>2335</v>
      </c>
      <c r="E67" s="201">
        <v>48090.809439495366</v>
      </c>
      <c r="F67" s="202">
        <v>48496.771925169727</v>
      </c>
      <c r="G67" s="203">
        <f ca="1">OFFSET(LoadVars!H$7,$AC67,0)</f>
        <v>49142.542093565775</v>
      </c>
      <c r="H67" s="203">
        <f ca="1">OFFSET(LoadVars!I$7,$AC67,0)</f>
        <v>49901.636376232265</v>
      </c>
      <c r="I67" s="203">
        <f ca="1">OFFSET(LoadVars!J$7,$AC67,0)</f>
        <v>50678.094414789019</v>
      </c>
      <c r="J67" s="203">
        <f ca="1">OFFSET(LoadVars!K$7,$AC67,0)</f>
        <v>51283.45558650911</v>
      </c>
      <c r="K67" s="203">
        <f ca="1">OFFSET(LoadVars!L$7,$AC67,0)</f>
        <v>51913.100161488626</v>
      </c>
      <c r="L67" s="203">
        <f ca="1">OFFSET(LoadVars!M$7,$AC67,0)</f>
        <v>52554.564363406695</v>
      </c>
      <c r="M67" s="203">
        <f ca="1">OFFSET(LoadVars!N$7,$AC67,0)</f>
        <v>53246.484063441087</v>
      </c>
      <c r="N67" s="203">
        <f ca="1">OFFSET(LoadVars!O$7,$AC67,0)</f>
        <v>53905.276426870507</v>
      </c>
      <c r="O67" s="203">
        <f ca="1">OFFSET(LoadVars!P$7,$AC67,0)</f>
        <v>54571.080528764942</v>
      </c>
      <c r="P67" s="204">
        <f ca="1">OFFSET(LoadVars!Q$7,$AC67,0)</f>
        <v>55298.19607255498</v>
      </c>
      <c r="Q67" s="205">
        <f ca="1">P67*(1+GeneralInputs!$D$56)</f>
        <v>55989.423523461912</v>
      </c>
      <c r="R67" s="206">
        <f ca="1">Q67*(1+GeneralInputs!$D$56)</f>
        <v>56689.29131750518</v>
      </c>
      <c r="S67" s="206">
        <f ca="1">R67*(1+GeneralInputs!$D$56)</f>
        <v>57397.90745897399</v>
      </c>
      <c r="T67" s="206">
        <f ca="1">S67*(1+GeneralInputs!$D$56)</f>
        <v>58115.381302211164</v>
      </c>
      <c r="U67" s="206">
        <f ca="1">T67*(1+GeneralInputs!$D$56)</f>
        <v>58841.823568488799</v>
      </c>
      <c r="V67" s="206">
        <f ca="1">U67*(1+GeneralInputs!$D$56)</f>
        <v>59577.346363094905</v>
      </c>
      <c r="W67" s="206">
        <f ca="1">V67*(1+GeneralInputs!$D$56)</f>
        <v>60322.063192633585</v>
      </c>
      <c r="X67" s="206">
        <f ca="1">W67*(1+GeneralInputs!$D$56)</f>
        <v>61076.0889825415</v>
      </c>
      <c r="Y67" s="206">
        <f ca="1">X67*(1+GeneralInputs!$D$56)</f>
        <v>61839.540094823264</v>
      </c>
      <c r="Z67" s="206">
        <f ca="1">Y67*(1+GeneralInputs!$D$56)</f>
        <v>62612.53434600855</v>
      </c>
      <c r="AB67" s="187" t="s">
        <v>2336</v>
      </c>
      <c r="AC67" s="207">
        <f ca="1">MATCH($AB67&amp;"_"&amp;scenLoad,OFFSET(LoadVars!$G$7,1,0,ctLoadVar,1),0)</f>
        <v>8</v>
      </c>
    </row>
    <row r="68" spans="3:29">
      <c r="F68" s="188"/>
      <c r="G68" s="226"/>
      <c r="P68" s="188"/>
      <c r="Q68" s="189"/>
    </row>
    <row r="69" spans="3:29">
      <c r="C69" s="185" t="s">
        <v>14</v>
      </c>
      <c r="F69" s="188"/>
      <c r="P69" s="188"/>
      <c r="Q69" s="189"/>
    </row>
    <row r="70" spans="3:29">
      <c r="C70" s="200" t="s">
        <v>805</v>
      </c>
      <c r="E70" s="201">
        <v>0</v>
      </c>
      <c r="F70" s="202">
        <v>0</v>
      </c>
      <c r="G70" s="203">
        <f ca="1">OFFSET(LoadVars!H$7,$AC70,0)</f>
        <v>97.632999999999996</v>
      </c>
      <c r="H70" s="203">
        <f ca="1">OFFSET(LoadVars!I$7,$AC70,0)</f>
        <v>128.34899999999999</v>
      </c>
      <c r="I70" s="203">
        <f ca="1">OFFSET(LoadVars!J$7,$AC70,0)</f>
        <v>388.33799999999997</v>
      </c>
      <c r="J70" s="203">
        <f ca="1">OFFSET(LoadVars!K$7,$AC70,0)</f>
        <v>619.80499999999995</v>
      </c>
      <c r="K70" s="203">
        <f ca="1">OFFSET(LoadVars!L$7,$AC70,0)</f>
        <v>871.01800000000003</v>
      </c>
      <c r="L70" s="203">
        <f ca="1">OFFSET(LoadVars!M$7,$AC70,0)</f>
        <v>1180.3720000000001</v>
      </c>
      <c r="M70" s="203">
        <f ca="1">OFFSET(LoadVars!N$7,$AC70,0)</f>
        <v>1510.569</v>
      </c>
      <c r="N70" s="203">
        <f ca="1">OFFSET(LoadVars!O$7,$AC70,0)</f>
        <v>1857.221</v>
      </c>
      <c r="O70" s="203">
        <f ca="1">OFFSET(LoadVars!P$7,$AC70,0)</f>
        <v>2184.127</v>
      </c>
      <c r="P70" s="204">
        <f ca="1">OFFSET(LoadVars!Q$7,$AC70,0)</f>
        <v>2495.6749999999997</v>
      </c>
      <c r="Q70" s="205">
        <f ca="1">P70*(1+GeneralInputs!$D$57)</f>
        <v>2495.6749999999997</v>
      </c>
      <c r="R70" s="206">
        <f ca="1">Q70*(1+GeneralInputs!$D$57)</f>
        <v>2495.6749999999997</v>
      </c>
      <c r="S70" s="206">
        <f ca="1">R70*(1+GeneralInputs!$D$57)</f>
        <v>2495.6749999999997</v>
      </c>
      <c r="T70" s="206">
        <f ca="1">S70*(1+GeneralInputs!$D$57)</f>
        <v>2495.6749999999997</v>
      </c>
      <c r="U70" s="206">
        <f ca="1">T70*(1+GeneralInputs!$D$57)</f>
        <v>2495.6749999999997</v>
      </c>
      <c r="V70" s="206">
        <f ca="1">U70*(1+GeneralInputs!$D$57)</f>
        <v>2495.6749999999997</v>
      </c>
      <c r="W70" s="206">
        <f ca="1">V70*(1+GeneralInputs!$D$57)</f>
        <v>2495.6749999999997</v>
      </c>
      <c r="X70" s="206">
        <f ca="1">W70*(1+GeneralInputs!$D$57)</f>
        <v>2495.6749999999997</v>
      </c>
      <c r="Y70" s="206">
        <f ca="1">X70*(1+GeneralInputs!$D$57)</f>
        <v>2495.6749999999997</v>
      </c>
      <c r="Z70" s="206">
        <f ca="1">Y70*(1+GeneralInputs!$D$57)</f>
        <v>2495.6749999999997</v>
      </c>
      <c r="AB70" s="210" t="s">
        <v>2337</v>
      </c>
      <c r="AC70" s="207">
        <f ca="1">MATCH($AB70&amp;"_"&amp;scenLoad,OFFSET(LoadVars!$G$7,1,0,ctLoadVar,1),0)</f>
        <v>27</v>
      </c>
    </row>
    <row r="71" spans="3:29">
      <c r="C71" s="200" t="s">
        <v>804</v>
      </c>
      <c r="E71" s="201">
        <v>0</v>
      </c>
      <c r="F71" s="202">
        <v>0</v>
      </c>
      <c r="G71" s="203">
        <f ca="1">OFFSET(LoadVars!H$7,$AC71,0)</f>
        <v>44.116</v>
      </c>
      <c r="H71" s="203">
        <f ca="1">OFFSET(LoadVars!I$7,$AC71,0)</f>
        <v>60.256</v>
      </c>
      <c r="I71" s="203">
        <f ca="1">OFFSET(LoadVars!J$7,$AC71,0)</f>
        <v>324.952</v>
      </c>
      <c r="J71" s="203">
        <f ca="1">OFFSET(LoadVars!K$7,$AC71,0)</f>
        <v>564.90000000000009</v>
      </c>
      <c r="K71" s="203">
        <f ca="1">OFFSET(LoadVars!L$7,$AC71,0)</f>
        <v>833.90000000000009</v>
      </c>
      <c r="L71" s="203">
        <f ca="1">OFFSET(LoadVars!M$7,$AC71,0)</f>
        <v>1170.6880000000001</v>
      </c>
      <c r="M71" s="203">
        <f ca="1">OFFSET(LoadVars!N$7,$AC71,0)</f>
        <v>1530.0720000000001</v>
      </c>
      <c r="N71" s="203">
        <f ca="1">OFFSET(LoadVars!O$7,$AC71,0)</f>
        <v>1912.0520000000001</v>
      </c>
      <c r="O71" s="203">
        <f ca="1">OFFSET(LoadVars!P$7,$AC71,0)</f>
        <v>2283.2719999999999</v>
      </c>
      <c r="P71" s="204">
        <f ca="1">OFFSET(LoadVars!Q$7,$AC71,0)</f>
        <v>2648.0360000000001</v>
      </c>
      <c r="Q71" s="205">
        <f ca="1">P71*(1+GeneralInputs!$D$57)</f>
        <v>2648.0360000000001</v>
      </c>
      <c r="R71" s="206">
        <f ca="1">Q71*(1+GeneralInputs!$D$57)</f>
        <v>2648.0360000000001</v>
      </c>
      <c r="S71" s="206">
        <f ca="1">R71*(1+GeneralInputs!$D$57)</f>
        <v>2648.0360000000001</v>
      </c>
      <c r="T71" s="206">
        <f ca="1">S71*(1+GeneralInputs!$D$57)</f>
        <v>2648.0360000000001</v>
      </c>
      <c r="U71" s="206">
        <f ca="1">T71*(1+GeneralInputs!$D$57)</f>
        <v>2648.0360000000001</v>
      </c>
      <c r="V71" s="206">
        <f ca="1">U71*(1+GeneralInputs!$D$57)</f>
        <v>2648.0360000000001</v>
      </c>
      <c r="W71" s="206">
        <f ca="1">V71*(1+GeneralInputs!$D$57)</f>
        <v>2648.0360000000001</v>
      </c>
      <c r="X71" s="206">
        <f ca="1">W71*(1+GeneralInputs!$D$57)</f>
        <v>2648.0360000000001</v>
      </c>
      <c r="Y71" s="206">
        <f ca="1">X71*(1+GeneralInputs!$D$57)</f>
        <v>2648.0360000000001</v>
      </c>
      <c r="Z71" s="206">
        <f ca="1">Y71*(1+GeneralInputs!$D$57)</f>
        <v>2648.0360000000001</v>
      </c>
      <c r="AB71" s="210" t="s">
        <v>2338</v>
      </c>
      <c r="AC71" s="207">
        <f ca="1">MATCH($AB71&amp;"_"&amp;scenLoad,OFFSET(LoadVars!$G$7,1,0,ctLoadVar,1),0)</f>
        <v>28</v>
      </c>
    </row>
    <row r="72" spans="3:29">
      <c r="C72" s="200" t="s">
        <v>807</v>
      </c>
      <c r="E72" s="201">
        <v>0</v>
      </c>
      <c r="F72" s="202">
        <v>0</v>
      </c>
      <c r="G72" s="203">
        <f ca="1">OFFSET(LoadVars!H$7,$AC72,0)</f>
        <v>3.2880000000000003</v>
      </c>
      <c r="H72" s="203">
        <f ca="1">OFFSET(LoadVars!I$7,$AC72,0)</f>
        <v>4.3840000000000003</v>
      </c>
      <c r="I72" s="203">
        <f ca="1">OFFSET(LoadVars!J$7,$AC72,0)</f>
        <v>65.760000000000005</v>
      </c>
      <c r="J72" s="203">
        <f ca="1">OFFSET(LoadVars!K$7,$AC72,0)</f>
        <v>120.56</v>
      </c>
      <c r="K72" s="203">
        <f ca="1">OFFSET(LoadVars!L$7,$AC72,0)</f>
        <v>178.64800000000002</v>
      </c>
      <c r="L72" s="203">
        <f ca="1">OFFSET(LoadVars!M$7,$AC72,0)</f>
        <v>246.60000000000002</v>
      </c>
      <c r="M72" s="203">
        <f ca="1">OFFSET(LoadVars!N$7,$AC72,0)</f>
        <v>321.12800000000004</v>
      </c>
      <c r="N72" s="203">
        <f ca="1">OFFSET(LoadVars!O$7,$AC72,0)</f>
        <v>397.84800000000001</v>
      </c>
      <c r="O72" s="203">
        <f ca="1">OFFSET(LoadVars!P$7,$AC72,0)</f>
        <v>471.28000000000003</v>
      </c>
      <c r="P72" s="204">
        <f ca="1">OFFSET(LoadVars!Q$7,$AC72,0)</f>
        <v>543.61599999999999</v>
      </c>
      <c r="Q72" s="205">
        <f ca="1">P72*(1+GeneralInputs!$D$57)</f>
        <v>543.61599999999999</v>
      </c>
      <c r="R72" s="206">
        <f ca="1">Q72*(1+GeneralInputs!$D$57)</f>
        <v>543.61599999999999</v>
      </c>
      <c r="S72" s="206">
        <f ca="1">R72*(1+GeneralInputs!$D$57)</f>
        <v>543.61599999999999</v>
      </c>
      <c r="T72" s="206">
        <f ca="1">S72*(1+GeneralInputs!$D$57)</f>
        <v>543.61599999999999</v>
      </c>
      <c r="U72" s="206">
        <f ca="1">T72*(1+GeneralInputs!$D$57)</f>
        <v>543.61599999999999</v>
      </c>
      <c r="V72" s="206">
        <f ca="1">U72*(1+GeneralInputs!$D$57)</f>
        <v>543.61599999999999</v>
      </c>
      <c r="W72" s="206">
        <f ca="1">V72*(1+GeneralInputs!$D$57)</f>
        <v>543.61599999999999</v>
      </c>
      <c r="X72" s="206">
        <f ca="1">W72*(1+GeneralInputs!$D$57)</f>
        <v>543.61599999999999</v>
      </c>
      <c r="Y72" s="206">
        <f ca="1">X72*(1+GeneralInputs!$D$57)</f>
        <v>543.61599999999999</v>
      </c>
      <c r="Z72" s="206">
        <f ca="1">Y72*(1+GeneralInputs!$D$57)</f>
        <v>543.61599999999999</v>
      </c>
      <c r="AB72" s="210" t="s">
        <v>2339</v>
      </c>
      <c r="AC72" s="207">
        <f ca="1">MATCH($AB72&amp;"_"&amp;scenLoad,OFFSET(LoadVars!$G$7,1,0,ctLoadVar,1),0)</f>
        <v>29</v>
      </c>
    </row>
    <row r="73" spans="3:29">
      <c r="F73" s="188"/>
      <c r="P73" s="188"/>
      <c r="Q73" s="209"/>
      <c r="R73" s="110"/>
      <c r="S73" s="110"/>
      <c r="T73" s="110"/>
      <c r="U73" s="110"/>
      <c r="V73" s="110"/>
      <c r="W73" s="110"/>
      <c r="X73" s="110"/>
      <c r="Y73" s="110"/>
      <c r="Z73" s="110"/>
    </row>
    <row r="74" spans="3:29">
      <c r="C74" s="185" t="s">
        <v>2328</v>
      </c>
      <c r="F74" s="188"/>
      <c r="P74" s="188"/>
      <c r="Q74" s="189"/>
    </row>
    <row r="75" spans="3:29">
      <c r="C75" s="200" t="s">
        <v>805</v>
      </c>
      <c r="E75" s="201">
        <v>0</v>
      </c>
      <c r="F75" s="202">
        <v>0</v>
      </c>
      <c r="G75" s="203">
        <f ca="1">OFFSET(LoadVars!H$7,$AC75,0)</f>
        <v>40.146636745726738</v>
      </c>
      <c r="H75" s="203">
        <f ca="1">OFFSET(LoadVars!I$7,$AC75,0)</f>
        <v>80.293273491453476</v>
      </c>
      <c r="I75" s="203">
        <f ca="1">OFFSET(LoadVars!J$7,$AC75,0)</f>
        <v>120.4399102371802</v>
      </c>
      <c r="J75" s="203">
        <f ca="1">OFFSET(LoadVars!K$7,$AC75,0)</f>
        <v>160.58654698290695</v>
      </c>
      <c r="K75" s="203">
        <f ca="1">OFFSET(LoadVars!L$7,$AC75,0)</f>
        <v>200.73318372863369</v>
      </c>
      <c r="L75" s="203">
        <f ca="1">OFFSET(LoadVars!M$7,$AC75,0)</f>
        <v>240.87982047436043</v>
      </c>
      <c r="M75" s="203">
        <f ca="1">OFFSET(LoadVars!N$7,$AC75,0)</f>
        <v>281.0264572200872</v>
      </c>
      <c r="N75" s="203">
        <f ca="1">OFFSET(LoadVars!O$7,$AC75,0)</f>
        <v>321.17309396581396</v>
      </c>
      <c r="O75" s="203">
        <f ca="1">OFFSET(LoadVars!P$7,$AC75,0)</f>
        <v>361.31973071154067</v>
      </c>
      <c r="P75" s="204">
        <f ca="1">OFFSET(LoadVars!Q$7,$AC75,0)</f>
        <v>401.46636745726744</v>
      </c>
      <c r="Q75" s="205">
        <f ca="1">P75*(1+GeneralInputs!$D$58)</f>
        <v>401.46636745726744</v>
      </c>
      <c r="R75" s="206">
        <f ca="1">Q75*(1+GeneralInputs!$D$58)</f>
        <v>401.46636745726744</v>
      </c>
      <c r="S75" s="206">
        <f ca="1">R75*(1+GeneralInputs!$D$58)</f>
        <v>401.46636745726744</v>
      </c>
      <c r="T75" s="206">
        <f ca="1">S75*(1+GeneralInputs!$D$58)</f>
        <v>401.46636745726744</v>
      </c>
      <c r="U75" s="206">
        <f ca="1">T75*(1+GeneralInputs!$D$58)</f>
        <v>401.46636745726744</v>
      </c>
      <c r="V75" s="206">
        <f ca="1">U75*(1+GeneralInputs!$D$58)</f>
        <v>401.46636745726744</v>
      </c>
      <c r="W75" s="206">
        <f ca="1">V75*(1+GeneralInputs!$D$58)</f>
        <v>401.46636745726744</v>
      </c>
      <c r="X75" s="206">
        <f ca="1">W75*(1+GeneralInputs!$D$58)</f>
        <v>401.46636745726744</v>
      </c>
      <c r="Y75" s="206">
        <f ca="1">X75*(1+GeneralInputs!$D$58)</f>
        <v>401.46636745726744</v>
      </c>
      <c r="Z75" s="206">
        <f ca="1">Y75*(1+GeneralInputs!$D$58)</f>
        <v>401.46636745726744</v>
      </c>
      <c r="AB75" s="210" t="s">
        <v>2340</v>
      </c>
      <c r="AC75" s="207">
        <f ca="1">MATCH($AB75&amp;"_"&amp;scenLoad,OFFSET(LoadVars!$G$7,1,0,ctLoadVar,1),0)</f>
        <v>18</v>
      </c>
    </row>
    <row r="76" spans="3:29">
      <c r="C76" s="200" t="s">
        <v>804</v>
      </c>
      <c r="E76" s="201">
        <v>0</v>
      </c>
      <c r="F76" s="202">
        <v>0</v>
      </c>
      <c r="G76" s="203">
        <f ca="1">OFFSET(LoadVars!H$7,$AC76,0)</f>
        <v>35.955766005959298</v>
      </c>
      <c r="H76" s="203">
        <f ca="1">OFFSET(LoadVars!I$7,$AC76,0)</f>
        <v>71.911532011918595</v>
      </c>
      <c r="I76" s="203">
        <f ca="1">OFFSET(LoadVars!J$7,$AC76,0)</f>
        <v>107.8672980178779</v>
      </c>
      <c r="J76" s="203">
        <f ca="1">OFFSET(LoadVars!K$7,$AC76,0)</f>
        <v>143.82306402383719</v>
      </c>
      <c r="K76" s="203">
        <f ca="1">OFFSET(LoadVars!L$7,$AC76,0)</f>
        <v>179.77883002979652</v>
      </c>
      <c r="L76" s="203">
        <f ca="1">OFFSET(LoadVars!M$7,$AC76,0)</f>
        <v>215.73459603575583</v>
      </c>
      <c r="M76" s="203">
        <f ca="1">OFFSET(LoadVars!N$7,$AC76,0)</f>
        <v>251.69036204171513</v>
      </c>
      <c r="N76" s="203">
        <f ca="1">OFFSET(LoadVars!O$7,$AC76,0)</f>
        <v>287.64612804767438</v>
      </c>
      <c r="O76" s="203">
        <f ca="1">OFFSET(LoadVars!P$7,$AC76,0)</f>
        <v>323.60189405363371</v>
      </c>
      <c r="P76" s="204">
        <f ca="1">OFFSET(LoadVars!Q$7,$AC76,0)</f>
        <v>359.55766005959299</v>
      </c>
      <c r="Q76" s="205">
        <f ca="1">P76*(1+GeneralInputs!$D$58)</f>
        <v>359.55766005959299</v>
      </c>
      <c r="R76" s="206">
        <f ca="1">Q76*(1+GeneralInputs!$D$58)</f>
        <v>359.55766005959299</v>
      </c>
      <c r="S76" s="206">
        <f ca="1">R76*(1+GeneralInputs!$D$58)</f>
        <v>359.55766005959299</v>
      </c>
      <c r="T76" s="206">
        <f ca="1">S76*(1+GeneralInputs!$D$58)</f>
        <v>359.55766005959299</v>
      </c>
      <c r="U76" s="206">
        <f ca="1">T76*(1+GeneralInputs!$D$58)</f>
        <v>359.55766005959299</v>
      </c>
      <c r="V76" s="206">
        <f ca="1">U76*(1+GeneralInputs!$D$58)</f>
        <v>359.55766005959299</v>
      </c>
      <c r="W76" s="206">
        <f ca="1">V76*(1+GeneralInputs!$D$58)</f>
        <v>359.55766005959299</v>
      </c>
      <c r="X76" s="206">
        <f ca="1">W76*(1+GeneralInputs!$D$58)</f>
        <v>359.55766005959299</v>
      </c>
      <c r="Y76" s="206">
        <f ca="1">X76*(1+GeneralInputs!$D$58)</f>
        <v>359.55766005959299</v>
      </c>
      <c r="Z76" s="206">
        <f ca="1">Y76*(1+GeneralInputs!$D$58)</f>
        <v>359.55766005959299</v>
      </c>
      <c r="AB76" s="210" t="s">
        <v>2341</v>
      </c>
      <c r="AC76" s="207">
        <f ca="1">MATCH($AB76&amp;"_"&amp;scenLoad,OFFSET(LoadVars!$G$7,1,0,ctLoadVar,1),0)</f>
        <v>19</v>
      </c>
    </row>
    <row r="77" spans="3:29">
      <c r="C77" s="200" t="s">
        <v>807</v>
      </c>
      <c r="E77" s="201">
        <v>0</v>
      </c>
      <c r="F77" s="202">
        <v>0</v>
      </c>
      <c r="G77" s="203">
        <f ca="1">OFFSET(LoadVars!H$7,$AC77,0)</f>
        <v>5.8100707983139506</v>
      </c>
      <c r="H77" s="203">
        <f ca="1">OFFSET(LoadVars!I$7,$AC77,0)</f>
        <v>11.620141596627901</v>
      </c>
      <c r="I77" s="203">
        <f ca="1">OFFSET(LoadVars!J$7,$AC77,0)</f>
        <v>17.430212394941851</v>
      </c>
      <c r="J77" s="203">
        <f ca="1">OFFSET(LoadVars!K$7,$AC77,0)</f>
        <v>23.240283193255802</v>
      </c>
      <c r="K77" s="203">
        <f ca="1">OFFSET(LoadVars!L$7,$AC77,0)</f>
        <v>29.05035399156975</v>
      </c>
      <c r="L77" s="203">
        <f ca="1">OFFSET(LoadVars!M$7,$AC77,0)</f>
        <v>34.860424789883695</v>
      </c>
      <c r="M77" s="203">
        <f ca="1">OFFSET(LoadVars!N$7,$AC77,0)</f>
        <v>40.670495588197646</v>
      </c>
      <c r="N77" s="203">
        <f ca="1">OFFSET(LoadVars!O$7,$AC77,0)</f>
        <v>46.48056638651159</v>
      </c>
      <c r="O77" s="203">
        <f ca="1">OFFSET(LoadVars!P$7,$AC77,0)</f>
        <v>52.290637184825542</v>
      </c>
      <c r="P77" s="204">
        <f ca="1">OFFSET(LoadVars!Q$7,$AC77,0)</f>
        <v>58.100707983139493</v>
      </c>
      <c r="Q77" s="205">
        <f ca="1">P77*(1+GeneralInputs!$D$58)</f>
        <v>58.100707983139493</v>
      </c>
      <c r="R77" s="206">
        <f ca="1">Q77*(1+GeneralInputs!$D$58)</f>
        <v>58.100707983139493</v>
      </c>
      <c r="S77" s="206">
        <f ca="1">R77*(1+GeneralInputs!$D$58)</f>
        <v>58.100707983139493</v>
      </c>
      <c r="T77" s="206">
        <f ca="1">S77*(1+GeneralInputs!$D$58)</f>
        <v>58.100707983139493</v>
      </c>
      <c r="U77" s="206">
        <f ca="1">T77*(1+GeneralInputs!$D$58)</f>
        <v>58.100707983139493</v>
      </c>
      <c r="V77" s="206">
        <f ca="1">U77*(1+GeneralInputs!$D$58)</f>
        <v>58.100707983139493</v>
      </c>
      <c r="W77" s="206">
        <f ca="1">V77*(1+GeneralInputs!$D$58)</f>
        <v>58.100707983139493</v>
      </c>
      <c r="X77" s="206">
        <f ca="1">W77*(1+GeneralInputs!$D$58)</f>
        <v>58.100707983139493</v>
      </c>
      <c r="Y77" s="206">
        <f ca="1">X77*(1+GeneralInputs!$D$58)</f>
        <v>58.100707983139493</v>
      </c>
      <c r="Z77" s="206">
        <f ca="1">Y77*(1+GeneralInputs!$D$58)</f>
        <v>58.100707983139493</v>
      </c>
      <c r="AB77" s="210" t="s">
        <v>2342</v>
      </c>
      <c r="AC77" s="207">
        <f ca="1">MATCH($AB77&amp;"_"&amp;scenLoad,OFFSET(LoadVars!$G$7,1,0,ctLoadVar,1),0)</f>
        <v>20</v>
      </c>
    </row>
    <row r="78" spans="3:29">
      <c r="F78" s="188"/>
      <c r="P78" s="188"/>
      <c r="Q78" s="209"/>
      <c r="R78" s="110"/>
      <c r="S78" s="110"/>
      <c r="T78" s="110"/>
      <c r="U78" s="110"/>
      <c r="V78" s="110"/>
      <c r="W78" s="110"/>
      <c r="X78" s="110"/>
      <c r="Y78" s="110"/>
      <c r="Z78" s="110"/>
    </row>
    <row r="79" spans="3:29">
      <c r="C79" s="185" t="s">
        <v>15</v>
      </c>
      <c r="F79" s="188"/>
      <c r="P79" s="188"/>
      <c r="Q79" s="189"/>
    </row>
    <row r="80" spans="3:29">
      <c r="C80" s="200" t="s">
        <v>805</v>
      </c>
      <c r="E80" s="201">
        <v>1353.99</v>
      </c>
      <c r="F80" s="202">
        <v>1353.99</v>
      </c>
      <c r="G80" s="203">
        <f ca="1">OFFSET(LoadVars!H$7,$AC80,0)</f>
        <v>1353.99</v>
      </c>
      <c r="H80" s="203">
        <f ca="1">OFFSET(LoadVars!I$7,$AC80,0)</f>
        <v>1627.0260000000001</v>
      </c>
      <c r="I80" s="203">
        <f ca="1">OFFSET(LoadVars!J$7,$AC80,0)</f>
        <v>1669.548</v>
      </c>
      <c r="J80" s="203">
        <f ca="1">OFFSET(LoadVars!K$7,$AC80,0)</f>
        <v>1715.4269999999999</v>
      </c>
      <c r="K80" s="203">
        <f ca="1">OFFSET(LoadVars!L$7,$AC80,0)</f>
        <v>1766.9010000000001</v>
      </c>
      <c r="L80" s="203">
        <f ca="1">OFFSET(LoadVars!M$7,$AC80,0)</f>
        <v>1816.1369999999999</v>
      </c>
      <c r="M80" s="203">
        <f ca="1">OFFSET(LoadVars!N$7,$AC80,0)</f>
        <v>1865.373</v>
      </c>
      <c r="N80" s="203">
        <f ca="1">OFFSET(LoadVars!O$7,$AC80,0)</f>
        <v>1911.252</v>
      </c>
      <c r="O80" s="203">
        <f ca="1">OFFSET(LoadVars!P$7,$AC80,0)</f>
        <v>1956.0119999999999</v>
      </c>
      <c r="P80" s="204">
        <f ca="1">OFFSET(LoadVars!Q$7,$AC80,0)</f>
        <v>2000.7719999999999</v>
      </c>
      <c r="Q80" s="205">
        <f ca="1">P80*(1+GeneralInputs!$D$59)</f>
        <v>2000.7719999999999</v>
      </c>
      <c r="R80" s="206">
        <f ca="1">Q80*(1+GeneralInputs!$D$59)</f>
        <v>2000.7719999999999</v>
      </c>
      <c r="S80" s="206">
        <f ca="1">R80*(1+GeneralInputs!$D$59)</f>
        <v>2000.7719999999999</v>
      </c>
      <c r="T80" s="206">
        <f ca="1">S80*(1+GeneralInputs!$D$59)</f>
        <v>2000.7719999999999</v>
      </c>
      <c r="U80" s="206">
        <f ca="1">T80*(1+GeneralInputs!$D$59)</f>
        <v>2000.7719999999999</v>
      </c>
      <c r="V80" s="206">
        <f ca="1">U80*(1+GeneralInputs!$D$59)</f>
        <v>2000.7719999999999</v>
      </c>
      <c r="W80" s="206">
        <f ca="1">V80*(1+GeneralInputs!$D$59)</f>
        <v>2000.7719999999999</v>
      </c>
      <c r="X80" s="206">
        <f ca="1">W80*(1+GeneralInputs!$D$59)</f>
        <v>2000.7719999999999</v>
      </c>
      <c r="Y80" s="206">
        <f ca="1">X80*(1+GeneralInputs!$D$59)</f>
        <v>2000.7719999999999</v>
      </c>
      <c r="Z80" s="206">
        <f ca="1">Y80*(1+GeneralInputs!$D$59)</f>
        <v>2000.7719999999999</v>
      </c>
      <c r="AB80" s="210" t="s">
        <v>2343</v>
      </c>
      <c r="AC80" s="207">
        <f ca="1">MATCH($AB80&amp;"_"&amp;scenLoad,OFFSET(LoadVars!$G$7,1,0,ctLoadVar,1),0)</f>
        <v>21</v>
      </c>
    </row>
    <row r="81" spans="1:29">
      <c r="C81" s="200" t="s">
        <v>804</v>
      </c>
      <c r="E81" s="201">
        <v>1641.4232</v>
      </c>
      <c r="F81" s="202">
        <v>1641.4232</v>
      </c>
      <c r="G81" s="203">
        <f ca="1">OFFSET(LoadVars!H$7,$AC81,0)</f>
        <v>1641.4232</v>
      </c>
      <c r="H81" s="203">
        <f ca="1">OFFSET(LoadVars!I$7,$AC81,0)</f>
        <v>2502</v>
      </c>
      <c r="I81" s="203">
        <f ca="1">OFFSET(LoadVars!J$7,$AC81,0)</f>
        <v>2685.48</v>
      </c>
      <c r="J81" s="203">
        <f ca="1">OFFSET(LoadVars!K$7,$AC81,0)</f>
        <v>2748.864</v>
      </c>
      <c r="K81" s="203">
        <f ca="1">OFFSET(LoadVars!L$7,$AC81,0)</f>
        <v>2842.2720000000004</v>
      </c>
      <c r="L81" s="203">
        <f ca="1">OFFSET(LoadVars!M$7,$AC81,0)</f>
        <v>2842.2720000000004</v>
      </c>
      <c r="M81" s="203">
        <f ca="1">OFFSET(LoadVars!N$7,$AC81,0)</f>
        <v>2842.2720000000004</v>
      </c>
      <c r="N81" s="203">
        <f ca="1">OFFSET(LoadVars!O$7,$AC81,0)</f>
        <v>2842.2720000000004</v>
      </c>
      <c r="O81" s="203">
        <f ca="1">OFFSET(LoadVars!P$7,$AC81,0)</f>
        <v>2842.2720000000004</v>
      </c>
      <c r="P81" s="204">
        <f ca="1">OFFSET(LoadVars!Q$7,$AC81,0)</f>
        <v>2842.2720000000004</v>
      </c>
      <c r="Q81" s="205">
        <f ca="1">P81*(1+GeneralInputs!$D$59)</f>
        <v>2842.2720000000004</v>
      </c>
      <c r="R81" s="206">
        <f ca="1">Q81*(1+GeneralInputs!$D$59)</f>
        <v>2842.2720000000004</v>
      </c>
      <c r="S81" s="206">
        <f ca="1">R81*(1+GeneralInputs!$D$59)</f>
        <v>2842.2720000000004</v>
      </c>
      <c r="T81" s="206">
        <f ca="1">S81*(1+GeneralInputs!$D$59)</f>
        <v>2842.2720000000004</v>
      </c>
      <c r="U81" s="206">
        <f ca="1">T81*(1+GeneralInputs!$D$59)</f>
        <v>2842.2720000000004</v>
      </c>
      <c r="V81" s="206">
        <f ca="1">U81*(1+GeneralInputs!$D$59)</f>
        <v>2842.2720000000004</v>
      </c>
      <c r="W81" s="206">
        <f ca="1">V81*(1+GeneralInputs!$D$59)</f>
        <v>2842.2720000000004</v>
      </c>
      <c r="X81" s="206">
        <f ca="1">W81*(1+GeneralInputs!$D$59)</f>
        <v>2842.2720000000004</v>
      </c>
      <c r="Y81" s="206">
        <f ca="1">X81*(1+GeneralInputs!$D$59)</f>
        <v>2842.2720000000004</v>
      </c>
      <c r="Z81" s="206">
        <f ca="1">Y81*(1+GeneralInputs!$D$59)</f>
        <v>2842.2720000000004</v>
      </c>
      <c r="AB81" s="210" t="s">
        <v>2344</v>
      </c>
      <c r="AC81" s="207">
        <f ca="1">MATCH($AB81&amp;"_"&amp;scenLoad,OFFSET(LoadVars!$G$7,1,0,ctLoadVar,1),0)</f>
        <v>22</v>
      </c>
    </row>
    <row r="82" spans="1:29">
      <c r="C82" s="200" t="s">
        <v>807</v>
      </c>
      <c r="E82" s="201">
        <v>210.00200000000001</v>
      </c>
      <c r="F82" s="202">
        <v>210.00200000000001</v>
      </c>
      <c r="G82" s="203">
        <f ca="1">OFFSET(LoadVars!H$7,$AC82,0)</f>
        <v>210.00200000000001</v>
      </c>
      <c r="H82" s="203">
        <f ca="1">OFFSET(LoadVars!I$7,$AC82,0)</f>
        <v>225.99200000000002</v>
      </c>
      <c r="I82" s="203">
        <f ca="1">OFFSET(LoadVars!J$7,$AC82,0)</f>
        <v>269.69800000000004</v>
      </c>
      <c r="J82" s="203">
        <f ca="1">OFFSET(LoadVars!K$7,$AC82,0)</f>
        <v>277.16000000000003</v>
      </c>
      <c r="K82" s="203">
        <f ca="1">OFFSET(LoadVars!L$7,$AC82,0)</f>
        <v>284.62200000000001</v>
      </c>
      <c r="L82" s="203">
        <f ca="1">OFFSET(LoadVars!M$7,$AC82,0)</f>
        <v>288.88600000000002</v>
      </c>
      <c r="M82" s="203">
        <f ca="1">OFFSET(LoadVars!N$7,$AC82,0)</f>
        <v>293.15000000000003</v>
      </c>
      <c r="N82" s="203">
        <f ca="1">OFFSET(LoadVars!O$7,$AC82,0)</f>
        <v>298.48</v>
      </c>
      <c r="O82" s="203">
        <f ca="1">OFFSET(LoadVars!P$7,$AC82,0)</f>
        <v>301.678</v>
      </c>
      <c r="P82" s="204">
        <f ca="1">OFFSET(LoadVars!Q$7,$AC82,0)</f>
        <v>301.678</v>
      </c>
      <c r="Q82" s="205">
        <f ca="1">P82*(1+GeneralInputs!$D$59)</f>
        <v>301.678</v>
      </c>
      <c r="R82" s="206">
        <f ca="1">Q82*(1+GeneralInputs!$D$59)</f>
        <v>301.678</v>
      </c>
      <c r="S82" s="206">
        <f ca="1">R82*(1+GeneralInputs!$D$59)</f>
        <v>301.678</v>
      </c>
      <c r="T82" s="206">
        <f ca="1">S82*(1+GeneralInputs!$D$59)</f>
        <v>301.678</v>
      </c>
      <c r="U82" s="206">
        <f ca="1">T82*(1+GeneralInputs!$D$59)</f>
        <v>301.678</v>
      </c>
      <c r="V82" s="206">
        <f ca="1">U82*(1+GeneralInputs!$D$59)</f>
        <v>301.678</v>
      </c>
      <c r="W82" s="206">
        <f ca="1">V82*(1+GeneralInputs!$D$59)</f>
        <v>301.678</v>
      </c>
      <c r="X82" s="206">
        <f ca="1">W82*(1+GeneralInputs!$D$59)</f>
        <v>301.678</v>
      </c>
      <c r="Y82" s="206">
        <f ca="1">X82*(1+GeneralInputs!$D$59)</f>
        <v>301.678</v>
      </c>
      <c r="Z82" s="206">
        <f ca="1">Y82*(1+GeneralInputs!$D$59)</f>
        <v>301.678</v>
      </c>
      <c r="AB82" s="210" t="s">
        <v>2345</v>
      </c>
      <c r="AC82" s="207">
        <f ca="1">MATCH($AB82&amp;"_"&amp;scenLoad,OFFSET(LoadVars!$G$7,1,0,ctLoadVar,1),0)</f>
        <v>23</v>
      </c>
    </row>
    <row r="83" spans="1:29">
      <c r="F83" s="188"/>
      <c r="P83" s="188"/>
      <c r="Q83" s="189"/>
    </row>
    <row r="84" spans="1:29">
      <c r="C84" s="185" t="s">
        <v>2346</v>
      </c>
      <c r="F84" s="188"/>
      <c r="P84" s="188"/>
      <c r="Q84" s="189"/>
    </row>
    <row r="85" spans="1:29">
      <c r="C85" s="211" t="s">
        <v>805</v>
      </c>
      <c r="E85" s="110">
        <f t="shared" ref="E85:Z87" si="11">E62-E70-E75-E80</f>
        <v>18418.82</v>
      </c>
      <c r="F85" s="208">
        <f t="shared" si="11"/>
        <v>18564.849999999999</v>
      </c>
      <c r="G85" s="198">
        <f t="shared" ca="1" si="11"/>
        <v>18701.270363254273</v>
      </c>
      <c r="H85" s="198">
        <f t="shared" ca="1" si="11"/>
        <v>18674.661726508548</v>
      </c>
      <c r="I85" s="198">
        <f t="shared" ca="1" si="11"/>
        <v>18650.664089762824</v>
      </c>
      <c r="J85" s="198">
        <f t="shared" ca="1" si="11"/>
        <v>18575.651453017093</v>
      </c>
      <c r="K85" s="198">
        <f t="shared" ca="1" si="11"/>
        <v>18479.507816271369</v>
      </c>
      <c r="L85" s="198">
        <f t="shared" ca="1" si="11"/>
        <v>18334.621179525635</v>
      </c>
      <c r="M85" s="198">
        <f t="shared" ca="1" si="11"/>
        <v>18194.231542779919</v>
      </c>
      <c r="N85" s="198">
        <f t="shared" ca="1" si="11"/>
        <v>18027.643906034184</v>
      </c>
      <c r="O85" s="198">
        <f t="shared" ca="1" si="11"/>
        <v>17881.441269288462</v>
      </c>
      <c r="P85" s="199">
        <f t="shared" ca="1" si="11"/>
        <v>17785.506632542732</v>
      </c>
      <c r="Q85" s="213">
        <f t="shared" ca="1" si="11"/>
        <v>18069.049382542733</v>
      </c>
      <c r="R85" s="198">
        <f t="shared" ca="1" si="11"/>
        <v>18356.136416917732</v>
      </c>
      <c r="S85" s="198">
        <f t="shared" ca="1" si="11"/>
        <v>18646.812039222419</v>
      </c>
      <c r="T85" s="198">
        <f t="shared" ca="1" si="11"/>
        <v>18941.121106805913</v>
      </c>
      <c r="U85" s="198">
        <f t="shared" ca="1" si="11"/>
        <v>19239.109037734201</v>
      </c>
      <c r="V85" s="198">
        <f t="shared" ca="1" si="11"/>
        <v>19540.821817799093</v>
      </c>
      <c r="W85" s="198">
        <f t="shared" ca="1" si="11"/>
        <v>19846.306007614796</v>
      </c>
      <c r="X85" s="198">
        <f t="shared" ca="1" si="11"/>
        <v>20155.608749803196</v>
      </c>
      <c r="Y85" s="198">
        <f t="shared" ca="1" si="11"/>
        <v>20468.777776268951</v>
      </c>
      <c r="Z85" s="198">
        <f t="shared" ca="1" si="11"/>
        <v>20785.861415565527</v>
      </c>
    </row>
    <row r="86" spans="1:29">
      <c r="C86" s="211" t="s">
        <v>804</v>
      </c>
      <c r="E86" s="110">
        <f t="shared" si="11"/>
        <v>19257.936799999999</v>
      </c>
      <c r="F86" s="208">
        <f t="shared" si="11"/>
        <v>19381.226799999997</v>
      </c>
      <c r="G86" s="198">
        <f t="shared" ca="1" si="11"/>
        <v>19583.185033994039</v>
      </c>
      <c r="H86" s="198">
        <f t="shared" ca="1" si="11"/>
        <v>19000.12246798808</v>
      </c>
      <c r="I86" s="198">
        <f t="shared" ca="1" si="11"/>
        <v>18862.560701982118</v>
      </c>
      <c r="J86" s="198">
        <f t="shared" ca="1" si="11"/>
        <v>18804.652935976163</v>
      </c>
      <c r="K86" s="198">
        <f t="shared" ca="1" si="11"/>
        <v>18705.029169970203</v>
      </c>
      <c r="L86" s="198">
        <f t="shared" ca="1" si="11"/>
        <v>18638.495403964243</v>
      </c>
      <c r="M86" s="198">
        <f t="shared" ca="1" si="11"/>
        <v>18564.945637958284</v>
      </c>
      <c r="N86" s="198">
        <f t="shared" ca="1" si="11"/>
        <v>18455.329871952323</v>
      </c>
      <c r="O86" s="198">
        <f t="shared" ca="1" si="11"/>
        <v>18360.514105946364</v>
      </c>
      <c r="P86" s="199">
        <f t="shared" ca="1" si="11"/>
        <v>18296.054339940405</v>
      </c>
      <c r="Q86" s="213">
        <f t="shared" ca="1" si="11"/>
        <v>18597.878339940406</v>
      </c>
      <c r="R86" s="198">
        <f t="shared" ca="1" si="11"/>
        <v>18903.475139940405</v>
      </c>
      <c r="S86" s="198">
        <f t="shared" ca="1" si="11"/>
        <v>19212.891899940405</v>
      </c>
      <c r="T86" s="198">
        <f t="shared" ca="1" si="11"/>
        <v>19526.176369440404</v>
      </c>
      <c r="U86" s="198">
        <f t="shared" ca="1" si="11"/>
        <v>19843.376894809153</v>
      </c>
      <c r="V86" s="198">
        <f t="shared" ca="1" si="11"/>
        <v>20164.542426745011</v>
      </c>
      <c r="W86" s="198">
        <f t="shared" ca="1" si="11"/>
        <v>20489.722527830068</v>
      </c>
      <c r="X86" s="198">
        <f t="shared" ca="1" si="11"/>
        <v>20818.967380178688</v>
      </c>
      <c r="Y86" s="198">
        <f t="shared" ca="1" si="11"/>
        <v>21152.327793181666</v>
      </c>
      <c r="Z86" s="198">
        <f t="shared" ca="1" si="11"/>
        <v>21489.855211347181</v>
      </c>
    </row>
    <row r="87" spans="1:29">
      <c r="C87" s="211" t="s">
        <v>807</v>
      </c>
      <c r="E87" s="110">
        <f t="shared" si="11"/>
        <v>4276.5138858763776</v>
      </c>
      <c r="F87" s="208">
        <f t="shared" si="11"/>
        <v>4305.8401922696248</v>
      </c>
      <c r="G87" s="198">
        <f t="shared" ca="1" si="11"/>
        <v>4358.7517321835567</v>
      </c>
      <c r="H87" s="198">
        <f t="shared" ca="1" si="11"/>
        <v>4416.1647433956668</v>
      </c>
      <c r="I87" s="198">
        <f t="shared" ca="1" si="11"/>
        <v>4385.3911735668371</v>
      </c>
      <c r="J87" s="198">
        <f t="shared" ca="1" si="11"/>
        <v>4376.072109216715</v>
      </c>
      <c r="K87" s="198">
        <f t="shared" ca="1" si="11"/>
        <v>4363.2542400358152</v>
      </c>
      <c r="L87" s="198">
        <f t="shared" ca="1" si="11"/>
        <v>4340.379289990723</v>
      </c>
      <c r="M87" s="198">
        <f t="shared" ca="1" si="11"/>
        <v>4317.9731791215427</v>
      </c>
      <c r="N87" s="198">
        <f t="shared" ca="1" si="11"/>
        <v>4288.9657434199707</v>
      </c>
      <c r="O87" s="198">
        <f t="shared" ca="1" si="11"/>
        <v>4268.7710705762602</v>
      </c>
      <c r="P87" s="199">
        <f t="shared" ca="1" si="11"/>
        <v>4253.6280886758896</v>
      </c>
      <c r="Q87" s="213">
        <f t="shared" ca="1" si="11"/>
        <v>4318.0908736341271</v>
      </c>
      <c r="R87" s="198">
        <f t="shared" ca="1" si="11"/>
        <v>4383.3594434043425</v>
      </c>
      <c r="S87" s="198">
        <f t="shared" ca="1" si="11"/>
        <v>4449.4438702966854</v>
      </c>
      <c r="T87" s="198">
        <f t="shared" ca="1" si="11"/>
        <v>4516.3543525251825</v>
      </c>
      <c r="U87" s="198">
        <f t="shared" ca="1" si="11"/>
        <v>4584.1012157815367</v>
      </c>
      <c r="V87" s="198">
        <f t="shared" ca="1" si="11"/>
        <v>4652.6949148285948</v>
      </c>
      <c r="W87" s="198">
        <f t="shared" ca="1" si="11"/>
        <v>4722.1460351137412</v>
      </c>
      <c r="X87" s="198">
        <f t="shared" ca="1" si="11"/>
        <v>4792.4652944024519</v>
      </c>
      <c r="Y87" s="198">
        <f t="shared" ca="1" si="11"/>
        <v>4863.6635444322719</v>
      </c>
      <c r="Z87" s="198">
        <f t="shared" ca="1" si="11"/>
        <v>4935.7517725874641</v>
      </c>
    </row>
    <row r="88" spans="1:29">
      <c r="C88" s="212" t="s">
        <v>2320</v>
      </c>
      <c r="E88" s="110">
        <f>SUM(E85:E87)</f>
        <v>41953.270685876378</v>
      </c>
      <c r="F88" s="208">
        <f>SUM(F85:F87)</f>
        <v>42251.916992269616</v>
      </c>
      <c r="G88" s="198">
        <f ca="1">SUM(G85:G87)</f>
        <v>42643.207129431867</v>
      </c>
      <c r="H88" s="198">
        <f t="shared" ref="H88:Z88" ca="1" si="12">SUM(H85:H87)</f>
        <v>42090.948937892295</v>
      </c>
      <c r="I88" s="198">
        <f t="shared" ca="1" si="12"/>
        <v>41898.615965311779</v>
      </c>
      <c r="J88" s="198">
        <f t="shared" ca="1" si="12"/>
        <v>41756.376498209975</v>
      </c>
      <c r="K88" s="198">
        <f t="shared" ca="1" si="12"/>
        <v>41547.791226277383</v>
      </c>
      <c r="L88" s="198">
        <f t="shared" ca="1" si="12"/>
        <v>41313.495873480599</v>
      </c>
      <c r="M88" s="198">
        <f t="shared" ca="1" si="12"/>
        <v>41077.150359859748</v>
      </c>
      <c r="N88" s="198">
        <f t="shared" ca="1" si="12"/>
        <v>40771.939521406479</v>
      </c>
      <c r="O88" s="198">
        <f t="shared" ca="1" si="12"/>
        <v>40510.726445811088</v>
      </c>
      <c r="P88" s="199">
        <f t="shared" ca="1" si="12"/>
        <v>40335.189061159028</v>
      </c>
      <c r="Q88" s="213">
        <f t="shared" ca="1" si="12"/>
        <v>40985.018596117268</v>
      </c>
      <c r="R88" s="198">
        <f t="shared" ca="1" si="12"/>
        <v>41642.971000262478</v>
      </c>
      <c r="S88" s="198">
        <f t="shared" ca="1" si="12"/>
        <v>42309.147809459508</v>
      </c>
      <c r="T88" s="198">
        <f t="shared" ca="1" si="12"/>
        <v>42983.651828771493</v>
      </c>
      <c r="U88" s="198">
        <f t="shared" ca="1" si="12"/>
        <v>43666.587148324885</v>
      </c>
      <c r="V88" s="198">
        <f t="shared" ca="1" si="12"/>
        <v>44358.0591593727</v>
      </c>
      <c r="W88" s="198">
        <f t="shared" ca="1" si="12"/>
        <v>45058.174570558607</v>
      </c>
      <c r="X88" s="198">
        <f t="shared" ca="1" si="12"/>
        <v>45767.041424384333</v>
      </c>
      <c r="Y88" s="198">
        <f t="shared" ca="1" si="12"/>
        <v>46484.769113882896</v>
      </c>
      <c r="Z88" s="198">
        <f t="shared" ca="1" si="12"/>
        <v>47211.468399500169</v>
      </c>
    </row>
    <row r="89" spans="1:29">
      <c r="C89" s="212"/>
      <c r="F89" s="188"/>
      <c r="G89" s="198"/>
      <c r="H89" s="198"/>
      <c r="I89" s="198"/>
      <c r="J89" s="198"/>
      <c r="K89" s="198"/>
      <c r="L89" s="198"/>
      <c r="M89" s="198"/>
      <c r="N89" s="198"/>
      <c r="O89" s="198"/>
      <c r="P89" s="227"/>
      <c r="Q89" s="213"/>
      <c r="R89" s="198"/>
      <c r="S89" s="198"/>
      <c r="T89" s="198"/>
      <c r="U89" s="198"/>
      <c r="V89" s="198"/>
      <c r="W89" s="198"/>
      <c r="X89" s="198"/>
      <c r="Y89" s="198"/>
      <c r="Z89" s="198"/>
    </row>
    <row r="90" spans="1:29">
      <c r="C90" s="225" t="s">
        <v>2347</v>
      </c>
      <c r="E90" s="110">
        <f>E67-SUM(E70:E72,E75:E77,E80:E82)</f>
        <v>44885.394239495363</v>
      </c>
      <c r="F90" s="208">
        <f>F67-SUM(F70:F72,F75:F77,F80:F82)</f>
        <v>45291.356725169724</v>
      </c>
      <c r="G90" s="209">
        <f ca="1">G67-SUM(G70:G72,G75:G77,G80:G82)</f>
        <v>45710.177420015774</v>
      </c>
      <c r="H90" s="110">
        <f t="shared" ref="H90:Z90" ca="1" si="13">H67-SUM(H70:H72,H75:H77,H80:H82)</f>
        <v>45189.804429132266</v>
      </c>
      <c r="I90" s="110">
        <f t="shared" ca="1" si="13"/>
        <v>45028.580994139018</v>
      </c>
      <c r="J90" s="110">
        <f t="shared" ca="1" si="13"/>
        <v>44909.089692309106</v>
      </c>
      <c r="K90" s="110">
        <f t="shared" ca="1" si="13"/>
        <v>44726.176793738625</v>
      </c>
      <c r="L90" s="110">
        <f t="shared" ca="1" si="13"/>
        <v>44518.134522106695</v>
      </c>
      <c r="M90" s="110">
        <f t="shared" ca="1" si="13"/>
        <v>44310.532748591082</v>
      </c>
      <c r="N90" s="110">
        <f t="shared" ca="1" si="13"/>
        <v>44030.851638470507</v>
      </c>
      <c r="O90" s="110">
        <f t="shared" ca="1" si="13"/>
        <v>43795.227266814945</v>
      </c>
      <c r="P90" s="208">
        <f t="shared" ca="1" si="13"/>
        <v>43647.022337054979</v>
      </c>
      <c r="Q90" s="209">
        <f t="shared" ca="1" si="13"/>
        <v>44338.249787961911</v>
      </c>
      <c r="R90" s="110">
        <f t="shared" ca="1" si="13"/>
        <v>45038.117582005179</v>
      </c>
      <c r="S90" s="110">
        <f t="shared" ca="1" si="13"/>
        <v>45746.73372347399</v>
      </c>
      <c r="T90" s="110">
        <f t="shared" ca="1" si="13"/>
        <v>46464.207566711164</v>
      </c>
      <c r="U90" s="110">
        <f t="shared" ca="1" si="13"/>
        <v>47190.649832988798</v>
      </c>
      <c r="V90" s="110">
        <f t="shared" ca="1" si="13"/>
        <v>47926.172627594904</v>
      </c>
      <c r="W90" s="110">
        <f t="shared" ca="1" si="13"/>
        <v>48670.889457133584</v>
      </c>
      <c r="X90" s="110">
        <f t="shared" ca="1" si="13"/>
        <v>49424.915247041499</v>
      </c>
      <c r="Y90" s="110">
        <f t="shared" ca="1" si="13"/>
        <v>50188.366359323263</v>
      </c>
      <c r="Z90" s="110">
        <f t="shared" ca="1" si="13"/>
        <v>50961.360610508549</v>
      </c>
    </row>
    <row r="91" spans="1:29">
      <c r="C91" s="200" t="s">
        <v>2348</v>
      </c>
      <c r="E91" s="215">
        <f>E88/E90</f>
        <v>0.93467533028730843</v>
      </c>
      <c r="F91" s="216">
        <f t="shared" ref="F91:Z91" si="14">F88/F90</f>
        <v>0.93289139578344749</v>
      </c>
      <c r="G91" s="214">
        <f t="shared" ca="1" si="14"/>
        <v>0.93290399504682453</v>
      </c>
      <c r="H91" s="215">
        <f t="shared" ca="1" si="14"/>
        <v>0.93142578220050343</v>
      </c>
      <c r="I91" s="215">
        <f t="shared" ca="1" si="14"/>
        <v>0.93048937009064003</v>
      </c>
      <c r="J91" s="215">
        <f t="shared" ca="1" si="14"/>
        <v>0.92979788243984274</v>
      </c>
      <c r="K91" s="215">
        <f t="shared" ca="1" si="14"/>
        <v>0.92893679282897712</v>
      </c>
      <c r="L91" s="215">
        <f t="shared" ca="1" si="14"/>
        <v>0.9280149834887006</v>
      </c>
      <c r="M91" s="215">
        <f t="shared" ca="1" si="14"/>
        <v>0.92702903377224355</v>
      </c>
      <c r="N91" s="215">
        <f t="shared" ca="1" si="14"/>
        <v>0.92598571238588856</v>
      </c>
      <c r="O91" s="215">
        <f t="shared" ca="1" si="14"/>
        <v>0.92500322464378149</v>
      </c>
      <c r="P91" s="216">
        <f t="shared" ca="1" si="14"/>
        <v>0.92412235477781246</v>
      </c>
      <c r="Q91" s="214">
        <f t="shared" ca="1" si="14"/>
        <v>0.92437159319818107</v>
      </c>
      <c r="R91" s="215">
        <f t="shared" ca="1" si="14"/>
        <v>0.92461615262758623</v>
      </c>
      <c r="S91" s="215">
        <f t="shared" ca="1" si="14"/>
        <v>0.92485614525413529</v>
      </c>
      <c r="T91" s="215">
        <f t="shared" ca="1" si="14"/>
        <v>0.92509167980660278</v>
      </c>
      <c r="U91" s="215">
        <f t="shared" ca="1" si="14"/>
        <v>0.92532286168688438</v>
      </c>
      <c r="V91" s="215">
        <f t="shared" ca="1" si="14"/>
        <v>0.92554979309639762</v>
      </c>
      <c r="W91" s="215">
        <f t="shared" ca="1" si="14"/>
        <v>0.92577257315675643</v>
      </c>
      <c r="X91" s="215">
        <f t="shared" ca="1" si="14"/>
        <v>0.92599129802501545</v>
      </c>
      <c r="Y91" s="215">
        <f t="shared" ca="1" si="14"/>
        <v>0.92620606100376957</v>
      </c>
      <c r="Z91" s="215">
        <f t="shared" ca="1" si="14"/>
        <v>0.92641695264637169</v>
      </c>
    </row>
    <row r="92" spans="1:29">
      <c r="F92" s="188"/>
      <c r="G92" s="189"/>
      <c r="P92" s="188"/>
      <c r="Q92" s="189"/>
    </row>
    <row r="93" spans="1:29">
      <c r="A93" s="194"/>
      <c r="B93" s="195" t="s">
        <v>2384</v>
      </c>
      <c r="C93" s="194"/>
      <c r="D93" s="194"/>
      <c r="E93" s="194"/>
      <c r="F93" s="196"/>
      <c r="G93" s="194"/>
      <c r="H93" s="194"/>
      <c r="I93" s="194"/>
      <c r="J93" s="194"/>
      <c r="K93" s="194"/>
      <c r="L93" s="194"/>
      <c r="M93" s="194"/>
      <c r="N93" s="194"/>
      <c r="O93" s="194"/>
      <c r="P93" s="196"/>
      <c r="Q93" s="197"/>
      <c r="R93" s="194"/>
      <c r="S93" s="194"/>
      <c r="T93" s="194"/>
      <c r="U93" s="194"/>
      <c r="V93" s="194"/>
      <c r="W93" s="194"/>
      <c r="X93" s="194"/>
      <c r="Y93" s="194"/>
      <c r="Z93" s="194"/>
      <c r="AA93" s="194"/>
      <c r="AB93" s="194"/>
      <c r="AC93" s="194"/>
    </row>
    <row r="94" spans="1:29">
      <c r="F94" s="188"/>
      <c r="H94" s="198"/>
      <c r="I94" s="198"/>
      <c r="J94" s="198"/>
      <c r="K94" s="198"/>
      <c r="L94" s="198"/>
      <c r="M94" s="198"/>
      <c r="N94" s="198"/>
      <c r="O94" s="198"/>
      <c r="P94" s="199"/>
      <c r="Q94" s="189"/>
    </row>
    <row r="95" spans="1:29">
      <c r="C95" s="185" t="s">
        <v>2384</v>
      </c>
      <c r="F95" s="188"/>
      <c r="H95" s="198"/>
      <c r="I95" s="198"/>
      <c r="J95" s="198"/>
      <c r="K95" s="198"/>
      <c r="L95" s="198"/>
      <c r="M95" s="198"/>
      <c r="N95" s="198"/>
      <c r="O95" s="198"/>
      <c r="P95" s="199"/>
      <c r="Q95" s="189"/>
    </row>
    <row r="96" spans="1:29">
      <c r="C96" s="200" t="s">
        <v>805</v>
      </c>
      <c r="E96" s="201">
        <v>0</v>
      </c>
      <c r="F96" s="202">
        <v>0</v>
      </c>
      <c r="G96" s="203">
        <f ca="1">OFFSET(LoadVars!H$7,$AC96,0)</f>
        <v>40.875038770281797</v>
      </c>
      <c r="H96" s="203">
        <f ca="1">OFFSET(LoadVars!I$7,$AC96,0)</f>
        <v>81.750077540563595</v>
      </c>
      <c r="I96" s="203">
        <f ca="1">OFFSET(LoadVars!J$7,$AC96,0)</f>
        <v>122.62511631084539</v>
      </c>
      <c r="J96" s="203">
        <f ca="1">OFFSET(LoadVars!K$7,$AC96,0)</f>
        <v>163.50015508112719</v>
      </c>
      <c r="K96" s="203">
        <f ca="1">OFFSET(LoadVars!L$7,$AC96,0)</f>
        <v>204.37519385140899</v>
      </c>
      <c r="L96" s="203">
        <f ca="1">OFFSET(LoadVars!M$7,$AC96,0)</f>
        <v>245.2502326216908</v>
      </c>
      <c r="M96" s="203">
        <f ca="1">OFFSET(LoadVars!N$7,$AC96,0)</f>
        <v>286.1252713919726</v>
      </c>
      <c r="N96" s="203">
        <f ca="1">OFFSET(LoadVars!O$7,$AC96,0)</f>
        <v>327.00031016225438</v>
      </c>
      <c r="O96" s="203">
        <f ca="1">OFFSET(LoadVars!P$7,$AC96,0)</f>
        <v>367.87534893253616</v>
      </c>
      <c r="P96" s="204">
        <f ca="1">OFFSET(LoadVars!Q$7,$AC96,0)</f>
        <v>408.75038770281793</v>
      </c>
      <c r="Q96" s="205">
        <f ca="1">P96</f>
        <v>408.75038770281793</v>
      </c>
      <c r="R96" s="206">
        <f t="shared" ref="R96:Z96" ca="1" si="15">Q96</f>
        <v>408.75038770281793</v>
      </c>
      <c r="S96" s="206">
        <f t="shared" ca="1" si="15"/>
        <v>408.75038770281793</v>
      </c>
      <c r="T96" s="206">
        <f t="shared" ca="1" si="15"/>
        <v>408.75038770281793</v>
      </c>
      <c r="U96" s="206">
        <f t="shared" ca="1" si="15"/>
        <v>408.75038770281793</v>
      </c>
      <c r="V96" s="206">
        <f t="shared" ca="1" si="15"/>
        <v>408.75038770281793</v>
      </c>
      <c r="W96" s="206">
        <f t="shared" ca="1" si="15"/>
        <v>408.75038770281793</v>
      </c>
      <c r="X96" s="206">
        <f t="shared" ca="1" si="15"/>
        <v>408.75038770281793</v>
      </c>
      <c r="Y96" s="206">
        <f t="shared" ca="1" si="15"/>
        <v>408.75038770281793</v>
      </c>
      <c r="Z96" s="206">
        <f t="shared" ca="1" si="15"/>
        <v>408.75038770281793</v>
      </c>
      <c r="AB96" s="186" t="s">
        <v>2359</v>
      </c>
      <c r="AC96" s="207">
        <f ca="1">MATCH($AB96&amp;"_"&amp;scenLoad,OFFSET(LoadVars!$G$7,1,0,ctLoadVar,1),0)</f>
        <v>12</v>
      </c>
    </row>
    <row r="97" spans="3:29">
      <c r="C97" s="200" t="s">
        <v>804</v>
      </c>
      <c r="E97" s="201">
        <v>0</v>
      </c>
      <c r="F97" s="202">
        <v>0</v>
      </c>
      <c r="G97" s="203">
        <f ca="1">OFFSET(LoadVars!H$7,$AC97,0)</f>
        <v>32.236722843723307</v>
      </c>
      <c r="H97" s="203">
        <f ca="1">OFFSET(LoadVars!I$7,$AC97,0)</f>
        <v>64.473445687446613</v>
      </c>
      <c r="I97" s="203">
        <f ca="1">OFFSET(LoadVars!J$7,$AC97,0)</f>
        <v>96.710168531169927</v>
      </c>
      <c r="J97" s="203">
        <f ca="1">OFFSET(LoadVars!K$7,$AC97,0)</f>
        <v>128.94689137489323</v>
      </c>
      <c r="K97" s="203">
        <f ca="1">OFFSET(LoadVars!L$7,$AC97,0)</f>
        <v>161.18361421861653</v>
      </c>
      <c r="L97" s="203">
        <f ca="1">OFFSET(LoadVars!M$7,$AC97,0)</f>
        <v>193.42033706233983</v>
      </c>
      <c r="M97" s="203">
        <f ca="1">OFFSET(LoadVars!N$7,$AC97,0)</f>
        <v>225.65705990606313</v>
      </c>
      <c r="N97" s="203">
        <f ca="1">OFFSET(LoadVars!O$7,$AC97,0)</f>
        <v>257.89378274978645</v>
      </c>
      <c r="O97" s="203">
        <f ca="1">OFFSET(LoadVars!P$7,$AC97,0)</f>
        <v>290.13050559350978</v>
      </c>
      <c r="P97" s="204">
        <f ca="1">OFFSET(LoadVars!Q$7,$AC97,0)</f>
        <v>322.36722843723311</v>
      </c>
      <c r="Q97" s="205">
        <f t="shared" ref="Q97:Z97" ca="1" si="16">P97</f>
        <v>322.36722843723311</v>
      </c>
      <c r="R97" s="206">
        <f t="shared" ca="1" si="16"/>
        <v>322.36722843723311</v>
      </c>
      <c r="S97" s="206">
        <f t="shared" ca="1" si="16"/>
        <v>322.36722843723311</v>
      </c>
      <c r="T97" s="206">
        <f t="shared" ca="1" si="16"/>
        <v>322.36722843723311</v>
      </c>
      <c r="U97" s="206">
        <f t="shared" ca="1" si="16"/>
        <v>322.36722843723311</v>
      </c>
      <c r="V97" s="206">
        <f t="shared" ca="1" si="16"/>
        <v>322.36722843723311</v>
      </c>
      <c r="W97" s="206">
        <f t="shared" ca="1" si="16"/>
        <v>322.36722843723311</v>
      </c>
      <c r="X97" s="206">
        <f t="shared" ca="1" si="16"/>
        <v>322.36722843723311</v>
      </c>
      <c r="Y97" s="206">
        <f t="shared" ca="1" si="16"/>
        <v>322.36722843723311</v>
      </c>
      <c r="Z97" s="206">
        <f t="shared" ca="1" si="16"/>
        <v>322.36722843723311</v>
      </c>
      <c r="AB97" s="186" t="s">
        <v>2360</v>
      </c>
      <c r="AC97" s="207">
        <f ca="1">MATCH($AB97&amp;"_"&amp;scenLoad,OFFSET(LoadVars!$G$7,1,0,ctLoadVar,1),0)</f>
        <v>13</v>
      </c>
    </row>
    <row r="98" spans="3:29">
      <c r="C98" s="200" t="s">
        <v>807</v>
      </c>
      <c r="E98" s="201">
        <v>0</v>
      </c>
      <c r="F98" s="202">
        <v>0</v>
      </c>
      <c r="G98" s="203">
        <f ca="1">OFFSET(LoadVars!H$7,$AC98,0)</f>
        <v>2.9443883859948756</v>
      </c>
      <c r="H98" s="203">
        <f ca="1">OFFSET(LoadVars!I$7,$AC98,0)</f>
        <v>5.8887767719897512</v>
      </c>
      <c r="I98" s="203">
        <f ca="1">OFFSET(LoadVars!J$7,$AC98,0)</f>
        <v>8.8331651579846273</v>
      </c>
      <c r="J98" s="203">
        <f ca="1">OFFSET(LoadVars!K$7,$AC98,0)</f>
        <v>11.777553543979502</v>
      </c>
      <c r="K98" s="203">
        <f ca="1">OFFSET(LoadVars!L$7,$AC98,0)</f>
        <v>14.721941929974378</v>
      </c>
      <c r="L98" s="203">
        <f ca="1">OFFSET(LoadVars!M$7,$AC98,0)</f>
        <v>17.666330315969255</v>
      </c>
      <c r="M98" s="203">
        <f ca="1">OFFSET(LoadVars!N$7,$AC98,0)</f>
        <v>20.610718701964132</v>
      </c>
      <c r="N98" s="203">
        <f ca="1">OFFSET(LoadVars!O$7,$AC98,0)</f>
        <v>23.555107087959009</v>
      </c>
      <c r="O98" s="203">
        <f ca="1">OFFSET(LoadVars!P$7,$AC98,0)</f>
        <v>26.499495473953885</v>
      </c>
      <c r="P98" s="204">
        <f ca="1">OFFSET(LoadVars!Q$7,$AC98,0)</f>
        <v>29.443883859948762</v>
      </c>
      <c r="Q98" s="205">
        <f t="shared" ref="Q98:Z98" ca="1" si="17">P98</f>
        <v>29.443883859948762</v>
      </c>
      <c r="R98" s="206">
        <f t="shared" ca="1" si="17"/>
        <v>29.443883859948762</v>
      </c>
      <c r="S98" s="206">
        <f t="shared" ca="1" si="17"/>
        <v>29.443883859948762</v>
      </c>
      <c r="T98" s="206">
        <f t="shared" ca="1" si="17"/>
        <v>29.443883859948762</v>
      </c>
      <c r="U98" s="206">
        <f t="shared" ca="1" si="17"/>
        <v>29.443883859948762</v>
      </c>
      <c r="V98" s="206">
        <f t="shared" ca="1" si="17"/>
        <v>29.443883859948762</v>
      </c>
      <c r="W98" s="206">
        <f t="shared" ca="1" si="17"/>
        <v>29.443883859948762</v>
      </c>
      <c r="X98" s="206">
        <f t="shared" ca="1" si="17"/>
        <v>29.443883859948762</v>
      </c>
      <c r="Y98" s="206">
        <f t="shared" ca="1" si="17"/>
        <v>29.443883859948762</v>
      </c>
      <c r="Z98" s="206">
        <f t="shared" ca="1" si="17"/>
        <v>29.443883859948762</v>
      </c>
      <c r="AB98" s="186" t="s">
        <v>2361</v>
      </c>
      <c r="AC98" s="207">
        <f ca="1">MATCH($AB98&amp;"_"&amp;scenLoad,OFFSET(LoadVars!$G$7,1,0,ctLoadVar,1),0)</f>
        <v>14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2"/>
  <sheetViews>
    <sheetView zoomScale="85" zoomScaleNormal="85" workbookViewId="0">
      <pane ySplit="2" topLeftCell="A3" activePane="bottomLeft" state="frozen"/>
      <selection pane="bottomLeft" activeCell="E18" sqref="E18"/>
    </sheetView>
  </sheetViews>
  <sheetFormatPr defaultRowHeight="12.75"/>
  <cols>
    <col min="1" max="1" width="9.140625" style="65"/>
    <col min="2" max="2" width="5.28515625" style="65" customWidth="1"/>
    <col min="3" max="3" width="41" style="65" bestFit="1" customWidth="1"/>
    <col min="4" max="4" width="10.7109375" style="65" customWidth="1"/>
    <col min="5" max="11" width="10.28515625" style="65" bestFit="1" customWidth="1"/>
    <col min="12" max="23" width="10.85546875" style="65" bestFit="1" customWidth="1"/>
    <col min="24" max="16384" width="9.140625" style="65"/>
  </cols>
  <sheetData>
    <row r="1" spans="1:23">
      <c r="D1" s="95" t="s">
        <v>189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7"/>
    </row>
    <row r="2" spans="1:23">
      <c r="D2" s="98">
        <v>2011</v>
      </c>
      <c r="E2" s="99">
        <f t="shared" ref="E2:M2" si="0">+D2+1</f>
        <v>2012</v>
      </c>
      <c r="F2" s="99">
        <f t="shared" si="0"/>
        <v>2013</v>
      </c>
      <c r="G2" s="99">
        <f t="shared" si="0"/>
        <v>2014</v>
      </c>
      <c r="H2" s="99">
        <f t="shared" si="0"/>
        <v>2015</v>
      </c>
      <c r="I2" s="99">
        <f t="shared" si="0"/>
        <v>2016</v>
      </c>
      <c r="J2" s="99">
        <f t="shared" si="0"/>
        <v>2017</v>
      </c>
      <c r="K2" s="99">
        <f t="shared" si="0"/>
        <v>2018</v>
      </c>
      <c r="L2" s="99">
        <f t="shared" si="0"/>
        <v>2019</v>
      </c>
      <c r="M2" s="99">
        <f t="shared" si="0"/>
        <v>2020</v>
      </c>
      <c r="N2" s="99">
        <f t="shared" ref="N2" si="1">+M2+1</f>
        <v>2021</v>
      </c>
      <c r="O2" s="99">
        <f t="shared" ref="O2" si="2">+N2+1</f>
        <v>2022</v>
      </c>
      <c r="P2" s="99">
        <f t="shared" ref="P2" si="3">+O2+1</f>
        <v>2023</v>
      </c>
      <c r="Q2" s="99">
        <f t="shared" ref="Q2" si="4">+P2+1</f>
        <v>2024</v>
      </c>
      <c r="R2" s="99">
        <f t="shared" ref="R2" si="5">+Q2+1</f>
        <v>2025</v>
      </c>
      <c r="S2" s="99">
        <f t="shared" ref="S2" si="6">+R2+1</f>
        <v>2026</v>
      </c>
      <c r="T2" s="99">
        <f t="shared" ref="T2" si="7">+S2+1</f>
        <v>2027</v>
      </c>
      <c r="U2" s="99">
        <f t="shared" ref="U2" si="8">+T2+1</f>
        <v>2028</v>
      </c>
      <c r="V2" s="99">
        <f t="shared" ref="V2" si="9">+U2+1</f>
        <v>2029</v>
      </c>
      <c r="W2" s="100">
        <f t="shared" ref="W2" si="10">+V2+1</f>
        <v>2030</v>
      </c>
    </row>
    <row r="4" spans="1:23">
      <c r="A4" s="65" t="s">
        <v>25</v>
      </c>
    </row>
    <row r="5" spans="1:23">
      <c r="B5" s="83" t="s">
        <v>2090</v>
      </c>
    </row>
    <row r="6" spans="1:23">
      <c r="C6" s="65" t="s">
        <v>10</v>
      </c>
      <c r="D6" s="66">
        <v>6067.25</v>
      </c>
      <c r="E6" s="66">
        <v>6067.25</v>
      </c>
      <c r="F6" s="66">
        <v>6067.25</v>
      </c>
      <c r="G6" s="66">
        <v>6067.25</v>
      </c>
      <c r="H6" s="66">
        <v>6067.25</v>
      </c>
      <c r="I6" s="66">
        <v>6067.25</v>
      </c>
      <c r="J6" s="66">
        <v>6067.25</v>
      </c>
      <c r="K6" s="66">
        <v>6067.25</v>
      </c>
      <c r="L6" s="66">
        <v>6067.25</v>
      </c>
      <c r="M6" s="66">
        <v>6067.25</v>
      </c>
      <c r="N6" s="66">
        <v>6067.25</v>
      </c>
      <c r="O6" s="66">
        <v>6067.25</v>
      </c>
      <c r="P6" s="66">
        <v>6067.25</v>
      </c>
      <c r="Q6" s="66">
        <v>6067.25</v>
      </c>
      <c r="R6" s="66">
        <v>6067.25</v>
      </c>
      <c r="S6" s="66">
        <v>6067.25</v>
      </c>
      <c r="T6" s="66">
        <v>6067.25</v>
      </c>
      <c r="U6" s="66">
        <v>6067.25</v>
      </c>
      <c r="V6" s="66">
        <v>6067.25</v>
      </c>
      <c r="W6" s="66">
        <v>6067.25</v>
      </c>
    </row>
    <row r="7" spans="1:23">
      <c r="C7" s="65" t="s">
        <v>12</v>
      </c>
      <c r="D7" s="66">
        <v>8917.875</v>
      </c>
      <c r="E7" s="66">
        <v>8917.875</v>
      </c>
      <c r="F7" s="66">
        <v>8917.875</v>
      </c>
      <c r="G7" s="66">
        <v>8917.875</v>
      </c>
      <c r="H7" s="66">
        <v>8917.875</v>
      </c>
      <c r="I7" s="66">
        <v>8917.875</v>
      </c>
      <c r="J7" s="66">
        <v>8917.875</v>
      </c>
      <c r="K7" s="66">
        <v>8917.875</v>
      </c>
      <c r="L7" s="66">
        <v>8917.875</v>
      </c>
      <c r="M7" s="66">
        <v>8917.875</v>
      </c>
      <c r="N7" s="66">
        <v>8917.875</v>
      </c>
      <c r="O7" s="66">
        <v>8917.875</v>
      </c>
      <c r="P7" s="66">
        <v>8917.875</v>
      </c>
      <c r="Q7" s="66">
        <v>8917.875</v>
      </c>
      <c r="R7" s="66">
        <v>8917.875</v>
      </c>
      <c r="S7" s="66">
        <v>8917.875</v>
      </c>
      <c r="T7" s="66">
        <v>8917.875</v>
      </c>
      <c r="U7" s="66">
        <v>8917.875</v>
      </c>
      <c r="V7" s="66">
        <v>8917.875</v>
      </c>
      <c r="W7" s="66">
        <v>8917.875</v>
      </c>
    </row>
    <row r="8" spans="1:23">
      <c r="C8" s="65" t="s">
        <v>11</v>
      </c>
      <c r="D8" s="66">
        <v>1969.625</v>
      </c>
      <c r="E8" s="66">
        <v>1969.625</v>
      </c>
      <c r="F8" s="66">
        <v>1969.625</v>
      </c>
      <c r="G8" s="66">
        <v>1969.625</v>
      </c>
      <c r="H8" s="66">
        <v>1969.625</v>
      </c>
      <c r="I8" s="66">
        <v>1969.625</v>
      </c>
      <c r="J8" s="66">
        <v>1969.625</v>
      </c>
      <c r="K8" s="66">
        <v>1969.625</v>
      </c>
      <c r="L8" s="66">
        <v>1969.625</v>
      </c>
      <c r="M8" s="66">
        <v>1969.625</v>
      </c>
      <c r="N8" s="66">
        <v>1969.625</v>
      </c>
      <c r="O8" s="66">
        <v>1969.625</v>
      </c>
      <c r="P8" s="66">
        <v>1969.625</v>
      </c>
      <c r="Q8" s="66">
        <v>1969.625</v>
      </c>
      <c r="R8" s="66">
        <v>1969.625</v>
      </c>
      <c r="S8" s="66">
        <v>1969.625</v>
      </c>
      <c r="T8" s="66">
        <v>1969.625</v>
      </c>
      <c r="U8" s="66">
        <v>1969.625</v>
      </c>
      <c r="V8" s="66">
        <v>1969.625</v>
      </c>
      <c r="W8" s="66">
        <v>1969.625</v>
      </c>
    </row>
    <row r="9" spans="1:23">
      <c r="B9" s="65" t="s">
        <v>2067</v>
      </c>
    </row>
    <row r="10" spans="1:23">
      <c r="C10" s="65" t="s">
        <v>10</v>
      </c>
      <c r="D10" s="66">
        <v>0</v>
      </c>
      <c r="E10" s="66">
        <v>0</v>
      </c>
      <c r="F10" s="66">
        <v>0</v>
      </c>
      <c r="G10" s="66">
        <v>0</v>
      </c>
      <c r="H10" s="66">
        <v>0</v>
      </c>
      <c r="I10" s="66">
        <v>0</v>
      </c>
      <c r="J10" s="66">
        <v>0</v>
      </c>
      <c r="K10" s="66">
        <v>0</v>
      </c>
      <c r="L10" s="66">
        <v>0</v>
      </c>
      <c r="M10" s="66">
        <v>0</v>
      </c>
      <c r="N10" s="66">
        <v>0</v>
      </c>
      <c r="O10" s="66">
        <v>0</v>
      </c>
      <c r="P10" s="66">
        <v>0</v>
      </c>
      <c r="Q10" s="66">
        <v>0</v>
      </c>
      <c r="R10" s="66">
        <v>0</v>
      </c>
      <c r="S10" s="66">
        <v>0</v>
      </c>
      <c r="T10" s="66">
        <v>0</v>
      </c>
      <c r="U10" s="66">
        <v>0</v>
      </c>
      <c r="V10" s="66">
        <v>0</v>
      </c>
      <c r="W10" s="66">
        <v>0</v>
      </c>
    </row>
    <row r="11" spans="1:23">
      <c r="C11" s="65" t="s">
        <v>12</v>
      </c>
      <c r="D11" s="66">
        <v>0</v>
      </c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v>0</v>
      </c>
      <c r="K11" s="66">
        <v>0</v>
      </c>
      <c r="L11" s="66">
        <v>0</v>
      </c>
      <c r="M11" s="66">
        <v>0</v>
      </c>
      <c r="N11" s="66">
        <v>0</v>
      </c>
      <c r="O11" s="66">
        <v>0</v>
      </c>
      <c r="P11" s="66">
        <v>0</v>
      </c>
      <c r="Q11" s="66">
        <v>0</v>
      </c>
      <c r="R11" s="66">
        <v>0</v>
      </c>
      <c r="S11" s="66">
        <v>0</v>
      </c>
      <c r="T11" s="66">
        <v>0</v>
      </c>
      <c r="U11" s="66">
        <v>0</v>
      </c>
      <c r="V11" s="66">
        <v>0</v>
      </c>
      <c r="W11" s="66">
        <v>0</v>
      </c>
    </row>
    <row r="12" spans="1:23">
      <c r="C12" s="65" t="s">
        <v>11</v>
      </c>
      <c r="D12" s="66">
        <v>0</v>
      </c>
      <c r="E12" s="66">
        <v>0</v>
      </c>
      <c r="F12" s="66">
        <v>0</v>
      </c>
      <c r="G12" s="66">
        <v>0</v>
      </c>
      <c r="H12" s="66">
        <v>0</v>
      </c>
      <c r="I12" s="66">
        <v>0</v>
      </c>
      <c r="J12" s="66">
        <v>0</v>
      </c>
      <c r="K12" s="66">
        <v>0</v>
      </c>
      <c r="L12" s="66">
        <v>0</v>
      </c>
      <c r="M12" s="66">
        <v>0</v>
      </c>
      <c r="N12" s="66">
        <v>0</v>
      </c>
      <c r="O12" s="66">
        <v>0</v>
      </c>
      <c r="P12" s="66">
        <v>0</v>
      </c>
      <c r="Q12" s="66">
        <v>0</v>
      </c>
      <c r="R12" s="66">
        <v>0</v>
      </c>
      <c r="S12" s="66">
        <v>0</v>
      </c>
      <c r="T12" s="66">
        <v>0</v>
      </c>
      <c r="U12" s="66">
        <v>0</v>
      </c>
      <c r="V12" s="66">
        <v>0</v>
      </c>
      <c r="W12" s="6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H76"/>
  <sheetViews>
    <sheetView zoomScale="85" zoomScaleNormal="85" workbookViewId="0">
      <pane ySplit="3" topLeftCell="A33" activePane="bottomLeft" state="frozen"/>
      <selection pane="bottomLeft" activeCell="N45" sqref="N45"/>
    </sheetView>
  </sheetViews>
  <sheetFormatPr defaultRowHeight="12.75"/>
  <cols>
    <col min="1" max="1" width="4.28515625" style="28" customWidth="1"/>
    <col min="2" max="2" width="25.7109375" style="28" customWidth="1"/>
    <col min="3" max="3" width="11.5703125" style="28" customWidth="1"/>
    <col min="4" max="7" width="9.140625" style="28" bestFit="1" customWidth="1"/>
    <col min="8" max="12" width="9.42578125" style="28" bestFit="1" customWidth="1"/>
    <col min="13" max="23" width="10.28515625" style="28" bestFit="1" customWidth="1"/>
    <col min="24" max="257" width="9.140625" style="28"/>
    <col min="258" max="258" width="10.7109375" style="28" customWidth="1"/>
    <col min="259" max="259" width="25.7109375" style="28" customWidth="1"/>
    <col min="260" max="513" width="9.140625" style="28"/>
    <col min="514" max="514" width="10.7109375" style="28" customWidth="1"/>
    <col min="515" max="515" width="25.7109375" style="28" customWidth="1"/>
    <col min="516" max="769" width="9.140625" style="28"/>
    <col min="770" max="770" width="10.7109375" style="28" customWidth="1"/>
    <col min="771" max="771" width="25.7109375" style="28" customWidth="1"/>
    <col min="772" max="1025" width="9.140625" style="28"/>
    <col min="1026" max="1026" width="10.7109375" style="28" customWidth="1"/>
    <col min="1027" max="1027" width="25.7109375" style="28" customWidth="1"/>
    <col min="1028" max="1281" width="9.140625" style="28"/>
    <col min="1282" max="1282" width="10.7109375" style="28" customWidth="1"/>
    <col min="1283" max="1283" width="25.7109375" style="28" customWidth="1"/>
    <col min="1284" max="1537" width="9.140625" style="28"/>
    <col min="1538" max="1538" width="10.7109375" style="28" customWidth="1"/>
    <col min="1539" max="1539" width="25.7109375" style="28" customWidth="1"/>
    <col min="1540" max="1793" width="9.140625" style="28"/>
    <col min="1794" max="1794" width="10.7109375" style="28" customWidth="1"/>
    <col min="1795" max="1795" width="25.7109375" style="28" customWidth="1"/>
    <col min="1796" max="2049" width="9.140625" style="28"/>
    <col min="2050" max="2050" width="10.7109375" style="28" customWidth="1"/>
    <col min="2051" max="2051" width="25.7109375" style="28" customWidth="1"/>
    <col min="2052" max="2305" width="9.140625" style="28"/>
    <col min="2306" max="2306" width="10.7109375" style="28" customWidth="1"/>
    <col min="2307" max="2307" width="25.7109375" style="28" customWidth="1"/>
    <col min="2308" max="2561" width="9.140625" style="28"/>
    <col min="2562" max="2562" width="10.7109375" style="28" customWidth="1"/>
    <col min="2563" max="2563" width="25.7109375" style="28" customWidth="1"/>
    <col min="2564" max="2817" width="9.140625" style="28"/>
    <col min="2818" max="2818" width="10.7109375" style="28" customWidth="1"/>
    <col min="2819" max="2819" width="25.7109375" style="28" customWidth="1"/>
    <col min="2820" max="3073" width="9.140625" style="28"/>
    <col min="3074" max="3074" width="10.7109375" style="28" customWidth="1"/>
    <col min="3075" max="3075" width="25.7109375" style="28" customWidth="1"/>
    <col min="3076" max="3329" width="9.140625" style="28"/>
    <col min="3330" max="3330" width="10.7109375" style="28" customWidth="1"/>
    <col min="3331" max="3331" width="25.7109375" style="28" customWidth="1"/>
    <col min="3332" max="3585" width="9.140625" style="28"/>
    <col min="3586" max="3586" width="10.7109375" style="28" customWidth="1"/>
    <col min="3587" max="3587" width="25.7109375" style="28" customWidth="1"/>
    <col min="3588" max="3841" width="9.140625" style="28"/>
    <col min="3842" max="3842" width="10.7109375" style="28" customWidth="1"/>
    <col min="3843" max="3843" width="25.7109375" style="28" customWidth="1"/>
    <col min="3844" max="4097" width="9.140625" style="28"/>
    <col min="4098" max="4098" width="10.7109375" style="28" customWidth="1"/>
    <col min="4099" max="4099" width="25.7109375" style="28" customWidth="1"/>
    <col min="4100" max="4353" width="9.140625" style="28"/>
    <col min="4354" max="4354" width="10.7109375" style="28" customWidth="1"/>
    <col min="4355" max="4355" width="25.7109375" style="28" customWidth="1"/>
    <col min="4356" max="4609" width="9.140625" style="28"/>
    <col min="4610" max="4610" width="10.7109375" style="28" customWidth="1"/>
    <col min="4611" max="4611" width="25.7109375" style="28" customWidth="1"/>
    <col min="4612" max="4865" width="9.140625" style="28"/>
    <col min="4866" max="4866" width="10.7109375" style="28" customWidth="1"/>
    <col min="4867" max="4867" width="25.7109375" style="28" customWidth="1"/>
    <col min="4868" max="5121" width="9.140625" style="28"/>
    <col min="5122" max="5122" width="10.7109375" style="28" customWidth="1"/>
    <col min="5123" max="5123" width="25.7109375" style="28" customWidth="1"/>
    <col min="5124" max="5377" width="9.140625" style="28"/>
    <col min="5378" max="5378" width="10.7109375" style="28" customWidth="1"/>
    <col min="5379" max="5379" width="25.7109375" style="28" customWidth="1"/>
    <col min="5380" max="5633" width="9.140625" style="28"/>
    <col min="5634" max="5634" width="10.7109375" style="28" customWidth="1"/>
    <col min="5635" max="5635" width="25.7109375" style="28" customWidth="1"/>
    <col min="5636" max="5889" width="9.140625" style="28"/>
    <col min="5890" max="5890" width="10.7109375" style="28" customWidth="1"/>
    <col min="5891" max="5891" width="25.7109375" style="28" customWidth="1"/>
    <col min="5892" max="6145" width="9.140625" style="28"/>
    <col min="6146" max="6146" width="10.7109375" style="28" customWidth="1"/>
    <col min="6147" max="6147" width="25.7109375" style="28" customWidth="1"/>
    <col min="6148" max="6401" width="9.140625" style="28"/>
    <col min="6402" max="6402" width="10.7109375" style="28" customWidth="1"/>
    <col min="6403" max="6403" width="25.7109375" style="28" customWidth="1"/>
    <col min="6404" max="6657" width="9.140625" style="28"/>
    <col min="6658" max="6658" width="10.7109375" style="28" customWidth="1"/>
    <col min="6659" max="6659" width="25.7109375" style="28" customWidth="1"/>
    <col min="6660" max="6913" width="9.140625" style="28"/>
    <col min="6914" max="6914" width="10.7109375" style="28" customWidth="1"/>
    <col min="6915" max="6915" width="25.7109375" style="28" customWidth="1"/>
    <col min="6916" max="7169" width="9.140625" style="28"/>
    <col min="7170" max="7170" width="10.7109375" style="28" customWidth="1"/>
    <col min="7171" max="7171" width="25.7109375" style="28" customWidth="1"/>
    <col min="7172" max="7425" width="9.140625" style="28"/>
    <col min="7426" max="7426" width="10.7109375" style="28" customWidth="1"/>
    <col min="7427" max="7427" width="25.7109375" style="28" customWidth="1"/>
    <col min="7428" max="7681" width="9.140625" style="28"/>
    <col min="7682" max="7682" width="10.7109375" style="28" customWidth="1"/>
    <col min="7683" max="7683" width="25.7109375" style="28" customWidth="1"/>
    <col min="7684" max="7937" width="9.140625" style="28"/>
    <col min="7938" max="7938" width="10.7109375" style="28" customWidth="1"/>
    <col min="7939" max="7939" width="25.7109375" style="28" customWidth="1"/>
    <col min="7940" max="8193" width="9.140625" style="28"/>
    <col min="8194" max="8194" width="10.7109375" style="28" customWidth="1"/>
    <col min="8195" max="8195" width="25.7109375" style="28" customWidth="1"/>
    <col min="8196" max="8449" width="9.140625" style="28"/>
    <col min="8450" max="8450" width="10.7109375" style="28" customWidth="1"/>
    <col min="8451" max="8451" width="25.7109375" style="28" customWidth="1"/>
    <col min="8452" max="8705" width="9.140625" style="28"/>
    <col min="8706" max="8706" width="10.7109375" style="28" customWidth="1"/>
    <col min="8707" max="8707" width="25.7109375" style="28" customWidth="1"/>
    <col min="8708" max="8961" width="9.140625" style="28"/>
    <col min="8962" max="8962" width="10.7109375" style="28" customWidth="1"/>
    <col min="8963" max="8963" width="25.7109375" style="28" customWidth="1"/>
    <col min="8964" max="9217" width="9.140625" style="28"/>
    <col min="9218" max="9218" width="10.7109375" style="28" customWidth="1"/>
    <col min="9219" max="9219" width="25.7109375" style="28" customWidth="1"/>
    <col min="9220" max="9473" width="9.140625" style="28"/>
    <col min="9474" max="9474" width="10.7109375" style="28" customWidth="1"/>
    <col min="9475" max="9475" width="25.7109375" style="28" customWidth="1"/>
    <col min="9476" max="9729" width="9.140625" style="28"/>
    <col min="9730" max="9730" width="10.7109375" style="28" customWidth="1"/>
    <col min="9731" max="9731" width="25.7109375" style="28" customWidth="1"/>
    <col min="9732" max="9985" width="9.140625" style="28"/>
    <col min="9986" max="9986" width="10.7109375" style="28" customWidth="1"/>
    <col min="9987" max="9987" width="25.7109375" style="28" customWidth="1"/>
    <col min="9988" max="10241" width="9.140625" style="28"/>
    <col min="10242" max="10242" width="10.7109375" style="28" customWidth="1"/>
    <col min="10243" max="10243" width="25.7109375" style="28" customWidth="1"/>
    <col min="10244" max="10497" width="9.140625" style="28"/>
    <col min="10498" max="10498" width="10.7109375" style="28" customWidth="1"/>
    <col min="10499" max="10499" width="25.7109375" style="28" customWidth="1"/>
    <col min="10500" max="10753" width="9.140625" style="28"/>
    <col min="10754" max="10754" width="10.7109375" style="28" customWidth="1"/>
    <col min="10755" max="10755" width="25.7109375" style="28" customWidth="1"/>
    <col min="10756" max="11009" width="9.140625" style="28"/>
    <col min="11010" max="11010" width="10.7109375" style="28" customWidth="1"/>
    <col min="11011" max="11011" width="25.7109375" style="28" customWidth="1"/>
    <col min="11012" max="11265" width="9.140625" style="28"/>
    <col min="11266" max="11266" width="10.7109375" style="28" customWidth="1"/>
    <col min="11267" max="11267" width="25.7109375" style="28" customWidth="1"/>
    <col min="11268" max="11521" width="9.140625" style="28"/>
    <col min="11522" max="11522" width="10.7109375" style="28" customWidth="1"/>
    <col min="11523" max="11523" width="25.7109375" style="28" customWidth="1"/>
    <col min="11524" max="11777" width="9.140625" style="28"/>
    <col min="11778" max="11778" width="10.7109375" style="28" customWidth="1"/>
    <col min="11779" max="11779" width="25.7109375" style="28" customWidth="1"/>
    <col min="11780" max="12033" width="9.140625" style="28"/>
    <col min="12034" max="12034" width="10.7109375" style="28" customWidth="1"/>
    <col min="12035" max="12035" width="25.7109375" style="28" customWidth="1"/>
    <col min="12036" max="12289" width="9.140625" style="28"/>
    <col min="12290" max="12290" width="10.7109375" style="28" customWidth="1"/>
    <col min="12291" max="12291" width="25.7109375" style="28" customWidth="1"/>
    <col min="12292" max="12545" width="9.140625" style="28"/>
    <col min="12546" max="12546" width="10.7109375" style="28" customWidth="1"/>
    <col min="12547" max="12547" width="25.7109375" style="28" customWidth="1"/>
    <col min="12548" max="12801" width="9.140625" style="28"/>
    <col min="12802" max="12802" width="10.7109375" style="28" customWidth="1"/>
    <col min="12803" max="12803" width="25.7109375" style="28" customWidth="1"/>
    <col min="12804" max="13057" width="9.140625" style="28"/>
    <col min="13058" max="13058" width="10.7109375" style="28" customWidth="1"/>
    <col min="13059" max="13059" width="25.7109375" style="28" customWidth="1"/>
    <col min="13060" max="13313" width="9.140625" style="28"/>
    <col min="13314" max="13314" width="10.7109375" style="28" customWidth="1"/>
    <col min="13315" max="13315" width="25.7109375" style="28" customWidth="1"/>
    <col min="13316" max="13569" width="9.140625" style="28"/>
    <col min="13570" max="13570" width="10.7109375" style="28" customWidth="1"/>
    <col min="13571" max="13571" width="25.7109375" style="28" customWidth="1"/>
    <col min="13572" max="13825" width="9.140625" style="28"/>
    <col min="13826" max="13826" width="10.7109375" style="28" customWidth="1"/>
    <col min="13827" max="13827" width="25.7109375" style="28" customWidth="1"/>
    <col min="13828" max="14081" width="9.140625" style="28"/>
    <col min="14082" max="14082" width="10.7109375" style="28" customWidth="1"/>
    <col min="14083" max="14083" width="25.7109375" style="28" customWidth="1"/>
    <col min="14084" max="14337" width="9.140625" style="28"/>
    <col min="14338" max="14338" width="10.7109375" style="28" customWidth="1"/>
    <col min="14339" max="14339" width="25.7109375" style="28" customWidth="1"/>
    <col min="14340" max="14593" width="9.140625" style="28"/>
    <col min="14594" max="14594" width="10.7109375" style="28" customWidth="1"/>
    <col min="14595" max="14595" width="25.7109375" style="28" customWidth="1"/>
    <col min="14596" max="14849" width="9.140625" style="28"/>
    <col min="14850" max="14850" width="10.7109375" style="28" customWidth="1"/>
    <col min="14851" max="14851" width="25.7109375" style="28" customWidth="1"/>
    <col min="14852" max="15105" width="9.140625" style="28"/>
    <col min="15106" max="15106" width="10.7109375" style="28" customWidth="1"/>
    <col min="15107" max="15107" width="25.7109375" style="28" customWidth="1"/>
    <col min="15108" max="15361" width="9.140625" style="28"/>
    <col min="15362" max="15362" width="10.7109375" style="28" customWidth="1"/>
    <col min="15363" max="15363" width="25.7109375" style="28" customWidth="1"/>
    <col min="15364" max="15617" width="9.140625" style="28"/>
    <col min="15618" max="15618" width="10.7109375" style="28" customWidth="1"/>
    <col min="15619" max="15619" width="25.7109375" style="28" customWidth="1"/>
    <col min="15620" max="15873" width="9.140625" style="28"/>
    <col min="15874" max="15874" width="10.7109375" style="28" customWidth="1"/>
    <col min="15875" max="15875" width="25.7109375" style="28" customWidth="1"/>
    <col min="15876" max="16129" width="9.140625" style="28"/>
    <col min="16130" max="16130" width="10.7109375" style="28" customWidth="1"/>
    <col min="16131" max="16131" width="25.7109375" style="28" customWidth="1"/>
    <col min="16132" max="16384" width="9.140625" style="28"/>
  </cols>
  <sheetData>
    <row r="1" spans="1:60" ht="13.5" thickBot="1"/>
    <row r="2" spans="1:60" ht="13.5" thickBot="1">
      <c r="D2" s="29">
        <v>2011</v>
      </c>
      <c r="E2" s="29">
        <v>2012</v>
      </c>
      <c r="F2" s="29">
        <v>2013</v>
      </c>
      <c r="G2" s="29">
        <v>2014</v>
      </c>
      <c r="H2" s="29">
        <v>2015</v>
      </c>
      <c r="I2" s="29">
        <v>2016</v>
      </c>
      <c r="J2" s="29">
        <v>2017</v>
      </c>
      <c r="K2" s="29">
        <v>2018</v>
      </c>
      <c r="L2" s="29">
        <v>2019</v>
      </c>
      <c r="M2" s="29">
        <v>2020</v>
      </c>
      <c r="N2" s="29">
        <f>M2+1</f>
        <v>2021</v>
      </c>
      <c r="O2" s="29">
        <f t="shared" ref="O2:W2" si="0">N2+1</f>
        <v>2022</v>
      </c>
      <c r="P2" s="29">
        <f t="shared" si="0"/>
        <v>2023</v>
      </c>
      <c r="Q2" s="29">
        <f t="shared" si="0"/>
        <v>2024</v>
      </c>
      <c r="R2" s="29">
        <f t="shared" si="0"/>
        <v>2025</v>
      </c>
      <c r="S2" s="29">
        <f t="shared" si="0"/>
        <v>2026</v>
      </c>
      <c r="T2" s="29">
        <f t="shared" si="0"/>
        <v>2027</v>
      </c>
      <c r="U2" s="29">
        <f t="shared" si="0"/>
        <v>2028</v>
      </c>
      <c r="V2" s="29">
        <f t="shared" si="0"/>
        <v>2029</v>
      </c>
      <c r="W2" s="29">
        <f t="shared" si="0"/>
        <v>2030</v>
      </c>
    </row>
    <row r="3" spans="1:60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1:60" s="33" customFormat="1">
      <c r="A4" s="32" t="s">
        <v>147</v>
      </c>
    </row>
    <row r="5" spans="1:60">
      <c r="D5" s="34"/>
      <c r="E5" s="34"/>
      <c r="F5" s="34"/>
      <c r="G5" s="34"/>
      <c r="H5" s="34"/>
      <c r="I5" s="34"/>
      <c r="J5" s="34"/>
      <c r="K5" s="34"/>
      <c r="L5" s="34"/>
      <c r="M5" s="34"/>
    </row>
    <row r="6" spans="1:60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1:60">
      <c r="B7" s="31" t="s">
        <v>2148</v>
      </c>
    </row>
    <row r="8" spans="1:60">
      <c r="B8" s="31"/>
    </row>
    <row r="9" spans="1:60">
      <c r="B9" s="90" t="s">
        <v>805</v>
      </c>
      <c r="C9" s="150" t="s">
        <v>2142</v>
      </c>
      <c r="D9" s="82"/>
      <c r="E9" s="82"/>
      <c r="F9" s="82"/>
      <c r="G9" s="82"/>
      <c r="H9" s="82"/>
      <c r="I9" s="82"/>
      <c r="J9" s="82"/>
      <c r="K9" s="82"/>
      <c r="L9" s="82"/>
      <c r="M9" s="82"/>
    </row>
    <row r="10" spans="1:60">
      <c r="B10" s="89" t="s">
        <v>184</v>
      </c>
      <c r="C10" s="152" t="s">
        <v>139</v>
      </c>
      <c r="D10" s="6">
        <f t="array" aca="1" ref="D10" ca="1">SUM(IF(OFFSET(RPS_Scen!$A$11,0,0,ctRPSproj,1)=scenRPS,IF(OFFSET(RPS_Scen!$H$11,0,0,ctRPSproj,1)=$B$9,IF(OFFSET(RPS_Scen!$C$11,0,0,ctRPSproj,1)=$B10,OFFSET(RPS_Scen!N$11,0,0,ctRPSproj,1)/(8.76*OFFSET(RPS_Scen!$J$11,0,0,ctRPSproj,1))*OFFSET(RPS_Scen!$K$11,0,0,ctRPSproj,1)))))</f>
        <v>0</v>
      </c>
      <c r="E10" s="6">
        <f t="array" aca="1" ref="E10" ca="1">SUM(IF(OFFSET(RPS_Scen!$A$11,0,0,ctRPSproj,1)=scenRPS,IF(OFFSET(RPS_Scen!$H$11,0,0,ctRPSproj,1)=$B$9,IF(OFFSET(RPS_Scen!$C$11,0,0,ctRPSproj,1)=$B10,OFFSET(RPS_Scen!O$11,0,0,ctRPSproj,1)/(8.76*OFFSET(RPS_Scen!$J$11,0,0,ctRPSproj,1))*OFFSET(RPS_Scen!$K$11,0,0,ctRPSproj,1)))))</f>
        <v>0</v>
      </c>
      <c r="F10" s="6">
        <f t="array" aca="1" ref="F10" ca="1">SUM(IF(OFFSET(RPS_Scen!$A$11,0,0,ctRPSproj,1)=scenRPS,IF(OFFSET(RPS_Scen!$H$11,0,0,ctRPSproj,1)=$B$9,IF(OFFSET(RPS_Scen!$C$11,0,0,ctRPSproj,1)=$B10,OFFSET(RPS_Scen!P$11,0,0,ctRPSproj,1)/(8.76*OFFSET(RPS_Scen!$J$11,0,0,ctRPSproj,1))*OFFSET(RPS_Scen!$K$11,0,0,ctRPSproj,1)))))</f>
        <v>0</v>
      </c>
      <c r="G10" s="6">
        <f t="array" aca="1" ref="G10" ca="1">SUM(IF(OFFSET(RPS_Scen!$A$11,0,0,ctRPSproj,1)=scenRPS,IF(OFFSET(RPS_Scen!$H$11,0,0,ctRPSproj,1)=$B$9,IF(OFFSET(RPS_Scen!$C$11,0,0,ctRPSproj,1)=$B10,OFFSET(RPS_Scen!Q$11,0,0,ctRPSproj,1)/(8.76*OFFSET(RPS_Scen!$J$11,0,0,ctRPSproj,1))*OFFSET(RPS_Scen!$K$11,0,0,ctRPSproj,1)))))</f>
        <v>0</v>
      </c>
      <c r="H10" s="6">
        <f t="array" aca="1" ref="H10" ca="1">SUM(IF(OFFSET(RPS_Scen!$A$11,0,0,ctRPSproj,1)=scenRPS,IF(OFFSET(RPS_Scen!$H$11,0,0,ctRPSproj,1)=$B$9,IF(OFFSET(RPS_Scen!$C$11,0,0,ctRPSproj,1)=$B10,OFFSET(RPS_Scen!R$11,0,0,ctRPSproj,1)/(8.76*OFFSET(RPS_Scen!$J$11,0,0,ctRPSproj,1))*OFFSET(RPS_Scen!$K$11,0,0,ctRPSproj,1)))))</f>
        <v>0</v>
      </c>
      <c r="I10" s="6">
        <f t="array" aca="1" ref="I10" ca="1">SUM(IF(OFFSET(RPS_Scen!$A$11,0,0,ctRPSproj,1)=scenRPS,IF(OFFSET(RPS_Scen!$H$11,0,0,ctRPSproj,1)=$B$9,IF(OFFSET(RPS_Scen!$C$11,0,0,ctRPSproj,1)=$B10,OFFSET(RPS_Scen!S$11,0,0,ctRPSproj,1)/(8.76*OFFSET(RPS_Scen!$J$11,0,0,ctRPSproj,1))*OFFSET(RPS_Scen!$K$11,0,0,ctRPSproj,1)))))</f>
        <v>0</v>
      </c>
      <c r="J10" s="6">
        <f t="array" aca="1" ref="J10" ca="1">SUM(IF(OFFSET(RPS_Scen!$A$11,0,0,ctRPSproj,1)=scenRPS,IF(OFFSET(RPS_Scen!$H$11,0,0,ctRPSproj,1)=$B$9,IF(OFFSET(RPS_Scen!$C$11,0,0,ctRPSproj,1)=$B10,OFFSET(RPS_Scen!T$11,0,0,ctRPSproj,1)/(8.76*OFFSET(RPS_Scen!$J$11,0,0,ctRPSproj,1))*OFFSET(RPS_Scen!$K$11,0,0,ctRPSproj,1)))))</f>
        <v>0</v>
      </c>
      <c r="K10" s="6">
        <f t="array" aca="1" ref="K10" ca="1">SUM(IF(OFFSET(RPS_Scen!$A$11,0,0,ctRPSproj,1)=scenRPS,IF(OFFSET(RPS_Scen!$H$11,0,0,ctRPSproj,1)=$B$9,IF(OFFSET(RPS_Scen!$C$11,0,0,ctRPSproj,1)=$B10,OFFSET(RPS_Scen!U$11,0,0,ctRPSproj,1)/(8.76*OFFSET(RPS_Scen!$J$11,0,0,ctRPSproj,1))*OFFSET(RPS_Scen!$K$11,0,0,ctRPSproj,1)))))</f>
        <v>0</v>
      </c>
      <c r="L10" s="6">
        <f t="array" aca="1" ref="L10" ca="1">SUM(IF(OFFSET(RPS_Scen!$A$11,0,0,ctRPSproj,1)=scenRPS,IF(OFFSET(RPS_Scen!$H$11,0,0,ctRPSproj,1)=$B$9,IF(OFFSET(RPS_Scen!$C$11,0,0,ctRPSproj,1)=$B10,OFFSET(RPS_Scen!V$11,0,0,ctRPSproj,1)/(8.76*OFFSET(RPS_Scen!$J$11,0,0,ctRPSproj,1))*OFFSET(RPS_Scen!$K$11,0,0,ctRPSproj,1)))))</f>
        <v>0</v>
      </c>
      <c r="M10" s="6">
        <f t="array" aca="1" ref="M10" ca="1">SUM(IF(OFFSET(RPS_Scen!$A$11,0,0,ctRPSproj,1)=scenRPS,IF(OFFSET(RPS_Scen!$H$11,0,0,ctRPSproj,1)=$B$9,IF(OFFSET(RPS_Scen!$C$11,0,0,ctRPSproj,1)=$B10,OFFSET(RPS_Scen!W$11,0,0,ctRPSproj,1)/(8.76*OFFSET(RPS_Scen!$J$11,0,0,ctRPSproj,1))*OFFSET(RPS_Scen!$K$11,0,0,ctRPSproj,1)))))</f>
        <v>0</v>
      </c>
      <c r="N10" s="6">
        <f t="array" aca="1" ref="N10" ca="1">SUM(IF(OFFSET(RPS_Scen!$A$11,0,0,ctRPSproj,1)=scenRPS,IF(OFFSET(RPS_Scen!$H$11,0,0,ctRPSproj,1)=$B$9,IF(OFFSET(RPS_Scen!$C$11,0,0,ctRPSproj,1)=$B10,OFFSET(RPS_Scen!X$11,0,0,ctRPSproj,1)/(8.76*OFFSET(RPS_Scen!$J$11,0,0,ctRPSproj,1))*OFFSET(RPS_Scen!$K$11,0,0,ctRPSproj,1)))))</f>
        <v>0</v>
      </c>
      <c r="O10" s="6">
        <f t="array" aca="1" ref="O10" ca="1">SUM(IF(OFFSET(RPS_Scen!$A$11,0,0,ctRPSproj,1)=scenRPS,IF(OFFSET(RPS_Scen!$H$11,0,0,ctRPSproj,1)=$B$9,IF(OFFSET(RPS_Scen!$C$11,0,0,ctRPSproj,1)=$B10,OFFSET(RPS_Scen!Y$11,0,0,ctRPSproj,1)/(8.76*OFFSET(RPS_Scen!$J$11,0,0,ctRPSproj,1))*OFFSET(RPS_Scen!$K$11,0,0,ctRPSproj,1)))))</f>
        <v>0</v>
      </c>
      <c r="P10" s="6">
        <f t="array" aca="1" ref="P10" ca="1">SUM(IF(OFFSET(RPS_Scen!$A$11,0,0,ctRPSproj,1)=scenRPS,IF(OFFSET(RPS_Scen!$H$11,0,0,ctRPSproj,1)=$B$9,IF(OFFSET(RPS_Scen!$C$11,0,0,ctRPSproj,1)=$B10,OFFSET(RPS_Scen!Z$11,0,0,ctRPSproj,1)/(8.76*OFFSET(RPS_Scen!$J$11,0,0,ctRPSproj,1))*OFFSET(RPS_Scen!$K$11,0,0,ctRPSproj,1)))))</f>
        <v>0</v>
      </c>
      <c r="Q10" s="6">
        <f t="array" aca="1" ref="Q10" ca="1">SUM(IF(OFFSET(RPS_Scen!$A$11,0,0,ctRPSproj,1)=scenRPS,IF(OFFSET(RPS_Scen!$H$11,0,0,ctRPSproj,1)=$B$9,IF(OFFSET(RPS_Scen!$C$11,0,0,ctRPSproj,1)=$B10,OFFSET(RPS_Scen!AA$11,0,0,ctRPSproj,1)/(8.76*OFFSET(RPS_Scen!$J$11,0,0,ctRPSproj,1))*OFFSET(RPS_Scen!$K$11,0,0,ctRPSproj,1)))))</f>
        <v>0</v>
      </c>
      <c r="R10" s="6">
        <f t="array" aca="1" ref="R10" ca="1">SUM(IF(OFFSET(RPS_Scen!$A$11,0,0,ctRPSproj,1)=scenRPS,IF(OFFSET(RPS_Scen!$H$11,0,0,ctRPSproj,1)=$B$9,IF(OFFSET(RPS_Scen!$C$11,0,0,ctRPSproj,1)=$B10,OFFSET(RPS_Scen!AB$11,0,0,ctRPSproj,1)/(8.76*OFFSET(RPS_Scen!$J$11,0,0,ctRPSproj,1))*OFFSET(RPS_Scen!$K$11,0,0,ctRPSproj,1)))))</f>
        <v>0</v>
      </c>
      <c r="S10" s="6">
        <f t="array" aca="1" ref="S10" ca="1">SUM(IF(OFFSET(RPS_Scen!$A$11,0,0,ctRPSproj,1)=scenRPS,IF(OFFSET(RPS_Scen!$H$11,0,0,ctRPSproj,1)=$B$9,IF(OFFSET(RPS_Scen!$C$11,0,0,ctRPSproj,1)=$B10,OFFSET(RPS_Scen!AC$11,0,0,ctRPSproj,1)/(8.76*OFFSET(RPS_Scen!$J$11,0,0,ctRPSproj,1))*OFFSET(RPS_Scen!$K$11,0,0,ctRPSproj,1)))))</f>
        <v>0</v>
      </c>
      <c r="T10" s="6">
        <f t="array" aca="1" ref="T10" ca="1">SUM(IF(OFFSET(RPS_Scen!$A$11,0,0,ctRPSproj,1)=scenRPS,IF(OFFSET(RPS_Scen!$H$11,0,0,ctRPSproj,1)=$B$9,IF(OFFSET(RPS_Scen!$C$11,0,0,ctRPSproj,1)=$B10,OFFSET(RPS_Scen!AD$11,0,0,ctRPSproj,1)/(8.76*OFFSET(RPS_Scen!$J$11,0,0,ctRPSproj,1))*OFFSET(RPS_Scen!$K$11,0,0,ctRPSproj,1)))))</f>
        <v>0</v>
      </c>
      <c r="U10" s="6">
        <f t="array" aca="1" ref="U10" ca="1">SUM(IF(OFFSET(RPS_Scen!$A$11,0,0,ctRPSproj,1)=scenRPS,IF(OFFSET(RPS_Scen!$H$11,0,0,ctRPSproj,1)=$B$9,IF(OFFSET(RPS_Scen!$C$11,0,0,ctRPSproj,1)=$B10,OFFSET(RPS_Scen!AE$11,0,0,ctRPSproj,1)/(8.76*OFFSET(RPS_Scen!$J$11,0,0,ctRPSproj,1))*OFFSET(RPS_Scen!$K$11,0,0,ctRPSproj,1)))))</f>
        <v>0</v>
      </c>
      <c r="V10" s="6">
        <f t="array" aca="1" ref="V10" ca="1">SUM(IF(OFFSET(RPS_Scen!$A$11,0,0,ctRPSproj,1)=scenRPS,IF(OFFSET(RPS_Scen!$H$11,0,0,ctRPSproj,1)=$B$9,IF(OFFSET(RPS_Scen!$C$11,0,0,ctRPSproj,1)=$B10,OFFSET(RPS_Scen!AF$11,0,0,ctRPSproj,1)/(8.76*OFFSET(RPS_Scen!$J$11,0,0,ctRPSproj,1))*OFFSET(RPS_Scen!$K$11,0,0,ctRPSproj,1)))))</f>
        <v>0</v>
      </c>
      <c r="W10" s="6">
        <f t="array" aca="1" ref="W10" ca="1">SUM(IF(OFFSET(RPS_Scen!$A$11,0,0,ctRPSproj,1)=scenRPS,IF(OFFSET(RPS_Scen!$H$11,0,0,ctRPSproj,1)=$B$9,IF(OFFSET(RPS_Scen!$C$11,0,0,ctRPSproj,1)=$B10,OFFSET(RPS_Scen!AG$11,0,0,ctRPSproj,1)/(8.76*OFFSET(RPS_Scen!$J$11,0,0,ctRPSproj,1))*OFFSET(RPS_Scen!$K$11,0,0,ctRPSproj,1)))))</f>
        <v>0</v>
      </c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</row>
    <row r="11" spans="1:60">
      <c r="B11" s="89" t="s">
        <v>139</v>
      </c>
      <c r="C11" s="152" t="s">
        <v>139</v>
      </c>
      <c r="D11" s="6">
        <f t="array" aca="1" ref="D11" ca="1">SUM(IF(OFFSET(RPS_Scen!$A$11,0,0,ctRPSproj,1)=scenRPS,IF(OFFSET(RPS_Scen!$H$11,0,0,ctRPSproj,1)=$B$9,IF(OFFSET(RPS_Scen!$C$11,0,0,ctRPSproj,1)=$B11,OFFSET(RPS_Scen!N$11,0,0,ctRPSproj,1)/(8.76*OFFSET(RPS_Scen!$J$11,0,0,ctRPSproj,1))*OFFSET(RPS_Scen!$K$11,0,0,ctRPSproj,1)))))</f>
        <v>7.2599999999999971</v>
      </c>
      <c r="E11" s="6">
        <f t="array" aca="1" ref="E11" ca="1">SUM(IF(OFFSET(RPS_Scen!$A$11,0,0,ctRPSproj,1)=scenRPS,IF(OFFSET(RPS_Scen!$H$11,0,0,ctRPSproj,1)=$B$9,IF(OFFSET(RPS_Scen!$C$11,0,0,ctRPSproj,1)=$B11,OFFSET(RPS_Scen!O$11,0,0,ctRPSproj,1)/(8.76*OFFSET(RPS_Scen!$J$11,0,0,ctRPSproj,1))*OFFSET(RPS_Scen!$K$11,0,0,ctRPSproj,1)))))</f>
        <v>7.2599999999999971</v>
      </c>
      <c r="F11" s="6">
        <f t="array" aca="1" ref="F11" ca="1">SUM(IF(OFFSET(RPS_Scen!$A$11,0,0,ctRPSproj,1)=scenRPS,IF(OFFSET(RPS_Scen!$H$11,0,0,ctRPSproj,1)=$B$9,IF(OFFSET(RPS_Scen!$C$11,0,0,ctRPSproj,1)=$B11,OFFSET(RPS_Scen!P$11,0,0,ctRPSproj,1)/(8.76*OFFSET(RPS_Scen!$J$11,0,0,ctRPSproj,1))*OFFSET(RPS_Scen!$K$11,0,0,ctRPSproj,1)))))</f>
        <v>36.299999999999997</v>
      </c>
      <c r="G11" s="6">
        <f t="array" aca="1" ref="G11" ca="1">SUM(IF(OFFSET(RPS_Scen!$A$11,0,0,ctRPSproj,1)=scenRPS,IF(OFFSET(RPS_Scen!$H$11,0,0,ctRPSproj,1)=$B$9,IF(OFFSET(RPS_Scen!$C$11,0,0,ctRPSproj,1)=$B11,OFFSET(RPS_Scen!Q$11,0,0,ctRPSproj,1)/(8.76*OFFSET(RPS_Scen!$J$11,0,0,ctRPSproj,1))*OFFSET(RPS_Scen!$K$11,0,0,ctRPSproj,1)))))</f>
        <v>69.3</v>
      </c>
      <c r="H11" s="6">
        <f t="array" aca="1" ref="H11" ca="1">SUM(IF(OFFSET(RPS_Scen!$A$11,0,0,ctRPSproj,1)=scenRPS,IF(OFFSET(RPS_Scen!$H$11,0,0,ctRPSproj,1)=$B$9,IF(OFFSET(RPS_Scen!$C$11,0,0,ctRPSproj,1)=$B11,OFFSET(RPS_Scen!R$11,0,0,ctRPSproj,1)/(8.76*OFFSET(RPS_Scen!$J$11,0,0,ctRPSproj,1))*OFFSET(RPS_Scen!$K$11,0,0,ctRPSproj,1)))))</f>
        <v>69.3</v>
      </c>
      <c r="I11" s="6">
        <f t="array" aca="1" ref="I11" ca="1">SUM(IF(OFFSET(RPS_Scen!$A$11,0,0,ctRPSproj,1)=scenRPS,IF(OFFSET(RPS_Scen!$H$11,0,0,ctRPSproj,1)=$B$9,IF(OFFSET(RPS_Scen!$C$11,0,0,ctRPSproj,1)=$B11,OFFSET(RPS_Scen!S$11,0,0,ctRPSproj,1)/(8.76*OFFSET(RPS_Scen!$J$11,0,0,ctRPSproj,1))*OFFSET(RPS_Scen!$K$11,0,0,ctRPSproj,1)))))</f>
        <v>69.3</v>
      </c>
      <c r="J11" s="6">
        <f t="array" aca="1" ref="J11" ca="1">SUM(IF(OFFSET(RPS_Scen!$A$11,0,0,ctRPSproj,1)=scenRPS,IF(OFFSET(RPS_Scen!$H$11,0,0,ctRPSproj,1)=$B$9,IF(OFFSET(RPS_Scen!$C$11,0,0,ctRPSproj,1)=$B11,OFFSET(RPS_Scen!T$11,0,0,ctRPSproj,1)/(8.76*OFFSET(RPS_Scen!$J$11,0,0,ctRPSproj,1))*OFFSET(RPS_Scen!$K$11,0,0,ctRPSproj,1)))))</f>
        <v>69.3</v>
      </c>
      <c r="K11" s="6">
        <f t="array" aca="1" ref="K11" ca="1">SUM(IF(OFFSET(RPS_Scen!$A$11,0,0,ctRPSproj,1)=scenRPS,IF(OFFSET(RPS_Scen!$H$11,0,0,ctRPSproj,1)=$B$9,IF(OFFSET(RPS_Scen!$C$11,0,0,ctRPSproj,1)=$B11,OFFSET(RPS_Scen!U$11,0,0,ctRPSproj,1)/(8.76*OFFSET(RPS_Scen!$J$11,0,0,ctRPSproj,1))*OFFSET(RPS_Scen!$K$11,0,0,ctRPSproj,1)))))</f>
        <v>69.3</v>
      </c>
      <c r="L11" s="6">
        <f t="array" aca="1" ref="L11" ca="1">SUM(IF(OFFSET(RPS_Scen!$A$11,0,0,ctRPSproj,1)=scenRPS,IF(OFFSET(RPS_Scen!$H$11,0,0,ctRPSproj,1)=$B$9,IF(OFFSET(RPS_Scen!$C$11,0,0,ctRPSproj,1)=$B11,OFFSET(RPS_Scen!V$11,0,0,ctRPSproj,1)/(8.76*OFFSET(RPS_Scen!$J$11,0,0,ctRPSproj,1))*OFFSET(RPS_Scen!$K$11,0,0,ctRPSproj,1)))))</f>
        <v>69.3</v>
      </c>
      <c r="M11" s="6">
        <f t="array" aca="1" ref="M11" ca="1">SUM(IF(OFFSET(RPS_Scen!$A$11,0,0,ctRPSproj,1)=scenRPS,IF(OFFSET(RPS_Scen!$H$11,0,0,ctRPSproj,1)=$B$9,IF(OFFSET(RPS_Scen!$C$11,0,0,ctRPSproj,1)=$B11,OFFSET(RPS_Scen!W$11,0,0,ctRPSproj,1)/(8.76*OFFSET(RPS_Scen!$J$11,0,0,ctRPSproj,1))*OFFSET(RPS_Scen!$K$11,0,0,ctRPSproj,1)))))</f>
        <v>69.3</v>
      </c>
      <c r="N11" s="6">
        <f t="array" aca="1" ref="N11" ca="1">SUM(IF(OFFSET(RPS_Scen!$A$11,0,0,ctRPSproj,1)=scenRPS,IF(OFFSET(RPS_Scen!$H$11,0,0,ctRPSproj,1)=$B$9,IF(OFFSET(RPS_Scen!$C$11,0,0,ctRPSproj,1)=$B11,OFFSET(RPS_Scen!X$11,0,0,ctRPSproj,1)/(8.76*OFFSET(RPS_Scen!$J$11,0,0,ctRPSproj,1))*OFFSET(RPS_Scen!$K$11,0,0,ctRPSproj,1)))))</f>
        <v>69.3</v>
      </c>
      <c r="O11" s="6">
        <f t="array" aca="1" ref="O11" ca="1">SUM(IF(OFFSET(RPS_Scen!$A$11,0,0,ctRPSproj,1)=scenRPS,IF(OFFSET(RPS_Scen!$H$11,0,0,ctRPSproj,1)=$B$9,IF(OFFSET(RPS_Scen!$C$11,0,0,ctRPSproj,1)=$B11,OFFSET(RPS_Scen!Y$11,0,0,ctRPSproj,1)/(8.76*OFFSET(RPS_Scen!$J$11,0,0,ctRPSproj,1))*OFFSET(RPS_Scen!$K$11,0,0,ctRPSproj,1)))))</f>
        <v>69.3</v>
      </c>
      <c r="P11" s="6">
        <f t="array" aca="1" ref="P11" ca="1">SUM(IF(OFFSET(RPS_Scen!$A$11,0,0,ctRPSproj,1)=scenRPS,IF(OFFSET(RPS_Scen!$H$11,0,0,ctRPSproj,1)=$B$9,IF(OFFSET(RPS_Scen!$C$11,0,0,ctRPSproj,1)=$B11,OFFSET(RPS_Scen!Z$11,0,0,ctRPSproj,1)/(8.76*OFFSET(RPS_Scen!$J$11,0,0,ctRPSproj,1))*OFFSET(RPS_Scen!$K$11,0,0,ctRPSproj,1)))))</f>
        <v>69.3</v>
      </c>
      <c r="Q11" s="6">
        <f t="array" aca="1" ref="Q11" ca="1">SUM(IF(OFFSET(RPS_Scen!$A$11,0,0,ctRPSproj,1)=scenRPS,IF(OFFSET(RPS_Scen!$H$11,0,0,ctRPSproj,1)=$B$9,IF(OFFSET(RPS_Scen!$C$11,0,0,ctRPSproj,1)=$B11,OFFSET(RPS_Scen!AA$11,0,0,ctRPSproj,1)/(8.76*OFFSET(RPS_Scen!$J$11,0,0,ctRPSproj,1))*OFFSET(RPS_Scen!$K$11,0,0,ctRPSproj,1)))))</f>
        <v>69.3</v>
      </c>
      <c r="R11" s="6">
        <f t="array" aca="1" ref="R11" ca="1">SUM(IF(OFFSET(RPS_Scen!$A$11,0,0,ctRPSproj,1)=scenRPS,IF(OFFSET(RPS_Scen!$H$11,0,0,ctRPSproj,1)=$B$9,IF(OFFSET(RPS_Scen!$C$11,0,0,ctRPSproj,1)=$B11,OFFSET(RPS_Scen!AB$11,0,0,ctRPSproj,1)/(8.76*OFFSET(RPS_Scen!$J$11,0,0,ctRPSproj,1))*OFFSET(RPS_Scen!$K$11,0,0,ctRPSproj,1)))))</f>
        <v>69.3</v>
      </c>
      <c r="S11" s="6">
        <f t="array" aca="1" ref="S11" ca="1">SUM(IF(OFFSET(RPS_Scen!$A$11,0,0,ctRPSproj,1)=scenRPS,IF(OFFSET(RPS_Scen!$H$11,0,0,ctRPSproj,1)=$B$9,IF(OFFSET(RPS_Scen!$C$11,0,0,ctRPSproj,1)=$B11,OFFSET(RPS_Scen!AC$11,0,0,ctRPSproj,1)/(8.76*OFFSET(RPS_Scen!$J$11,0,0,ctRPSproj,1))*OFFSET(RPS_Scen!$K$11,0,0,ctRPSproj,1)))))</f>
        <v>69.3</v>
      </c>
      <c r="T11" s="6">
        <f t="array" aca="1" ref="T11" ca="1">SUM(IF(OFFSET(RPS_Scen!$A$11,0,0,ctRPSproj,1)=scenRPS,IF(OFFSET(RPS_Scen!$H$11,0,0,ctRPSproj,1)=$B$9,IF(OFFSET(RPS_Scen!$C$11,0,0,ctRPSproj,1)=$B11,OFFSET(RPS_Scen!AD$11,0,0,ctRPSproj,1)/(8.76*OFFSET(RPS_Scen!$J$11,0,0,ctRPSproj,1))*OFFSET(RPS_Scen!$K$11,0,0,ctRPSproj,1)))))</f>
        <v>69.3</v>
      </c>
      <c r="U11" s="6">
        <f t="array" aca="1" ref="U11" ca="1">SUM(IF(OFFSET(RPS_Scen!$A$11,0,0,ctRPSproj,1)=scenRPS,IF(OFFSET(RPS_Scen!$H$11,0,0,ctRPSproj,1)=$B$9,IF(OFFSET(RPS_Scen!$C$11,0,0,ctRPSproj,1)=$B11,OFFSET(RPS_Scen!AE$11,0,0,ctRPSproj,1)/(8.76*OFFSET(RPS_Scen!$J$11,0,0,ctRPSproj,1))*OFFSET(RPS_Scen!$K$11,0,0,ctRPSproj,1)))))</f>
        <v>69.3</v>
      </c>
      <c r="V11" s="6">
        <f t="array" aca="1" ref="V11" ca="1">SUM(IF(OFFSET(RPS_Scen!$A$11,0,0,ctRPSproj,1)=scenRPS,IF(OFFSET(RPS_Scen!$H$11,0,0,ctRPSproj,1)=$B$9,IF(OFFSET(RPS_Scen!$C$11,0,0,ctRPSproj,1)=$B11,OFFSET(RPS_Scen!AF$11,0,0,ctRPSproj,1)/(8.76*OFFSET(RPS_Scen!$J$11,0,0,ctRPSproj,1))*OFFSET(RPS_Scen!$K$11,0,0,ctRPSproj,1)))))</f>
        <v>69.3</v>
      </c>
      <c r="W11" s="6">
        <f t="array" aca="1" ref="W11" ca="1">SUM(IF(OFFSET(RPS_Scen!$A$11,0,0,ctRPSproj,1)=scenRPS,IF(OFFSET(RPS_Scen!$H$11,0,0,ctRPSproj,1)=$B$9,IF(OFFSET(RPS_Scen!$C$11,0,0,ctRPSproj,1)=$B11,OFFSET(RPS_Scen!AG$11,0,0,ctRPSproj,1)/(8.76*OFFSET(RPS_Scen!$J$11,0,0,ctRPSproj,1))*OFFSET(RPS_Scen!$K$11,0,0,ctRPSproj,1)))))</f>
        <v>69.3</v>
      </c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</row>
    <row r="12" spans="1:60">
      <c r="B12" s="89" t="s">
        <v>136</v>
      </c>
      <c r="C12" s="152" t="s">
        <v>136</v>
      </c>
      <c r="D12" s="6">
        <f t="array" aca="1" ref="D12" ca="1">SUM(IF(OFFSET(RPS_Scen!$A$11,0,0,ctRPSproj,1)=scenRPS,IF(OFFSET(RPS_Scen!$H$11,0,0,ctRPSproj,1)=$B$9,IF(OFFSET(RPS_Scen!$C$11,0,0,ctRPSproj,1)=$B12,OFFSET(RPS_Scen!N$11,0,0,ctRPSproj,1)/(8.76*OFFSET(RPS_Scen!$J$11,0,0,ctRPSproj,1))*OFFSET(RPS_Scen!$K$11,0,0,ctRPSproj,1)))))</f>
        <v>0</v>
      </c>
      <c r="E12" s="6">
        <f t="array" aca="1" ref="E12" ca="1">SUM(IF(OFFSET(RPS_Scen!$A$11,0,0,ctRPSproj,1)=scenRPS,IF(OFFSET(RPS_Scen!$H$11,0,0,ctRPSproj,1)=$B$9,IF(OFFSET(RPS_Scen!$C$11,0,0,ctRPSproj,1)=$B12,OFFSET(RPS_Scen!O$11,0,0,ctRPSproj,1)/(8.76*OFFSET(RPS_Scen!$J$11,0,0,ctRPSproj,1))*OFFSET(RPS_Scen!$K$11,0,0,ctRPSproj,1)))))</f>
        <v>0</v>
      </c>
      <c r="F12" s="6">
        <f t="array" aca="1" ref="F12" ca="1">SUM(IF(OFFSET(RPS_Scen!$A$11,0,0,ctRPSproj,1)=scenRPS,IF(OFFSET(RPS_Scen!$H$11,0,0,ctRPSproj,1)=$B$9,IF(OFFSET(RPS_Scen!$C$11,0,0,ctRPSproj,1)=$B12,OFFSET(RPS_Scen!P$11,0,0,ctRPSproj,1)/(8.76*OFFSET(RPS_Scen!$J$11,0,0,ctRPSproj,1))*OFFSET(RPS_Scen!$K$11,0,0,ctRPSproj,1)))))</f>
        <v>0</v>
      </c>
      <c r="G12" s="6">
        <f t="array" aca="1" ref="G12" ca="1">SUM(IF(OFFSET(RPS_Scen!$A$11,0,0,ctRPSproj,1)=scenRPS,IF(OFFSET(RPS_Scen!$H$11,0,0,ctRPSproj,1)=$B$9,IF(OFFSET(RPS_Scen!$C$11,0,0,ctRPSproj,1)=$B12,OFFSET(RPS_Scen!Q$11,0,0,ctRPSproj,1)/(8.76*OFFSET(RPS_Scen!$J$11,0,0,ctRPSproj,1))*OFFSET(RPS_Scen!$K$11,0,0,ctRPSproj,1)))))</f>
        <v>0</v>
      </c>
      <c r="H12" s="6">
        <f t="array" aca="1" ref="H12" ca="1">SUM(IF(OFFSET(RPS_Scen!$A$11,0,0,ctRPSproj,1)=scenRPS,IF(OFFSET(RPS_Scen!$H$11,0,0,ctRPSproj,1)=$B$9,IF(OFFSET(RPS_Scen!$C$11,0,0,ctRPSproj,1)=$B12,OFFSET(RPS_Scen!R$11,0,0,ctRPSproj,1)/(8.76*OFFSET(RPS_Scen!$J$11,0,0,ctRPSproj,1))*OFFSET(RPS_Scen!$K$11,0,0,ctRPSproj,1)))))</f>
        <v>0</v>
      </c>
      <c r="I12" s="6">
        <f t="array" aca="1" ref="I12" ca="1">SUM(IF(OFFSET(RPS_Scen!$A$11,0,0,ctRPSproj,1)=scenRPS,IF(OFFSET(RPS_Scen!$H$11,0,0,ctRPSproj,1)=$B$9,IF(OFFSET(RPS_Scen!$C$11,0,0,ctRPSproj,1)=$B12,OFFSET(RPS_Scen!S$11,0,0,ctRPSproj,1)/(8.76*OFFSET(RPS_Scen!$J$11,0,0,ctRPSproj,1))*OFFSET(RPS_Scen!$K$11,0,0,ctRPSproj,1)))))</f>
        <v>0</v>
      </c>
      <c r="J12" s="6">
        <f t="array" aca="1" ref="J12" ca="1">SUM(IF(OFFSET(RPS_Scen!$A$11,0,0,ctRPSproj,1)=scenRPS,IF(OFFSET(RPS_Scen!$H$11,0,0,ctRPSproj,1)=$B$9,IF(OFFSET(RPS_Scen!$C$11,0,0,ctRPSproj,1)=$B12,OFFSET(RPS_Scen!T$11,0,0,ctRPSproj,1)/(8.76*OFFSET(RPS_Scen!$J$11,0,0,ctRPSproj,1))*OFFSET(RPS_Scen!$K$11,0,0,ctRPSproj,1)))))</f>
        <v>0</v>
      </c>
      <c r="K12" s="6">
        <f t="array" aca="1" ref="K12" ca="1">SUM(IF(OFFSET(RPS_Scen!$A$11,0,0,ctRPSproj,1)=scenRPS,IF(OFFSET(RPS_Scen!$H$11,0,0,ctRPSproj,1)=$B$9,IF(OFFSET(RPS_Scen!$C$11,0,0,ctRPSproj,1)=$B12,OFFSET(RPS_Scen!U$11,0,0,ctRPSproj,1)/(8.76*OFFSET(RPS_Scen!$J$11,0,0,ctRPSproj,1))*OFFSET(RPS_Scen!$K$11,0,0,ctRPSproj,1)))))</f>
        <v>0</v>
      </c>
      <c r="L12" s="6">
        <f t="array" aca="1" ref="L12" ca="1">SUM(IF(OFFSET(RPS_Scen!$A$11,0,0,ctRPSproj,1)=scenRPS,IF(OFFSET(RPS_Scen!$H$11,0,0,ctRPSproj,1)=$B$9,IF(OFFSET(RPS_Scen!$C$11,0,0,ctRPSproj,1)=$B12,OFFSET(RPS_Scen!V$11,0,0,ctRPSproj,1)/(8.76*OFFSET(RPS_Scen!$J$11,0,0,ctRPSproj,1))*OFFSET(RPS_Scen!$K$11,0,0,ctRPSproj,1)))))</f>
        <v>0</v>
      </c>
      <c r="M12" s="6">
        <f t="array" aca="1" ref="M12" ca="1">SUM(IF(OFFSET(RPS_Scen!$A$11,0,0,ctRPSproj,1)=scenRPS,IF(OFFSET(RPS_Scen!$H$11,0,0,ctRPSproj,1)=$B$9,IF(OFFSET(RPS_Scen!$C$11,0,0,ctRPSproj,1)=$B12,OFFSET(RPS_Scen!W$11,0,0,ctRPSproj,1)/(8.76*OFFSET(RPS_Scen!$J$11,0,0,ctRPSproj,1))*OFFSET(RPS_Scen!$K$11,0,0,ctRPSproj,1)))))</f>
        <v>0</v>
      </c>
      <c r="N12" s="6">
        <f t="array" aca="1" ref="N12" ca="1">SUM(IF(OFFSET(RPS_Scen!$A$11,0,0,ctRPSproj,1)=scenRPS,IF(OFFSET(RPS_Scen!$H$11,0,0,ctRPSproj,1)=$B$9,IF(OFFSET(RPS_Scen!$C$11,0,0,ctRPSproj,1)=$B12,OFFSET(RPS_Scen!X$11,0,0,ctRPSproj,1)/(8.76*OFFSET(RPS_Scen!$J$11,0,0,ctRPSproj,1))*OFFSET(RPS_Scen!$K$11,0,0,ctRPSproj,1)))))</f>
        <v>0</v>
      </c>
      <c r="O12" s="6">
        <f t="array" aca="1" ref="O12" ca="1">SUM(IF(OFFSET(RPS_Scen!$A$11,0,0,ctRPSproj,1)=scenRPS,IF(OFFSET(RPS_Scen!$H$11,0,0,ctRPSproj,1)=$B$9,IF(OFFSET(RPS_Scen!$C$11,0,0,ctRPSproj,1)=$B12,OFFSET(RPS_Scen!Y$11,0,0,ctRPSproj,1)/(8.76*OFFSET(RPS_Scen!$J$11,0,0,ctRPSproj,1))*OFFSET(RPS_Scen!$K$11,0,0,ctRPSproj,1)))))</f>
        <v>0</v>
      </c>
      <c r="P12" s="6">
        <f t="array" aca="1" ref="P12" ca="1">SUM(IF(OFFSET(RPS_Scen!$A$11,0,0,ctRPSproj,1)=scenRPS,IF(OFFSET(RPS_Scen!$H$11,0,0,ctRPSproj,1)=$B$9,IF(OFFSET(RPS_Scen!$C$11,0,0,ctRPSproj,1)=$B12,OFFSET(RPS_Scen!Z$11,0,0,ctRPSproj,1)/(8.76*OFFSET(RPS_Scen!$J$11,0,0,ctRPSproj,1))*OFFSET(RPS_Scen!$K$11,0,0,ctRPSproj,1)))))</f>
        <v>0</v>
      </c>
      <c r="Q12" s="6">
        <f t="array" aca="1" ref="Q12" ca="1">SUM(IF(OFFSET(RPS_Scen!$A$11,0,0,ctRPSproj,1)=scenRPS,IF(OFFSET(RPS_Scen!$H$11,0,0,ctRPSproj,1)=$B$9,IF(OFFSET(RPS_Scen!$C$11,0,0,ctRPSproj,1)=$B12,OFFSET(RPS_Scen!AA$11,0,0,ctRPSproj,1)/(8.76*OFFSET(RPS_Scen!$J$11,0,0,ctRPSproj,1))*OFFSET(RPS_Scen!$K$11,0,0,ctRPSproj,1)))))</f>
        <v>0</v>
      </c>
      <c r="R12" s="6">
        <f t="array" aca="1" ref="R12" ca="1">SUM(IF(OFFSET(RPS_Scen!$A$11,0,0,ctRPSproj,1)=scenRPS,IF(OFFSET(RPS_Scen!$H$11,0,0,ctRPSproj,1)=$B$9,IF(OFFSET(RPS_Scen!$C$11,0,0,ctRPSproj,1)=$B12,OFFSET(RPS_Scen!AB$11,0,0,ctRPSproj,1)/(8.76*OFFSET(RPS_Scen!$J$11,0,0,ctRPSproj,1))*OFFSET(RPS_Scen!$K$11,0,0,ctRPSproj,1)))))</f>
        <v>0</v>
      </c>
      <c r="S12" s="6">
        <f t="array" aca="1" ref="S12" ca="1">SUM(IF(OFFSET(RPS_Scen!$A$11,0,0,ctRPSproj,1)=scenRPS,IF(OFFSET(RPS_Scen!$H$11,0,0,ctRPSproj,1)=$B$9,IF(OFFSET(RPS_Scen!$C$11,0,0,ctRPSproj,1)=$B12,OFFSET(RPS_Scen!AC$11,0,0,ctRPSproj,1)/(8.76*OFFSET(RPS_Scen!$J$11,0,0,ctRPSproj,1))*OFFSET(RPS_Scen!$K$11,0,0,ctRPSproj,1)))))</f>
        <v>0</v>
      </c>
      <c r="T12" s="6">
        <f t="array" aca="1" ref="T12" ca="1">SUM(IF(OFFSET(RPS_Scen!$A$11,0,0,ctRPSproj,1)=scenRPS,IF(OFFSET(RPS_Scen!$H$11,0,0,ctRPSproj,1)=$B$9,IF(OFFSET(RPS_Scen!$C$11,0,0,ctRPSproj,1)=$B12,OFFSET(RPS_Scen!AD$11,0,0,ctRPSproj,1)/(8.76*OFFSET(RPS_Scen!$J$11,0,0,ctRPSproj,1))*OFFSET(RPS_Scen!$K$11,0,0,ctRPSproj,1)))))</f>
        <v>0</v>
      </c>
      <c r="U12" s="6">
        <f t="array" aca="1" ref="U12" ca="1">SUM(IF(OFFSET(RPS_Scen!$A$11,0,0,ctRPSproj,1)=scenRPS,IF(OFFSET(RPS_Scen!$H$11,0,0,ctRPSproj,1)=$B$9,IF(OFFSET(RPS_Scen!$C$11,0,0,ctRPSproj,1)=$B12,OFFSET(RPS_Scen!AE$11,0,0,ctRPSproj,1)/(8.76*OFFSET(RPS_Scen!$J$11,0,0,ctRPSproj,1))*OFFSET(RPS_Scen!$K$11,0,0,ctRPSproj,1)))))</f>
        <v>0</v>
      </c>
      <c r="V12" s="6">
        <f t="array" aca="1" ref="V12" ca="1">SUM(IF(OFFSET(RPS_Scen!$A$11,0,0,ctRPSproj,1)=scenRPS,IF(OFFSET(RPS_Scen!$H$11,0,0,ctRPSproj,1)=$B$9,IF(OFFSET(RPS_Scen!$C$11,0,0,ctRPSproj,1)=$B12,OFFSET(RPS_Scen!AF$11,0,0,ctRPSproj,1)/(8.76*OFFSET(RPS_Scen!$J$11,0,0,ctRPSproj,1))*OFFSET(RPS_Scen!$K$11,0,0,ctRPSproj,1)))))</f>
        <v>0</v>
      </c>
      <c r="W12" s="6">
        <f t="array" aca="1" ref="W12" ca="1">SUM(IF(OFFSET(RPS_Scen!$A$11,0,0,ctRPSproj,1)=scenRPS,IF(OFFSET(RPS_Scen!$H$11,0,0,ctRPSproj,1)=$B$9,IF(OFFSET(RPS_Scen!$C$11,0,0,ctRPSproj,1)=$B12,OFFSET(RPS_Scen!AG$11,0,0,ctRPSproj,1)/(8.76*OFFSET(RPS_Scen!$J$11,0,0,ctRPSproj,1))*OFFSET(RPS_Scen!$K$11,0,0,ctRPSproj,1)))))</f>
        <v>0</v>
      </c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</row>
    <row r="13" spans="1:60">
      <c r="B13" s="89" t="s">
        <v>18</v>
      </c>
      <c r="C13" s="152" t="s">
        <v>18</v>
      </c>
      <c r="D13" s="6">
        <f t="array" aca="1" ref="D13" ca="1">SUM(IF(OFFSET(RPS_Scen!$A$11,0,0,ctRPSproj,1)=scenRPS,IF(OFFSET(RPS_Scen!$H$11,0,0,ctRPSproj,1)=$B$9,IF(OFFSET(RPS_Scen!$C$11,0,0,ctRPSproj,1)=$B13,OFFSET(RPS_Scen!N$11,0,0,ctRPSproj,1)/(8.76*OFFSET(RPS_Scen!$J$11,0,0,ctRPSproj,1))*OFFSET(RPS_Scen!$K$11,0,0,ctRPSproj,1)))))</f>
        <v>0</v>
      </c>
      <c r="E13" s="6">
        <f t="array" aca="1" ref="E13" ca="1">SUM(IF(OFFSET(RPS_Scen!$A$11,0,0,ctRPSproj,1)=scenRPS,IF(OFFSET(RPS_Scen!$H$11,0,0,ctRPSproj,1)=$B$9,IF(OFFSET(RPS_Scen!$C$11,0,0,ctRPSproj,1)=$B13,OFFSET(RPS_Scen!O$11,0,0,ctRPSproj,1)/(8.76*OFFSET(RPS_Scen!$J$11,0,0,ctRPSproj,1))*OFFSET(RPS_Scen!$K$11,0,0,ctRPSproj,1)))))</f>
        <v>0</v>
      </c>
      <c r="F13" s="6">
        <f t="array" aca="1" ref="F13" ca="1">SUM(IF(OFFSET(RPS_Scen!$A$11,0,0,ctRPSproj,1)=scenRPS,IF(OFFSET(RPS_Scen!$H$11,0,0,ctRPSproj,1)=$B$9,IF(OFFSET(RPS_Scen!$C$11,0,0,ctRPSproj,1)=$B13,OFFSET(RPS_Scen!P$11,0,0,ctRPSproj,1)/(8.76*OFFSET(RPS_Scen!$J$11,0,0,ctRPSproj,1))*OFFSET(RPS_Scen!$K$11,0,0,ctRPSproj,1)))))</f>
        <v>0</v>
      </c>
      <c r="G13" s="6">
        <f t="array" aca="1" ref="G13" ca="1">SUM(IF(OFFSET(RPS_Scen!$A$11,0,0,ctRPSproj,1)=scenRPS,IF(OFFSET(RPS_Scen!$H$11,0,0,ctRPSproj,1)=$B$9,IF(OFFSET(RPS_Scen!$C$11,0,0,ctRPSproj,1)=$B13,OFFSET(RPS_Scen!Q$11,0,0,ctRPSproj,1)/(8.76*OFFSET(RPS_Scen!$J$11,0,0,ctRPSproj,1))*OFFSET(RPS_Scen!$K$11,0,0,ctRPSproj,1)))))</f>
        <v>0</v>
      </c>
      <c r="H13" s="6">
        <f t="array" aca="1" ref="H13" ca="1">SUM(IF(OFFSET(RPS_Scen!$A$11,0,0,ctRPSproj,1)=scenRPS,IF(OFFSET(RPS_Scen!$H$11,0,0,ctRPSproj,1)=$B$9,IF(OFFSET(RPS_Scen!$C$11,0,0,ctRPSproj,1)=$B13,OFFSET(RPS_Scen!R$11,0,0,ctRPSproj,1)/(8.76*OFFSET(RPS_Scen!$J$11,0,0,ctRPSproj,1))*OFFSET(RPS_Scen!$K$11,0,0,ctRPSproj,1)))))</f>
        <v>0</v>
      </c>
      <c r="I13" s="6">
        <f t="array" aca="1" ref="I13" ca="1">SUM(IF(OFFSET(RPS_Scen!$A$11,0,0,ctRPSproj,1)=scenRPS,IF(OFFSET(RPS_Scen!$H$11,0,0,ctRPSproj,1)=$B$9,IF(OFFSET(RPS_Scen!$C$11,0,0,ctRPSproj,1)=$B13,OFFSET(RPS_Scen!S$11,0,0,ctRPSproj,1)/(8.76*OFFSET(RPS_Scen!$J$11,0,0,ctRPSproj,1))*OFFSET(RPS_Scen!$K$11,0,0,ctRPSproj,1)))))</f>
        <v>0</v>
      </c>
      <c r="J13" s="6">
        <f t="array" aca="1" ref="J13" ca="1">SUM(IF(OFFSET(RPS_Scen!$A$11,0,0,ctRPSproj,1)=scenRPS,IF(OFFSET(RPS_Scen!$H$11,0,0,ctRPSproj,1)=$B$9,IF(OFFSET(RPS_Scen!$C$11,0,0,ctRPSproj,1)=$B13,OFFSET(RPS_Scen!T$11,0,0,ctRPSproj,1)/(8.76*OFFSET(RPS_Scen!$J$11,0,0,ctRPSproj,1))*OFFSET(RPS_Scen!$K$11,0,0,ctRPSproj,1)))))</f>
        <v>0</v>
      </c>
      <c r="K13" s="6">
        <f t="array" aca="1" ref="K13" ca="1">SUM(IF(OFFSET(RPS_Scen!$A$11,0,0,ctRPSproj,1)=scenRPS,IF(OFFSET(RPS_Scen!$H$11,0,0,ctRPSproj,1)=$B$9,IF(OFFSET(RPS_Scen!$C$11,0,0,ctRPSproj,1)=$B13,OFFSET(RPS_Scen!U$11,0,0,ctRPSproj,1)/(8.76*OFFSET(RPS_Scen!$J$11,0,0,ctRPSproj,1))*OFFSET(RPS_Scen!$K$11,0,0,ctRPSproj,1)))))</f>
        <v>0</v>
      </c>
      <c r="L13" s="6">
        <f t="array" aca="1" ref="L13" ca="1">SUM(IF(OFFSET(RPS_Scen!$A$11,0,0,ctRPSproj,1)=scenRPS,IF(OFFSET(RPS_Scen!$H$11,0,0,ctRPSproj,1)=$B$9,IF(OFFSET(RPS_Scen!$C$11,0,0,ctRPSproj,1)=$B13,OFFSET(RPS_Scen!V$11,0,0,ctRPSproj,1)/(8.76*OFFSET(RPS_Scen!$J$11,0,0,ctRPSproj,1))*OFFSET(RPS_Scen!$K$11,0,0,ctRPSproj,1)))))</f>
        <v>0</v>
      </c>
      <c r="M13" s="6">
        <f t="array" aca="1" ref="M13" ca="1">SUM(IF(OFFSET(RPS_Scen!$A$11,0,0,ctRPSproj,1)=scenRPS,IF(OFFSET(RPS_Scen!$H$11,0,0,ctRPSproj,1)=$B$9,IF(OFFSET(RPS_Scen!$C$11,0,0,ctRPSproj,1)=$B13,OFFSET(RPS_Scen!W$11,0,0,ctRPSproj,1)/(8.76*OFFSET(RPS_Scen!$J$11,0,0,ctRPSproj,1))*OFFSET(RPS_Scen!$K$11,0,0,ctRPSproj,1)))))</f>
        <v>0</v>
      </c>
      <c r="N13" s="6">
        <f t="array" aca="1" ref="N13" ca="1">SUM(IF(OFFSET(RPS_Scen!$A$11,0,0,ctRPSproj,1)=scenRPS,IF(OFFSET(RPS_Scen!$H$11,0,0,ctRPSproj,1)=$B$9,IF(OFFSET(RPS_Scen!$C$11,0,0,ctRPSproj,1)=$B13,OFFSET(RPS_Scen!X$11,0,0,ctRPSproj,1)/(8.76*OFFSET(RPS_Scen!$J$11,0,0,ctRPSproj,1))*OFFSET(RPS_Scen!$K$11,0,0,ctRPSproj,1)))))</f>
        <v>0</v>
      </c>
      <c r="O13" s="6">
        <f t="array" aca="1" ref="O13" ca="1">SUM(IF(OFFSET(RPS_Scen!$A$11,0,0,ctRPSproj,1)=scenRPS,IF(OFFSET(RPS_Scen!$H$11,0,0,ctRPSproj,1)=$B$9,IF(OFFSET(RPS_Scen!$C$11,0,0,ctRPSproj,1)=$B13,OFFSET(RPS_Scen!Y$11,0,0,ctRPSproj,1)/(8.76*OFFSET(RPS_Scen!$J$11,0,0,ctRPSproj,1))*OFFSET(RPS_Scen!$K$11,0,0,ctRPSproj,1)))))</f>
        <v>0</v>
      </c>
      <c r="P13" s="6">
        <f t="array" aca="1" ref="P13" ca="1">SUM(IF(OFFSET(RPS_Scen!$A$11,0,0,ctRPSproj,1)=scenRPS,IF(OFFSET(RPS_Scen!$H$11,0,0,ctRPSproj,1)=$B$9,IF(OFFSET(RPS_Scen!$C$11,0,0,ctRPSproj,1)=$B13,OFFSET(RPS_Scen!Z$11,0,0,ctRPSproj,1)/(8.76*OFFSET(RPS_Scen!$J$11,0,0,ctRPSproj,1))*OFFSET(RPS_Scen!$K$11,0,0,ctRPSproj,1)))))</f>
        <v>0</v>
      </c>
      <c r="Q13" s="6">
        <f t="array" aca="1" ref="Q13" ca="1">SUM(IF(OFFSET(RPS_Scen!$A$11,0,0,ctRPSproj,1)=scenRPS,IF(OFFSET(RPS_Scen!$H$11,0,0,ctRPSproj,1)=$B$9,IF(OFFSET(RPS_Scen!$C$11,0,0,ctRPSproj,1)=$B13,OFFSET(RPS_Scen!AA$11,0,0,ctRPSproj,1)/(8.76*OFFSET(RPS_Scen!$J$11,0,0,ctRPSproj,1))*OFFSET(RPS_Scen!$K$11,0,0,ctRPSproj,1)))))</f>
        <v>0</v>
      </c>
      <c r="R13" s="6">
        <f t="array" aca="1" ref="R13" ca="1">SUM(IF(OFFSET(RPS_Scen!$A$11,0,0,ctRPSproj,1)=scenRPS,IF(OFFSET(RPS_Scen!$H$11,0,0,ctRPSproj,1)=$B$9,IF(OFFSET(RPS_Scen!$C$11,0,0,ctRPSproj,1)=$B13,OFFSET(RPS_Scen!AB$11,0,0,ctRPSproj,1)/(8.76*OFFSET(RPS_Scen!$J$11,0,0,ctRPSproj,1))*OFFSET(RPS_Scen!$K$11,0,0,ctRPSproj,1)))))</f>
        <v>0</v>
      </c>
      <c r="S13" s="6">
        <f t="array" aca="1" ref="S13" ca="1">SUM(IF(OFFSET(RPS_Scen!$A$11,0,0,ctRPSproj,1)=scenRPS,IF(OFFSET(RPS_Scen!$H$11,0,0,ctRPSproj,1)=$B$9,IF(OFFSET(RPS_Scen!$C$11,0,0,ctRPSproj,1)=$B13,OFFSET(RPS_Scen!AC$11,0,0,ctRPSproj,1)/(8.76*OFFSET(RPS_Scen!$J$11,0,0,ctRPSproj,1))*OFFSET(RPS_Scen!$K$11,0,0,ctRPSproj,1)))))</f>
        <v>0</v>
      </c>
      <c r="T13" s="6">
        <f t="array" aca="1" ref="T13" ca="1">SUM(IF(OFFSET(RPS_Scen!$A$11,0,0,ctRPSproj,1)=scenRPS,IF(OFFSET(RPS_Scen!$H$11,0,0,ctRPSproj,1)=$B$9,IF(OFFSET(RPS_Scen!$C$11,0,0,ctRPSproj,1)=$B13,OFFSET(RPS_Scen!AD$11,0,0,ctRPSproj,1)/(8.76*OFFSET(RPS_Scen!$J$11,0,0,ctRPSproj,1))*OFFSET(RPS_Scen!$K$11,0,0,ctRPSproj,1)))))</f>
        <v>0</v>
      </c>
      <c r="U13" s="6">
        <f t="array" aca="1" ref="U13" ca="1">SUM(IF(OFFSET(RPS_Scen!$A$11,0,0,ctRPSproj,1)=scenRPS,IF(OFFSET(RPS_Scen!$H$11,0,0,ctRPSproj,1)=$B$9,IF(OFFSET(RPS_Scen!$C$11,0,0,ctRPSproj,1)=$B13,OFFSET(RPS_Scen!AE$11,0,0,ctRPSproj,1)/(8.76*OFFSET(RPS_Scen!$J$11,0,0,ctRPSproj,1))*OFFSET(RPS_Scen!$K$11,0,0,ctRPSproj,1)))))</f>
        <v>0</v>
      </c>
      <c r="V13" s="6">
        <f t="array" aca="1" ref="V13" ca="1">SUM(IF(OFFSET(RPS_Scen!$A$11,0,0,ctRPSproj,1)=scenRPS,IF(OFFSET(RPS_Scen!$H$11,0,0,ctRPSproj,1)=$B$9,IF(OFFSET(RPS_Scen!$C$11,0,0,ctRPSproj,1)=$B13,OFFSET(RPS_Scen!AF$11,0,0,ctRPSproj,1)/(8.76*OFFSET(RPS_Scen!$J$11,0,0,ctRPSproj,1))*OFFSET(RPS_Scen!$K$11,0,0,ctRPSproj,1)))))</f>
        <v>0</v>
      </c>
      <c r="W13" s="6">
        <f t="array" aca="1" ref="W13" ca="1">SUM(IF(OFFSET(RPS_Scen!$A$11,0,0,ctRPSproj,1)=scenRPS,IF(OFFSET(RPS_Scen!$H$11,0,0,ctRPSproj,1)=$B$9,IF(OFFSET(RPS_Scen!$C$11,0,0,ctRPSproj,1)=$B13,OFFSET(RPS_Scen!AG$11,0,0,ctRPSproj,1)/(8.76*OFFSET(RPS_Scen!$J$11,0,0,ctRPSproj,1))*OFFSET(RPS_Scen!$K$11,0,0,ctRPSproj,1)))))</f>
        <v>0</v>
      </c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</row>
    <row r="14" spans="1:60">
      <c r="B14" s="89" t="s">
        <v>185</v>
      </c>
      <c r="C14" s="152" t="s">
        <v>138</v>
      </c>
      <c r="D14" s="6">
        <f t="array" aca="1" ref="D14" ca="1">SUM(IF(OFFSET(RPS_Scen!$A$11,0,0,ctRPSproj,1)=scenRPS,IF(OFFSET(RPS_Scen!$H$11,0,0,ctRPSproj,1)=$B$9,IF(OFFSET(RPS_Scen!$C$11,0,0,ctRPSproj,1)=$B14,OFFSET(RPS_Scen!N$11,0,0,ctRPSproj,1)/(8.76*OFFSET(RPS_Scen!$J$11,0,0,ctRPSproj,1))*OFFSET(RPS_Scen!$K$11,0,0,ctRPSproj,1)))))</f>
        <v>0</v>
      </c>
      <c r="E14" s="6">
        <f t="array" aca="1" ref="E14" ca="1">SUM(IF(OFFSET(RPS_Scen!$A$11,0,0,ctRPSproj,1)=scenRPS,IF(OFFSET(RPS_Scen!$H$11,0,0,ctRPSproj,1)=$B$9,IF(OFFSET(RPS_Scen!$C$11,0,0,ctRPSproj,1)=$B14,OFFSET(RPS_Scen!O$11,0,0,ctRPSproj,1)/(8.76*OFFSET(RPS_Scen!$J$11,0,0,ctRPSproj,1))*OFFSET(RPS_Scen!$K$11,0,0,ctRPSproj,1)))))</f>
        <v>74.472518201901266</v>
      </c>
      <c r="F14" s="6">
        <f t="array" aca="1" ref="F14" ca="1">SUM(IF(OFFSET(RPS_Scen!$A$11,0,0,ctRPSproj,1)=scenRPS,IF(OFFSET(RPS_Scen!$H$11,0,0,ctRPSproj,1)=$B$9,IF(OFFSET(RPS_Scen!$C$11,0,0,ctRPSproj,1)=$B14,OFFSET(RPS_Scen!P$11,0,0,ctRPSproj,1)/(8.76*OFFSET(RPS_Scen!$J$11,0,0,ctRPSproj,1))*OFFSET(RPS_Scen!$K$11,0,0,ctRPSproj,1)))))</f>
        <v>74.472518201901266</v>
      </c>
      <c r="G14" s="6">
        <f t="array" aca="1" ref="G14" ca="1">SUM(IF(OFFSET(RPS_Scen!$A$11,0,0,ctRPSproj,1)=scenRPS,IF(OFFSET(RPS_Scen!$H$11,0,0,ctRPSproj,1)=$B$9,IF(OFFSET(RPS_Scen!$C$11,0,0,ctRPSproj,1)=$B14,OFFSET(RPS_Scen!Q$11,0,0,ctRPSproj,1)/(8.76*OFFSET(RPS_Scen!$J$11,0,0,ctRPSproj,1))*OFFSET(RPS_Scen!$K$11,0,0,ctRPSproj,1)))))</f>
        <v>181.44503640380225</v>
      </c>
      <c r="H14" s="6">
        <f t="array" aca="1" ref="H14" ca="1">SUM(IF(OFFSET(RPS_Scen!$A$11,0,0,ctRPSproj,1)=scenRPS,IF(OFFSET(RPS_Scen!$H$11,0,0,ctRPSproj,1)=$B$9,IF(OFFSET(RPS_Scen!$C$11,0,0,ctRPSproj,1)=$B14,OFFSET(RPS_Scen!R$11,0,0,ctRPSproj,1)/(8.76*OFFSET(RPS_Scen!$J$11,0,0,ctRPSproj,1))*OFFSET(RPS_Scen!$K$11,0,0,ctRPSproj,1)))))</f>
        <v>332.57003640380316</v>
      </c>
      <c r="I14" s="6">
        <f t="array" aca="1" ref="I14" ca="1">SUM(IF(OFFSET(RPS_Scen!$A$11,0,0,ctRPSproj,1)=scenRPS,IF(OFFSET(RPS_Scen!$H$11,0,0,ctRPSproj,1)=$B$9,IF(OFFSET(RPS_Scen!$C$11,0,0,ctRPSproj,1)=$B14,OFFSET(RPS_Scen!S$11,0,0,ctRPSproj,1)/(8.76*OFFSET(RPS_Scen!$J$11,0,0,ctRPSproj,1))*OFFSET(RPS_Scen!$K$11,0,0,ctRPSproj,1)))))</f>
        <v>678.16146073942173</v>
      </c>
      <c r="J14" s="6">
        <f t="array" aca="1" ref="J14" ca="1">SUM(IF(OFFSET(RPS_Scen!$A$11,0,0,ctRPSproj,1)=scenRPS,IF(OFFSET(RPS_Scen!$H$11,0,0,ctRPSproj,1)=$B$9,IF(OFFSET(RPS_Scen!$C$11,0,0,ctRPSproj,1)=$B14,OFFSET(RPS_Scen!T$11,0,0,ctRPSproj,1)/(8.76*OFFSET(RPS_Scen!$J$11,0,0,ctRPSproj,1))*OFFSET(RPS_Scen!$K$11,0,0,ctRPSproj,1)))))</f>
        <v>678.16146073942173</v>
      </c>
      <c r="K14" s="6">
        <f t="array" aca="1" ref="K14" ca="1">SUM(IF(OFFSET(RPS_Scen!$A$11,0,0,ctRPSproj,1)=scenRPS,IF(OFFSET(RPS_Scen!$H$11,0,0,ctRPSproj,1)=$B$9,IF(OFFSET(RPS_Scen!$C$11,0,0,ctRPSproj,1)=$B14,OFFSET(RPS_Scen!U$11,0,0,ctRPSproj,1)/(8.76*OFFSET(RPS_Scen!$J$11,0,0,ctRPSproj,1))*OFFSET(RPS_Scen!$K$11,0,0,ctRPSproj,1)))))</f>
        <v>678.16146073942173</v>
      </c>
      <c r="L14" s="6">
        <f t="array" aca="1" ref="L14" ca="1">SUM(IF(OFFSET(RPS_Scen!$A$11,0,0,ctRPSproj,1)=scenRPS,IF(OFFSET(RPS_Scen!$H$11,0,0,ctRPSproj,1)=$B$9,IF(OFFSET(RPS_Scen!$C$11,0,0,ctRPSproj,1)=$B14,OFFSET(RPS_Scen!V$11,0,0,ctRPSproj,1)/(8.76*OFFSET(RPS_Scen!$J$11,0,0,ctRPSproj,1))*OFFSET(RPS_Scen!$K$11,0,0,ctRPSproj,1)))))</f>
        <v>678.16146073942173</v>
      </c>
      <c r="M14" s="6">
        <f t="array" aca="1" ref="M14" ca="1">SUM(IF(OFFSET(RPS_Scen!$A$11,0,0,ctRPSproj,1)=scenRPS,IF(OFFSET(RPS_Scen!$H$11,0,0,ctRPSproj,1)=$B$9,IF(OFFSET(RPS_Scen!$C$11,0,0,ctRPSproj,1)=$B14,OFFSET(RPS_Scen!W$11,0,0,ctRPSproj,1)/(8.76*OFFSET(RPS_Scen!$J$11,0,0,ctRPSproj,1))*OFFSET(RPS_Scen!$K$11,0,0,ctRPSproj,1)))))</f>
        <v>678.16146073942173</v>
      </c>
      <c r="N14" s="6">
        <f t="array" aca="1" ref="N14" ca="1">SUM(IF(OFFSET(RPS_Scen!$A$11,0,0,ctRPSproj,1)=scenRPS,IF(OFFSET(RPS_Scen!$H$11,0,0,ctRPSproj,1)=$B$9,IF(OFFSET(RPS_Scen!$C$11,0,0,ctRPSproj,1)=$B14,OFFSET(RPS_Scen!X$11,0,0,ctRPSproj,1)/(8.76*OFFSET(RPS_Scen!$J$11,0,0,ctRPSproj,1))*OFFSET(RPS_Scen!$K$11,0,0,ctRPSproj,1)))))</f>
        <v>678.16146073942173</v>
      </c>
      <c r="O14" s="6">
        <f t="array" aca="1" ref="O14" ca="1">SUM(IF(OFFSET(RPS_Scen!$A$11,0,0,ctRPSproj,1)=scenRPS,IF(OFFSET(RPS_Scen!$H$11,0,0,ctRPSproj,1)=$B$9,IF(OFFSET(RPS_Scen!$C$11,0,0,ctRPSproj,1)=$B14,OFFSET(RPS_Scen!Y$11,0,0,ctRPSproj,1)/(8.76*OFFSET(RPS_Scen!$J$11,0,0,ctRPSproj,1))*OFFSET(RPS_Scen!$K$11,0,0,ctRPSproj,1)))))</f>
        <v>678.16146073942173</v>
      </c>
      <c r="P14" s="6">
        <f t="array" aca="1" ref="P14" ca="1">SUM(IF(OFFSET(RPS_Scen!$A$11,0,0,ctRPSproj,1)=scenRPS,IF(OFFSET(RPS_Scen!$H$11,0,0,ctRPSproj,1)=$B$9,IF(OFFSET(RPS_Scen!$C$11,0,0,ctRPSproj,1)=$B14,OFFSET(RPS_Scen!Z$11,0,0,ctRPSproj,1)/(8.76*OFFSET(RPS_Scen!$J$11,0,0,ctRPSproj,1))*OFFSET(RPS_Scen!$K$11,0,0,ctRPSproj,1)))))</f>
        <v>678.16146073942173</v>
      </c>
      <c r="Q14" s="6">
        <f t="array" aca="1" ref="Q14" ca="1">SUM(IF(OFFSET(RPS_Scen!$A$11,0,0,ctRPSproj,1)=scenRPS,IF(OFFSET(RPS_Scen!$H$11,0,0,ctRPSproj,1)=$B$9,IF(OFFSET(RPS_Scen!$C$11,0,0,ctRPSproj,1)=$B14,OFFSET(RPS_Scen!AA$11,0,0,ctRPSproj,1)/(8.76*OFFSET(RPS_Scen!$J$11,0,0,ctRPSproj,1))*OFFSET(RPS_Scen!$K$11,0,0,ctRPSproj,1)))))</f>
        <v>678.16146073942173</v>
      </c>
      <c r="R14" s="6">
        <f t="array" aca="1" ref="R14" ca="1">SUM(IF(OFFSET(RPS_Scen!$A$11,0,0,ctRPSproj,1)=scenRPS,IF(OFFSET(RPS_Scen!$H$11,0,0,ctRPSproj,1)=$B$9,IF(OFFSET(RPS_Scen!$C$11,0,0,ctRPSproj,1)=$B14,OFFSET(RPS_Scen!AB$11,0,0,ctRPSproj,1)/(8.76*OFFSET(RPS_Scen!$J$11,0,0,ctRPSproj,1))*OFFSET(RPS_Scen!$K$11,0,0,ctRPSproj,1)))))</f>
        <v>678.16146073942173</v>
      </c>
      <c r="S14" s="6">
        <f t="array" aca="1" ref="S14" ca="1">SUM(IF(OFFSET(RPS_Scen!$A$11,0,0,ctRPSproj,1)=scenRPS,IF(OFFSET(RPS_Scen!$H$11,0,0,ctRPSproj,1)=$B$9,IF(OFFSET(RPS_Scen!$C$11,0,0,ctRPSproj,1)=$B14,OFFSET(RPS_Scen!AC$11,0,0,ctRPSproj,1)/(8.76*OFFSET(RPS_Scen!$J$11,0,0,ctRPSproj,1))*OFFSET(RPS_Scen!$K$11,0,0,ctRPSproj,1)))))</f>
        <v>678.16146073942173</v>
      </c>
      <c r="T14" s="6">
        <f t="array" aca="1" ref="T14" ca="1">SUM(IF(OFFSET(RPS_Scen!$A$11,0,0,ctRPSproj,1)=scenRPS,IF(OFFSET(RPS_Scen!$H$11,0,0,ctRPSproj,1)=$B$9,IF(OFFSET(RPS_Scen!$C$11,0,0,ctRPSproj,1)=$B14,OFFSET(RPS_Scen!AD$11,0,0,ctRPSproj,1)/(8.76*OFFSET(RPS_Scen!$J$11,0,0,ctRPSproj,1))*OFFSET(RPS_Scen!$K$11,0,0,ctRPSproj,1)))))</f>
        <v>678.16146073942173</v>
      </c>
      <c r="U14" s="6">
        <f t="array" aca="1" ref="U14" ca="1">SUM(IF(OFFSET(RPS_Scen!$A$11,0,0,ctRPSproj,1)=scenRPS,IF(OFFSET(RPS_Scen!$H$11,0,0,ctRPSproj,1)=$B$9,IF(OFFSET(RPS_Scen!$C$11,0,0,ctRPSproj,1)=$B14,OFFSET(RPS_Scen!AE$11,0,0,ctRPSproj,1)/(8.76*OFFSET(RPS_Scen!$J$11,0,0,ctRPSproj,1))*OFFSET(RPS_Scen!$K$11,0,0,ctRPSproj,1)))))</f>
        <v>678.16146073942173</v>
      </c>
      <c r="V14" s="6">
        <f t="array" aca="1" ref="V14" ca="1">SUM(IF(OFFSET(RPS_Scen!$A$11,0,0,ctRPSproj,1)=scenRPS,IF(OFFSET(RPS_Scen!$H$11,0,0,ctRPSproj,1)=$B$9,IF(OFFSET(RPS_Scen!$C$11,0,0,ctRPSproj,1)=$B14,OFFSET(RPS_Scen!AF$11,0,0,ctRPSproj,1)/(8.76*OFFSET(RPS_Scen!$J$11,0,0,ctRPSproj,1))*OFFSET(RPS_Scen!$K$11,0,0,ctRPSproj,1)))))</f>
        <v>678.16146073942173</v>
      </c>
      <c r="W14" s="6">
        <f t="array" aca="1" ref="W14" ca="1">SUM(IF(OFFSET(RPS_Scen!$A$11,0,0,ctRPSproj,1)=scenRPS,IF(OFFSET(RPS_Scen!$H$11,0,0,ctRPSproj,1)=$B$9,IF(OFFSET(RPS_Scen!$C$11,0,0,ctRPSproj,1)=$B14,OFFSET(RPS_Scen!AG$11,0,0,ctRPSproj,1)/(8.76*OFFSET(RPS_Scen!$J$11,0,0,ctRPSproj,1))*OFFSET(RPS_Scen!$K$11,0,0,ctRPSproj,1)))))</f>
        <v>678.16146073942173</v>
      </c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</row>
    <row r="15" spans="1:60">
      <c r="B15" s="89" t="s">
        <v>186</v>
      </c>
      <c r="C15" s="152" t="s">
        <v>138</v>
      </c>
      <c r="D15" s="6">
        <f t="array" aca="1" ref="D15" ca="1">SUM(IF(OFFSET(RPS_Scen!$A$11,0,0,ctRPSproj,1)=scenRPS,IF(OFFSET(RPS_Scen!$H$11,0,0,ctRPSproj,1)=$B$9,IF(OFFSET(RPS_Scen!$C$11,0,0,ctRPSproj,1)=$B15,OFFSET(RPS_Scen!N$11,0,0,ctRPSproj,1)/(8.76*OFFSET(RPS_Scen!$J$11,0,0,ctRPSproj,1))*OFFSET(RPS_Scen!$K$11,0,0,ctRPSproj,1)))))</f>
        <v>0</v>
      </c>
      <c r="E15" s="6">
        <f t="array" aca="1" ref="E15" ca="1">SUM(IF(OFFSET(RPS_Scen!$A$11,0,0,ctRPSproj,1)=scenRPS,IF(OFFSET(RPS_Scen!$H$11,0,0,ctRPSproj,1)=$B$9,IF(OFFSET(RPS_Scen!$C$11,0,0,ctRPSproj,1)=$B15,OFFSET(RPS_Scen!O$11,0,0,ctRPSproj,1)/(8.76*OFFSET(RPS_Scen!$J$11,0,0,ctRPSproj,1))*OFFSET(RPS_Scen!$K$11,0,0,ctRPSproj,1)))))</f>
        <v>0</v>
      </c>
      <c r="F15" s="6">
        <f t="array" aca="1" ref="F15" ca="1">SUM(IF(OFFSET(RPS_Scen!$A$11,0,0,ctRPSproj,1)=scenRPS,IF(OFFSET(RPS_Scen!$H$11,0,0,ctRPSproj,1)=$B$9,IF(OFFSET(RPS_Scen!$C$11,0,0,ctRPSproj,1)=$B15,OFFSET(RPS_Scen!P$11,0,0,ctRPSproj,1)/(8.76*OFFSET(RPS_Scen!$J$11,0,0,ctRPSproj,1))*OFFSET(RPS_Scen!$K$11,0,0,ctRPSproj,1)))))</f>
        <v>0</v>
      </c>
      <c r="G15" s="6">
        <f t="array" aca="1" ref="G15" ca="1">SUM(IF(OFFSET(RPS_Scen!$A$11,0,0,ctRPSproj,1)=scenRPS,IF(OFFSET(RPS_Scen!$H$11,0,0,ctRPSproj,1)=$B$9,IF(OFFSET(RPS_Scen!$C$11,0,0,ctRPSproj,1)=$B15,OFFSET(RPS_Scen!Q$11,0,0,ctRPSproj,1)/(8.76*OFFSET(RPS_Scen!$J$11,0,0,ctRPSproj,1))*OFFSET(RPS_Scen!$K$11,0,0,ctRPSproj,1)))))</f>
        <v>0</v>
      </c>
      <c r="H15" s="6">
        <f t="array" aca="1" ref="H15" ca="1">SUM(IF(OFFSET(RPS_Scen!$A$11,0,0,ctRPSproj,1)=scenRPS,IF(OFFSET(RPS_Scen!$H$11,0,0,ctRPSproj,1)=$B$9,IF(OFFSET(RPS_Scen!$C$11,0,0,ctRPSproj,1)=$B15,OFFSET(RPS_Scen!R$11,0,0,ctRPSproj,1)/(8.76*OFFSET(RPS_Scen!$J$11,0,0,ctRPSproj,1))*OFFSET(RPS_Scen!$K$11,0,0,ctRPSproj,1)))))</f>
        <v>0</v>
      </c>
      <c r="I15" s="6">
        <f t="array" aca="1" ref="I15" ca="1">SUM(IF(OFFSET(RPS_Scen!$A$11,0,0,ctRPSproj,1)=scenRPS,IF(OFFSET(RPS_Scen!$H$11,0,0,ctRPSproj,1)=$B$9,IF(OFFSET(RPS_Scen!$C$11,0,0,ctRPSproj,1)=$B15,OFFSET(RPS_Scen!S$11,0,0,ctRPSproj,1)/(8.76*OFFSET(RPS_Scen!$J$11,0,0,ctRPSproj,1))*OFFSET(RPS_Scen!$K$11,0,0,ctRPSproj,1)))))</f>
        <v>0</v>
      </c>
      <c r="J15" s="6">
        <f t="array" aca="1" ref="J15" ca="1">SUM(IF(OFFSET(RPS_Scen!$A$11,0,0,ctRPSproj,1)=scenRPS,IF(OFFSET(RPS_Scen!$H$11,0,0,ctRPSproj,1)=$B$9,IF(OFFSET(RPS_Scen!$C$11,0,0,ctRPSproj,1)=$B15,OFFSET(RPS_Scen!T$11,0,0,ctRPSproj,1)/(8.76*OFFSET(RPS_Scen!$J$11,0,0,ctRPSproj,1))*OFFSET(RPS_Scen!$K$11,0,0,ctRPSproj,1)))))</f>
        <v>0</v>
      </c>
      <c r="K15" s="6">
        <f t="array" aca="1" ref="K15" ca="1">SUM(IF(OFFSET(RPS_Scen!$A$11,0,0,ctRPSproj,1)=scenRPS,IF(OFFSET(RPS_Scen!$H$11,0,0,ctRPSproj,1)=$B$9,IF(OFFSET(RPS_Scen!$C$11,0,0,ctRPSproj,1)=$B15,OFFSET(RPS_Scen!U$11,0,0,ctRPSproj,1)/(8.76*OFFSET(RPS_Scen!$J$11,0,0,ctRPSproj,1))*OFFSET(RPS_Scen!$K$11,0,0,ctRPSproj,1)))))</f>
        <v>0</v>
      </c>
      <c r="L15" s="6">
        <f t="array" aca="1" ref="L15" ca="1">SUM(IF(OFFSET(RPS_Scen!$A$11,0,0,ctRPSproj,1)=scenRPS,IF(OFFSET(RPS_Scen!$H$11,0,0,ctRPSproj,1)=$B$9,IF(OFFSET(RPS_Scen!$C$11,0,0,ctRPSproj,1)=$B15,OFFSET(RPS_Scen!V$11,0,0,ctRPSproj,1)/(8.76*OFFSET(RPS_Scen!$J$11,0,0,ctRPSproj,1))*OFFSET(RPS_Scen!$K$11,0,0,ctRPSproj,1)))))</f>
        <v>0</v>
      </c>
      <c r="M15" s="6">
        <f t="array" aca="1" ref="M15" ca="1">SUM(IF(OFFSET(RPS_Scen!$A$11,0,0,ctRPSproj,1)=scenRPS,IF(OFFSET(RPS_Scen!$H$11,0,0,ctRPSproj,1)=$B$9,IF(OFFSET(RPS_Scen!$C$11,0,0,ctRPSproj,1)=$B15,OFFSET(RPS_Scen!W$11,0,0,ctRPSproj,1)/(8.76*OFFSET(RPS_Scen!$J$11,0,0,ctRPSproj,1))*OFFSET(RPS_Scen!$K$11,0,0,ctRPSproj,1)))))</f>
        <v>0</v>
      </c>
      <c r="N15" s="6">
        <f t="array" aca="1" ref="N15" ca="1">SUM(IF(OFFSET(RPS_Scen!$A$11,0,0,ctRPSproj,1)=scenRPS,IF(OFFSET(RPS_Scen!$H$11,0,0,ctRPSproj,1)=$B$9,IF(OFFSET(RPS_Scen!$C$11,0,0,ctRPSproj,1)=$B15,OFFSET(RPS_Scen!X$11,0,0,ctRPSproj,1)/(8.76*OFFSET(RPS_Scen!$J$11,0,0,ctRPSproj,1))*OFFSET(RPS_Scen!$K$11,0,0,ctRPSproj,1)))))</f>
        <v>0</v>
      </c>
      <c r="O15" s="6">
        <f t="array" aca="1" ref="O15" ca="1">SUM(IF(OFFSET(RPS_Scen!$A$11,0,0,ctRPSproj,1)=scenRPS,IF(OFFSET(RPS_Scen!$H$11,0,0,ctRPSproj,1)=$B$9,IF(OFFSET(RPS_Scen!$C$11,0,0,ctRPSproj,1)=$B15,OFFSET(RPS_Scen!Y$11,0,0,ctRPSproj,1)/(8.76*OFFSET(RPS_Scen!$J$11,0,0,ctRPSproj,1))*OFFSET(RPS_Scen!$K$11,0,0,ctRPSproj,1)))))</f>
        <v>0</v>
      </c>
      <c r="P15" s="6">
        <f t="array" aca="1" ref="P15" ca="1">SUM(IF(OFFSET(RPS_Scen!$A$11,0,0,ctRPSproj,1)=scenRPS,IF(OFFSET(RPS_Scen!$H$11,0,0,ctRPSproj,1)=$B$9,IF(OFFSET(RPS_Scen!$C$11,0,0,ctRPSproj,1)=$B15,OFFSET(RPS_Scen!Z$11,0,0,ctRPSproj,1)/(8.76*OFFSET(RPS_Scen!$J$11,0,0,ctRPSproj,1))*OFFSET(RPS_Scen!$K$11,0,0,ctRPSproj,1)))))</f>
        <v>0</v>
      </c>
      <c r="Q15" s="6">
        <f t="array" aca="1" ref="Q15" ca="1">SUM(IF(OFFSET(RPS_Scen!$A$11,0,0,ctRPSproj,1)=scenRPS,IF(OFFSET(RPS_Scen!$H$11,0,0,ctRPSproj,1)=$B$9,IF(OFFSET(RPS_Scen!$C$11,0,0,ctRPSproj,1)=$B15,OFFSET(RPS_Scen!AA$11,0,0,ctRPSproj,1)/(8.76*OFFSET(RPS_Scen!$J$11,0,0,ctRPSproj,1))*OFFSET(RPS_Scen!$K$11,0,0,ctRPSproj,1)))))</f>
        <v>0</v>
      </c>
      <c r="R15" s="6">
        <f t="array" aca="1" ref="R15" ca="1">SUM(IF(OFFSET(RPS_Scen!$A$11,0,0,ctRPSproj,1)=scenRPS,IF(OFFSET(RPS_Scen!$H$11,0,0,ctRPSproj,1)=$B$9,IF(OFFSET(RPS_Scen!$C$11,0,0,ctRPSproj,1)=$B15,OFFSET(RPS_Scen!AB$11,0,0,ctRPSproj,1)/(8.76*OFFSET(RPS_Scen!$J$11,0,0,ctRPSproj,1))*OFFSET(RPS_Scen!$K$11,0,0,ctRPSproj,1)))))</f>
        <v>0</v>
      </c>
      <c r="S15" s="6">
        <f t="array" aca="1" ref="S15" ca="1">SUM(IF(OFFSET(RPS_Scen!$A$11,0,0,ctRPSproj,1)=scenRPS,IF(OFFSET(RPS_Scen!$H$11,0,0,ctRPSproj,1)=$B$9,IF(OFFSET(RPS_Scen!$C$11,0,0,ctRPSproj,1)=$B15,OFFSET(RPS_Scen!AC$11,0,0,ctRPSproj,1)/(8.76*OFFSET(RPS_Scen!$J$11,0,0,ctRPSproj,1))*OFFSET(RPS_Scen!$K$11,0,0,ctRPSproj,1)))))</f>
        <v>0</v>
      </c>
      <c r="T15" s="6">
        <f t="array" aca="1" ref="T15" ca="1">SUM(IF(OFFSET(RPS_Scen!$A$11,0,0,ctRPSproj,1)=scenRPS,IF(OFFSET(RPS_Scen!$H$11,0,0,ctRPSproj,1)=$B$9,IF(OFFSET(RPS_Scen!$C$11,0,0,ctRPSproj,1)=$B15,OFFSET(RPS_Scen!AD$11,0,0,ctRPSproj,1)/(8.76*OFFSET(RPS_Scen!$J$11,0,0,ctRPSproj,1))*OFFSET(RPS_Scen!$K$11,0,0,ctRPSproj,1)))))</f>
        <v>0</v>
      </c>
      <c r="U15" s="6">
        <f t="array" aca="1" ref="U15" ca="1">SUM(IF(OFFSET(RPS_Scen!$A$11,0,0,ctRPSproj,1)=scenRPS,IF(OFFSET(RPS_Scen!$H$11,0,0,ctRPSproj,1)=$B$9,IF(OFFSET(RPS_Scen!$C$11,0,0,ctRPSproj,1)=$B15,OFFSET(RPS_Scen!AE$11,0,0,ctRPSproj,1)/(8.76*OFFSET(RPS_Scen!$J$11,0,0,ctRPSproj,1))*OFFSET(RPS_Scen!$K$11,0,0,ctRPSproj,1)))))</f>
        <v>0</v>
      </c>
      <c r="V15" s="6">
        <f t="array" aca="1" ref="V15" ca="1">SUM(IF(OFFSET(RPS_Scen!$A$11,0,0,ctRPSproj,1)=scenRPS,IF(OFFSET(RPS_Scen!$H$11,0,0,ctRPSproj,1)=$B$9,IF(OFFSET(RPS_Scen!$C$11,0,0,ctRPSproj,1)=$B15,OFFSET(RPS_Scen!AF$11,0,0,ctRPSproj,1)/(8.76*OFFSET(RPS_Scen!$J$11,0,0,ctRPSproj,1))*OFFSET(RPS_Scen!$K$11,0,0,ctRPSproj,1)))))</f>
        <v>0</v>
      </c>
      <c r="W15" s="6">
        <f t="array" aca="1" ref="W15" ca="1">SUM(IF(OFFSET(RPS_Scen!$A$11,0,0,ctRPSproj,1)=scenRPS,IF(OFFSET(RPS_Scen!$H$11,0,0,ctRPSproj,1)=$B$9,IF(OFFSET(RPS_Scen!$C$11,0,0,ctRPSproj,1)=$B15,OFFSET(RPS_Scen!AG$11,0,0,ctRPSproj,1)/(8.76*OFFSET(RPS_Scen!$J$11,0,0,ctRPSproj,1))*OFFSET(RPS_Scen!$K$11,0,0,ctRPSproj,1)))))</f>
        <v>0</v>
      </c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</row>
    <row r="16" spans="1:60">
      <c r="B16" s="89" t="s">
        <v>187</v>
      </c>
      <c r="C16" s="152" t="s">
        <v>138</v>
      </c>
      <c r="D16" s="6">
        <f t="array" aca="1" ref="D16" ca="1">SUM(IF(OFFSET(RPS_Scen!$A$11,0,0,ctRPSproj,1)=scenRPS,IF(OFFSET(RPS_Scen!$H$11,0,0,ctRPSproj,1)=$B$9,IF(OFFSET(RPS_Scen!$C$11,0,0,ctRPSproj,1)=$B16,OFFSET(RPS_Scen!N$11,0,0,ctRPSproj,1)/(8.76*OFFSET(RPS_Scen!$J$11,0,0,ctRPSproj,1))*OFFSET(RPS_Scen!$K$11,0,0,ctRPSproj,1)))))</f>
        <v>0</v>
      </c>
      <c r="E16" s="6">
        <f t="array" aca="1" ref="E16" ca="1">SUM(IF(OFFSET(RPS_Scen!$A$11,0,0,ctRPSproj,1)=scenRPS,IF(OFFSET(RPS_Scen!$H$11,0,0,ctRPSproj,1)=$B$9,IF(OFFSET(RPS_Scen!$C$11,0,0,ctRPSproj,1)=$B16,OFFSET(RPS_Scen!O$11,0,0,ctRPSproj,1)/(8.76*OFFSET(RPS_Scen!$J$11,0,0,ctRPSproj,1))*OFFSET(RPS_Scen!$K$11,0,0,ctRPSproj,1)))))</f>
        <v>0</v>
      </c>
      <c r="F16" s="6">
        <f t="array" aca="1" ref="F16" ca="1">SUM(IF(OFFSET(RPS_Scen!$A$11,0,0,ctRPSproj,1)=scenRPS,IF(OFFSET(RPS_Scen!$H$11,0,0,ctRPSproj,1)=$B$9,IF(OFFSET(RPS_Scen!$C$11,0,0,ctRPSproj,1)=$B16,OFFSET(RPS_Scen!P$11,0,0,ctRPSproj,1)/(8.76*OFFSET(RPS_Scen!$J$11,0,0,ctRPSproj,1))*OFFSET(RPS_Scen!$K$11,0,0,ctRPSproj,1)))))</f>
        <v>0</v>
      </c>
      <c r="G16" s="6">
        <f t="array" aca="1" ref="G16" ca="1">SUM(IF(OFFSET(RPS_Scen!$A$11,0,0,ctRPSproj,1)=scenRPS,IF(OFFSET(RPS_Scen!$H$11,0,0,ctRPSproj,1)=$B$9,IF(OFFSET(RPS_Scen!$C$11,0,0,ctRPSproj,1)=$B16,OFFSET(RPS_Scen!Q$11,0,0,ctRPSproj,1)/(8.76*OFFSET(RPS_Scen!$J$11,0,0,ctRPSproj,1))*OFFSET(RPS_Scen!$K$11,0,0,ctRPSproj,1)))))</f>
        <v>0</v>
      </c>
      <c r="H16" s="6">
        <f t="array" aca="1" ref="H16" ca="1">SUM(IF(OFFSET(RPS_Scen!$A$11,0,0,ctRPSproj,1)=scenRPS,IF(OFFSET(RPS_Scen!$H$11,0,0,ctRPSproj,1)=$B$9,IF(OFFSET(RPS_Scen!$C$11,0,0,ctRPSproj,1)=$B16,OFFSET(RPS_Scen!R$11,0,0,ctRPSproj,1)/(8.76*OFFSET(RPS_Scen!$J$11,0,0,ctRPSproj,1))*OFFSET(RPS_Scen!$K$11,0,0,ctRPSproj,1)))))</f>
        <v>0</v>
      </c>
      <c r="I16" s="6">
        <f t="array" aca="1" ref="I16" ca="1">SUM(IF(OFFSET(RPS_Scen!$A$11,0,0,ctRPSproj,1)=scenRPS,IF(OFFSET(RPS_Scen!$H$11,0,0,ctRPSproj,1)=$B$9,IF(OFFSET(RPS_Scen!$C$11,0,0,ctRPSproj,1)=$B16,OFFSET(RPS_Scen!S$11,0,0,ctRPSproj,1)/(8.76*OFFSET(RPS_Scen!$J$11,0,0,ctRPSproj,1))*OFFSET(RPS_Scen!$K$11,0,0,ctRPSproj,1)))))</f>
        <v>0</v>
      </c>
      <c r="J16" s="6">
        <f t="array" aca="1" ref="J16" ca="1">SUM(IF(OFFSET(RPS_Scen!$A$11,0,0,ctRPSproj,1)=scenRPS,IF(OFFSET(RPS_Scen!$H$11,0,0,ctRPSproj,1)=$B$9,IF(OFFSET(RPS_Scen!$C$11,0,0,ctRPSproj,1)=$B16,OFFSET(RPS_Scen!T$11,0,0,ctRPSproj,1)/(8.76*OFFSET(RPS_Scen!$J$11,0,0,ctRPSproj,1))*OFFSET(RPS_Scen!$K$11,0,0,ctRPSproj,1)))))</f>
        <v>0</v>
      </c>
      <c r="K16" s="6">
        <f t="array" aca="1" ref="K16" ca="1">SUM(IF(OFFSET(RPS_Scen!$A$11,0,0,ctRPSproj,1)=scenRPS,IF(OFFSET(RPS_Scen!$H$11,0,0,ctRPSproj,1)=$B$9,IF(OFFSET(RPS_Scen!$C$11,0,0,ctRPSproj,1)=$B16,OFFSET(RPS_Scen!U$11,0,0,ctRPSproj,1)/(8.76*OFFSET(RPS_Scen!$J$11,0,0,ctRPSproj,1))*OFFSET(RPS_Scen!$K$11,0,0,ctRPSproj,1)))))</f>
        <v>0</v>
      </c>
      <c r="L16" s="6">
        <f t="array" aca="1" ref="L16" ca="1">SUM(IF(OFFSET(RPS_Scen!$A$11,0,0,ctRPSproj,1)=scenRPS,IF(OFFSET(RPS_Scen!$H$11,0,0,ctRPSproj,1)=$B$9,IF(OFFSET(RPS_Scen!$C$11,0,0,ctRPSproj,1)=$B16,OFFSET(RPS_Scen!V$11,0,0,ctRPSproj,1)/(8.76*OFFSET(RPS_Scen!$J$11,0,0,ctRPSproj,1))*OFFSET(RPS_Scen!$K$11,0,0,ctRPSproj,1)))))</f>
        <v>0</v>
      </c>
      <c r="M16" s="6">
        <f t="array" aca="1" ref="M16" ca="1">SUM(IF(OFFSET(RPS_Scen!$A$11,0,0,ctRPSproj,1)=scenRPS,IF(OFFSET(RPS_Scen!$H$11,0,0,ctRPSproj,1)=$B$9,IF(OFFSET(RPS_Scen!$C$11,0,0,ctRPSproj,1)=$B16,OFFSET(RPS_Scen!W$11,0,0,ctRPSproj,1)/(8.76*OFFSET(RPS_Scen!$J$11,0,0,ctRPSproj,1))*OFFSET(RPS_Scen!$K$11,0,0,ctRPSproj,1)))))</f>
        <v>0</v>
      </c>
      <c r="N16" s="6">
        <f t="array" aca="1" ref="N16" ca="1">SUM(IF(OFFSET(RPS_Scen!$A$11,0,0,ctRPSproj,1)=scenRPS,IF(OFFSET(RPS_Scen!$H$11,0,0,ctRPSproj,1)=$B$9,IF(OFFSET(RPS_Scen!$C$11,0,0,ctRPSproj,1)=$B16,OFFSET(RPS_Scen!X$11,0,0,ctRPSproj,1)/(8.76*OFFSET(RPS_Scen!$J$11,0,0,ctRPSproj,1))*OFFSET(RPS_Scen!$K$11,0,0,ctRPSproj,1)))))</f>
        <v>0</v>
      </c>
      <c r="O16" s="6">
        <f t="array" aca="1" ref="O16" ca="1">SUM(IF(OFFSET(RPS_Scen!$A$11,0,0,ctRPSproj,1)=scenRPS,IF(OFFSET(RPS_Scen!$H$11,0,0,ctRPSproj,1)=$B$9,IF(OFFSET(RPS_Scen!$C$11,0,0,ctRPSproj,1)=$B16,OFFSET(RPS_Scen!Y$11,0,0,ctRPSproj,1)/(8.76*OFFSET(RPS_Scen!$J$11,0,0,ctRPSproj,1))*OFFSET(RPS_Scen!$K$11,0,0,ctRPSproj,1)))))</f>
        <v>0</v>
      </c>
      <c r="P16" s="6">
        <f t="array" aca="1" ref="P16" ca="1">SUM(IF(OFFSET(RPS_Scen!$A$11,0,0,ctRPSproj,1)=scenRPS,IF(OFFSET(RPS_Scen!$H$11,0,0,ctRPSproj,1)=$B$9,IF(OFFSET(RPS_Scen!$C$11,0,0,ctRPSproj,1)=$B16,OFFSET(RPS_Scen!Z$11,0,0,ctRPSproj,1)/(8.76*OFFSET(RPS_Scen!$J$11,0,0,ctRPSproj,1))*OFFSET(RPS_Scen!$K$11,0,0,ctRPSproj,1)))))</f>
        <v>0</v>
      </c>
      <c r="Q16" s="6">
        <f t="array" aca="1" ref="Q16" ca="1">SUM(IF(OFFSET(RPS_Scen!$A$11,0,0,ctRPSproj,1)=scenRPS,IF(OFFSET(RPS_Scen!$H$11,0,0,ctRPSproj,1)=$B$9,IF(OFFSET(RPS_Scen!$C$11,0,0,ctRPSproj,1)=$B16,OFFSET(RPS_Scen!AA$11,0,0,ctRPSproj,1)/(8.76*OFFSET(RPS_Scen!$J$11,0,0,ctRPSproj,1))*OFFSET(RPS_Scen!$K$11,0,0,ctRPSproj,1)))))</f>
        <v>0</v>
      </c>
      <c r="R16" s="6">
        <f t="array" aca="1" ref="R16" ca="1">SUM(IF(OFFSET(RPS_Scen!$A$11,0,0,ctRPSproj,1)=scenRPS,IF(OFFSET(RPS_Scen!$H$11,0,0,ctRPSproj,1)=$B$9,IF(OFFSET(RPS_Scen!$C$11,0,0,ctRPSproj,1)=$B16,OFFSET(RPS_Scen!AB$11,0,0,ctRPSproj,1)/(8.76*OFFSET(RPS_Scen!$J$11,0,0,ctRPSproj,1))*OFFSET(RPS_Scen!$K$11,0,0,ctRPSproj,1)))))</f>
        <v>0</v>
      </c>
      <c r="S16" s="6">
        <f t="array" aca="1" ref="S16" ca="1">SUM(IF(OFFSET(RPS_Scen!$A$11,0,0,ctRPSproj,1)=scenRPS,IF(OFFSET(RPS_Scen!$H$11,0,0,ctRPSproj,1)=$B$9,IF(OFFSET(RPS_Scen!$C$11,0,0,ctRPSproj,1)=$B16,OFFSET(RPS_Scen!AC$11,0,0,ctRPSproj,1)/(8.76*OFFSET(RPS_Scen!$J$11,0,0,ctRPSproj,1))*OFFSET(RPS_Scen!$K$11,0,0,ctRPSproj,1)))))</f>
        <v>0</v>
      </c>
      <c r="T16" s="6">
        <f t="array" aca="1" ref="T16" ca="1">SUM(IF(OFFSET(RPS_Scen!$A$11,0,0,ctRPSproj,1)=scenRPS,IF(OFFSET(RPS_Scen!$H$11,0,0,ctRPSproj,1)=$B$9,IF(OFFSET(RPS_Scen!$C$11,0,0,ctRPSproj,1)=$B16,OFFSET(RPS_Scen!AD$11,0,0,ctRPSproj,1)/(8.76*OFFSET(RPS_Scen!$J$11,0,0,ctRPSproj,1))*OFFSET(RPS_Scen!$K$11,0,0,ctRPSproj,1)))))</f>
        <v>0</v>
      </c>
      <c r="U16" s="6">
        <f t="array" aca="1" ref="U16" ca="1">SUM(IF(OFFSET(RPS_Scen!$A$11,0,0,ctRPSproj,1)=scenRPS,IF(OFFSET(RPS_Scen!$H$11,0,0,ctRPSproj,1)=$B$9,IF(OFFSET(RPS_Scen!$C$11,0,0,ctRPSproj,1)=$B16,OFFSET(RPS_Scen!AE$11,0,0,ctRPSproj,1)/(8.76*OFFSET(RPS_Scen!$J$11,0,0,ctRPSproj,1))*OFFSET(RPS_Scen!$K$11,0,0,ctRPSproj,1)))))</f>
        <v>0</v>
      </c>
      <c r="V16" s="6">
        <f t="array" aca="1" ref="V16" ca="1">SUM(IF(OFFSET(RPS_Scen!$A$11,0,0,ctRPSproj,1)=scenRPS,IF(OFFSET(RPS_Scen!$H$11,0,0,ctRPSproj,1)=$B$9,IF(OFFSET(RPS_Scen!$C$11,0,0,ctRPSproj,1)=$B16,OFFSET(RPS_Scen!AF$11,0,0,ctRPSproj,1)/(8.76*OFFSET(RPS_Scen!$J$11,0,0,ctRPSproj,1))*OFFSET(RPS_Scen!$K$11,0,0,ctRPSproj,1)))))</f>
        <v>0</v>
      </c>
      <c r="W16" s="6">
        <f t="array" aca="1" ref="W16" ca="1">SUM(IF(OFFSET(RPS_Scen!$A$11,0,0,ctRPSproj,1)=scenRPS,IF(OFFSET(RPS_Scen!$H$11,0,0,ctRPSproj,1)=$B$9,IF(OFFSET(RPS_Scen!$C$11,0,0,ctRPSproj,1)=$B16,OFFSET(RPS_Scen!AG$11,0,0,ctRPSproj,1)/(8.76*OFFSET(RPS_Scen!$J$11,0,0,ctRPSproj,1))*OFFSET(RPS_Scen!$K$11,0,0,ctRPSproj,1)))))</f>
        <v>0</v>
      </c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</row>
    <row r="17" spans="2:60">
      <c r="B17" s="89" t="s">
        <v>137</v>
      </c>
      <c r="C17" s="152" t="s">
        <v>137</v>
      </c>
      <c r="D17" s="6">
        <f t="array" aca="1" ref="D17" ca="1">SUM(IF(OFFSET(RPS_Scen!$A$11,0,0,ctRPSproj,1)=scenRPS,IF(OFFSET(RPS_Scen!$H$11,0,0,ctRPSproj,1)=$B$9,IF(OFFSET(RPS_Scen!$C$11,0,0,ctRPSproj,1)=$B17,OFFSET(RPS_Scen!N$11,0,0,ctRPSproj,1)/(8.76*OFFSET(RPS_Scen!$J$11,0,0,ctRPSproj,1))*OFFSET(RPS_Scen!$K$11,0,0,ctRPSproj,1)))))</f>
        <v>12.589988748223417</v>
      </c>
      <c r="E17" s="6">
        <f t="array" aca="1" ref="E17" ca="1">SUM(IF(OFFSET(RPS_Scen!$A$11,0,0,ctRPSproj,1)=scenRPS,IF(OFFSET(RPS_Scen!$H$11,0,0,ctRPSproj,1)=$B$9,IF(OFFSET(RPS_Scen!$C$11,0,0,ctRPSproj,1)=$B17,OFFSET(RPS_Scen!O$11,0,0,ctRPSproj,1)/(8.76*OFFSET(RPS_Scen!$J$11,0,0,ctRPSproj,1))*OFFSET(RPS_Scen!$K$11,0,0,ctRPSproj,1)))))</f>
        <v>12.589988748223417</v>
      </c>
      <c r="F17" s="6">
        <f t="array" aca="1" ref="F17" ca="1">SUM(IF(OFFSET(RPS_Scen!$A$11,0,0,ctRPSproj,1)=scenRPS,IF(OFFSET(RPS_Scen!$H$11,0,0,ctRPSproj,1)=$B$9,IF(OFFSET(RPS_Scen!$C$11,0,0,ctRPSproj,1)=$B17,OFFSET(RPS_Scen!P$11,0,0,ctRPSproj,1)/(8.76*OFFSET(RPS_Scen!$J$11,0,0,ctRPSproj,1))*OFFSET(RPS_Scen!$K$11,0,0,ctRPSproj,1)))))</f>
        <v>12.589988748223417</v>
      </c>
      <c r="G17" s="6">
        <f t="array" aca="1" ref="G17" ca="1">SUM(IF(OFFSET(RPS_Scen!$A$11,0,0,ctRPSproj,1)=scenRPS,IF(OFFSET(RPS_Scen!$H$11,0,0,ctRPSproj,1)=$B$9,IF(OFFSET(RPS_Scen!$C$11,0,0,ctRPSproj,1)=$B17,OFFSET(RPS_Scen!Q$11,0,0,ctRPSproj,1)/(8.76*OFFSET(RPS_Scen!$J$11,0,0,ctRPSproj,1))*OFFSET(RPS_Scen!$K$11,0,0,ctRPSproj,1)))))</f>
        <v>12.589988748223417</v>
      </c>
      <c r="H17" s="6">
        <f t="array" aca="1" ref="H17" ca="1">SUM(IF(OFFSET(RPS_Scen!$A$11,0,0,ctRPSproj,1)=scenRPS,IF(OFFSET(RPS_Scen!$H$11,0,0,ctRPSproj,1)=$B$9,IF(OFFSET(RPS_Scen!$C$11,0,0,ctRPSproj,1)=$B17,OFFSET(RPS_Scen!R$11,0,0,ctRPSproj,1)/(8.76*OFFSET(RPS_Scen!$J$11,0,0,ctRPSproj,1))*OFFSET(RPS_Scen!$K$11,0,0,ctRPSproj,1)))))</f>
        <v>12.589988748223417</v>
      </c>
      <c r="I17" s="6">
        <f t="array" aca="1" ref="I17" ca="1">SUM(IF(OFFSET(RPS_Scen!$A$11,0,0,ctRPSproj,1)=scenRPS,IF(OFFSET(RPS_Scen!$H$11,0,0,ctRPSproj,1)=$B$9,IF(OFFSET(RPS_Scen!$C$11,0,0,ctRPSproj,1)=$B17,OFFSET(RPS_Scen!S$11,0,0,ctRPSproj,1)/(8.76*OFFSET(RPS_Scen!$J$11,0,0,ctRPSproj,1))*OFFSET(RPS_Scen!$K$11,0,0,ctRPSproj,1)))))</f>
        <v>12.589988748223417</v>
      </c>
      <c r="J17" s="6">
        <f t="array" aca="1" ref="J17" ca="1">SUM(IF(OFFSET(RPS_Scen!$A$11,0,0,ctRPSproj,1)=scenRPS,IF(OFFSET(RPS_Scen!$H$11,0,0,ctRPSproj,1)=$B$9,IF(OFFSET(RPS_Scen!$C$11,0,0,ctRPSproj,1)=$B17,OFFSET(RPS_Scen!T$11,0,0,ctRPSproj,1)/(8.76*OFFSET(RPS_Scen!$J$11,0,0,ctRPSproj,1))*OFFSET(RPS_Scen!$K$11,0,0,ctRPSproj,1)))))</f>
        <v>157.02331587711822</v>
      </c>
      <c r="K17" s="6">
        <f t="array" aca="1" ref="K17" ca="1">SUM(IF(OFFSET(RPS_Scen!$A$11,0,0,ctRPSproj,1)=scenRPS,IF(OFFSET(RPS_Scen!$H$11,0,0,ctRPSproj,1)=$B$9,IF(OFFSET(RPS_Scen!$C$11,0,0,ctRPSproj,1)=$B17,OFFSET(RPS_Scen!U$11,0,0,ctRPSproj,1)/(8.76*OFFSET(RPS_Scen!$J$11,0,0,ctRPSproj,1))*OFFSET(RPS_Scen!$K$11,0,0,ctRPSproj,1)))))</f>
        <v>157.02331587711822</v>
      </c>
      <c r="L17" s="6">
        <f t="array" aca="1" ref="L17" ca="1">SUM(IF(OFFSET(RPS_Scen!$A$11,0,0,ctRPSproj,1)=scenRPS,IF(OFFSET(RPS_Scen!$H$11,0,0,ctRPSproj,1)=$B$9,IF(OFFSET(RPS_Scen!$C$11,0,0,ctRPSproj,1)=$B17,OFFSET(RPS_Scen!V$11,0,0,ctRPSproj,1)/(8.76*OFFSET(RPS_Scen!$J$11,0,0,ctRPSproj,1))*OFFSET(RPS_Scen!$K$11,0,0,ctRPSproj,1)))))</f>
        <v>157.02331587711822</v>
      </c>
      <c r="M17" s="6">
        <f t="array" aca="1" ref="M17" ca="1">SUM(IF(OFFSET(RPS_Scen!$A$11,0,0,ctRPSproj,1)=scenRPS,IF(OFFSET(RPS_Scen!$H$11,0,0,ctRPSproj,1)=$B$9,IF(OFFSET(RPS_Scen!$C$11,0,0,ctRPSproj,1)=$B17,OFFSET(RPS_Scen!W$11,0,0,ctRPSproj,1)/(8.76*OFFSET(RPS_Scen!$J$11,0,0,ctRPSproj,1))*OFFSET(RPS_Scen!$K$11,0,0,ctRPSproj,1)))))</f>
        <v>157.02331587711822</v>
      </c>
      <c r="N17" s="6">
        <f t="array" aca="1" ref="N17" ca="1">SUM(IF(OFFSET(RPS_Scen!$A$11,0,0,ctRPSproj,1)=scenRPS,IF(OFFSET(RPS_Scen!$H$11,0,0,ctRPSproj,1)=$B$9,IF(OFFSET(RPS_Scen!$C$11,0,0,ctRPSproj,1)=$B17,OFFSET(RPS_Scen!X$11,0,0,ctRPSproj,1)/(8.76*OFFSET(RPS_Scen!$J$11,0,0,ctRPSproj,1))*OFFSET(RPS_Scen!$K$11,0,0,ctRPSproj,1)))))</f>
        <v>157.02331587711822</v>
      </c>
      <c r="O17" s="6">
        <f t="array" aca="1" ref="O17" ca="1">SUM(IF(OFFSET(RPS_Scen!$A$11,0,0,ctRPSproj,1)=scenRPS,IF(OFFSET(RPS_Scen!$H$11,0,0,ctRPSproj,1)=$B$9,IF(OFFSET(RPS_Scen!$C$11,0,0,ctRPSproj,1)=$B17,OFFSET(RPS_Scen!Y$11,0,0,ctRPSproj,1)/(8.76*OFFSET(RPS_Scen!$J$11,0,0,ctRPSproj,1))*OFFSET(RPS_Scen!$K$11,0,0,ctRPSproj,1)))))</f>
        <v>157.02331587711822</v>
      </c>
      <c r="P17" s="6">
        <f t="array" aca="1" ref="P17" ca="1">SUM(IF(OFFSET(RPS_Scen!$A$11,0,0,ctRPSproj,1)=scenRPS,IF(OFFSET(RPS_Scen!$H$11,0,0,ctRPSproj,1)=$B$9,IF(OFFSET(RPS_Scen!$C$11,0,0,ctRPSproj,1)=$B17,OFFSET(RPS_Scen!Z$11,0,0,ctRPSproj,1)/(8.76*OFFSET(RPS_Scen!$J$11,0,0,ctRPSproj,1))*OFFSET(RPS_Scen!$K$11,0,0,ctRPSproj,1)))))</f>
        <v>157.02331587711822</v>
      </c>
      <c r="Q17" s="6">
        <f t="array" aca="1" ref="Q17" ca="1">SUM(IF(OFFSET(RPS_Scen!$A$11,0,0,ctRPSproj,1)=scenRPS,IF(OFFSET(RPS_Scen!$H$11,0,0,ctRPSproj,1)=$B$9,IF(OFFSET(RPS_Scen!$C$11,0,0,ctRPSproj,1)=$B17,OFFSET(RPS_Scen!AA$11,0,0,ctRPSproj,1)/(8.76*OFFSET(RPS_Scen!$J$11,0,0,ctRPSproj,1))*OFFSET(RPS_Scen!$K$11,0,0,ctRPSproj,1)))))</f>
        <v>157.02331587711822</v>
      </c>
      <c r="R17" s="6">
        <f t="array" aca="1" ref="R17" ca="1">SUM(IF(OFFSET(RPS_Scen!$A$11,0,0,ctRPSproj,1)=scenRPS,IF(OFFSET(RPS_Scen!$H$11,0,0,ctRPSproj,1)=$B$9,IF(OFFSET(RPS_Scen!$C$11,0,0,ctRPSproj,1)=$B17,OFFSET(RPS_Scen!AB$11,0,0,ctRPSproj,1)/(8.76*OFFSET(RPS_Scen!$J$11,0,0,ctRPSproj,1))*OFFSET(RPS_Scen!$K$11,0,0,ctRPSproj,1)))))</f>
        <v>157.02331587711822</v>
      </c>
      <c r="S17" s="6">
        <f t="array" aca="1" ref="S17" ca="1">SUM(IF(OFFSET(RPS_Scen!$A$11,0,0,ctRPSproj,1)=scenRPS,IF(OFFSET(RPS_Scen!$H$11,0,0,ctRPSproj,1)=$B$9,IF(OFFSET(RPS_Scen!$C$11,0,0,ctRPSproj,1)=$B17,OFFSET(RPS_Scen!AC$11,0,0,ctRPSproj,1)/(8.76*OFFSET(RPS_Scen!$J$11,0,0,ctRPSproj,1))*OFFSET(RPS_Scen!$K$11,0,0,ctRPSproj,1)))))</f>
        <v>157.02331587711822</v>
      </c>
      <c r="T17" s="6">
        <f t="array" aca="1" ref="T17" ca="1">SUM(IF(OFFSET(RPS_Scen!$A$11,0,0,ctRPSproj,1)=scenRPS,IF(OFFSET(RPS_Scen!$H$11,0,0,ctRPSproj,1)=$B$9,IF(OFFSET(RPS_Scen!$C$11,0,0,ctRPSproj,1)=$B17,OFFSET(RPS_Scen!AD$11,0,0,ctRPSproj,1)/(8.76*OFFSET(RPS_Scen!$J$11,0,0,ctRPSproj,1))*OFFSET(RPS_Scen!$K$11,0,0,ctRPSproj,1)))))</f>
        <v>157.02331587711822</v>
      </c>
      <c r="U17" s="6">
        <f t="array" aca="1" ref="U17" ca="1">SUM(IF(OFFSET(RPS_Scen!$A$11,0,0,ctRPSproj,1)=scenRPS,IF(OFFSET(RPS_Scen!$H$11,0,0,ctRPSproj,1)=$B$9,IF(OFFSET(RPS_Scen!$C$11,0,0,ctRPSproj,1)=$B17,OFFSET(RPS_Scen!AE$11,0,0,ctRPSproj,1)/(8.76*OFFSET(RPS_Scen!$J$11,0,0,ctRPSproj,1))*OFFSET(RPS_Scen!$K$11,0,0,ctRPSproj,1)))))</f>
        <v>157.02331587711822</v>
      </c>
      <c r="V17" s="6">
        <f t="array" aca="1" ref="V17" ca="1">SUM(IF(OFFSET(RPS_Scen!$A$11,0,0,ctRPSproj,1)=scenRPS,IF(OFFSET(RPS_Scen!$H$11,0,0,ctRPSproj,1)=$B$9,IF(OFFSET(RPS_Scen!$C$11,0,0,ctRPSproj,1)=$B17,OFFSET(RPS_Scen!AF$11,0,0,ctRPSproj,1)/(8.76*OFFSET(RPS_Scen!$J$11,0,0,ctRPSproj,1))*OFFSET(RPS_Scen!$K$11,0,0,ctRPSproj,1)))))</f>
        <v>157.02331587711822</v>
      </c>
      <c r="W17" s="6">
        <f t="array" aca="1" ref="W17" ca="1">SUM(IF(OFFSET(RPS_Scen!$A$11,0,0,ctRPSproj,1)=scenRPS,IF(OFFSET(RPS_Scen!$H$11,0,0,ctRPSproj,1)=$B$9,IF(OFFSET(RPS_Scen!$C$11,0,0,ctRPSproj,1)=$B17,OFFSET(RPS_Scen!AG$11,0,0,ctRPSproj,1)/(8.76*OFFSET(RPS_Scen!$J$11,0,0,ctRPSproj,1))*OFFSET(RPS_Scen!$K$11,0,0,ctRPSproj,1)))))</f>
        <v>157.02331587711822</v>
      </c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</row>
    <row r="18" spans="2:60">
      <c r="B18" s="90" t="s">
        <v>2101</v>
      </c>
      <c r="C18" s="90"/>
      <c r="D18" s="103">
        <f ca="1">SUM(D10:D17)</f>
        <v>19.849988748223414</v>
      </c>
      <c r="E18" s="103">
        <f t="shared" ref="E18:M18" ca="1" si="1">SUM(E10:E17)</f>
        <v>94.322506950124676</v>
      </c>
      <c r="F18" s="103">
        <f t="shared" ca="1" si="1"/>
        <v>123.36250695012468</v>
      </c>
      <c r="G18" s="103">
        <f t="shared" ca="1" si="1"/>
        <v>263.33502515202565</v>
      </c>
      <c r="H18" s="103">
        <f t="shared" ca="1" si="1"/>
        <v>414.46002515202656</v>
      </c>
      <c r="I18" s="103">
        <f t="shared" ca="1" si="1"/>
        <v>760.05144948764507</v>
      </c>
      <c r="J18" s="103">
        <f t="shared" ca="1" si="1"/>
        <v>904.48477661653988</v>
      </c>
      <c r="K18" s="103">
        <f t="shared" ca="1" si="1"/>
        <v>904.48477661653988</v>
      </c>
      <c r="L18" s="103">
        <f t="shared" ca="1" si="1"/>
        <v>904.48477661653988</v>
      </c>
      <c r="M18" s="103">
        <f t="shared" ca="1" si="1"/>
        <v>904.48477661653988</v>
      </c>
      <c r="N18" s="103">
        <f t="shared" ref="N18:W18" ca="1" si="2">SUM(N10:N17)</f>
        <v>904.48477661653988</v>
      </c>
      <c r="O18" s="103">
        <f t="shared" ca="1" si="2"/>
        <v>904.48477661653988</v>
      </c>
      <c r="P18" s="103">
        <f t="shared" ca="1" si="2"/>
        <v>904.48477661653988</v>
      </c>
      <c r="Q18" s="103">
        <f t="shared" ca="1" si="2"/>
        <v>904.48477661653988</v>
      </c>
      <c r="R18" s="103">
        <f t="shared" ca="1" si="2"/>
        <v>904.48477661653988</v>
      </c>
      <c r="S18" s="103">
        <f t="shared" ca="1" si="2"/>
        <v>904.48477661653988</v>
      </c>
      <c r="T18" s="103">
        <f t="shared" ca="1" si="2"/>
        <v>904.48477661653988</v>
      </c>
      <c r="U18" s="103">
        <f t="shared" ca="1" si="2"/>
        <v>904.48477661653988</v>
      </c>
      <c r="V18" s="103">
        <f t="shared" ca="1" si="2"/>
        <v>904.48477661653988</v>
      </c>
      <c r="W18" s="103">
        <f t="shared" ca="1" si="2"/>
        <v>904.48477661653988</v>
      </c>
    </row>
    <row r="19" spans="2:60">
      <c r="B19" s="90"/>
      <c r="C19" s="90"/>
      <c r="D19" s="91"/>
      <c r="E19" s="91"/>
      <c r="F19" s="91"/>
      <c r="G19" s="91"/>
      <c r="H19" s="91"/>
      <c r="I19" s="91"/>
      <c r="J19" s="91"/>
      <c r="K19" s="91"/>
      <c r="L19" s="91"/>
      <c r="M19" s="91"/>
    </row>
    <row r="20" spans="2:60">
      <c r="B20" s="90" t="s">
        <v>804</v>
      </c>
      <c r="C20" s="90"/>
      <c r="D20" s="82"/>
      <c r="E20" s="82"/>
      <c r="F20" s="82"/>
      <c r="G20" s="82"/>
      <c r="H20" s="82"/>
      <c r="I20" s="82"/>
      <c r="J20" s="82"/>
      <c r="K20" s="82"/>
      <c r="L20" s="82"/>
      <c r="M20" s="82"/>
    </row>
    <row r="21" spans="2:60">
      <c r="B21" s="89" t="s">
        <v>184</v>
      </c>
      <c r="C21" s="152" t="s">
        <v>139</v>
      </c>
      <c r="D21" s="6">
        <f t="array" aca="1" ref="D21" ca="1">SUM(IF(OFFSET(RPS_Scen!$A$11,0,0,ctRPSproj,1)=scenRPS,IF(OFFSET(RPS_Scen!$H$11,0,0,ctRPSproj,1)=$B$20,IF(OFFSET(RPS_Scen!$C$11,0,0,ctRPSproj,1)=$B21,OFFSET(RPS_Scen!N$11,0,0,ctRPSproj,1)/(8.76*OFFSET(RPS_Scen!$J$11,0,0,ctRPSproj,1))*OFFSET(RPS_Scen!$K$11,0,0,ctRPSproj,1)))))</f>
        <v>0</v>
      </c>
      <c r="E21" s="6">
        <f t="array" aca="1" ref="E21" ca="1">SUM(IF(OFFSET(RPS_Scen!$A$11,0,0,ctRPSproj,1)=scenRPS,IF(OFFSET(RPS_Scen!$H$11,0,0,ctRPSproj,1)=$B$20,IF(OFFSET(RPS_Scen!$C$11,0,0,ctRPSproj,1)=$B21,OFFSET(RPS_Scen!O$11,0,0,ctRPSproj,1)/(8.76*OFFSET(RPS_Scen!$J$11,0,0,ctRPSproj,1))*OFFSET(RPS_Scen!$K$11,0,0,ctRPSproj,1)))))</f>
        <v>0</v>
      </c>
      <c r="F21" s="6">
        <f t="array" aca="1" ref="F21" ca="1">SUM(IF(OFFSET(RPS_Scen!$A$11,0,0,ctRPSproj,1)=scenRPS,IF(OFFSET(RPS_Scen!$H$11,0,0,ctRPSproj,1)=$B$20,IF(OFFSET(RPS_Scen!$C$11,0,0,ctRPSproj,1)=$B21,OFFSET(RPS_Scen!P$11,0,0,ctRPSproj,1)/(8.76*OFFSET(RPS_Scen!$J$11,0,0,ctRPSproj,1))*OFFSET(RPS_Scen!$K$11,0,0,ctRPSproj,1)))))</f>
        <v>0</v>
      </c>
      <c r="G21" s="6">
        <f t="array" aca="1" ref="G21" ca="1">SUM(IF(OFFSET(RPS_Scen!$A$11,0,0,ctRPSproj,1)=scenRPS,IF(OFFSET(RPS_Scen!$H$11,0,0,ctRPSproj,1)=$B$20,IF(OFFSET(RPS_Scen!$C$11,0,0,ctRPSproj,1)=$B21,OFFSET(RPS_Scen!Q$11,0,0,ctRPSproj,1)/(8.76*OFFSET(RPS_Scen!$J$11,0,0,ctRPSproj,1))*OFFSET(RPS_Scen!$K$11,0,0,ctRPSproj,1)))))</f>
        <v>0</v>
      </c>
      <c r="H21" s="6">
        <f t="array" aca="1" ref="H21" ca="1">SUM(IF(OFFSET(RPS_Scen!$A$11,0,0,ctRPSproj,1)=scenRPS,IF(OFFSET(RPS_Scen!$H$11,0,0,ctRPSproj,1)=$B$20,IF(OFFSET(RPS_Scen!$C$11,0,0,ctRPSproj,1)=$B21,OFFSET(RPS_Scen!R$11,0,0,ctRPSproj,1)/(8.76*OFFSET(RPS_Scen!$J$11,0,0,ctRPSproj,1))*OFFSET(RPS_Scen!$K$11,0,0,ctRPSproj,1)))))</f>
        <v>0</v>
      </c>
      <c r="I21" s="6">
        <f t="array" aca="1" ref="I21" ca="1">SUM(IF(OFFSET(RPS_Scen!$A$11,0,0,ctRPSproj,1)=scenRPS,IF(OFFSET(RPS_Scen!$H$11,0,0,ctRPSproj,1)=$B$20,IF(OFFSET(RPS_Scen!$C$11,0,0,ctRPSproj,1)=$B21,OFFSET(RPS_Scen!S$11,0,0,ctRPSproj,1)/(8.76*OFFSET(RPS_Scen!$J$11,0,0,ctRPSproj,1))*OFFSET(RPS_Scen!$K$11,0,0,ctRPSproj,1)))))</f>
        <v>0</v>
      </c>
      <c r="J21" s="6">
        <f t="array" aca="1" ref="J21" ca="1">SUM(IF(OFFSET(RPS_Scen!$A$11,0,0,ctRPSproj,1)=scenRPS,IF(OFFSET(RPS_Scen!$H$11,0,0,ctRPSproj,1)=$B$20,IF(OFFSET(RPS_Scen!$C$11,0,0,ctRPSproj,1)=$B21,OFFSET(RPS_Scen!T$11,0,0,ctRPSproj,1)/(8.76*OFFSET(RPS_Scen!$J$11,0,0,ctRPSproj,1))*OFFSET(RPS_Scen!$K$11,0,0,ctRPSproj,1)))))</f>
        <v>0</v>
      </c>
      <c r="K21" s="6">
        <f t="array" aca="1" ref="K21" ca="1">SUM(IF(OFFSET(RPS_Scen!$A$11,0,0,ctRPSproj,1)=scenRPS,IF(OFFSET(RPS_Scen!$H$11,0,0,ctRPSproj,1)=$B$20,IF(OFFSET(RPS_Scen!$C$11,0,0,ctRPSproj,1)=$B21,OFFSET(RPS_Scen!U$11,0,0,ctRPSproj,1)/(8.76*OFFSET(RPS_Scen!$J$11,0,0,ctRPSproj,1))*OFFSET(RPS_Scen!$K$11,0,0,ctRPSproj,1)))))</f>
        <v>0</v>
      </c>
      <c r="L21" s="6">
        <f t="array" aca="1" ref="L21" ca="1">SUM(IF(OFFSET(RPS_Scen!$A$11,0,0,ctRPSproj,1)=scenRPS,IF(OFFSET(RPS_Scen!$H$11,0,0,ctRPSproj,1)=$B$20,IF(OFFSET(RPS_Scen!$C$11,0,0,ctRPSproj,1)=$B21,OFFSET(RPS_Scen!V$11,0,0,ctRPSproj,1)/(8.76*OFFSET(RPS_Scen!$J$11,0,0,ctRPSproj,1))*OFFSET(RPS_Scen!$K$11,0,0,ctRPSproj,1)))))</f>
        <v>0</v>
      </c>
      <c r="M21" s="6">
        <f t="array" aca="1" ref="M21" ca="1">SUM(IF(OFFSET(RPS_Scen!$A$11,0,0,ctRPSproj,1)=scenRPS,IF(OFFSET(RPS_Scen!$H$11,0,0,ctRPSproj,1)=$B$20,IF(OFFSET(RPS_Scen!$C$11,0,0,ctRPSproj,1)=$B21,OFFSET(RPS_Scen!W$11,0,0,ctRPSproj,1)/(8.76*OFFSET(RPS_Scen!$J$11,0,0,ctRPSproj,1))*OFFSET(RPS_Scen!$K$11,0,0,ctRPSproj,1)))))</f>
        <v>0</v>
      </c>
      <c r="N21" s="6">
        <f t="array" aca="1" ref="N21" ca="1">SUM(IF(OFFSET(RPS_Scen!$A$11,0,0,ctRPSproj,1)=scenRPS,IF(OFFSET(RPS_Scen!$H$11,0,0,ctRPSproj,1)=$B$20,IF(OFFSET(RPS_Scen!$C$11,0,0,ctRPSproj,1)=$B21,OFFSET(RPS_Scen!X$11,0,0,ctRPSproj,1)/(8.76*OFFSET(RPS_Scen!$J$11,0,0,ctRPSproj,1))*OFFSET(RPS_Scen!$K$11,0,0,ctRPSproj,1)))))</f>
        <v>0</v>
      </c>
      <c r="O21" s="6">
        <f t="array" aca="1" ref="O21" ca="1">SUM(IF(OFFSET(RPS_Scen!$A$11,0,0,ctRPSproj,1)=scenRPS,IF(OFFSET(RPS_Scen!$H$11,0,0,ctRPSproj,1)=$B$20,IF(OFFSET(RPS_Scen!$C$11,0,0,ctRPSproj,1)=$B21,OFFSET(RPS_Scen!Y$11,0,0,ctRPSproj,1)/(8.76*OFFSET(RPS_Scen!$J$11,0,0,ctRPSproj,1))*OFFSET(RPS_Scen!$K$11,0,0,ctRPSproj,1)))))</f>
        <v>0</v>
      </c>
      <c r="P21" s="6">
        <f t="array" aca="1" ref="P21" ca="1">SUM(IF(OFFSET(RPS_Scen!$A$11,0,0,ctRPSproj,1)=scenRPS,IF(OFFSET(RPS_Scen!$H$11,0,0,ctRPSproj,1)=$B$20,IF(OFFSET(RPS_Scen!$C$11,0,0,ctRPSproj,1)=$B21,OFFSET(RPS_Scen!Z$11,0,0,ctRPSproj,1)/(8.76*OFFSET(RPS_Scen!$J$11,0,0,ctRPSproj,1))*OFFSET(RPS_Scen!$K$11,0,0,ctRPSproj,1)))))</f>
        <v>0</v>
      </c>
      <c r="Q21" s="6">
        <f t="array" aca="1" ref="Q21" ca="1">SUM(IF(OFFSET(RPS_Scen!$A$11,0,0,ctRPSproj,1)=scenRPS,IF(OFFSET(RPS_Scen!$H$11,0,0,ctRPSproj,1)=$B$20,IF(OFFSET(RPS_Scen!$C$11,0,0,ctRPSproj,1)=$B21,OFFSET(RPS_Scen!AA$11,0,0,ctRPSproj,1)/(8.76*OFFSET(RPS_Scen!$J$11,0,0,ctRPSproj,1))*OFFSET(RPS_Scen!$K$11,0,0,ctRPSproj,1)))))</f>
        <v>0</v>
      </c>
      <c r="R21" s="6">
        <f t="array" aca="1" ref="R21" ca="1">SUM(IF(OFFSET(RPS_Scen!$A$11,0,0,ctRPSproj,1)=scenRPS,IF(OFFSET(RPS_Scen!$H$11,0,0,ctRPSproj,1)=$B$20,IF(OFFSET(RPS_Scen!$C$11,0,0,ctRPSproj,1)=$B21,OFFSET(RPS_Scen!AB$11,0,0,ctRPSproj,1)/(8.76*OFFSET(RPS_Scen!$J$11,0,0,ctRPSproj,1))*OFFSET(RPS_Scen!$K$11,0,0,ctRPSproj,1)))))</f>
        <v>0</v>
      </c>
      <c r="S21" s="6">
        <f t="array" aca="1" ref="S21" ca="1">SUM(IF(OFFSET(RPS_Scen!$A$11,0,0,ctRPSproj,1)=scenRPS,IF(OFFSET(RPS_Scen!$H$11,0,0,ctRPSproj,1)=$B$20,IF(OFFSET(RPS_Scen!$C$11,0,0,ctRPSproj,1)=$B21,OFFSET(RPS_Scen!AC$11,0,0,ctRPSproj,1)/(8.76*OFFSET(RPS_Scen!$J$11,0,0,ctRPSproj,1))*OFFSET(RPS_Scen!$K$11,0,0,ctRPSproj,1)))))</f>
        <v>0</v>
      </c>
      <c r="T21" s="6">
        <f t="array" aca="1" ref="T21" ca="1">SUM(IF(OFFSET(RPS_Scen!$A$11,0,0,ctRPSproj,1)=scenRPS,IF(OFFSET(RPS_Scen!$H$11,0,0,ctRPSproj,1)=$B$20,IF(OFFSET(RPS_Scen!$C$11,0,0,ctRPSproj,1)=$B21,OFFSET(RPS_Scen!AD$11,0,0,ctRPSproj,1)/(8.76*OFFSET(RPS_Scen!$J$11,0,0,ctRPSproj,1))*OFFSET(RPS_Scen!$K$11,0,0,ctRPSproj,1)))))</f>
        <v>0</v>
      </c>
      <c r="U21" s="6">
        <f t="array" aca="1" ref="U21" ca="1">SUM(IF(OFFSET(RPS_Scen!$A$11,0,0,ctRPSproj,1)=scenRPS,IF(OFFSET(RPS_Scen!$H$11,0,0,ctRPSproj,1)=$B$20,IF(OFFSET(RPS_Scen!$C$11,0,0,ctRPSproj,1)=$B21,OFFSET(RPS_Scen!AE$11,0,0,ctRPSproj,1)/(8.76*OFFSET(RPS_Scen!$J$11,0,0,ctRPSproj,1))*OFFSET(RPS_Scen!$K$11,0,0,ctRPSproj,1)))))</f>
        <v>0</v>
      </c>
      <c r="V21" s="6">
        <f t="array" aca="1" ref="V21" ca="1">SUM(IF(OFFSET(RPS_Scen!$A$11,0,0,ctRPSproj,1)=scenRPS,IF(OFFSET(RPS_Scen!$H$11,0,0,ctRPSproj,1)=$B$20,IF(OFFSET(RPS_Scen!$C$11,0,0,ctRPSproj,1)=$B21,OFFSET(RPS_Scen!AF$11,0,0,ctRPSproj,1)/(8.76*OFFSET(RPS_Scen!$J$11,0,0,ctRPSproj,1))*OFFSET(RPS_Scen!$K$11,0,0,ctRPSproj,1)))))</f>
        <v>0</v>
      </c>
      <c r="W21" s="6">
        <f t="array" aca="1" ref="W21" ca="1">SUM(IF(OFFSET(RPS_Scen!$A$11,0,0,ctRPSproj,1)=scenRPS,IF(OFFSET(RPS_Scen!$H$11,0,0,ctRPSproj,1)=$B$20,IF(OFFSET(RPS_Scen!$C$11,0,0,ctRPSproj,1)=$B21,OFFSET(RPS_Scen!AG$11,0,0,ctRPSproj,1)/(8.76*OFFSET(RPS_Scen!$J$11,0,0,ctRPSproj,1))*OFFSET(RPS_Scen!$K$11,0,0,ctRPSproj,1)))))</f>
        <v>0</v>
      </c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</row>
    <row r="22" spans="2:60">
      <c r="B22" s="89" t="s">
        <v>139</v>
      </c>
      <c r="C22" s="152" t="s">
        <v>139</v>
      </c>
      <c r="D22" s="6">
        <f t="array" aca="1" ref="D22" ca="1">SUM(IF(OFFSET(RPS_Scen!$A$11,0,0,ctRPSproj,1)=scenRPS,IF(OFFSET(RPS_Scen!$H$11,0,0,ctRPSproj,1)=$B$20,IF(OFFSET(RPS_Scen!$C$11,0,0,ctRPSproj,1)=$B22,OFFSET(RPS_Scen!N$11,0,0,ctRPSproj,1)/(8.76*OFFSET(RPS_Scen!$J$11,0,0,ctRPSproj,1))*OFFSET(RPS_Scen!$K$11,0,0,ctRPSproj,1)))))</f>
        <v>0</v>
      </c>
      <c r="E22" s="6">
        <f t="array" aca="1" ref="E22" ca="1">SUM(IF(OFFSET(RPS_Scen!$A$11,0,0,ctRPSproj,1)=scenRPS,IF(OFFSET(RPS_Scen!$H$11,0,0,ctRPSproj,1)=$B$20,IF(OFFSET(RPS_Scen!$C$11,0,0,ctRPSproj,1)=$B22,OFFSET(RPS_Scen!O$11,0,0,ctRPSproj,1)/(8.76*OFFSET(RPS_Scen!$J$11,0,0,ctRPSproj,1))*OFFSET(RPS_Scen!$K$11,0,0,ctRPSproj,1)))))</f>
        <v>0</v>
      </c>
      <c r="F22" s="6">
        <f t="array" aca="1" ref="F22" ca="1">SUM(IF(OFFSET(RPS_Scen!$A$11,0,0,ctRPSproj,1)=scenRPS,IF(OFFSET(RPS_Scen!$H$11,0,0,ctRPSproj,1)=$B$20,IF(OFFSET(RPS_Scen!$C$11,0,0,ctRPSproj,1)=$B22,OFFSET(RPS_Scen!P$11,0,0,ctRPSproj,1)/(8.76*OFFSET(RPS_Scen!$J$11,0,0,ctRPSproj,1))*OFFSET(RPS_Scen!$K$11,0,0,ctRPSproj,1)))))</f>
        <v>0</v>
      </c>
      <c r="G22" s="6">
        <f t="array" aca="1" ref="G22" ca="1">SUM(IF(OFFSET(RPS_Scen!$A$11,0,0,ctRPSproj,1)=scenRPS,IF(OFFSET(RPS_Scen!$H$11,0,0,ctRPSproj,1)=$B$20,IF(OFFSET(RPS_Scen!$C$11,0,0,ctRPSproj,1)=$B22,OFFSET(RPS_Scen!Q$11,0,0,ctRPSproj,1)/(8.76*OFFSET(RPS_Scen!$J$11,0,0,ctRPSproj,1))*OFFSET(RPS_Scen!$K$11,0,0,ctRPSproj,1)))))</f>
        <v>0</v>
      </c>
      <c r="H22" s="6">
        <f t="array" aca="1" ref="H22" ca="1">SUM(IF(OFFSET(RPS_Scen!$A$11,0,0,ctRPSproj,1)=scenRPS,IF(OFFSET(RPS_Scen!$H$11,0,0,ctRPSproj,1)=$B$20,IF(OFFSET(RPS_Scen!$C$11,0,0,ctRPSproj,1)=$B22,OFFSET(RPS_Scen!R$11,0,0,ctRPSproj,1)/(8.76*OFFSET(RPS_Scen!$J$11,0,0,ctRPSproj,1))*OFFSET(RPS_Scen!$K$11,0,0,ctRPSproj,1)))))</f>
        <v>0</v>
      </c>
      <c r="I22" s="6">
        <f t="array" aca="1" ref="I22" ca="1">SUM(IF(OFFSET(RPS_Scen!$A$11,0,0,ctRPSproj,1)=scenRPS,IF(OFFSET(RPS_Scen!$H$11,0,0,ctRPSproj,1)=$B$20,IF(OFFSET(RPS_Scen!$C$11,0,0,ctRPSproj,1)=$B22,OFFSET(RPS_Scen!S$11,0,0,ctRPSproj,1)/(8.76*OFFSET(RPS_Scen!$J$11,0,0,ctRPSproj,1))*OFFSET(RPS_Scen!$K$11,0,0,ctRPSproj,1)))))</f>
        <v>0</v>
      </c>
      <c r="J22" s="6">
        <f t="array" aca="1" ref="J22" ca="1">SUM(IF(OFFSET(RPS_Scen!$A$11,0,0,ctRPSproj,1)=scenRPS,IF(OFFSET(RPS_Scen!$H$11,0,0,ctRPSproj,1)=$B$20,IF(OFFSET(RPS_Scen!$C$11,0,0,ctRPSproj,1)=$B22,OFFSET(RPS_Scen!T$11,0,0,ctRPSproj,1)/(8.76*OFFSET(RPS_Scen!$J$11,0,0,ctRPSproj,1))*OFFSET(RPS_Scen!$K$11,0,0,ctRPSproj,1)))))</f>
        <v>0</v>
      </c>
      <c r="K22" s="6">
        <f t="array" aca="1" ref="K22" ca="1">SUM(IF(OFFSET(RPS_Scen!$A$11,0,0,ctRPSproj,1)=scenRPS,IF(OFFSET(RPS_Scen!$H$11,0,0,ctRPSproj,1)=$B$20,IF(OFFSET(RPS_Scen!$C$11,0,0,ctRPSproj,1)=$B22,OFFSET(RPS_Scen!U$11,0,0,ctRPSproj,1)/(8.76*OFFSET(RPS_Scen!$J$11,0,0,ctRPSproj,1))*OFFSET(RPS_Scen!$K$11,0,0,ctRPSproj,1)))))</f>
        <v>0</v>
      </c>
      <c r="L22" s="6">
        <f t="array" aca="1" ref="L22" ca="1">SUM(IF(OFFSET(RPS_Scen!$A$11,0,0,ctRPSproj,1)=scenRPS,IF(OFFSET(RPS_Scen!$H$11,0,0,ctRPSproj,1)=$B$20,IF(OFFSET(RPS_Scen!$C$11,0,0,ctRPSproj,1)=$B22,OFFSET(RPS_Scen!V$11,0,0,ctRPSproj,1)/(8.76*OFFSET(RPS_Scen!$J$11,0,0,ctRPSproj,1))*OFFSET(RPS_Scen!$K$11,0,0,ctRPSproj,1)))))</f>
        <v>0</v>
      </c>
      <c r="M22" s="6">
        <f t="array" aca="1" ref="M22" ca="1">SUM(IF(OFFSET(RPS_Scen!$A$11,0,0,ctRPSproj,1)=scenRPS,IF(OFFSET(RPS_Scen!$H$11,0,0,ctRPSproj,1)=$B$20,IF(OFFSET(RPS_Scen!$C$11,0,0,ctRPSproj,1)=$B22,OFFSET(RPS_Scen!W$11,0,0,ctRPSproj,1)/(8.76*OFFSET(RPS_Scen!$J$11,0,0,ctRPSproj,1))*OFFSET(RPS_Scen!$K$11,0,0,ctRPSproj,1)))))</f>
        <v>0</v>
      </c>
      <c r="N22" s="6">
        <f t="array" aca="1" ref="N22" ca="1">SUM(IF(OFFSET(RPS_Scen!$A$11,0,0,ctRPSproj,1)=scenRPS,IF(OFFSET(RPS_Scen!$H$11,0,0,ctRPSproj,1)=$B$20,IF(OFFSET(RPS_Scen!$C$11,0,0,ctRPSproj,1)=$B22,OFFSET(RPS_Scen!X$11,0,0,ctRPSproj,1)/(8.76*OFFSET(RPS_Scen!$J$11,0,0,ctRPSproj,1))*OFFSET(RPS_Scen!$K$11,0,0,ctRPSproj,1)))))</f>
        <v>0</v>
      </c>
      <c r="O22" s="6">
        <f t="array" aca="1" ref="O22" ca="1">SUM(IF(OFFSET(RPS_Scen!$A$11,0,0,ctRPSproj,1)=scenRPS,IF(OFFSET(RPS_Scen!$H$11,0,0,ctRPSproj,1)=$B$20,IF(OFFSET(RPS_Scen!$C$11,0,0,ctRPSproj,1)=$B22,OFFSET(RPS_Scen!Y$11,0,0,ctRPSproj,1)/(8.76*OFFSET(RPS_Scen!$J$11,0,0,ctRPSproj,1))*OFFSET(RPS_Scen!$K$11,0,0,ctRPSproj,1)))))</f>
        <v>0</v>
      </c>
      <c r="P22" s="6">
        <f t="array" aca="1" ref="P22" ca="1">SUM(IF(OFFSET(RPS_Scen!$A$11,0,0,ctRPSproj,1)=scenRPS,IF(OFFSET(RPS_Scen!$H$11,0,0,ctRPSproj,1)=$B$20,IF(OFFSET(RPS_Scen!$C$11,0,0,ctRPSproj,1)=$B22,OFFSET(RPS_Scen!Z$11,0,0,ctRPSproj,1)/(8.76*OFFSET(RPS_Scen!$J$11,0,0,ctRPSproj,1))*OFFSET(RPS_Scen!$K$11,0,0,ctRPSproj,1)))))</f>
        <v>0</v>
      </c>
      <c r="Q22" s="6">
        <f t="array" aca="1" ref="Q22" ca="1">SUM(IF(OFFSET(RPS_Scen!$A$11,0,0,ctRPSproj,1)=scenRPS,IF(OFFSET(RPS_Scen!$H$11,0,0,ctRPSproj,1)=$B$20,IF(OFFSET(RPS_Scen!$C$11,0,0,ctRPSproj,1)=$B22,OFFSET(RPS_Scen!AA$11,0,0,ctRPSproj,1)/(8.76*OFFSET(RPS_Scen!$J$11,0,0,ctRPSproj,1))*OFFSET(RPS_Scen!$K$11,0,0,ctRPSproj,1)))))</f>
        <v>0</v>
      </c>
      <c r="R22" s="6">
        <f t="array" aca="1" ref="R22" ca="1">SUM(IF(OFFSET(RPS_Scen!$A$11,0,0,ctRPSproj,1)=scenRPS,IF(OFFSET(RPS_Scen!$H$11,0,0,ctRPSproj,1)=$B$20,IF(OFFSET(RPS_Scen!$C$11,0,0,ctRPSproj,1)=$B22,OFFSET(RPS_Scen!AB$11,0,0,ctRPSproj,1)/(8.76*OFFSET(RPS_Scen!$J$11,0,0,ctRPSproj,1))*OFFSET(RPS_Scen!$K$11,0,0,ctRPSproj,1)))))</f>
        <v>0</v>
      </c>
      <c r="S22" s="6">
        <f t="array" aca="1" ref="S22" ca="1">SUM(IF(OFFSET(RPS_Scen!$A$11,0,0,ctRPSproj,1)=scenRPS,IF(OFFSET(RPS_Scen!$H$11,0,0,ctRPSproj,1)=$B$20,IF(OFFSET(RPS_Scen!$C$11,0,0,ctRPSproj,1)=$B22,OFFSET(RPS_Scen!AC$11,0,0,ctRPSproj,1)/(8.76*OFFSET(RPS_Scen!$J$11,0,0,ctRPSproj,1))*OFFSET(RPS_Scen!$K$11,0,0,ctRPSproj,1)))))</f>
        <v>0</v>
      </c>
      <c r="T22" s="6">
        <f t="array" aca="1" ref="T22" ca="1">SUM(IF(OFFSET(RPS_Scen!$A$11,0,0,ctRPSproj,1)=scenRPS,IF(OFFSET(RPS_Scen!$H$11,0,0,ctRPSproj,1)=$B$20,IF(OFFSET(RPS_Scen!$C$11,0,0,ctRPSproj,1)=$B22,OFFSET(RPS_Scen!AD$11,0,0,ctRPSproj,1)/(8.76*OFFSET(RPS_Scen!$J$11,0,0,ctRPSproj,1))*OFFSET(RPS_Scen!$K$11,0,0,ctRPSproj,1)))))</f>
        <v>0</v>
      </c>
      <c r="U22" s="6">
        <f t="array" aca="1" ref="U22" ca="1">SUM(IF(OFFSET(RPS_Scen!$A$11,0,0,ctRPSproj,1)=scenRPS,IF(OFFSET(RPS_Scen!$H$11,0,0,ctRPSproj,1)=$B$20,IF(OFFSET(RPS_Scen!$C$11,0,0,ctRPSproj,1)=$B22,OFFSET(RPS_Scen!AE$11,0,0,ctRPSproj,1)/(8.76*OFFSET(RPS_Scen!$J$11,0,0,ctRPSproj,1))*OFFSET(RPS_Scen!$K$11,0,0,ctRPSproj,1)))))</f>
        <v>0</v>
      </c>
      <c r="V22" s="6">
        <f t="array" aca="1" ref="V22" ca="1">SUM(IF(OFFSET(RPS_Scen!$A$11,0,0,ctRPSproj,1)=scenRPS,IF(OFFSET(RPS_Scen!$H$11,0,0,ctRPSproj,1)=$B$20,IF(OFFSET(RPS_Scen!$C$11,0,0,ctRPSproj,1)=$B22,OFFSET(RPS_Scen!AF$11,0,0,ctRPSproj,1)/(8.76*OFFSET(RPS_Scen!$J$11,0,0,ctRPSproj,1))*OFFSET(RPS_Scen!$K$11,0,0,ctRPSproj,1)))))</f>
        <v>0</v>
      </c>
      <c r="W22" s="6">
        <f t="array" aca="1" ref="W22" ca="1">SUM(IF(OFFSET(RPS_Scen!$A$11,0,0,ctRPSproj,1)=scenRPS,IF(OFFSET(RPS_Scen!$H$11,0,0,ctRPSproj,1)=$B$20,IF(OFFSET(RPS_Scen!$C$11,0,0,ctRPSproj,1)=$B22,OFFSET(RPS_Scen!AG$11,0,0,ctRPSproj,1)/(8.76*OFFSET(RPS_Scen!$J$11,0,0,ctRPSproj,1))*OFFSET(RPS_Scen!$K$11,0,0,ctRPSproj,1)))))</f>
        <v>0</v>
      </c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</row>
    <row r="23" spans="2:60">
      <c r="B23" s="89" t="s">
        <v>136</v>
      </c>
      <c r="C23" s="152" t="s">
        <v>136</v>
      </c>
      <c r="D23" s="6">
        <f t="array" aca="1" ref="D23" ca="1">SUM(IF(OFFSET(RPS_Scen!$A$11,0,0,ctRPSproj,1)=scenRPS,IF(OFFSET(RPS_Scen!$H$11,0,0,ctRPSproj,1)=$B$20,IF(OFFSET(RPS_Scen!$C$11,0,0,ctRPSproj,1)=$B23,OFFSET(RPS_Scen!N$11,0,0,ctRPSproj,1)/(8.76*OFFSET(RPS_Scen!$J$11,0,0,ctRPSproj,1))*OFFSET(RPS_Scen!$K$11,0,0,ctRPSproj,1)))))</f>
        <v>0</v>
      </c>
      <c r="E23" s="6">
        <f t="array" aca="1" ref="E23" ca="1">SUM(IF(OFFSET(RPS_Scen!$A$11,0,0,ctRPSproj,1)=scenRPS,IF(OFFSET(RPS_Scen!$H$11,0,0,ctRPSproj,1)=$B$20,IF(OFFSET(RPS_Scen!$C$11,0,0,ctRPSproj,1)=$B23,OFFSET(RPS_Scen!O$11,0,0,ctRPSproj,1)/(8.76*OFFSET(RPS_Scen!$J$11,0,0,ctRPSproj,1))*OFFSET(RPS_Scen!$K$11,0,0,ctRPSproj,1)))))</f>
        <v>0</v>
      </c>
      <c r="F23" s="6">
        <f t="array" aca="1" ref="F23" ca="1">SUM(IF(OFFSET(RPS_Scen!$A$11,0,0,ctRPSproj,1)=scenRPS,IF(OFFSET(RPS_Scen!$H$11,0,0,ctRPSproj,1)=$B$20,IF(OFFSET(RPS_Scen!$C$11,0,0,ctRPSproj,1)=$B23,OFFSET(RPS_Scen!P$11,0,0,ctRPSproj,1)/(8.76*OFFSET(RPS_Scen!$J$11,0,0,ctRPSproj,1))*OFFSET(RPS_Scen!$K$11,0,0,ctRPSproj,1)))))</f>
        <v>0</v>
      </c>
      <c r="G23" s="6">
        <f t="array" aca="1" ref="G23" ca="1">SUM(IF(OFFSET(RPS_Scen!$A$11,0,0,ctRPSproj,1)=scenRPS,IF(OFFSET(RPS_Scen!$H$11,0,0,ctRPSproj,1)=$B$20,IF(OFFSET(RPS_Scen!$C$11,0,0,ctRPSproj,1)=$B23,OFFSET(RPS_Scen!Q$11,0,0,ctRPSproj,1)/(8.76*OFFSET(RPS_Scen!$J$11,0,0,ctRPSproj,1))*OFFSET(RPS_Scen!$K$11,0,0,ctRPSproj,1)))))</f>
        <v>0</v>
      </c>
      <c r="H23" s="6">
        <f t="array" aca="1" ref="H23" ca="1">SUM(IF(OFFSET(RPS_Scen!$A$11,0,0,ctRPSproj,1)=scenRPS,IF(OFFSET(RPS_Scen!$H$11,0,0,ctRPSproj,1)=$B$20,IF(OFFSET(RPS_Scen!$C$11,0,0,ctRPSproj,1)=$B23,OFFSET(RPS_Scen!R$11,0,0,ctRPSproj,1)/(8.76*OFFSET(RPS_Scen!$J$11,0,0,ctRPSproj,1))*OFFSET(RPS_Scen!$K$11,0,0,ctRPSproj,1)))))</f>
        <v>0</v>
      </c>
      <c r="I23" s="6">
        <f t="array" aca="1" ref="I23" ca="1">SUM(IF(OFFSET(RPS_Scen!$A$11,0,0,ctRPSproj,1)=scenRPS,IF(OFFSET(RPS_Scen!$H$11,0,0,ctRPSproj,1)=$B$20,IF(OFFSET(RPS_Scen!$C$11,0,0,ctRPSproj,1)=$B23,OFFSET(RPS_Scen!S$11,0,0,ctRPSproj,1)/(8.76*OFFSET(RPS_Scen!$J$11,0,0,ctRPSproj,1))*OFFSET(RPS_Scen!$K$11,0,0,ctRPSproj,1)))))</f>
        <v>0</v>
      </c>
      <c r="J23" s="6">
        <f t="array" aca="1" ref="J23" ca="1">SUM(IF(OFFSET(RPS_Scen!$A$11,0,0,ctRPSproj,1)=scenRPS,IF(OFFSET(RPS_Scen!$H$11,0,0,ctRPSproj,1)=$B$20,IF(OFFSET(RPS_Scen!$C$11,0,0,ctRPSproj,1)=$B23,OFFSET(RPS_Scen!T$11,0,0,ctRPSproj,1)/(8.76*OFFSET(RPS_Scen!$J$11,0,0,ctRPSproj,1))*OFFSET(RPS_Scen!$K$11,0,0,ctRPSproj,1)))))</f>
        <v>0</v>
      </c>
      <c r="K23" s="6">
        <f t="array" aca="1" ref="K23" ca="1">SUM(IF(OFFSET(RPS_Scen!$A$11,0,0,ctRPSproj,1)=scenRPS,IF(OFFSET(RPS_Scen!$H$11,0,0,ctRPSproj,1)=$B$20,IF(OFFSET(RPS_Scen!$C$11,0,0,ctRPSproj,1)=$B23,OFFSET(RPS_Scen!U$11,0,0,ctRPSproj,1)/(8.76*OFFSET(RPS_Scen!$J$11,0,0,ctRPSproj,1))*OFFSET(RPS_Scen!$K$11,0,0,ctRPSproj,1)))))</f>
        <v>0</v>
      </c>
      <c r="L23" s="6">
        <f t="array" aca="1" ref="L23" ca="1">SUM(IF(OFFSET(RPS_Scen!$A$11,0,0,ctRPSproj,1)=scenRPS,IF(OFFSET(RPS_Scen!$H$11,0,0,ctRPSproj,1)=$B$20,IF(OFFSET(RPS_Scen!$C$11,0,0,ctRPSproj,1)=$B23,OFFSET(RPS_Scen!V$11,0,0,ctRPSproj,1)/(8.76*OFFSET(RPS_Scen!$J$11,0,0,ctRPSproj,1))*OFFSET(RPS_Scen!$K$11,0,0,ctRPSproj,1)))))</f>
        <v>0</v>
      </c>
      <c r="M23" s="6">
        <f t="array" aca="1" ref="M23" ca="1">SUM(IF(OFFSET(RPS_Scen!$A$11,0,0,ctRPSproj,1)=scenRPS,IF(OFFSET(RPS_Scen!$H$11,0,0,ctRPSproj,1)=$B$20,IF(OFFSET(RPS_Scen!$C$11,0,0,ctRPSproj,1)=$B23,OFFSET(RPS_Scen!W$11,0,0,ctRPSproj,1)/(8.76*OFFSET(RPS_Scen!$J$11,0,0,ctRPSproj,1))*OFFSET(RPS_Scen!$K$11,0,0,ctRPSproj,1)))))</f>
        <v>0</v>
      </c>
      <c r="N23" s="6">
        <f t="array" aca="1" ref="N23" ca="1">SUM(IF(OFFSET(RPS_Scen!$A$11,0,0,ctRPSproj,1)=scenRPS,IF(OFFSET(RPS_Scen!$H$11,0,0,ctRPSproj,1)=$B$20,IF(OFFSET(RPS_Scen!$C$11,0,0,ctRPSproj,1)=$B23,OFFSET(RPS_Scen!X$11,0,0,ctRPSproj,1)/(8.76*OFFSET(RPS_Scen!$J$11,0,0,ctRPSproj,1))*OFFSET(RPS_Scen!$K$11,0,0,ctRPSproj,1)))))</f>
        <v>0</v>
      </c>
      <c r="O23" s="6">
        <f t="array" aca="1" ref="O23" ca="1">SUM(IF(OFFSET(RPS_Scen!$A$11,0,0,ctRPSproj,1)=scenRPS,IF(OFFSET(RPS_Scen!$H$11,0,0,ctRPSproj,1)=$B$20,IF(OFFSET(RPS_Scen!$C$11,0,0,ctRPSproj,1)=$B23,OFFSET(RPS_Scen!Y$11,0,0,ctRPSproj,1)/(8.76*OFFSET(RPS_Scen!$J$11,0,0,ctRPSproj,1))*OFFSET(RPS_Scen!$K$11,0,0,ctRPSproj,1)))))</f>
        <v>0</v>
      </c>
      <c r="P23" s="6">
        <f t="array" aca="1" ref="P23" ca="1">SUM(IF(OFFSET(RPS_Scen!$A$11,0,0,ctRPSproj,1)=scenRPS,IF(OFFSET(RPS_Scen!$H$11,0,0,ctRPSproj,1)=$B$20,IF(OFFSET(RPS_Scen!$C$11,0,0,ctRPSproj,1)=$B23,OFFSET(RPS_Scen!Z$11,0,0,ctRPSproj,1)/(8.76*OFFSET(RPS_Scen!$J$11,0,0,ctRPSproj,1))*OFFSET(RPS_Scen!$K$11,0,0,ctRPSproj,1)))))</f>
        <v>0</v>
      </c>
      <c r="Q23" s="6">
        <f t="array" aca="1" ref="Q23" ca="1">SUM(IF(OFFSET(RPS_Scen!$A$11,0,0,ctRPSproj,1)=scenRPS,IF(OFFSET(RPS_Scen!$H$11,0,0,ctRPSproj,1)=$B$20,IF(OFFSET(RPS_Scen!$C$11,0,0,ctRPSproj,1)=$B23,OFFSET(RPS_Scen!AA$11,0,0,ctRPSproj,1)/(8.76*OFFSET(RPS_Scen!$J$11,0,0,ctRPSproj,1))*OFFSET(RPS_Scen!$K$11,0,0,ctRPSproj,1)))))</f>
        <v>0</v>
      </c>
      <c r="R23" s="6">
        <f t="array" aca="1" ref="R23" ca="1">SUM(IF(OFFSET(RPS_Scen!$A$11,0,0,ctRPSproj,1)=scenRPS,IF(OFFSET(RPS_Scen!$H$11,0,0,ctRPSproj,1)=$B$20,IF(OFFSET(RPS_Scen!$C$11,0,0,ctRPSproj,1)=$B23,OFFSET(RPS_Scen!AB$11,0,0,ctRPSproj,1)/(8.76*OFFSET(RPS_Scen!$J$11,0,0,ctRPSproj,1))*OFFSET(RPS_Scen!$K$11,0,0,ctRPSproj,1)))))</f>
        <v>0</v>
      </c>
      <c r="S23" s="6">
        <f t="array" aca="1" ref="S23" ca="1">SUM(IF(OFFSET(RPS_Scen!$A$11,0,0,ctRPSproj,1)=scenRPS,IF(OFFSET(RPS_Scen!$H$11,0,0,ctRPSproj,1)=$B$20,IF(OFFSET(RPS_Scen!$C$11,0,0,ctRPSproj,1)=$B23,OFFSET(RPS_Scen!AC$11,0,0,ctRPSproj,1)/(8.76*OFFSET(RPS_Scen!$J$11,0,0,ctRPSproj,1))*OFFSET(RPS_Scen!$K$11,0,0,ctRPSproj,1)))))</f>
        <v>0</v>
      </c>
      <c r="T23" s="6">
        <f t="array" aca="1" ref="T23" ca="1">SUM(IF(OFFSET(RPS_Scen!$A$11,0,0,ctRPSproj,1)=scenRPS,IF(OFFSET(RPS_Scen!$H$11,0,0,ctRPSproj,1)=$B$20,IF(OFFSET(RPS_Scen!$C$11,0,0,ctRPSproj,1)=$B23,OFFSET(RPS_Scen!AD$11,0,0,ctRPSproj,1)/(8.76*OFFSET(RPS_Scen!$J$11,0,0,ctRPSproj,1))*OFFSET(RPS_Scen!$K$11,0,0,ctRPSproj,1)))))</f>
        <v>0</v>
      </c>
      <c r="U23" s="6">
        <f t="array" aca="1" ref="U23" ca="1">SUM(IF(OFFSET(RPS_Scen!$A$11,0,0,ctRPSproj,1)=scenRPS,IF(OFFSET(RPS_Scen!$H$11,0,0,ctRPSproj,1)=$B$20,IF(OFFSET(RPS_Scen!$C$11,0,0,ctRPSproj,1)=$B23,OFFSET(RPS_Scen!AE$11,0,0,ctRPSproj,1)/(8.76*OFFSET(RPS_Scen!$J$11,0,0,ctRPSproj,1))*OFFSET(RPS_Scen!$K$11,0,0,ctRPSproj,1)))))</f>
        <v>0</v>
      </c>
      <c r="V23" s="6">
        <f t="array" aca="1" ref="V23" ca="1">SUM(IF(OFFSET(RPS_Scen!$A$11,0,0,ctRPSproj,1)=scenRPS,IF(OFFSET(RPS_Scen!$H$11,0,0,ctRPSproj,1)=$B$20,IF(OFFSET(RPS_Scen!$C$11,0,0,ctRPSproj,1)=$B23,OFFSET(RPS_Scen!AF$11,0,0,ctRPSproj,1)/(8.76*OFFSET(RPS_Scen!$J$11,0,0,ctRPSproj,1))*OFFSET(RPS_Scen!$K$11,0,0,ctRPSproj,1)))))</f>
        <v>0</v>
      </c>
      <c r="W23" s="6">
        <f t="array" aca="1" ref="W23" ca="1">SUM(IF(OFFSET(RPS_Scen!$A$11,0,0,ctRPSproj,1)=scenRPS,IF(OFFSET(RPS_Scen!$H$11,0,0,ctRPSproj,1)=$B$20,IF(OFFSET(RPS_Scen!$C$11,0,0,ctRPSproj,1)=$B23,OFFSET(RPS_Scen!AG$11,0,0,ctRPSproj,1)/(8.76*OFFSET(RPS_Scen!$J$11,0,0,ctRPSproj,1))*OFFSET(RPS_Scen!$K$11,0,0,ctRPSproj,1)))))</f>
        <v>0</v>
      </c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</row>
    <row r="24" spans="2:60">
      <c r="B24" s="89" t="s">
        <v>18</v>
      </c>
      <c r="C24" s="152" t="s">
        <v>18</v>
      </c>
      <c r="D24" s="6">
        <f t="array" aca="1" ref="D24" ca="1">SUM(IF(OFFSET(RPS_Scen!$A$11,0,0,ctRPSproj,1)=scenRPS,IF(OFFSET(RPS_Scen!$H$11,0,0,ctRPSproj,1)=$B$20,IF(OFFSET(RPS_Scen!$C$11,0,0,ctRPSproj,1)=$B24,OFFSET(RPS_Scen!N$11,0,0,ctRPSproj,1)/(8.76*OFFSET(RPS_Scen!$J$11,0,0,ctRPSproj,1))*OFFSET(RPS_Scen!$K$11,0,0,ctRPSproj,1)))))</f>
        <v>0</v>
      </c>
      <c r="E24" s="6">
        <f t="array" aca="1" ref="E24" ca="1">SUM(IF(OFFSET(RPS_Scen!$A$11,0,0,ctRPSproj,1)=scenRPS,IF(OFFSET(RPS_Scen!$H$11,0,0,ctRPSproj,1)=$B$20,IF(OFFSET(RPS_Scen!$C$11,0,0,ctRPSproj,1)=$B24,OFFSET(RPS_Scen!O$11,0,0,ctRPSproj,1)/(8.76*OFFSET(RPS_Scen!$J$11,0,0,ctRPSproj,1))*OFFSET(RPS_Scen!$K$11,0,0,ctRPSproj,1)))))</f>
        <v>0</v>
      </c>
      <c r="F24" s="6">
        <f t="array" aca="1" ref="F24" ca="1">SUM(IF(OFFSET(RPS_Scen!$A$11,0,0,ctRPSproj,1)=scenRPS,IF(OFFSET(RPS_Scen!$H$11,0,0,ctRPSproj,1)=$B$20,IF(OFFSET(RPS_Scen!$C$11,0,0,ctRPSproj,1)=$B24,OFFSET(RPS_Scen!P$11,0,0,ctRPSproj,1)/(8.76*OFFSET(RPS_Scen!$J$11,0,0,ctRPSproj,1))*OFFSET(RPS_Scen!$K$11,0,0,ctRPSproj,1)))))</f>
        <v>0</v>
      </c>
      <c r="G24" s="6">
        <f t="array" aca="1" ref="G24" ca="1">SUM(IF(OFFSET(RPS_Scen!$A$11,0,0,ctRPSproj,1)=scenRPS,IF(OFFSET(RPS_Scen!$H$11,0,0,ctRPSproj,1)=$B$20,IF(OFFSET(RPS_Scen!$C$11,0,0,ctRPSproj,1)=$B24,OFFSET(RPS_Scen!Q$11,0,0,ctRPSproj,1)/(8.76*OFFSET(RPS_Scen!$J$11,0,0,ctRPSproj,1))*OFFSET(RPS_Scen!$K$11,0,0,ctRPSproj,1)))))</f>
        <v>0</v>
      </c>
      <c r="H24" s="6">
        <f t="array" aca="1" ref="H24" ca="1">SUM(IF(OFFSET(RPS_Scen!$A$11,0,0,ctRPSproj,1)=scenRPS,IF(OFFSET(RPS_Scen!$H$11,0,0,ctRPSproj,1)=$B$20,IF(OFFSET(RPS_Scen!$C$11,0,0,ctRPSproj,1)=$B24,OFFSET(RPS_Scen!R$11,0,0,ctRPSproj,1)/(8.76*OFFSET(RPS_Scen!$J$11,0,0,ctRPSproj,1))*OFFSET(RPS_Scen!$K$11,0,0,ctRPSproj,1)))))</f>
        <v>0</v>
      </c>
      <c r="I24" s="6">
        <f t="array" aca="1" ref="I24" ca="1">SUM(IF(OFFSET(RPS_Scen!$A$11,0,0,ctRPSproj,1)=scenRPS,IF(OFFSET(RPS_Scen!$H$11,0,0,ctRPSproj,1)=$B$20,IF(OFFSET(RPS_Scen!$C$11,0,0,ctRPSproj,1)=$B24,OFFSET(RPS_Scen!S$11,0,0,ctRPSproj,1)/(8.76*OFFSET(RPS_Scen!$J$11,0,0,ctRPSproj,1))*OFFSET(RPS_Scen!$K$11,0,0,ctRPSproj,1)))))</f>
        <v>0</v>
      </c>
      <c r="J24" s="6">
        <f t="array" aca="1" ref="J24" ca="1">SUM(IF(OFFSET(RPS_Scen!$A$11,0,0,ctRPSproj,1)=scenRPS,IF(OFFSET(RPS_Scen!$H$11,0,0,ctRPSproj,1)=$B$20,IF(OFFSET(RPS_Scen!$C$11,0,0,ctRPSproj,1)=$B24,OFFSET(RPS_Scen!T$11,0,0,ctRPSproj,1)/(8.76*OFFSET(RPS_Scen!$J$11,0,0,ctRPSproj,1))*OFFSET(RPS_Scen!$K$11,0,0,ctRPSproj,1)))))</f>
        <v>0</v>
      </c>
      <c r="K24" s="6">
        <f t="array" aca="1" ref="K24" ca="1">SUM(IF(OFFSET(RPS_Scen!$A$11,0,0,ctRPSproj,1)=scenRPS,IF(OFFSET(RPS_Scen!$H$11,0,0,ctRPSproj,1)=$B$20,IF(OFFSET(RPS_Scen!$C$11,0,0,ctRPSproj,1)=$B24,OFFSET(RPS_Scen!U$11,0,0,ctRPSproj,1)/(8.76*OFFSET(RPS_Scen!$J$11,0,0,ctRPSproj,1))*OFFSET(RPS_Scen!$K$11,0,0,ctRPSproj,1)))))</f>
        <v>0</v>
      </c>
      <c r="L24" s="6">
        <f t="array" aca="1" ref="L24" ca="1">SUM(IF(OFFSET(RPS_Scen!$A$11,0,0,ctRPSproj,1)=scenRPS,IF(OFFSET(RPS_Scen!$H$11,0,0,ctRPSproj,1)=$B$20,IF(OFFSET(RPS_Scen!$C$11,0,0,ctRPSproj,1)=$B24,OFFSET(RPS_Scen!V$11,0,0,ctRPSproj,1)/(8.76*OFFSET(RPS_Scen!$J$11,0,0,ctRPSproj,1))*OFFSET(RPS_Scen!$K$11,0,0,ctRPSproj,1)))))</f>
        <v>0</v>
      </c>
      <c r="M24" s="6">
        <f t="array" aca="1" ref="M24" ca="1">SUM(IF(OFFSET(RPS_Scen!$A$11,0,0,ctRPSproj,1)=scenRPS,IF(OFFSET(RPS_Scen!$H$11,0,0,ctRPSproj,1)=$B$20,IF(OFFSET(RPS_Scen!$C$11,0,0,ctRPSproj,1)=$B24,OFFSET(RPS_Scen!W$11,0,0,ctRPSproj,1)/(8.76*OFFSET(RPS_Scen!$J$11,0,0,ctRPSproj,1))*OFFSET(RPS_Scen!$K$11,0,0,ctRPSproj,1)))))</f>
        <v>0</v>
      </c>
      <c r="N24" s="6">
        <f t="array" aca="1" ref="N24" ca="1">SUM(IF(OFFSET(RPS_Scen!$A$11,0,0,ctRPSproj,1)=scenRPS,IF(OFFSET(RPS_Scen!$H$11,0,0,ctRPSproj,1)=$B$20,IF(OFFSET(RPS_Scen!$C$11,0,0,ctRPSproj,1)=$B24,OFFSET(RPS_Scen!X$11,0,0,ctRPSproj,1)/(8.76*OFFSET(RPS_Scen!$J$11,0,0,ctRPSproj,1))*OFFSET(RPS_Scen!$K$11,0,0,ctRPSproj,1)))))</f>
        <v>0</v>
      </c>
      <c r="O24" s="6">
        <f t="array" aca="1" ref="O24" ca="1">SUM(IF(OFFSET(RPS_Scen!$A$11,0,0,ctRPSproj,1)=scenRPS,IF(OFFSET(RPS_Scen!$H$11,0,0,ctRPSproj,1)=$B$20,IF(OFFSET(RPS_Scen!$C$11,0,0,ctRPSproj,1)=$B24,OFFSET(RPS_Scen!Y$11,0,0,ctRPSproj,1)/(8.76*OFFSET(RPS_Scen!$J$11,0,0,ctRPSproj,1))*OFFSET(RPS_Scen!$K$11,0,0,ctRPSproj,1)))))</f>
        <v>0</v>
      </c>
      <c r="P24" s="6">
        <f t="array" aca="1" ref="P24" ca="1">SUM(IF(OFFSET(RPS_Scen!$A$11,0,0,ctRPSproj,1)=scenRPS,IF(OFFSET(RPS_Scen!$H$11,0,0,ctRPSproj,1)=$B$20,IF(OFFSET(RPS_Scen!$C$11,0,0,ctRPSproj,1)=$B24,OFFSET(RPS_Scen!Z$11,0,0,ctRPSproj,1)/(8.76*OFFSET(RPS_Scen!$J$11,0,0,ctRPSproj,1))*OFFSET(RPS_Scen!$K$11,0,0,ctRPSproj,1)))))</f>
        <v>0</v>
      </c>
      <c r="Q24" s="6">
        <f t="array" aca="1" ref="Q24" ca="1">SUM(IF(OFFSET(RPS_Scen!$A$11,0,0,ctRPSproj,1)=scenRPS,IF(OFFSET(RPS_Scen!$H$11,0,0,ctRPSproj,1)=$B$20,IF(OFFSET(RPS_Scen!$C$11,0,0,ctRPSproj,1)=$B24,OFFSET(RPS_Scen!AA$11,0,0,ctRPSproj,1)/(8.76*OFFSET(RPS_Scen!$J$11,0,0,ctRPSproj,1))*OFFSET(RPS_Scen!$K$11,0,0,ctRPSproj,1)))))</f>
        <v>0</v>
      </c>
      <c r="R24" s="6">
        <f t="array" aca="1" ref="R24" ca="1">SUM(IF(OFFSET(RPS_Scen!$A$11,0,0,ctRPSproj,1)=scenRPS,IF(OFFSET(RPS_Scen!$H$11,0,0,ctRPSproj,1)=$B$20,IF(OFFSET(RPS_Scen!$C$11,0,0,ctRPSproj,1)=$B24,OFFSET(RPS_Scen!AB$11,0,0,ctRPSproj,1)/(8.76*OFFSET(RPS_Scen!$J$11,0,0,ctRPSproj,1))*OFFSET(RPS_Scen!$K$11,0,0,ctRPSproj,1)))))</f>
        <v>0</v>
      </c>
      <c r="S24" s="6">
        <f t="array" aca="1" ref="S24" ca="1">SUM(IF(OFFSET(RPS_Scen!$A$11,0,0,ctRPSproj,1)=scenRPS,IF(OFFSET(RPS_Scen!$H$11,0,0,ctRPSproj,1)=$B$20,IF(OFFSET(RPS_Scen!$C$11,0,0,ctRPSproj,1)=$B24,OFFSET(RPS_Scen!AC$11,0,0,ctRPSproj,1)/(8.76*OFFSET(RPS_Scen!$J$11,0,0,ctRPSproj,1))*OFFSET(RPS_Scen!$K$11,0,0,ctRPSproj,1)))))</f>
        <v>0</v>
      </c>
      <c r="T24" s="6">
        <f t="array" aca="1" ref="T24" ca="1">SUM(IF(OFFSET(RPS_Scen!$A$11,0,0,ctRPSproj,1)=scenRPS,IF(OFFSET(RPS_Scen!$H$11,0,0,ctRPSproj,1)=$B$20,IF(OFFSET(RPS_Scen!$C$11,0,0,ctRPSproj,1)=$B24,OFFSET(RPS_Scen!AD$11,0,0,ctRPSproj,1)/(8.76*OFFSET(RPS_Scen!$J$11,0,0,ctRPSproj,1))*OFFSET(RPS_Scen!$K$11,0,0,ctRPSproj,1)))))</f>
        <v>0</v>
      </c>
      <c r="U24" s="6">
        <f t="array" aca="1" ref="U24" ca="1">SUM(IF(OFFSET(RPS_Scen!$A$11,0,0,ctRPSproj,1)=scenRPS,IF(OFFSET(RPS_Scen!$H$11,0,0,ctRPSproj,1)=$B$20,IF(OFFSET(RPS_Scen!$C$11,0,0,ctRPSproj,1)=$B24,OFFSET(RPS_Scen!AE$11,0,0,ctRPSproj,1)/(8.76*OFFSET(RPS_Scen!$J$11,0,0,ctRPSproj,1))*OFFSET(RPS_Scen!$K$11,0,0,ctRPSproj,1)))))</f>
        <v>0</v>
      </c>
      <c r="V24" s="6">
        <f t="array" aca="1" ref="V24" ca="1">SUM(IF(OFFSET(RPS_Scen!$A$11,0,0,ctRPSproj,1)=scenRPS,IF(OFFSET(RPS_Scen!$H$11,0,0,ctRPSproj,1)=$B$20,IF(OFFSET(RPS_Scen!$C$11,0,0,ctRPSproj,1)=$B24,OFFSET(RPS_Scen!AF$11,0,0,ctRPSproj,1)/(8.76*OFFSET(RPS_Scen!$J$11,0,0,ctRPSproj,1))*OFFSET(RPS_Scen!$K$11,0,0,ctRPSproj,1)))))</f>
        <v>0</v>
      </c>
      <c r="W24" s="6">
        <f t="array" aca="1" ref="W24" ca="1">SUM(IF(OFFSET(RPS_Scen!$A$11,0,0,ctRPSproj,1)=scenRPS,IF(OFFSET(RPS_Scen!$H$11,0,0,ctRPSproj,1)=$B$20,IF(OFFSET(RPS_Scen!$C$11,0,0,ctRPSproj,1)=$B24,OFFSET(RPS_Scen!AG$11,0,0,ctRPSproj,1)/(8.76*OFFSET(RPS_Scen!$J$11,0,0,ctRPSproj,1))*OFFSET(RPS_Scen!$K$11,0,0,ctRPSproj,1)))))</f>
        <v>0</v>
      </c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</row>
    <row r="25" spans="2:60">
      <c r="B25" s="89" t="s">
        <v>185</v>
      </c>
      <c r="C25" s="152" t="s">
        <v>138</v>
      </c>
      <c r="D25" s="6">
        <f t="array" aca="1" ref="D25" ca="1">SUM(IF(OFFSET(RPS_Scen!$A$11,0,0,ctRPSproj,1)=scenRPS,IF(OFFSET(RPS_Scen!$H$11,0,0,ctRPSproj,1)=$B$20,IF(OFFSET(RPS_Scen!$C$11,0,0,ctRPSproj,1)=$B25,OFFSET(RPS_Scen!N$11,0,0,ctRPSproj,1)/(8.76*OFFSET(RPS_Scen!$J$11,0,0,ctRPSproj,1))*OFFSET(RPS_Scen!$K$11,0,0,ctRPSproj,1)))))</f>
        <v>0</v>
      </c>
      <c r="E25" s="6">
        <f t="array" aca="1" ref="E25" ca="1">SUM(IF(OFFSET(RPS_Scen!$A$11,0,0,ctRPSproj,1)=scenRPS,IF(OFFSET(RPS_Scen!$H$11,0,0,ctRPSproj,1)=$B$20,IF(OFFSET(RPS_Scen!$C$11,0,0,ctRPSproj,1)=$B25,OFFSET(RPS_Scen!O$11,0,0,ctRPSproj,1)/(8.76*OFFSET(RPS_Scen!$J$11,0,0,ctRPSproj,1))*OFFSET(RPS_Scen!$K$11,0,0,ctRPSproj,1)))))</f>
        <v>0</v>
      </c>
      <c r="F25" s="6">
        <f t="array" aca="1" ref="F25" ca="1">SUM(IF(OFFSET(RPS_Scen!$A$11,0,0,ctRPSproj,1)=scenRPS,IF(OFFSET(RPS_Scen!$H$11,0,0,ctRPSproj,1)=$B$20,IF(OFFSET(RPS_Scen!$C$11,0,0,ctRPSproj,1)=$B25,OFFSET(RPS_Scen!P$11,0,0,ctRPSproj,1)/(8.76*OFFSET(RPS_Scen!$J$11,0,0,ctRPSproj,1))*OFFSET(RPS_Scen!$K$11,0,0,ctRPSproj,1)))))</f>
        <v>0</v>
      </c>
      <c r="G25" s="6">
        <f t="array" aca="1" ref="G25" ca="1">SUM(IF(OFFSET(RPS_Scen!$A$11,0,0,ctRPSproj,1)=scenRPS,IF(OFFSET(RPS_Scen!$H$11,0,0,ctRPSproj,1)=$B$20,IF(OFFSET(RPS_Scen!$C$11,0,0,ctRPSproj,1)=$B25,OFFSET(RPS_Scen!Q$11,0,0,ctRPSproj,1)/(8.76*OFFSET(RPS_Scen!$J$11,0,0,ctRPSproj,1))*OFFSET(RPS_Scen!$K$11,0,0,ctRPSproj,1)))))</f>
        <v>0</v>
      </c>
      <c r="H25" s="6">
        <f t="array" aca="1" ref="H25" ca="1">SUM(IF(OFFSET(RPS_Scen!$A$11,0,0,ctRPSproj,1)=scenRPS,IF(OFFSET(RPS_Scen!$H$11,0,0,ctRPSproj,1)=$B$20,IF(OFFSET(RPS_Scen!$C$11,0,0,ctRPSproj,1)=$B25,OFFSET(RPS_Scen!R$11,0,0,ctRPSproj,1)/(8.76*OFFSET(RPS_Scen!$J$11,0,0,ctRPSproj,1))*OFFSET(RPS_Scen!$K$11,0,0,ctRPSproj,1)))))</f>
        <v>689.05358194419352</v>
      </c>
      <c r="I25" s="6">
        <f t="array" aca="1" ref="I25" ca="1">SUM(IF(OFFSET(RPS_Scen!$A$11,0,0,ctRPSproj,1)=scenRPS,IF(OFFSET(RPS_Scen!$H$11,0,0,ctRPSproj,1)=$B$20,IF(OFFSET(RPS_Scen!$C$11,0,0,ctRPSproj,1)=$B25,OFFSET(RPS_Scen!S$11,0,0,ctRPSproj,1)/(8.76*OFFSET(RPS_Scen!$J$11,0,0,ctRPSproj,1))*OFFSET(RPS_Scen!$K$11,0,0,ctRPSproj,1)))))</f>
        <v>964.20299413460634</v>
      </c>
      <c r="J25" s="6">
        <f t="array" aca="1" ref="J25" ca="1">SUM(IF(OFFSET(RPS_Scen!$A$11,0,0,ctRPSproj,1)=scenRPS,IF(OFFSET(RPS_Scen!$H$11,0,0,ctRPSproj,1)=$B$20,IF(OFFSET(RPS_Scen!$C$11,0,0,ctRPSproj,1)=$B25,OFFSET(RPS_Scen!T$11,0,0,ctRPSproj,1)/(8.76*OFFSET(RPS_Scen!$J$11,0,0,ctRPSproj,1))*OFFSET(RPS_Scen!$K$11,0,0,ctRPSproj,1)))))</f>
        <v>1154.9570872520046</v>
      </c>
      <c r="K25" s="6">
        <f t="array" aca="1" ref="K25" ca="1">SUM(IF(OFFSET(RPS_Scen!$A$11,0,0,ctRPSproj,1)=scenRPS,IF(OFFSET(RPS_Scen!$H$11,0,0,ctRPSproj,1)=$B$20,IF(OFFSET(RPS_Scen!$C$11,0,0,ctRPSproj,1)=$B25,OFFSET(RPS_Scen!U$11,0,0,ctRPSproj,1)/(8.76*OFFSET(RPS_Scen!$J$11,0,0,ctRPSproj,1))*OFFSET(RPS_Scen!$K$11,0,0,ctRPSproj,1)))))</f>
        <v>1154.9570872520046</v>
      </c>
      <c r="L25" s="6">
        <f t="array" aca="1" ref="L25" ca="1">SUM(IF(OFFSET(RPS_Scen!$A$11,0,0,ctRPSproj,1)=scenRPS,IF(OFFSET(RPS_Scen!$H$11,0,0,ctRPSproj,1)=$B$20,IF(OFFSET(RPS_Scen!$C$11,0,0,ctRPSproj,1)=$B25,OFFSET(RPS_Scen!V$11,0,0,ctRPSproj,1)/(8.76*OFFSET(RPS_Scen!$J$11,0,0,ctRPSproj,1))*OFFSET(RPS_Scen!$K$11,0,0,ctRPSproj,1)))))</f>
        <v>1203.0912355630176</v>
      </c>
      <c r="M25" s="6">
        <f t="array" aca="1" ref="M25" ca="1">SUM(IF(OFFSET(RPS_Scen!$A$11,0,0,ctRPSproj,1)=scenRPS,IF(OFFSET(RPS_Scen!$H$11,0,0,ctRPSproj,1)=$B$20,IF(OFFSET(RPS_Scen!$C$11,0,0,ctRPSproj,1)=$B25,OFFSET(RPS_Scen!W$11,0,0,ctRPSproj,1)/(8.76*OFFSET(RPS_Scen!$J$11,0,0,ctRPSproj,1))*OFFSET(RPS_Scen!$K$11,0,0,ctRPSproj,1)))))</f>
        <v>1203.0912355630176</v>
      </c>
      <c r="N25" s="6">
        <f t="array" aca="1" ref="N25" ca="1">SUM(IF(OFFSET(RPS_Scen!$A$11,0,0,ctRPSproj,1)=scenRPS,IF(OFFSET(RPS_Scen!$H$11,0,0,ctRPSproj,1)=$B$20,IF(OFFSET(RPS_Scen!$C$11,0,0,ctRPSproj,1)=$B25,OFFSET(RPS_Scen!X$11,0,0,ctRPSproj,1)/(8.76*OFFSET(RPS_Scen!$J$11,0,0,ctRPSproj,1))*OFFSET(RPS_Scen!$K$11,0,0,ctRPSproj,1)))))</f>
        <v>1203.0912355630176</v>
      </c>
      <c r="O25" s="6">
        <f t="array" aca="1" ref="O25" ca="1">SUM(IF(OFFSET(RPS_Scen!$A$11,0,0,ctRPSproj,1)=scenRPS,IF(OFFSET(RPS_Scen!$H$11,0,0,ctRPSproj,1)=$B$20,IF(OFFSET(RPS_Scen!$C$11,0,0,ctRPSproj,1)=$B25,OFFSET(RPS_Scen!Y$11,0,0,ctRPSproj,1)/(8.76*OFFSET(RPS_Scen!$J$11,0,0,ctRPSproj,1))*OFFSET(RPS_Scen!$K$11,0,0,ctRPSproj,1)))))</f>
        <v>1203.0912355630176</v>
      </c>
      <c r="P25" s="6">
        <f t="array" aca="1" ref="P25" ca="1">SUM(IF(OFFSET(RPS_Scen!$A$11,0,0,ctRPSproj,1)=scenRPS,IF(OFFSET(RPS_Scen!$H$11,0,0,ctRPSproj,1)=$B$20,IF(OFFSET(RPS_Scen!$C$11,0,0,ctRPSproj,1)=$B25,OFFSET(RPS_Scen!Z$11,0,0,ctRPSproj,1)/(8.76*OFFSET(RPS_Scen!$J$11,0,0,ctRPSproj,1))*OFFSET(RPS_Scen!$K$11,0,0,ctRPSproj,1)))))</f>
        <v>1203.0912355630176</v>
      </c>
      <c r="Q25" s="6">
        <f t="array" aca="1" ref="Q25" ca="1">SUM(IF(OFFSET(RPS_Scen!$A$11,0,0,ctRPSproj,1)=scenRPS,IF(OFFSET(RPS_Scen!$H$11,0,0,ctRPSproj,1)=$B$20,IF(OFFSET(RPS_Scen!$C$11,0,0,ctRPSproj,1)=$B25,OFFSET(RPS_Scen!AA$11,0,0,ctRPSproj,1)/(8.76*OFFSET(RPS_Scen!$J$11,0,0,ctRPSproj,1))*OFFSET(RPS_Scen!$K$11,0,0,ctRPSproj,1)))))</f>
        <v>1203.0912355630176</v>
      </c>
      <c r="R25" s="6">
        <f t="array" aca="1" ref="R25" ca="1">SUM(IF(OFFSET(RPS_Scen!$A$11,0,0,ctRPSproj,1)=scenRPS,IF(OFFSET(RPS_Scen!$H$11,0,0,ctRPSproj,1)=$B$20,IF(OFFSET(RPS_Scen!$C$11,0,0,ctRPSproj,1)=$B25,OFFSET(RPS_Scen!AB$11,0,0,ctRPSproj,1)/(8.76*OFFSET(RPS_Scen!$J$11,0,0,ctRPSproj,1))*OFFSET(RPS_Scen!$K$11,0,0,ctRPSproj,1)))))</f>
        <v>1203.0912355630176</v>
      </c>
      <c r="S25" s="6">
        <f t="array" aca="1" ref="S25" ca="1">SUM(IF(OFFSET(RPS_Scen!$A$11,0,0,ctRPSproj,1)=scenRPS,IF(OFFSET(RPS_Scen!$H$11,0,0,ctRPSproj,1)=$B$20,IF(OFFSET(RPS_Scen!$C$11,0,0,ctRPSproj,1)=$B25,OFFSET(RPS_Scen!AC$11,0,0,ctRPSproj,1)/(8.76*OFFSET(RPS_Scen!$J$11,0,0,ctRPSproj,1))*OFFSET(RPS_Scen!$K$11,0,0,ctRPSproj,1)))))</f>
        <v>1203.0912355630176</v>
      </c>
      <c r="T25" s="6">
        <f t="array" aca="1" ref="T25" ca="1">SUM(IF(OFFSET(RPS_Scen!$A$11,0,0,ctRPSproj,1)=scenRPS,IF(OFFSET(RPS_Scen!$H$11,0,0,ctRPSproj,1)=$B$20,IF(OFFSET(RPS_Scen!$C$11,0,0,ctRPSproj,1)=$B25,OFFSET(RPS_Scen!AD$11,0,0,ctRPSproj,1)/(8.76*OFFSET(RPS_Scen!$J$11,0,0,ctRPSproj,1))*OFFSET(RPS_Scen!$K$11,0,0,ctRPSproj,1)))))</f>
        <v>1203.0912355630176</v>
      </c>
      <c r="U25" s="6">
        <f t="array" aca="1" ref="U25" ca="1">SUM(IF(OFFSET(RPS_Scen!$A$11,0,0,ctRPSproj,1)=scenRPS,IF(OFFSET(RPS_Scen!$H$11,0,0,ctRPSproj,1)=$B$20,IF(OFFSET(RPS_Scen!$C$11,0,0,ctRPSproj,1)=$B25,OFFSET(RPS_Scen!AE$11,0,0,ctRPSproj,1)/(8.76*OFFSET(RPS_Scen!$J$11,0,0,ctRPSproj,1))*OFFSET(RPS_Scen!$K$11,0,0,ctRPSproj,1)))))</f>
        <v>1203.0912355630176</v>
      </c>
      <c r="V25" s="6">
        <f t="array" aca="1" ref="V25" ca="1">SUM(IF(OFFSET(RPS_Scen!$A$11,0,0,ctRPSproj,1)=scenRPS,IF(OFFSET(RPS_Scen!$H$11,0,0,ctRPSproj,1)=$B$20,IF(OFFSET(RPS_Scen!$C$11,0,0,ctRPSproj,1)=$B25,OFFSET(RPS_Scen!AF$11,0,0,ctRPSproj,1)/(8.76*OFFSET(RPS_Scen!$J$11,0,0,ctRPSproj,1))*OFFSET(RPS_Scen!$K$11,0,0,ctRPSproj,1)))))</f>
        <v>1203.0912355630176</v>
      </c>
      <c r="W25" s="6">
        <f t="array" aca="1" ref="W25" ca="1">SUM(IF(OFFSET(RPS_Scen!$A$11,0,0,ctRPSproj,1)=scenRPS,IF(OFFSET(RPS_Scen!$H$11,0,0,ctRPSproj,1)=$B$20,IF(OFFSET(RPS_Scen!$C$11,0,0,ctRPSproj,1)=$B25,OFFSET(RPS_Scen!AG$11,0,0,ctRPSproj,1)/(8.76*OFFSET(RPS_Scen!$J$11,0,0,ctRPSproj,1))*OFFSET(RPS_Scen!$K$11,0,0,ctRPSproj,1)))))</f>
        <v>1203.0912355630176</v>
      </c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</row>
    <row r="26" spans="2:60">
      <c r="B26" s="89" t="s">
        <v>186</v>
      </c>
      <c r="C26" s="152" t="s">
        <v>138</v>
      </c>
      <c r="D26" s="6">
        <f t="array" aca="1" ref="D26" ca="1">SUM(IF(OFFSET(RPS_Scen!$A$11,0,0,ctRPSproj,1)=scenRPS,IF(OFFSET(RPS_Scen!$H$11,0,0,ctRPSproj,1)=$B$20,IF(OFFSET(RPS_Scen!$C$11,0,0,ctRPSproj,1)=$B26,OFFSET(RPS_Scen!N$11,0,0,ctRPSproj,1)/(8.76*OFFSET(RPS_Scen!$J$11,0,0,ctRPSproj,1))*OFFSET(RPS_Scen!$K$11,0,0,ctRPSproj,1)))))</f>
        <v>0</v>
      </c>
      <c r="E26" s="6">
        <f t="array" aca="1" ref="E26" ca="1">SUM(IF(OFFSET(RPS_Scen!$A$11,0,0,ctRPSproj,1)=scenRPS,IF(OFFSET(RPS_Scen!$H$11,0,0,ctRPSproj,1)=$B$20,IF(OFFSET(RPS_Scen!$C$11,0,0,ctRPSproj,1)=$B26,OFFSET(RPS_Scen!O$11,0,0,ctRPSproj,1)/(8.76*OFFSET(RPS_Scen!$J$11,0,0,ctRPSproj,1))*OFFSET(RPS_Scen!$K$11,0,0,ctRPSproj,1)))))</f>
        <v>0</v>
      </c>
      <c r="F26" s="6">
        <f t="array" aca="1" ref="F26" ca="1">SUM(IF(OFFSET(RPS_Scen!$A$11,0,0,ctRPSproj,1)=scenRPS,IF(OFFSET(RPS_Scen!$H$11,0,0,ctRPSproj,1)=$B$20,IF(OFFSET(RPS_Scen!$C$11,0,0,ctRPSproj,1)=$B26,OFFSET(RPS_Scen!P$11,0,0,ctRPSproj,1)/(8.76*OFFSET(RPS_Scen!$J$11,0,0,ctRPSproj,1))*OFFSET(RPS_Scen!$K$11,0,0,ctRPSproj,1)))))</f>
        <v>0</v>
      </c>
      <c r="G26" s="6">
        <f t="array" aca="1" ref="G26" ca="1">SUM(IF(OFFSET(RPS_Scen!$A$11,0,0,ctRPSproj,1)=scenRPS,IF(OFFSET(RPS_Scen!$H$11,0,0,ctRPSproj,1)=$B$20,IF(OFFSET(RPS_Scen!$C$11,0,0,ctRPSproj,1)=$B26,OFFSET(RPS_Scen!Q$11,0,0,ctRPSproj,1)/(8.76*OFFSET(RPS_Scen!$J$11,0,0,ctRPSproj,1))*OFFSET(RPS_Scen!$K$11,0,0,ctRPSproj,1)))))</f>
        <v>0</v>
      </c>
      <c r="H26" s="6">
        <f t="array" aca="1" ref="H26" ca="1">SUM(IF(OFFSET(RPS_Scen!$A$11,0,0,ctRPSproj,1)=scenRPS,IF(OFFSET(RPS_Scen!$H$11,0,0,ctRPSproj,1)=$B$20,IF(OFFSET(RPS_Scen!$C$11,0,0,ctRPSproj,1)=$B26,OFFSET(RPS_Scen!R$11,0,0,ctRPSproj,1)/(8.76*OFFSET(RPS_Scen!$J$11,0,0,ctRPSproj,1))*OFFSET(RPS_Scen!$K$11,0,0,ctRPSproj,1)))))</f>
        <v>0</v>
      </c>
      <c r="I26" s="6">
        <f t="array" aca="1" ref="I26" ca="1">SUM(IF(OFFSET(RPS_Scen!$A$11,0,0,ctRPSproj,1)=scenRPS,IF(OFFSET(RPS_Scen!$H$11,0,0,ctRPSproj,1)=$B$20,IF(OFFSET(RPS_Scen!$C$11,0,0,ctRPSproj,1)=$B26,OFFSET(RPS_Scen!S$11,0,0,ctRPSproj,1)/(8.76*OFFSET(RPS_Scen!$J$11,0,0,ctRPSproj,1))*OFFSET(RPS_Scen!$K$11,0,0,ctRPSproj,1)))))</f>
        <v>0</v>
      </c>
      <c r="J26" s="6">
        <f t="array" aca="1" ref="J26" ca="1">SUM(IF(OFFSET(RPS_Scen!$A$11,0,0,ctRPSproj,1)=scenRPS,IF(OFFSET(RPS_Scen!$H$11,0,0,ctRPSproj,1)=$B$20,IF(OFFSET(RPS_Scen!$C$11,0,0,ctRPSproj,1)=$B26,OFFSET(RPS_Scen!T$11,0,0,ctRPSproj,1)/(8.76*OFFSET(RPS_Scen!$J$11,0,0,ctRPSproj,1))*OFFSET(RPS_Scen!$K$11,0,0,ctRPSproj,1)))))</f>
        <v>0</v>
      </c>
      <c r="K26" s="6">
        <f t="array" aca="1" ref="K26" ca="1">SUM(IF(OFFSET(RPS_Scen!$A$11,0,0,ctRPSproj,1)=scenRPS,IF(OFFSET(RPS_Scen!$H$11,0,0,ctRPSproj,1)=$B$20,IF(OFFSET(RPS_Scen!$C$11,0,0,ctRPSproj,1)=$B26,OFFSET(RPS_Scen!U$11,0,0,ctRPSproj,1)/(8.76*OFFSET(RPS_Scen!$J$11,0,0,ctRPSproj,1))*OFFSET(RPS_Scen!$K$11,0,0,ctRPSproj,1)))))</f>
        <v>0</v>
      </c>
      <c r="L26" s="6">
        <f t="array" aca="1" ref="L26" ca="1">SUM(IF(OFFSET(RPS_Scen!$A$11,0,0,ctRPSproj,1)=scenRPS,IF(OFFSET(RPS_Scen!$H$11,0,0,ctRPSproj,1)=$B$20,IF(OFFSET(RPS_Scen!$C$11,0,0,ctRPSproj,1)=$B26,OFFSET(RPS_Scen!V$11,0,0,ctRPSproj,1)/(8.76*OFFSET(RPS_Scen!$J$11,0,0,ctRPSproj,1))*OFFSET(RPS_Scen!$K$11,0,0,ctRPSproj,1)))))</f>
        <v>0</v>
      </c>
      <c r="M26" s="6">
        <f t="array" aca="1" ref="M26" ca="1">SUM(IF(OFFSET(RPS_Scen!$A$11,0,0,ctRPSproj,1)=scenRPS,IF(OFFSET(RPS_Scen!$H$11,0,0,ctRPSproj,1)=$B$20,IF(OFFSET(RPS_Scen!$C$11,0,0,ctRPSproj,1)=$B26,OFFSET(RPS_Scen!W$11,0,0,ctRPSproj,1)/(8.76*OFFSET(RPS_Scen!$J$11,0,0,ctRPSproj,1))*OFFSET(RPS_Scen!$K$11,0,0,ctRPSproj,1)))))</f>
        <v>0</v>
      </c>
      <c r="N26" s="6">
        <f t="array" aca="1" ref="N26" ca="1">SUM(IF(OFFSET(RPS_Scen!$A$11,0,0,ctRPSproj,1)=scenRPS,IF(OFFSET(RPS_Scen!$H$11,0,0,ctRPSproj,1)=$B$20,IF(OFFSET(RPS_Scen!$C$11,0,0,ctRPSproj,1)=$B26,OFFSET(RPS_Scen!X$11,0,0,ctRPSproj,1)/(8.76*OFFSET(RPS_Scen!$J$11,0,0,ctRPSproj,1))*OFFSET(RPS_Scen!$K$11,0,0,ctRPSproj,1)))))</f>
        <v>0</v>
      </c>
      <c r="O26" s="6">
        <f t="array" aca="1" ref="O26" ca="1">SUM(IF(OFFSET(RPS_Scen!$A$11,0,0,ctRPSproj,1)=scenRPS,IF(OFFSET(RPS_Scen!$H$11,0,0,ctRPSproj,1)=$B$20,IF(OFFSET(RPS_Scen!$C$11,0,0,ctRPSproj,1)=$B26,OFFSET(RPS_Scen!Y$11,0,0,ctRPSproj,1)/(8.76*OFFSET(RPS_Scen!$J$11,0,0,ctRPSproj,1))*OFFSET(RPS_Scen!$K$11,0,0,ctRPSproj,1)))))</f>
        <v>0</v>
      </c>
      <c r="P26" s="6">
        <f t="array" aca="1" ref="P26" ca="1">SUM(IF(OFFSET(RPS_Scen!$A$11,0,0,ctRPSproj,1)=scenRPS,IF(OFFSET(RPS_Scen!$H$11,0,0,ctRPSproj,1)=$B$20,IF(OFFSET(RPS_Scen!$C$11,0,0,ctRPSproj,1)=$B26,OFFSET(RPS_Scen!Z$11,0,0,ctRPSproj,1)/(8.76*OFFSET(RPS_Scen!$J$11,0,0,ctRPSproj,1))*OFFSET(RPS_Scen!$K$11,0,0,ctRPSproj,1)))))</f>
        <v>0</v>
      </c>
      <c r="Q26" s="6">
        <f t="array" aca="1" ref="Q26" ca="1">SUM(IF(OFFSET(RPS_Scen!$A$11,0,0,ctRPSproj,1)=scenRPS,IF(OFFSET(RPS_Scen!$H$11,0,0,ctRPSproj,1)=$B$20,IF(OFFSET(RPS_Scen!$C$11,0,0,ctRPSproj,1)=$B26,OFFSET(RPS_Scen!AA$11,0,0,ctRPSproj,1)/(8.76*OFFSET(RPS_Scen!$J$11,0,0,ctRPSproj,1))*OFFSET(RPS_Scen!$K$11,0,0,ctRPSproj,1)))))</f>
        <v>0</v>
      </c>
      <c r="R26" s="6">
        <f t="array" aca="1" ref="R26" ca="1">SUM(IF(OFFSET(RPS_Scen!$A$11,0,0,ctRPSproj,1)=scenRPS,IF(OFFSET(RPS_Scen!$H$11,0,0,ctRPSproj,1)=$B$20,IF(OFFSET(RPS_Scen!$C$11,0,0,ctRPSproj,1)=$B26,OFFSET(RPS_Scen!AB$11,0,0,ctRPSproj,1)/(8.76*OFFSET(RPS_Scen!$J$11,0,0,ctRPSproj,1))*OFFSET(RPS_Scen!$K$11,0,0,ctRPSproj,1)))))</f>
        <v>0</v>
      </c>
      <c r="S26" s="6">
        <f t="array" aca="1" ref="S26" ca="1">SUM(IF(OFFSET(RPS_Scen!$A$11,0,0,ctRPSproj,1)=scenRPS,IF(OFFSET(RPS_Scen!$H$11,0,0,ctRPSproj,1)=$B$20,IF(OFFSET(RPS_Scen!$C$11,0,0,ctRPSproj,1)=$B26,OFFSET(RPS_Scen!AC$11,0,0,ctRPSproj,1)/(8.76*OFFSET(RPS_Scen!$J$11,0,0,ctRPSproj,1))*OFFSET(RPS_Scen!$K$11,0,0,ctRPSproj,1)))))</f>
        <v>0</v>
      </c>
      <c r="T26" s="6">
        <f t="array" aca="1" ref="T26" ca="1">SUM(IF(OFFSET(RPS_Scen!$A$11,0,0,ctRPSproj,1)=scenRPS,IF(OFFSET(RPS_Scen!$H$11,0,0,ctRPSproj,1)=$B$20,IF(OFFSET(RPS_Scen!$C$11,0,0,ctRPSproj,1)=$B26,OFFSET(RPS_Scen!AD$11,0,0,ctRPSproj,1)/(8.76*OFFSET(RPS_Scen!$J$11,0,0,ctRPSproj,1))*OFFSET(RPS_Scen!$K$11,0,0,ctRPSproj,1)))))</f>
        <v>0</v>
      </c>
      <c r="U26" s="6">
        <f t="array" aca="1" ref="U26" ca="1">SUM(IF(OFFSET(RPS_Scen!$A$11,0,0,ctRPSproj,1)=scenRPS,IF(OFFSET(RPS_Scen!$H$11,0,0,ctRPSproj,1)=$B$20,IF(OFFSET(RPS_Scen!$C$11,0,0,ctRPSproj,1)=$B26,OFFSET(RPS_Scen!AE$11,0,0,ctRPSproj,1)/(8.76*OFFSET(RPS_Scen!$J$11,0,0,ctRPSproj,1))*OFFSET(RPS_Scen!$K$11,0,0,ctRPSproj,1)))))</f>
        <v>0</v>
      </c>
      <c r="V26" s="6">
        <f t="array" aca="1" ref="V26" ca="1">SUM(IF(OFFSET(RPS_Scen!$A$11,0,0,ctRPSproj,1)=scenRPS,IF(OFFSET(RPS_Scen!$H$11,0,0,ctRPSproj,1)=$B$20,IF(OFFSET(RPS_Scen!$C$11,0,0,ctRPSproj,1)=$B26,OFFSET(RPS_Scen!AF$11,0,0,ctRPSproj,1)/(8.76*OFFSET(RPS_Scen!$J$11,0,0,ctRPSproj,1))*OFFSET(RPS_Scen!$K$11,0,0,ctRPSproj,1)))))</f>
        <v>0</v>
      </c>
      <c r="W26" s="6">
        <f t="array" aca="1" ref="W26" ca="1">SUM(IF(OFFSET(RPS_Scen!$A$11,0,0,ctRPSproj,1)=scenRPS,IF(OFFSET(RPS_Scen!$H$11,0,0,ctRPSproj,1)=$B$20,IF(OFFSET(RPS_Scen!$C$11,0,0,ctRPSproj,1)=$B26,OFFSET(RPS_Scen!AG$11,0,0,ctRPSproj,1)/(8.76*OFFSET(RPS_Scen!$J$11,0,0,ctRPSproj,1))*OFFSET(RPS_Scen!$K$11,0,0,ctRPSproj,1)))))</f>
        <v>0</v>
      </c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</row>
    <row r="27" spans="2:60">
      <c r="B27" s="89" t="s">
        <v>187</v>
      </c>
      <c r="C27" s="152" t="s">
        <v>138</v>
      </c>
      <c r="D27" s="6">
        <f t="array" aca="1" ref="D27" ca="1">SUM(IF(OFFSET(RPS_Scen!$A$11,0,0,ctRPSproj,1)=scenRPS,IF(OFFSET(RPS_Scen!$H$11,0,0,ctRPSproj,1)=$B$20,IF(OFFSET(RPS_Scen!$C$11,0,0,ctRPSproj,1)=$B27,OFFSET(RPS_Scen!N$11,0,0,ctRPSproj,1)/(8.76*OFFSET(RPS_Scen!$J$11,0,0,ctRPSproj,1))*OFFSET(RPS_Scen!$K$11,0,0,ctRPSproj,1)))))</f>
        <v>0</v>
      </c>
      <c r="E27" s="6">
        <f t="array" aca="1" ref="E27" ca="1">SUM(IF(OFFSET(RPS_Scen!$A$11,0,0,ctRPSproj,1)=scenRPS,IF(OFFSET(RPS_Scen!$H$11,0,0,ctRPSproj,1)=$B$20,IF(OFFSET(RPS_Scen!$C$11,0,0,ctRPSproj,1)=$B27,OFFSET(RPS_Scen!O$11,0,0,ctRPSproj,1)/(8.76*OFFSET(RPS_Scen!$J$11,0,0,ctRPSproj,1))*OFFSET(RPS_Scen!$K$11,0,0,ctRPSproj,1)))))</f>
        <v>0</v>
      </c>
      <c r="F27" s="6">
        <f t="array" aca="1" ref="F27" ca="1">SUM(IF(OFFSET(RPS_Scen!$A$11,0,0,ctRPSproj,1)=scenRPS,IF(OFFSET(RPS_Scen!$H$11,0,0,ctRPSproj,1)=$B$20,IF(OFFSET(RPS_Scen!$C$11,0,0,ctRPSproj,1)=$B27,OFFSET(RPS_Scen!P$11,0,0,ctRPSproj,1)/(8.76*OFFSET(RPS_Scen!$J$11,0,0,ctRPSproj,1))*OFFSET(RPS_Scen!$K$11,0,0,ctRPSproj,1)))))</f>
        <v>167.55372760575372</v>
      </c>
      <c r="G27" s="6">
        <f t="array" aca="1" ref="G27" ca="1">SUM(IF(OFFSET(RPS_Scen!$A$11,0,0,ctRPSproj,1)=scenRPS,IF(OFFSET(RPS_Scen!$H$11,0,0,ctRPSproj,1)=$B$20,IF(OFFSET(RPS_Scen!$C$11,0,0,ctRPSproj,1)=$B27,OFFSET(RPS_Scen!Q$11,0,0,ctRPSproj,1)/(8.76*OFFSET(RPS_Scen!$J$11,0,0,ctRPSproj,1))*OFFSET(RPS_Scen!$K$11,0,0,ctRPSproj,1)))))</f>
        <v>404.10007450955254</v>
      </c>
      <c r="H27" s="6">
        <f t="array" aca="1" ref="H27" ca="1">SUM(IF(OFFSET(RPS_Scen!$A$11,0,0,ctRPSproj,1)=scenRPS,IF(OFFSET(RPS_Scen!$H$11,0,0,ctRPSproj,1)=$B$20,IF(OFFSET(RPS_Scen!$C$11,0,0,ctRPSproj,1)=$B27,OFFSET(RPS_Scen!R$11,0,0,ctRPSproj,1)/(8.76*OFFSET(RPS_Scen!$J$11,0,0,ctRPSproj,1))*OFFSET(RPS_Scen!$K$11,0,0,ctRPSproj,1)))))</f>
        <v>627.15920480537045</v>
      </c>
      <c r="I27" s="6">
        <f t="array" aca="1" ref="I27" ca="1">SUM(IF(OFFSET(RPS_Scen!$A$11,0,0,ctRPSproj,1)=scenRPS,IF(OFFSET(RPS_Scen!$H$11,0,0,ctRPSproj,1)=$B$20,IF(OFFSET(RPS_Scen!$C$11,0,0,ctRPSproj,1)=$B27,OFFSET(RPS_Scen!S$11,0,0,ctRPSproj,1)/(8.76*OFFSET(RPS_Scen!$J$11,0,0,ctRPSproj,1))*OFFSET(RPS_Scen!$K$11,0,0,ctRPSproj,1)))))</f>
        <v>627.15920480537045</v>
      </c>
      <c r="J27" s="6">
        <f t="array" aca="1" ref="J27" ca="1">SUM(IF(OFFSET(RPS_Scen!$A$11,0,0,ctRPSproj,1)=scenRPS,IF(OFFSET(RPS_Scen!$H$11,0,0,ctRPSproj,1)=$B$20,IF(OFFSET(RPS_Scen!$C$11,0,0,ctRPSproj,1)=$B27,OFFSET(RPS_Scen!T$11,0,0,ctRPSproj,1)/(8.76*OFFSET(RPS_Scen!$J$11,0,0,ctRPSproj,1))*OFFSET(RPS_Scen!$K$11,0,0,ctRPSproj,1)))))</f>
        <v>1114.2948038979112</v>
      </c>
      <c r="K27" s="6">
        <f t="array" aca="1" ref="K27" ca="1">SUM(IF(OFFSET(RPS_Scen!$A$11,0,0,ctRPSproj,1)=scenRPS,IF(OFFSET(RPS_Scen!$H$11,0,0,ctRPSproj,1)=$B$20,IF(OFFSET(RPS_Scen!$C$11,0,0,ctRPSproj,1)=$B27,OFFSET(RPS_Scen!U$11,0,0,ctRPSproj,1)/(8.76*OFFSET(RPS_Scen!$J$11,0,0,ctRPSproj,1))*OFFSET(RPS_Scen!$K$11,0,0,ctRPSproj,1)))))</f>
        <v>1114.2948038979112</v>
      </c>
      <c r="L27" s="6">
        <f t="array" aca="1" ref="L27" ca="1">SUM(IF(OFFSET(RPS_Scen!$A$11,0,0,ctRPSproj,1)=scenRPS,IF(OFFSET(RPS_Scen!$H$11,0,0,ctRPSproj,1)=$B$20,IF(OFFSET(RPS_Scen!$C$11,0,0,ctRPSproj,1)=$B27,OFFSET(RPS_Scen!V$11,0,0,ctRPSproj,1)/(8.76*OFFSET(RPS_Scen!$J$11,0,0,ctRPSproj,1))*OFFSET(RPS_Scen!$K$11,0,0,ctRPSproj,1)))))</f>
        <v>2135.7313625326633</v>
      </c>
      <c r="M27" s="6">
        <f t="array" aca="1" ref="M27" ca="1">SUM(IF(OFFSET(RPS_Scen!$A$11,0,0,ctRPSproj,1)=scenRPS,IF(OFFSET(RPS_Scen!$H$11,0,0,ctRPSproj,1)=$B$20,IF(OFFSET(RPS_Scen!$C$11,0,0,ctRPSproj,1)=$B27,OFFSET(RPS_Scen!W$11,0,0,ctRPSproj,1)/(8.76*OFFSET(RPS_Scen!$J$11,0,0,ctRPSproj,1))*OFFSET(RPS_Scen!$K$11,0,0,ctRPSproj,1)))))</f>
        <v>2135.7313625326633</v>
      </c>
      <c r="N27" s="6">
        <f t="array" aca="1" ref="N27" ca="1">SUM(IF(OFFSET(RPS_Scen!$A$11,0,0,ctRPSproj,1)=scenRPS,IF(OFFSET(RPS_Scen!$H$11,0,0,ctRPSproj,1)=$B$20,IF(OFFSET(RPS_Scen!$C$11,0,0,ctRPSproj,1)=$B27,OFFSET(RPS_Scen!X$11,0,0,ctRPSproj,1)/(8.76*OFFSET(RPS_Scen!$J$11,0,0,ctRPSproj,1))*OFFSET(RPS_Scen!$K$11,0,0,ctRPSproj,1)))))</f>
        <v>2135.7313625326633</v>
      </c>
      <c r="O27" s="6">
        <f t="array" aca="1" ref="O27" ca="1">SUM(IF(OFFSET(RPS_Scen!$A$11,0,0,ctRPSproj,1)=scenRPS,IF(OFFSET(RPS_Scen!$H$11,0,0,ctRPSproj,1)=$B$20,IF(OFFSET(RPS_Scen!$C$11,0,0,ctRPSproj,1)=$B27,OFFSET(RPS_Scen!Y$11,0,0,ctRPSproj,1)/(8.76*OFFSET(RPS_Scen!$J$11,0,0,ctRPSproj,1))*OFFSET(RPS_Scen!$K$11,0,0,ctRPSproj,1)))))</f>
        <v>2135.7313625326633</v>
      </c>
      <c r="P27" s="6">
        <f t="array" aca="1" ref="P27" ca="1">SUM(IF(OFFSET(RPS_Scen!$A$11,0,0,ctRPSproj,1)=scenRPS,IF(OFFSET(RPS_Scen!$H$11,0,0,ctRPSproj,1)=$B$20,IF(OFFSET(RPS_Scen!$C$11,0,0,ctRPSproj,1)=$B27,OFFSET(RPS_Scen!Z$11,0,0,ctRPSproj,1)/(8.76*OFFSET(RPS_Scen!$J$11,0,0,ctRPSproj,1))*OFFSET(RPS_Scen!$K$11,0,0,ctRPSproj,1)))))</f>
        <v>2135.7313625326633</v>
      </c>
      <c r="Q27" s="6">
        <f t="array" aca="1" ref="Q27" ca="1">SUM(IF(OFFSET(RPS_Scen!$A$11,0,0,ctRPSproj,1)=scenRPS,IF(OFFSET(RPS_Scen!$H$11,0,0,ctRPSproj,1)=$B$20,IF(OFFSET(RPS_Scen!$C$11,0,0,ctRPSproj,1)=$B27,OFFSET(RPS_Scen!AA$11,0,0,ctRPSproj,1)/(8.76*OFFSET(RPS_Scen!$J$11,0,0,ctRPSproj,1))*OFFSET(RPS_Scen!$K$11,0,0,ctRPSproj,1)))))</f>
        <v>2135.7313625326633</v>
      </c>
      <c r="R27" s="6">
        <f t="array" aca="1" ref="R27" ca="1">SUM(IF(OFFSET(RPS_Scen!$A$11,0,0,ctRPSproj,1)=scenRPS,IF(OFFSET(RPS_Scen!$H$11,0,0,ctRPSproj,1)=$B$20,IF(OFFSET(RPS_Scen!$C$11,0,0,ctRPSproj,1)=$B27,OFFSET(RPS_Scen!AB$11,0,0,ctRPSproj,1)/(8.76*OFFSET(RPS_Scen!$J$11,0,0,ctRPSproj,1))*OFFSET(RPS_Scen!$K$11,0,0,ctRPSproj,1)))))</f>
        <v>2135.7313625326633</v>
      </c>
      <c r="S27" s="6">
        <f t="array" aca="1" ref="S27" ca="1">SUM(IF(OFFSET(RPS_Scen!$A$11,0,0,ctRPSproj,1)=scenRPS,IF(OFFSET(RPS_Scen!$H$11,0,0,ctRPSproj,1)=$B$20,IF(OFFSET(RPS_Scen!$C$11,0,0,ctRPSproj,1)=$B27,OFFSET(RPS_Scen!AC$11,0,0,ctRPSproj,1)/(8.76*OFFSET(RPS_Scen!$J$11,0,0,ctRPSproj,1))*OFFSET(RPS_Scen!$K$11,0,0,ctRPSproj,1)))))</f>
        <v>2135.7313625326633</v>
      </c>
      <c r="T27" s="6">
        <f t="array" aca="1" ref="T27" ca="1">SUM(IF(OFFSET(RPS_Scen!$A$11,0,0,ctRPSproj,1)=scenRPS,IF(OFFSET(RPS_Scen!$H$11,0,0,ctRPSproj,1)=$B$20,IF(OFFSET(RPS_Scen!$C$11,0,0,ctRPSproj,1)=$B27,OFFSET(RPS_Scen!AD$11,0,0,ctRPSproj,1)/(8.76*OFFSET(RPS_Scen!$J$11,0,0,ctRPSproj,1))*OFFSET(RPS_Scen!$K$11,0,0,ctRPSproj,1)))))</f>
        <v>2135.7313625326633</v>
      </c>
      <c r="U27" s="6">
        <f t="array" aca="1" ref="U27" ca="1">SUM(IF(OFFSET(RPS_Scen!$A$11,0,0,ctRPSproj,1)=scenRPS,IF(OFFSET(RPS_Scen!$H$11,0,0,ctRPSproj,1)=$B$20,IF(OFFSET(RPS_Scen!$C$11,0,0,ctRPSproj,1)=$B27,OFFSET(RPS_Scen!AE$11,0,0,ctRPSproj,1)/(8.76*OFFSET(RPS_Scen!$J$11,0,0,ctRPSproj,1))*OFFSET(RPS_Scen!$K$11,0,0,ctRPSproj,1)))))</f>
        <v>2135.7313625326633</v>
      </c>
      <c r="V27" s="6">
        <f t="array" aca="1" ref="V27" ca="1">SUM(IF(OFFSET(RPS_Scen!$A$11,0,0,ctRPSproj,1)=scenRPS,IF(OFFSET(RPS_Scen!$H$11,0,0,ctRPSproj,1)=$B$20,IF(OFFSET(RPS_Scen!$C$11,0,0,ctRPSproj,1)=$B27,OFFSET(RPS_Scen!AF$11,0,0,ctRPSproj,1)/(8.76*OFFSET(RPS_Scen!$J$11,0,0,ctRPSproj,1))*OFFSET(RPS_Scen!$K$11,0,0,ctRPSproj,1)))))</f>
        <v>2135.7313625326633</v>
      </c>
      <c r="W27" s="6">
        <f t="array" aca="1" ref="W27" ca="1">SUM(IF(OFFSET(RPS_Scen!$A$11,0,0,ctRPSproj,1)=scenRPS,IF(OFFSET(RPS_Scen!$H$11,0,0,ctRPSproj,1)=$B$20,IF(OFFSET(RPS_Scen!$C$11,0,0,ctRPSproj,1)=$B27,OFFSET(RPS_Scen!AG$11,0,0,ctRPSproj,1)/(8.76*OFFSET(RPS_Scen!$J$11,0,0,ctRPSproj,1))*OFFSET(RPS_Scen!$K$11,0,0,ctRPSproj,1)))))</f>
        <v>2135.7313625326633</v>
      </c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</row>
    <row r="28" spans="2:60">
      <c r="B28" s="89" t="s">
        <v>137</v>
      </c>
      <c r="C28" s="152" t="s">
        <v>137</v>
      </c>
      <c r="D28" s="6">
        <f t="array" aca="1" ref="D28" ca="1">SUM(IF(OFFSET(RPS_Scen!$A$11,0,0,ctRPSproj,1)=scenRPS,IF(OFFSET(RPS_Scen!$H$11,0,0,ctRPSproj,1)=$B$20,IF(OFFSET(RPS_Scen!$C$11,0,0,ctRPSproj,1)=$B28,OFFSET(RPS_Scen!N$11,0,0,ctRPSproj,1)/(8.76*OFFSET(RPS_Scen!$J$11,0,0,ctRPSproj,1))*OFFSET(RPS_Scen!$K$11,0,0,ctRPSproj,1)))))</f>
        <v>0</v>
      </c>
      <c r="E28" s="6">
        <f t="array" aca="1" ref="E28" ca="1">SUM(IF(OFFSET(RPS_Scen!$A$11,0,0,ctRPSproj,1)=scenRPS,IF(OFFSET(RPS_Scen!$H$11,0,0,ctRPSproj,1)=$B$20,IF(OFFSET(RPS_Scen!$C$11,0,0,ctRPSproj,1)=$B28,OFFSET(RPS_Scen!O$11,0,0,ctRPSproj,1)/(8.76*OFFSET(RPS_Scen!$J$11,0,0,ctRPSproj,1))*OFFSET(RPS_Scen!$K$11,0,0,ctRPSproj,1)))))</f>
        <v>6.4463327373180048</v>
      </c>
      <c r="F28" s="6">
        <f t="array" aca="1" ref="F28" ca="1">SUM(IF(OFFSET(RPS_Scen!$A$11,0,0,ctRPSproj,1)=scenRPS,IF(OFFSET(RPS_Scen!$H$11,0,0,ctRPSproj,1)=$B$20,IF(OFFSET(RPS_Scen!$C$11,0,0,ctRPSproj,1)=$B28,OFFSET(RPS_Scen!P$11,0,0,ctRPSproj,1)/(8.76*OFFSET(RPS_Scen!$J$11,0,0,ctRPSproj,1))*OFFSET(RPS_Scen!$K$11,0,0,ctRPSproj,1)))))</f>
        <v>6.4463327373180048</v>
      </c>
      <c r="G28" s="6">
        <f t="array" aca="1" ref="G28" ca="1">SUM(IF(OFFSET(RPS_Scen!$A$11,0,0,ctRPSproj,1)=scenRPS,IF(OFFSET(RPS_Scen!$H$11,0,0,ctRPSproj,1)=$B$20,IF(OFFSET(RPS_Scen!$C$11,0,0,ctRPSproj,1)=$B28,OFFSET(RPS_Scen!Q$11,0,0,ctRPSproj,1)/(8.76*OFFSET(RPS_Scen!$J$11,0,0,ctRPSproj,1))*OFFSET(RPS_Scen!$K$11,0,0,ctRPSproj,1)))))</f>
        <v>19.14949223738649</v>
      </c>
      <c r="H28" s="6">
        <f t="array" aca="1" ref="H28" ca="1">SUM(IF(OFFSET(RPS_Scen!$A$11,0,0,ctRPSproj,1)=scenRPS,IF(OFFSET(RPS_Scen!$H$11,0,0,ctRPSproj,1)=$B$20,IF(OFFSET(RPS_Scen!$C$11,0,0,ctRPSproj,1)=$B28,OFFSET(RPS_Scen!R$11,0,0,ctRPSproj,1)/(8.76*OFFSET(RPS_Scen!$J$11,0,0,ctRPSproj,1))*OFFSET(RPS_Scen!$K$11,0,0,ctRPSproj,1)))))</f>
        <v>452.03876423790939</v>
      </c>
      <c r="I28" s="6">
        <f t="array" aca="1" ref="I28" ca="1">SUM(IF(OFFSET(RPS_Scen!$A$11,0,0,ctRPSproj,1)=scenRPS,IF(OFFSET(RPS_Scen!$H$11,0,0,ctRPSproj,1)=$B$20,IF(OFFSET(RPS_Scen!$C$11,0,0,ctRPSproj,1)=$B28,OFFSET(RPS_Scen!S$11,0,0,ctRPSproj,1)/(8.76*OFFSET(RPS_Scen!$J$11,0,0,ctRPSproj,1))*OFFSET(RPS_Scen!$K$11,0,0,ctRPSproj,1)))))</f>
        <v>452.03876423790939</v>
      </c>
      <c r="J28" s="6">
        <f t="array" aca="1" ref="J28" ca="1">SUM(IF(OFFSET(RPS_Scen!$A$11,0,0,ctRPSproj,1)=scenRPS,IF(OFFSET(RPS_Scen!$H$11,0,0,ctRPSproj,1)=$B$20,IF(OFFSET(RPS_Scen!$C$11,0,0,ctRPSproj,1)=$B28,OFFSET(RPS_Scen!T$11,0,0,ctRPSproj,1)/(8.76*OFFSET(RPS_Scen!$J$11,0,0,ctRPSproj,1))*OFFSET(RPS_Scen!$K$11,0,0,ctRPSproj,1)))))</f>
        <v>480.19778247331368</v>
      </c>
      <c r="K28" s="6">
        <f t="array" aca="1" ref="K28" ca="1">SUM(IF(OFFSET(RPS_Scen!$A$11,0,0,ctRPSproj,1)=scenRPS,IF(OFFSET(RPS_Scen!$H$11,0,0,ctRPSproj,1)=$B$20,IF(OFFSET(RPS_Scen!$C$11,0,0,ctRPSproj,1)=$B28,OFFSET(RPS_Scen!U$11,0,0,ctRPSproj,1)/(8.76*OFFSET(RPS_Scen!$J$11,0,0,ctRPSproj,1))*OFFSET(RPS_Scen!$K$11,0,0,ctRPSproj,1)))))</f>
        <v>480.19778247331368</v>
      </c>
      <c r="L28" s="6">
        <f t="array" aca="1" ref="L28" ca="1">SUM(IF(OFFSET(RPS_Scen!$A$11,0,0,ctRPSproj,1)=scenRPS,IF(OFFSET(RPS_Scen!$H$11,0,0,ctRPSproj,1)=$B$20,IF(OFFSET(RPS_Scen!$C$11,0,0,ctRPSproj,1)=$B28,OFFSET(RPS_Scen!V$11,0,0,ctRPSproj,1)/(8.76*OFFSET(RPS_Scen!$J$11,0,0,ctRPSproj,1))*OFFSET(RPS_Scen!$K$11,0,0,ctRPSproj,1)))))</f>
        <v>480.19778247331368</v>
      </c>
      <c r="M28" s="6">
        <f t="array" aca="1" ref="M28" ca="1">SUM(IF(OFFSET(RPS_Scen!$A$11,0,0,ctRPSproj,1)=scenRPS,IF(OFFSET(RPS_Scen!$H$11,0,0,ctRPSproj,1)=$B$20,IF(OFFSET(RPS_Scen!$C$11,0,0,ctRPSproj,1)=$B28,OFFSET(RPS_Scen!W$11,0,0,ctRPSproj,1)/(8.76*OFFSET(RPS_Scen!$J$11,0,0,ctRPSproj,1))*OFFSET(RPS_Scen!$K$11,0,0,ctRPSproj,1)))))</f>
        <v>480.19778247331368</v>
      </c>
      <c r="N28" s="6">
        <f t="array" aca="1" ref="N28" ca="1">SUM(IF(OFFSET(RPS_Scen!$A$11,0,0,ctRPSproj,1)=scenRPS,IF(OFFSET(RPS_Scen!$H$11,0,0,ctRPSproj,1)=$B$20,IF(OFFSET(RPS_Scen!$C$11,0,0,ctRPSproj,1)=$B28,OFFSET(RPS_Scen!X$11,0,0,ctRPSproj,1)/(8.76*OFFSET(RPS_Scen!$J$11,0,0,ctRPSproj,1))*OFFSET(RPS_Scen!$K$11,0,0,ctRPSproj,1)))))</f>
        <v>480.19778247331368</v>
      </c>
      <c r="O28" s="6">
        <f t="array" aca="1" ref="O28" ca="1">SUM(IF(OFFSET(RPS_Scen!$A$11,0,0,ctRPSproj,1)=scenRPS,IF(OFFSET(RPS_Scen!$H$11,0,0,ctRPSproj,1)=$B$20,IF(OFFSET(RPS_Scen!$C$11,0,0,ctRPSproj,1)=$B28,OFFSET(RPS_Scen!Y$11,0,0,ctRPSproj,1)/(8.76*OFFSET(RPS_Scen!$J$11,0,0,ctRPSproj,1))*OFFSET(RPS_Scen!$K$11,0,0,ctRPSproj,1)))))</f>
        <v>480.19778247331368</v>
      </c>
      <c r="P28" s="6">
        <f t="array" aca="1" ref="P28" ca="1">SUM(IF(OFFSET(RPS_Scen!$A$11,0,0,ctRPSproj,1)=scenRPS,IF(OFFSET(RPS_Scen!$H$11,0,0,ctRPSproj,1)=$B$20,IF(OFFSET(RPS_Scen!$C$11,0,0,ctRPSproj,1)=$B28,OFFSET(RPS_Scen!Z$11,0,0,ctRPSproj,1)/(8.76*OFFSET(RPS_Scen!$J$11,0,0,ctRPSproj,1))*OFFSET(RPS_Scen!$K$11,0,0,ctRPSproj,1)))))</f>
        <v>480.19778247331368</v>
      </c>
      <c r="Q28" s="6">
        <f t="array" aca="1" ref="Q28" ca="1">SUM(IF(OFFSET(RPS_Scen!$A$11,0,0,ctRPSproj,1)=scenRPS,IF(OFFSET(RPS_Scen!$H$11,0,0,ctRPSproj,1)=$B$20,IF(OFFSET(RPS_Scen!$C$11,0,0,ctRPSproj,1)=$B28,OFFSET(RPS_Scen!AA$11,0,0,ctRPSproj,1)/(8.76*OFFSET(RPS_Scen!$J$11,0,0,ctRPSproj,1))*OFFSET(RPS_Scen!$K$11,0,0,ctRPSproj,1)))))</f>
        <v>480.19778247331368</v>
      </c>
      <c r="R28" s="6">
        <f t="array" aca="1" ref="R28" ca="1">SUM(IF(OFFSET(RPS_Scen!$A$11,0,0,ctRPSproj,1)=scenRPS,IF(OFFSET(RPS_Scen!$H$11,0,0,ctRPSproj,1)=$B$20,IF(OFFSET(RPS_Scen!$C$11,0,0,ctRPSproj,1)=$B28,OFFSET(RPS_Scen!AB$11,0,0,ctRPSproj,1)/(8.76*OFFSET(RPS_Scen!$J$11,0,0,ctRPSproj,1))*OFFSET(RPS_Scen!$K$11,0,0,ctRPSproj,1)))))</f>
        <v>480.19778247331368</v>
      </c>
      <c r="S28" s="6">
        <f t="array" aca="1" ref="S28" ca="1">SUM(IF(OFFSET(RPS_Scen!$A$11,0,0,ctRPSproj,1)=scenRPS,IF(OFFSET(RPS_Scen!$H$11,0,0,ctRPSproj,1)=$B$20,IF(OFFSET(RPS_Scen!$C$11,0,0,ctRPSproj,1)=$B28,OFFSET(RPS_Scen!AC$11,0,0,ctRPSproj,1)/(8.76*OFFSET(RPS_Scen!$J$11,0,0,ctRPSproj,1))*OFFSET(RPS_Scen!$K$11,0,0,ctRPSproj,1)))))</f>
        <v>480.19778247331368</v>
      </c>
      <c r="T28" s="6">
        <f t="array" aca="1" ref="T28" ca="1">SUM(IF(OFFSET(RPS_Scen!$A$11,0,0,ctRPSproj,1)=scenRPS,IF(OFFSET(RPS_Scen!$H$11,0,0,ctRPSproj,1)=$B$20,IF(OFFSET(RPS_Scen!$C$11,0,0,ctRPSproj,1)=$B28,OFFSET(RPS_Scen!AD$11,0,0,ctRPSproj,1)/(8.76*OFFSET(RPS_Scen!$J$11,0,0,ctRPSproj,1))*OFFSET(RPS_Scen!$K$11,0,0,ctRPSproj,1)))))</f>
        <v>480.19778247331368</v>
      </c>
      <c r="U28" s="6">
        <f t="array" aca="1" ref="U28" ca="1">SUM(IF(OFFSET(RPS_Scen!$A$11,0,0,ctRPSproj,1)=scenRPS,IF(OFFSET(RPS_Scen!$H$11,0,0,ctRPSproj,1)=$B$20,IF(OFFSET(RPS_Scen!$C$11,0,0,ctRPSproj,1)=$B28,OFFSET(RPS_Scen!AE$11,0,0,ctRPSproj,1)/(8.76*OFFSET(RPS_Scen!$J$11,0,0,ctRPSproj,1))*OFFSET(RPS_Scen!$K$11,0,0,ctRPSproj,1)))))</f>
        <v>480.19778247331368</v>
      </c>
      <c r="V28" s="6">
        <f t="array" aca="1" ref="V28" ca="1">SUM(IF(OFFSET(RPS_Scen!$A$11,0,0,ctRPSproj,1)=scenRPS,IF(OFFSET(RPS_Scen!$H$11,0,0,ctRPSproj,1)=$B$20,IF(OFFSET(RPS_Scen!$C$11,0,0,ctRPSproj,1)=$B28,OFFSET(RPS_Scen!AF$11,0,0,ctRPSproj,1)/(8.76*OFFSET(RPS_Scen!$J$11,0,0,ctRPSproj,1))*OFFSET(RPS_Scen!$K$11,0,0,ctRPSproj,1)))))</f>
        <v>480.19778247331368</v>
      </c>
      <c r="W28" s="6">
        <f t="array" aca="1" ref="W28" ca="1">SUM(IF(OFFSET(RPS_Scen!$A$11,0,0,ctRPSproj,1)=scenRPS,IF(OFFSET(RPS_Scen!$H$11,0,0,ctRPSproj,1)=$B$20,IF(OFFSET(RPS_Scen!$C$11,0,0,ctRPSproj,1)=$B28,OFFSET(RPS_Scen!AG$11,0,0,ctRPSproj,1)/(8.76*OFFSET(RPS_Scen!$J$11,0,0,ctRPSproj,1))*OFFSET(RPS_Scen!$K$11,0,0,ctRPSproj,1)))))</f>
        <v>480.19778247331368</v>
      </c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</row>
    <row r="29" spans="2:60">
      <c r="B29" s="90" t="s">
        <v>2102</v>
      </c>
      <c r="C29" s="90"/>
      <c r="D29" s="103">
        <f ca="1">SUM(D21:D28)</f>
        <v>0</v>
      </c>
      <c r="E29" s="103">
        <f t="shared" ref="E29" ca="1" si="3">SUM(E21:E28)</f>
        <v>6.4463327373180048</v>
      </c>
      <c r="F29" s="103">
        <f t="shared" ref="F29" ca="1" si="4">SUM(F21:F28)</f>
        <v>174.00006034307174</v>
      </c>
      <c r="G29" s="103">
        <f t="shared" ref="G29" ca="1" si="5">SUM(G21:G28)</f>
        <v>423.24956674693902</v>
      </c>
      <c r="H29" s="103">
        <f t="shared" ref="H29" ca="1" si="6">SUM(H21:H28)</f>
        <v>1768.2515509874734</v>
      </c>
      <c r="I29" s="103">
        <f t="shared" ref="I29" ca="1" si="7">SUM(I21:I28)</f>
        <v>2043.4009631778861</v>
      </c>
      <c r="J29" s="103">
        <f t="shared" ref="J29" ca="1" si="8">SUM(J21:J28)</f>
        <v>2749.449673623229</v>
      </c>
      <c r="K29" s="103">
        <f t="shared" ref="K29" ca="1" si="9">SUM(K21:K28)</f>
        <v>2749.449673623229</v>
      </c>
      <c r="L29" s="103">
        <f t="shared" ref="L29" ca="1" si="10">SUM(L21:L28)</f>
        <v>3819.0203805689944</v>
      </c>
      <c r="M29" s="103">
        <f ca="1">SUM(M21:M28)</f>
        <v>3819.0203805689944</v>
      </c>
      <c r="N29" s="103">
        <f t="shared" ref="N29:W29" ca="1" si="11">SUM(N21:N28)</f>
        <v>3819.0203805689944</v>
      </c>
      <c r="O29" s="103">
        <f t="shared" ca="1" si="11"/>
        <v>3819.0203805689944</v>
      </c>
      <c r="P29" s="103">
        <f t="shared" ca="1" si="11"/>
        <v>3819.0203805689944</v>
      </c>
      <c r="Q29" s="103">
        <f t="shared" ca="1" si="11"/>
        <v>3819.0203805689944</v>
      </c>
      <c r="R29" s="103">
        <f t="shared" ca="1" si="11"/>
        <v>3819.0203805689944</v>
      </c>
      <c r="S29" s="103">
        <f t="shared" ca="1" si="11"/>
        <v>3819.0203805689944</v>
      </c>
      <c r="T29" s="103">
        <f t="shared" ca="1" si="11"/>
        <v>3819.0203805689944</v>
      </c>
      <c r="U29" s="103">
        <f t="shared" ca="1" si="11"/>
        <v>3819.0203805689944</v>
      </c>
      <c r="V29" s="103">
        <f t="shared" ca="1" si="11"/>
        <v>3819.0203805689944</v>
      </c>
      <c r="W29" s="103">
        <f t="shared" ca="1" si="11"/>
        <v>3819.0203805689944</v>
      </c>
    </row>
    <row r="30" spans="2:60">
      <c r="B30" s="90"/>
      <c r="C30" s="90"/>
      <c r="D30" s="92"/>
      <c r="E30" s="92"/>
      <c r="F30" s="92"/>
      <c r="G30" s="92"/>
      <c r="H30" s="92"/>
      <c r="I30" s="92"/>
      <c r="J30" s="92"/>
      <c r="K30" s="92"/>
      <c r="L30" s="92"/>
      <c r="M30" s="92"/>
    </row>
    <row r="31" spans="2:60">
      <c r="B31" s="90" t="s">
        <v>2130</v>
      </c>
      <c r="C31" s="90"/>
      <c r="D31" s="82"/>
      <c r="E31" s="82"/>
      <c r="F31" s="82"/>
      <c r="G31" s="82"/>
      <c r="H31" s="82"/>
      <c r="I31" s="82"/>
      <c r="J31" s="82"/>
      <c r="K31" s="82"/>
      <c r="L31" s="82"/>
      <c r="M31" s="82"/>
    </row>
    <row r="32" spans="2:60">
      <c r="B32" s="89" t="s">
        <v>184</v>
      </c>
      <c r="C32" s="152" t="s">
        <v>139</v>
      </c>
      <c r="D32" s="6">
        <f t="array" aca="1" ref="D32" ca="1">SUM(IF(OFFSET(RPS_Scen!$A$11,0,0,ctRPSproj,1)=scenRPS,IF(OFFSET(RPS_Scen!$H$11,0,0,ctRPSproj,1)=$B$31,IF(OFFSET(RPS_Scen!$C$11,0,0,ctRPSproj,1)=$B32,OFFSET(RPS_Scen!N$11,0,0,ctRPSproj,1)/(8.76*OFFSET(RPS_Scen!$J$11,0,0,ctRPSproj,1))*OFFSET(RPS_Scen!$K$11,0,0,ctRPSproj,1)))))</f>
        <v>0</v>
      </c>
      <c r="E32" s="6">
        <f t="array" aca="1" ref="E32" ca="1">SUM(IF(OFFSET(RPS_Scen!$A$11,0,0,ctRPSproj,1)=scenRPS,IF(OFFSET(RPS_Scen!$H$11,0,0,ctRPSproj,1)=$B$31,IF(OFFSET(RPS_Scen!$C$11,0,0,ctRPSproj,1)=$B32,OFFSET(RPS_Scen!O$11,0,0,ctRPSproj,1)/(8.76*OFFSET(RPS_Scen!$J$11,0,0,ctRPSproj,1))*OFFSET(RPS_Scen!$K$11,0,0,ctRPSproj,1)))))</f>
        <v>0</v>
      </c>
      <c r="F32" s="6">
        <f t="array" aca="1" ref="F32" ca="1">SUM(IF(OFFSET(RPS_Scen!$A$11,0,0,ctRPSproj,1)=scenRPS,IF(OFFSET(RPS_Scen!$H$11,0,0,ctRPSproj,1)=$B$31,IF(OFFSET(RPS_Scen!$C$11,0,0,ctRPSproj,1)=$B32,OFFSET(RPS_Scen!P$11,0,0,ctRPSproj,1)/(8.76*OFFSET(RPS_Scen!$J$11,0,0,ctRPSproj,1))*OFFSET(RPS_Scen!$K$11,0,0,ctRPSproj,1)))))</f>
        <v>0</v>
      </c>
      <c r="G32" s="6">
        <f t="array" aca="1" ref="G32" ca="1">SUM(IF(OFFSET(RPS_Scen!$A$11,0,0,ctRPSproj,1)=scenRPS,IF(OFFSET(RPS_Scen!$H$11,0,0,ctRPSproj,1)=$B$31,IF(OFFSET(RPS_Scen!$C$11,0,0,ctRPSproj,1)=$B32,OFFSET(RPS_Scen!Q$11,0,0,ctRPSproj,1)/(8.76*OFFSET(RPS_Scen!$J$11,0,0,ctRPSproj,1))*OFFSET(RPS_Scen!$K$11,0,0,ctRPSproj,1)))))</f>
        <v>0</v>
      </c>
      <c r="H32" s="6">
        <f t="array" aca="1" ref="H32" ca="1">SUM(IF(OFFSET(RPS_Scen!$A$11,0,0,ctRPSproj,1)=scenRPS,IF(OFFSET(RPS_Scen!$H$11,0,0,ctRPSproj,1)=$B$31,IF(OFFSET(RPS_Scen!$C$11,0,0,ctRPSproj,1)=$B32,OFFSET(RPS_Scen!R$11,0,0,ctRPSproj,1)/(8.76*OFFSET(RPS_Scen!$J$11,0,0,ctRPSproj,1))*OFFSET(RPS_Scen!$K$11,0,0,ctRPSproj,1)))))</f>
        <v>0</v>
      </c>
      <c r="I32" s="6">
        <f t="array" aca="1" ref="I32" ca="1">SUM(IF(OFFSET(RPS_Scen!$A$11,0,0,ctRPSproj,1)=scenRPS,IF(OFFSET(RPS_Scen!$H$11,0,0,ctRPSproj,1)=$B$31,IF(OFFSET(RPS_Scen!$C$11,0,0,ctRPSproj,1)=$B32,OFFSET(RPS_Scen!S$11,0,0,ctRPSproj,1)/(8.76*OFFSET(RPS_Scen!$J$11,0,0,ctRPSproj,1))*OFFSET(RPS_Scen!$K$11,0,0,ctRPSproj,1)))))</f>
        <v>0</v>
      </c>
      <c r="J32" s="6">
        <f t="array" aca="1" ref="J32" ca="1">SUM(IF(OFFSET(RPS_Scen!$A$11,0,0,ctRPSproj,1)=scenRPS,IF(OFFSET(RPS_Scen!$H$11,0,0,ctRPSproj,1)=$B$31,IF(OFFSET(RPS_Scen!$C$11,0,0,ctRPSproj,1)=$B32,OFFSET(RPS_Scen!T$11,0,0,ctRPSproj,1)/(8.76*OFFSET(RPS_Scen!$J$11,0,0,ctRPSproj,1))*OFFSET(RPS_Scen!$K$11,0,0,ctRPSproj,1)))))</f>
        <v>0</v>
      </c>
      <c r="K32" s="6">
        <f t="array" aca="1" ref="K32" ca="1">SUM(IF(OFFSET(RPS_Scen!$A$11,0,0,ctRPSproj,1)=scenRPS,IF(OFFSET(RPS_Scen!$H$11,0,0,ctRPSproj,1)=$B$31,IF(OFFSET(RPS_Scen!$C$11,0,0,ctRPSproj,1)=$B32,OFFSET(RPS_Scen!U$11,0,0,ctRPSproj,1)/(8.76*OFFSET(RPS_Scen!$J$11,0,0,ctRPSproj,1))*OFFSET(RPS_Scen!$K$11,0,0,ctRPSproj,1)))))</f>
        <v>0</v>
      </c>
      <c r="L32" s="6">
        <f t="array" aca="1" ref="L32" ca="1">SUM(IF(OFFSET(RPS_Scen!$A$11,0,0,ctRPSproj,1)=scenRPS,IF(OFFSET(RPS_Scen!$H$11,0,0,ctRPSproj,1)=$B$31,IF(OFFSET(RPS_Scen!$C$11,0,0,ctRPSproj,1)=$B32,OFFSET(RPS_Scen!V$11,0,0,ctRPSproj,1)/(8.76*OFFSET(RPS_Scen!$J$11,0,0,ctRPSproj,1))*OFFSET(RPS_Scen!$K$11,0,0,ctRPSproj,1)))))</f>
        <v>0</v>
      </c>
      <c r="M32" s="6">
        <f t="array" aca="1" ref="M32" ca="1">SUM(IF(OFFSET(RPS_Scen!$A$11,0,0,ctRPSproj,1)=scenRPS,IF(OFFSET(RPS_Scen!$H$11,0,0,ctRPSproj,1)=$B$31,IF(OFFSET(RPS_Scen!$C$11,0,0,ctRPSproj,1)=$B32,OFFSET(RPS_Scen!W$11,0,0,ctRPSproj,1)/(8.76*OFFSET(RPS_Scen!$J$11,0,0,ctRPSproj,1))*OFFSET(RPS_Scen!$K$11,0,0,ctRPSproj,1)))))</f>
        <v>0</v>
      </c>
      <c r="N32" s="6">
        <f t="array" aca="1" ref="N32" ca="1">SUM(IF(OFFSET(RPS_Scen!$A$11,0,0,ctRPSproj,1)=scenRPS,IF(OFFSET(RPS_Scen!$H$11,0,0,ctRPSproj,1)=$B$31,IF(OFFSET(RPS_Scen!$C$11,0,0,ctRPSproj,1)=$B32,OFFSET(RPS_Scen!X$11,0,0,ctRPSproj,1)/(8.76*OFFSET(RPS_Scen!$J$11,0,0,ctRPSproj,1))*OFFSET(RPS_Scen!$K$11,0,0,ctRPSproj,1)))))</f>
        <v>0</v>
      </c>
      <c r="O32" s="6">
        <f t="array" aca="1" ref="O32" ca="1">SUM(IF(OFFSET(RPS_Scen!$A$11,0,0,ctRPSproj,1)=scenRPS,IF(OFFSET(RPS_Scen!$H$11,0,0,ctRPSproj,1)=$B$31,IF(OFFSET(RPS_Scen!$C$11,0,0,ctRPSproj,1)=$B32,OFFSET(RPS_Scen!Y$11,0,0,ctRPSproj,1)/(8.76*OFFSET(RPS_Scen!$J$11,0,0,ctRPSproj,1))*OFFSET(RPS_Scen!$K$11,0,0,ctRPSproj,1)))))</f>
        <v>0</v>
      </c>
      <c r="P32" s="6">
        <f t="array" aca="1" ref="P32" ca="1">SUM(IF(OFFSET(RPS_Scen!$A$11,0,0,ctRPSproj,1)=scenRPS,IF(OFFSET(RPS_Scen!$H$11,0,0,ctRPSproj,1)=$B$31,IF(OFFSET(RPS_Scen!$C$11,0,0,ctRPSproj,1)=$B32,OFFSET(RPS_Scen!Z$11,0,0,ctRPSproj,1)/(8.76*OFFSET(RPS_Scen!$J$11,0,0,ctRPSproj,1))*OFFSET(RPS_Scen!$K$11,0,0,ctRPSproj,1)))))</f>
        <v>0</v>
      </c>
      <c r="Q32" s="6">
        <f t="array" aca="1" ref="Q32" ca="1">SUM(IF(OFFSET(RPS_Scen!$A$11,0,0,ctRPSproj,1)=scenRPS,IF(OFFSET(RPS_Scen!$H$11,0,0,ctRPSproj,1)=$B$31,IF(OFFSET(RPS_Scen!$C$11,0,0,ctRPSproj,1)=$B32,OFFSET(RPS_Scen!AA$11,0,0,ctRPSproj,1)/(8.76*OFFSET(RPS_Scen!$J$11,0,0,ctRPSproj,1))*OFFSET(RPS_Scen!$K$11,0,0,ctRPSproj,1)))))</f>
        <v>0</v>
      </c>
      <c r="R32" s="6">
        <f t="array" aca="1" ref="R32" ca="1">SUM(IF(OFFSET(RPS_Scen!$A$11,0,0,ctRPSproj,1)=scenRPS,IF(OFFSET(RPS_Scen!$H$11,0,0,ctRPSproj,1)=$B$31,IF(OFFSET(RPS_Scen!$C$11,0,0,ctRPSproj,1)=$B32,OFFSET(RPS_Scen!AB$11,0,0,ctRPSproj,1)/(8.76*OFFSET(RPS_Scen!$J$11,0,0,ctRPSproj,1))*OFFSET(RPS_Scen!$K$11,0,0,ctRPSproj,1)))))</f>
        <v>0</v>
      </c>
      <c r="S32" s="6">
        <f t="array" aca="1" ref="S32" ca="1">SUM(IF(OFFSET(RPS_Scen!$A$11,0,0,ctRPSproj,1)=scenRPS,IF(OFFSET(RPS_Scen!$H$11,0,0,ctRPSproj,1)=$B$31,IF(OFFSET(RPS_Scen!$C$11,0,0,ctRPSproj,1)=$B32,OFFSET(RPS_Scen!AC$11,0,0,ctRPSproj,1)/(8.76*OFFSET(RPS_Scen!$J$11,0,0,ctRPSproj,1))*OFFSET(RPS_Scen!$K$11,0,0,ctRPSproj,1)))))</f>
        <v>0</v>
      </c>
      <c r="T32" s="6">
        <f t="array" aca="1" ref="T32" ca="1">SUM(IF(OFFSET(RPS_Scen!$A$11,0,0,ctRPSproj,1)=scenRPS,IF(OFFSET(RPS_Scen!$H$11,0,0,ctRPSproj,1)=$B$31,IF(OFFSET(RPS_Scen!$C$11,0,0,ctRPSproj,1)=$B32,OFFSET(RPS_Scen!AD$11,0,0,ctRPSproj,1)/(8.76*OFFSET(RPS_Scen!$J$11,0,0,ctRPSproj,1))*OFFSET(RPS_Scen!$K$11,0,0,ctRPSproj,1)))))</f>
        <v>0</v>
      </c>
      <c r="U32" s="6">
        <f t="array" aca="1" ref="U32" ca="1">SUM(IF(OFFSET(RPS_Scen!$A$11,0,0,ctRPSproj,1)=scenRPS,IF(OFFSET(RPS_Scen!$H$11,0,0,ctRPSproj,1)=$B$31,IF(OFFSET(RPS_Scen!$C$11,0,0,ctRPSproj,1)=$B32,OFFSET(RPS_Scen!AE$11,0,0,ctRPSproj,1)/(8.76*OFFSET(RPS_Scen!$J$11,0,0,ctRPSproj,1))*OFFSET(RPS_Scen!$K$11,0,0,ctRPSproj,1)))))</f>
        <v>0</v>
      </c>
      <c r="V32" s="6">
        <f t="array" aca="1" ref="V32" ca="1">SUM(IF(OFFSET(RPS_Scen!$A$11,0,0,ctRPSproj,1)=scenRPS,IF(OFFSET(RPS_Scen!$H$11,0,0,ctRPSproj,1)=$B$31,IF(OFFSET(RPS_Scen!$C$11,0,0,ctRPSproj,1)=$B32,OFFSET(RPS_Scen!AF$11,0,0,ctRPSproj,1)/(8.76*OFFSET(RPS_Scen!$J$11,0,0,ctRPSproj,1))*OFFSET(RPS_Scen!$K$11,0,0,ctRPSproj,1)))))</f>
        <v>0</v>
      </c>
      <c r="W32" s="6">
        <f t="array" aca="1" ref="W32" ca="1">SUM(IF(OFFSET(RPS_Scen!$A$11,0,0,ctRPSproj,1)=scenRPS,IF(OFFSET(RPS_Scen!$H$11,0,0,ctRPSproj,1)=$B$31,IF(OFFSET(RPS_Scen!$C$11,0,0,ctRPSproj,1)=$B32,OFFSET(RPS_Scen!AG$11,0,0,ctRPSproj,1)/(8.76*OFFSET(RPS_Scen!$J$11,0,0,ctRPSproj,1))*OFFSET(RPS_Scen!$K$11,0,0,ctRPSproj,1)))))</f>
        <v>0</v>
      </c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</row>
    <row r="33" spans="2:57">
      <c r="B33" s="89" t="s">
        <v>139</v>
      </c>
      <c r="C33" s="152" t="s">
        <v>139</v>
      </c>
      <c r="D33" s="6">
        <f t="array" aca="1" ref="D33" ca="1">SUM(IF(OFFSET(RPS_Scen!$A$11,0,0,ctRPSproj,1)=scenRPS,IF(OFFSET(RPS_Scen!$H$11,0,0,ctRPSproj,1)=$B$31,IF(OFFSET(RPS_Scen!$C$11,0,0,ctRPSproj,1)=$B33,OFFSET(RPS_Scen!N$11,0,0,ctRPSproj,1)/(8.76*OFFSET(RPS_Scen!$J$11,0,0,ctRPSproj,1))*OFFSET(RPS_Scen!$K$11,0,0,ctRPSproj,1)))))</f>
        <v>0</v>
      </c>
      <c r="E33" s="6">
        <f t="array" aca="1" ref="E33" ca="1">SUM(IF(OFFSET(RPS_Scen!$A$11,0,0,ctRPSproj,1)=scenRPS,IF(OFFSET(RPS_Scen!$H$11,0,0,ctRPSproj,1)=$B$31,IF(OFFSET(RPS_Scen!$C$11,0,0,ctRPSproj,1)=$B33,OFFSET(RPS_Scen!O$11,0,0,ctRPSproj,1)/(8.76*OFFSET(RPS_Scen!$J$11,0,0,ctRPSproj,1))*OFFSET(RPS_Scen!$K$11,0,0,ctRPSproj,1)))))</f>
        <v>0</v>
      </c>
      <c r="F33" s="6">
        <f t="array" aca="1" ref="F33" ca="1">SUM(IF(OFFSET(RPS_Scen!$A$11,0,0,ctRPSproj,1)=scenRPS,IF(OFFSET(RPS_Scen!$H$11,0,0,ctRPSproj,1)=$B$31,IF(OFFSET(RPS_Scen!$C$11,0,0,ctRPSproj,1)=$B33,OFFSET(RPS_Scen!P$11,0,0,ctRPSproj,1)/(8.76*OFFSET(RPS_Scen!$J$11,0,0,ctRPSproj,1))*OFFSET(RPS_Scen!$K$11,0,0,ctRPSproj,1)))))</f>
        <v>0</v>
      </c>
      <c r="G33" s="6">
        <f t="array" aca="1" ref="G33" ca="1">SUM(IF(OFFSET(RPS_Scen!$A$11,0,0,ctRPSproj,1)=scenRPS,IF(OFFSET(RPS_Scen!$H$11,0,0,ctRPSproj,1)=$B$31,IF(OFFSET(RPS_Scen!$C$11,0,0,ctRPSproj,1)=$B33,OFFSET(RPS_Scen!Q$11,0,0,ctRPSproj,1)/(8.76*OFFSET(RPS_Scen!$J$11,0,0,ctRPSproj,1))*OFFSET(RPS_Scen!$K$11,0,0,ctRPSproj,1)))))</f>
        <v>13.737612568625316</v>
      </c>
      <c r="H33" s="6">
        <f t="array" aca="1" ref="H33" ca="1">SUM(IF(OFFSET(RPS_Scen!$A$11,0,0,ctRPSproj,1)=scenRPS,IF(OFFSET(RPS_Scen!$H$11,0,0,ctRPSproj,1)=$B$31,IF(OFFSET(RPS_Scen!$C$11,0,0,ctRPSproj,1)=$B33,OFFSET(RPS_Scen!R$11,0,0,ctRPSproj,1)/(8.76*OFFSET(RPS_Scen!$J$11,0,0,ctRPSproj,1))*OFFSET(RPS_Scen!$K$11,0,0,ctRPSproj,1)))))</f>
        <v>13.737612568625316</v>
      </c>
      <c r="I33" s="6">
        <f t="array" aca="1" ref="I33" ca="1">SUM(IF(OFFSET(RPS_Scen!$A$11,0,0,ctRPSproj,1)=scenRPS,IF(OFFSET(RPS_Scen!$H$11,0,0,ctRPSproj,1)=$B$31,IF(OFFSET(RPS_Scen!$C$11,0,0,ctRPSproj,1)=$B33,OFFSET(RPS_Scen!S$11,0,0,ctRPSproj,1)/(8.76*OFFSET(RPS_Scen!$J$11,0,0,ctRPSproj,1))*OFFSET(RPS_Scen!$K$11,0,0,ctRPSproj,1)))))</f>
        <v>13.737612568625316</v>
      </c>
      <c r="J33" s="6">
        <f t="array" aca="1" ref="J33" ca="1">SUM(IF(OFFSET(RPS_Scen!$A$11,0,0,ctRPSproj,1)=scenRPS,IF(OFFSET(RPS_Scen!$H$11,0,0,ctRPSproj,1)=$B$31,IF(OFFSET(RPS_Scen!$C$11,0,0,ctRPSproj,1)=$B33,OFFSET(RPS_Scen!T$11,0,0,ctRPSproj,1)/(8.76*OFFSET(RPS_Scen!$J$11,0,0,ctRPSproj,1))*OFFSET(RPS_Scen!$K$11,0,0,ctRPSproj,1)))))</f>
        <v>13.737612568625316</v>
      </c>
      <c r="K33" s="6">
        <f t="array" aca="1" ref="K33" ca="1">SUM(IF(OFFSET(RPS_Scen!$A$11,0,0,ctRPSproj,1)=scenRPS,IF(OFFSET(RPS_Scen!$H$11,0,0,ctRPSproj,1)=$B$31,IF(OFFSET(RPS_Scen!$C$11,0,0,ctRPSproj,1)=$B33,OFFSET(RPS_Scen!U$11,0,0,ctRPSproj,1)/(8.76*OFFSET(RPS_Scen!$J$11,0,0,ctRPSproj,1))*OFFSET(RPS_Scen!$K$11,0,0,ctRPSproj,1)))))</f>
        <v>13.737612568625316</v>
      </c>
      <c r="L33" s="6">
        <f t="array" aca="1" ref="L33" ca="1">SUM(IF(OFFSET(RPS_Scen!$A$11,0,0,ctRPSproj,1)=scenRPS,IF(OFFSET(RPS_Scen!$H$11,0,0,ctRPSproj,1)=$B$31,IF(OFFSET(RPS_Scen!$C$11,0,0,ctRPSproj,1)=$B33,OFFSET(RPS_Scen!V$11,0,0,ctRPSproj,1)/(8.76*OFFSET(RPS_Scen!$J$11,0,0,ctRPSproj,1))*OFFSET(RPS_Scen!$K$11,0,0,ctRPSproj,1)))))</f>
        <v>13.737612568625316</v>
      </c>
      <c r="M33" s="6">
        <f t="array" aca="1" ref="M33" ca="1">SUM(IF(OFFSET(RPS_Scen!$A$11,0,0,ctRPSproj,1)=scenRPS,IF(OFFSET(RPS_Scen!$H$11,0,0,ctRPSproj,1)=$B$31,IF(OFFSET(RPS_Scen!$C$11,0,0,ctRPSproj,1)=$B33,OFFSET(RPS_Scen!W$11,0,0,ctRPSproj,1)/(8.76*OFFSET(RPS_Scen!$J$11,0,0,ctRPSproj,1))*OFFSET(RPS_Scen!$K$11,0,0,ctRPSproj,1)))))</f>
        <v>13.737612568625316</v>
      </c>
      <c r="N33" s="6">
        <f t="array" aca="1" ref="N33" ca="1">SUM(IF(OFFSET(RPS_Scen!$A$11,0,0,ctRPSproj,1)=scenRPS,IF(OFFSET(RPS_Scen!$H$11,0,0,ctRPSproj,1)=$B$31,IF(OFFSET(RPS_Scen!$C$11,0,0,ctRPSproj,1)=$B33,OFFSET(RPS_Scen!X$11,0,0,ctRPSproj,1)/(8.76*OFFSET(RPS_Scen!$J$11,0,0,ctRPSproj,1))*OFFSET(RPS_Scen!$K$11,0,0,ctRPSproj,1)))))</f>
        <v>13.737612568625316</v>
      </c>
      <c r="O33" s="6">
        <f t="array" aca="1" ref="O33" ca="1">SUM(IF(OFFSET(RPS_Scen!$A$11,0,0,ctRPSproj,1)=scenRPS,IF(OFFSET(RPS_Scen!$H$11,0,0,ctRPSproj,1)=$B$31,IF(OFFSET(RPS_Scen!$C$11,0,0,ctRPSproj,1)=$B33,OFFSET(RPS_Scen!Y$11,0,0,ctRPSproj,1)/(8.76*OFFSET(RPS_Scen!$J$11,0,0,ctRPSproj,1))*OFFSET(RPS_Scen!$K$11,0,0,ctRPSproj,1)))))</f>
        <v>13.737612568625316</v>
      </c>
      <c r="P33" s="6">
        <f t="array" aca="1" ref="P33" ca="1">SUM(IF(OFFSET(RPS_Scen!$A$11,0,0,ctRPSproj,1)=scenRPS,IF(OFFSET(RPS_Scen!$H$11,0,0,ctRPSproj,1)=$B$31,IF(OFFSET(RPS_Scen!$C$11,0,0,ctRPSproj,1)=$B33,OFFSET(RPS_Scen!Z$11,0,0,ctRPSproj,1)/(8.76*OFFSET(RPS_Scen!$J$11,0,0,ctRPSproj,1))*OFFSET(RPS_Scen!$K$11,0,0,ctRPSproj,1)))))</f>
        <v>13.737612568625316</v>
      </c>
      <c r="Q33" s="6">
        <f t="array" aca="1" ref="Q33" ca="1">SUM(IF(OFFSET(RPS_Scen!$A$11,0,0,ctRPSproj,1)=scenRPS,IF(OFFSET(RPS_Scen!$H$11,0,0,ctRPSproj,1)=$B$31,IF(OFFSET(RPS_Scen!$C$11,0,0,ctRPSproj,1)=$B33,OFFSET(RPS_Scen!AA$11,0,0,ctRPSproj,1)/(8.76*OFFSET(RPS_Scen!$J$11,0,0,ctRPSproj,1))*OFFSET(RPS_Scen!$K$11,0,0,ctRPSproj,1)))))</f>
        <v>13.737612568625316</v>
      </c>
      <c r="R33" s="6">
        <f t="array" aca="1" ref="R33" ca="1">SUM(IF(OFFSET(RPS_Scen!$A$11,0,0,ctRPSproj,1)=scenRPS,IF(OFFSET(RPS_Scen!$H$11,0,0,ctRPSproj,1)=$B$31,IF(OFFSET(RPS_Scen!$C$11,0,0,ctRPSproj,1)=$B33,OFFSET(RPS_Scen!AB$11,0,0,ctRPSproj,1)/(8.76*OFFSET(RPS_Scen!$J$11,0,0,ctRPSproj,1))*OFFSET(RPS_Scen!$K$11,0,0,ctRPSproj,1)))))</f>
        <v>13.737612568625316</v>
      </c>
      <c r="S33" s="6">
        <f t="array" aca="1" ref="S33" ca="1">SUM(IF(OFFSET(RPS_Scen!$A$11,0,0,ctRPSproj,1)=scenRPS,IF(OFFSET(RPS_Scen!$H$11,0,0,ctRPSproj,1)=$B$31,IF(OFFSET(RPS_Scen!$C$11,0,0,ctRPSproj,1)=$B33,OFFSET(RPS_Scen!AC$11,0,0,ctRPSproj,1)/(8.76*OFFSET(RPS_Scen!$J$11,0,0,ctRPSproj,1))*OFFSET(RPS_Scen!$K$11,0,0,ctRPSproj,1)))))</f>
        <v>13.737612568625316</v>
      </c>
      <c r="T33" s="6">
        <f t="array" aca="1" ref="T33" ca="1">SUM(IF(OFFSET(RPS_Scen!$A$11,0,0,ctRPSproj,1)=scenRPS,IF(OFFSET(RPS_Scen!$H$11,0,0,ctRPSproj,1)=$B$31,IF(OFFSET(RPS_Scen!$C$11,0,0,ctRPSproj,1)=$B33,OFFSET(RPS_Scen!AD$11,0,0,ctRPSproj,1)/(8.76*OFFSET(RPS_Scen!$J$11,0,0,ctRPSproj,1))*OFFSET(RPS_Scen!$K$11,0,0,ctRPSproj,1)))))</f>
        <v>13.737612568625316</v>
      </c>
      <c r="U33" s="6">
        <f t="array" aca="1" ref="U33" ca="1">SUM(IF(OFFSET(RPS_Scen!$A$11,0,0,ctRPSproj,1)=scenRPS,IF(OFFSET(RPS_Scen!$H$11,0,0,ctRPSproj,1)=$B$31,IF(OFFSET(RPS_Scen!$C$11,0,0,ctRPSproj,1)=$B33,OFFSET(RPS_Scen!AE$11,0,0,ctRPSproj,1)/(8.76*OFFSET(RPS_Scen!$J$11,0,0,ctRPSproj,1))*OFFSET(RPS_Scen!$K$11,0,0,ctRPSproj,1)))))</f>
        <v>13.737612568625316</v>
      </c>
      <c r="V33" s="6">
        <f t="array" aca="1" ref="V33" ca="1">SUM(IF(OFFSET(RPS_Scen!$A$11,0,0,ctRPSproj,1)=scenRPS,IF(OFFSET(RPS_Scen!$H$11,0,0,ctRPSproj,1)=$B$31,IF(OFFSET(RPS_Scen!$C$11,0,0,ctRPSproj,1)=$B33,OFFSET(RPS_Scen!AF$11,0,0,ctRPSproj,1)/(8.76*OFFSET(RPS_Scen!$J$11,0,0,ctRPSproj,1))*OFFSET(RPS_Scen!$K$11,0,0,ctRPSproj,1)))))</f>
        <v>13.737612568625316</v>
      </c>
      <c r="W33" s="6">
        <f t="array" aca="1" ref="W33" ca="1">SUM(IF(OFFSET(RPS_Scen!$A$11,0,0,ctRPSproj,1)=scenRPS,IF(OFFSET(RPS_Scen!$H$11,0,0,ctRPSproj,1)=$B$31,IF(OFFSET(RPS_Scen!$C$11,0,0,ctRPSproj,1)=$B33,OFFSET(RPS_Scen!AG$11,0,0,ctRPSproj,1)/(8.76*OFFSET(RPS_Scen!$J$11,0,0,ctRPSproj,1))*OFFSET(RPS_Scen!$K$11,0,0,ctRPSproj,1)))))</f>
        <v>13.737612568625316</v>
      </c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</row>
    <row r="34" spans="2:57">
      <c r="B34" s="89" t="s">
        <v>136</v>
      </c>
      <c r="C34" s="152" t="s">
        <v>136</v>
      </c>
      <c r="D34" s="6">
        <f t="array" aca="1" ref="D34" ca="1">SUM(IF(OFFSET(RPS_Scen!$A$11,0,0,ctRPSproj,1)=scenRPS,IF(OFFSET(RPS_Scen!$H$11,0,0,ctRPSproj,1)=$B$31,IF(OFFSET(RPS_Scen!$C$11,0,0,ctRPSproj,1)=$B34,OFFSET(RPS_Scen!N$11,0,0,ctRPSproj,1)/(8.76*OFFSET(RPS_Scen!$J$11,0,0,ctRPSproj,1))*OFFSET(RPS_Scen!$K$11,0,0,ctRPSproj,1)))))</f>
        <v>0</v>
      </c>
      <c r="E34" s="6">
        <f t="array" aca="1" ref="E34" ca="1">SUM(IF(OFFSET(RPS_Scen!$A$11,0,0,ctRPSproj,1)=scenRPS,IF(OFFSET(RPS_Scen!$H$11,0,0,ctRPSproj,1)=$B$31,IF(OFFSET(RPS_Scen!$C$11,0,0,ctRPSproj,1)=$B34,OFFSET(RPS_Scen!O$11,0,0,ctRPSproj,1)/(8.76*OFFSET(RPS_Scen!$J$11,0,0,ctRPSproj,1))*OFFSET(RPS_Scen!$K$11,0,0,ctRPSproj,1)))))</f>
        <v>0</v>
      </c>
      <c r="F34" s="6">
        <f t="array" aca="1" ref="F34" ca="1">SUM(IF(OFFSET(RPS_Scen!$A$11,0,0,ctRPSproj,1)=scenRPS,IF(OFFSET(RPS_Scen!$H$11,0,0,ctRPSproj,1)=$B$31,IF(OFFSET(RPS_Scen!$C$11,0,0,ctRPSproj,1)=$B34,OFFSET(RPS_Scen!P$11,0,0,ctRPSproj,1)/(8.76*OFFSET(RPS_Scen!$J$11,0,0,ctRPSproj,1))*OFFSET(RPS_Scen!$K$11,0,0,ctRPSproj,1)))))</f>
        <v>0</v>
      </c>
      <c r="G34" s="6">
        <f t="array" aca="1" ref="G34" ca="1">SUM(IF(OFFSET(RPS_Scen!$A$11,0,0,ctRPSproj,1)=scenRPS,IF(OFFSET(RPS_Scen!$H$11,0,0,ctRPSproj,1)=$B$31,IF(OFFSET(RPS_Scen!$C$11,0,0,ctRPSproj,1)=$B34,OFFSET(RPS_Scen!Q$11,0,0,ctRPSproj,1)/(8.76*OFFSET(RPS_Scen!$J$11,0,0,ctRPSproj,1))*OFFSET(RPS_Scen!$K$11,0,0,ctRPSproj,1)))))</f>
        <v>97.991057415874579</v>
      </c>
      <c r="H34" s="6">
        <f t="array" aca="1" ref="H34" ca="1">SUM(IF(OFFSET(RPS_Scen!$A$11,0,0,ctRPSproj,1)=scenRPS,IF(OFFSET(RPS_Scen!$H$11,0,0,ctRPSproj,1)=$B$31,IF(OFFSET(RPS_Scen!$C$11,0,0,ctRPSproj,1)=$B34,OFFSET(RPS_Scen!R$11,0,0,ctRPSproj,1)/(8.76*OFFSET(RPS_Scen!$J$11,0,0,ctRPSproj,1))*OFFSET(RPS_Scen!$K$11,0,0,ctRPSproj,1)))))</f>
        <v>126.18992285929171</v>
      </c>
      <c r="I34" s="6">
        <f t="array" aca="1" ref="I34" ca="1">SUM(IF(OFFSET(RPS_Scen!$A$11,0,0,ctRPSproj,1)=scenRPS,IF(OFFSET(RPS_Scen!$H$11,0,0,ctRPSproj,1)=$B$31,IF(OFFSET(RPS_Scen!$C$11,0,0,ctRPSproj,1)=$B34,OFFSET(RPS_Scen!S$11,0,0,ctRPSproj,1)/(8.76*OFFSET(RPS_Scen!$J$11,0,0,ctRPSproj,1))*OFFSET(RPS_Scen!$K$11,0,0,ctRPSproj,1)))))</f>
        <v>126.18992285929171</v>
      </c>
      <c r="J34" s="6">
        <f t="array" aca="1" ref="J34" ca="1">SUM(IF(OFFSET(RPS_Scen!$A$11,0,0,ctRPSproj,1)=scenRPS,IF(OFFSET(RPS_Scen!$H$11,0,0,ctRPSproj,1)=$B$31,IF(OFFSET(RPS_Scen!$C$11,0,0,ctRPSproj,1)=$B34,OFFSET(RPS_Scen!T$11,0,0,ctRPSproj,1)/(8.76*OFFSET(RPS_Scen!$J$11,0,0,ctRPSproj,1))*OFFSET(RPS_Scen!$K$11,0,0,ctRPSproj,1)))))</f>
        <v>126.18992285929171</v>
      </c>
      <c r="K34" s="6">
        <f t="array" aca="1" ref="K34" ca="1">SUM(IF(OFFSET(RPS_Scen!$A$11,0,0,ctRPSproj,1)=scenRPS,IF(OFFSET(RPS_Scen!$H$11,0,0,ctRPSproj,1)=$B$31,IF(OFFSET(RPS_Scen!$C$11,0,0,ctRPSproj,1)=$B34,OFFSET(RPS_Scen!U$11,0,0,ctRPSproj,1)/(8.76*OFFSET(RPS_Scen!$J$11,0,0,ctRPSproj,1))*OFFSET(RPS_Scen!$K$11,0,0,ctRPSproj,1)))))</f>
        <v>126.18992285929171</v>
      </c>
      <c r="L34" s="6">
        <f t="array" aca="1" ref="L34" ca="1">SUM(IF(OFFSET(RPS_Scen!$A$11,0,0,ctRPSproj,1)=scenRPS,IF(OFFSET(RPS_Scen!$H$11,0,0,ctRPSproj,1)=$B$31,IF(OFFSET(RPS_Scen!$C$11,0,0,ctRPSproj,1)=$B34,OFFSET(RPS_Scen!V$11,0,0,ctRPSproj,1)/(8.76*OFFSET(RPS_Scen!$J$11,0,0,ctRPSproj,1))*OFFSET(RPS_Scen!$K$11,0,0,ctRPSproj,1)))))</f>
        <v>161.48910221554908</v>
      </c>
      <c r="M34" s="6">
        <f t="array" aca="1" ref="M34" ca="1">SUM(IF(OFFSET(RPS_Scen!$A$11,0,0,ctRPSproj,1)=scenRPS,IF(OFFSET(RPS_Scen!$H$11,0,0,ctRPSproj,1)=$B$31,IF(OFFSET(RPS_Scen!$C$11,0,0,ctRPSproj,1)=$B34,OFFSET(RPS_Scen!W$11,0,0,ctRPSproj,1)/(8.76*OFFSET(RPS_Scen!$J$11,0,0,ctRPSproj,1))*OFFSET(RPS_Scen!$K$11,0,0,ctRPSproj,1)))))</f>
        <v>161.48910221554908</v>
      </c>
      <c r="N34" s="6">
        <f t="array" aca="1" ref="N34" ca="1">SUM(IF(OFFSET(RPS_Scen!$A$11,0,0,ctRPSproj,1)=scenRPS,IF(OFFSET(RPS_Scen!$H$11,0,0,ctRPSproj,1)=$B$31,IF(OFFSET(RPS_Scen!$C$11,0,0,ctRPSproj,1)=$B34,OFFSET(RPS_Scen!X$11,0,0,ctRPSproj,1)/(8.76*OFFSET(RPS_Scen!$J$11,0,0,ctRPSproj,1))*OFFSET(RPS_Scen!$K$11,0,0,ctRPSproj,1)))))</f>
        <v>161.48910221554908</v>
      </c>
      <c r="O34" s="6">
        <f t="array" aca="1" ref="O34" ca="1">SUM(IF(OFFSET(RPS_Scen!$A$11,0,0,ctRPSproj,1)=scenRPS,IF(OFFSET(RPS_Scen!$H$11,0,0,ctRPSproj,1)=$B$31,IF(OFFSET(RPS_Scen!$C$11,0,0,ctRPSproj,1)=$B34,OFFSET(RPS_Scen!Y$11,0,0,ctRPSproj,1)/(8.76*OFFSET(RPS_Scen!$J$11,0,0,ctRPSproj,1))*OFFSET(RPS_Scen!$K$11,0,0,ctRPSproj,1)))))</f>
        <v>161.48910221554908</v>
      </c>
      <c r="P34" s="6">
        <f t="array" aca="1" ref="P34" ca="1">SUM(IF(OFFSET(RPS_Scen!$A$11,0,0,ctRPSproj,1)=scenRPS,IF(OFFSET(RPS_Scen!$H$11,0,0,ctRPSproj,1)=$B$31,IF(OFFSET(RPS_Scen!$C$11,0,0,ctRPSproj,1)=$B34,OFFSET(RPS_Scen!Z$11,0,0,ctRPSproj,1)/(8.76*OFFSET(RPS_Scen!$J$11,0,0,ctRPSproj,1))*OFFSET(RPS_Scen!$K$11,0,0,ctRPSproj,1)))))</f>
        <v>161.48910221554908</v>
      </c>
      <c r="Q34" s="6">
        <f t="array" aca="1" ref="Q34" ca="1">SUM(IF(OFFSET(RPS_Scen!$A$11,0,0,ctRPSproj,1)=scenRPS,IF(OFFSET(RPS_Scen!$H$11,0,0,ctRPSproj,1)=$B$31,IF(OFFSET(RPS_Scen!$C$11,0,0,ctRPSproj,1)=$B34,OFFSET(RPS_Scen!AA$11,0,0,ctRPSproj,1)/(8.76*OFFSET(RPS_Scen!$J$11,0,0,ctRPSproj,1))*OFFSET(RPS_Scen!$K$11,0,0,ctRPSproj,1)))))</f>
        <v>161.48910221554908</v>
      </c>
      <c r="R34" s="6">
        <f t="array" aca="1" ref="R34" ca="1">SUM(IF(OFFSET(RPS_Scen!$A$11,0,0,ctRPSproj,1)=scenRPS,IF(OFFSET(RPS_Scen!$H$11,0,0,ctRPSproj,1)=$B$31,IF(OFFSET(RPS_Scen!$C$11,0,0,ctRPSproj,1)=$B34,OFFSET(RPS_Scen!AB$11,0,0,ctRPSproj,1)/(8.76*OFFSET(RPS_Scen!$J$11,0,0,ctRPSproj,1))*OFFSET(RPS_Scen!$K$11,0,0,ctRPSproj,1)))))</f>
        <v>161.48910221554908</v>
      </c>
      <c r="S34" s="6">
        <f t="array" aca="1" ref="S34" ca="1">SUM(IF(OFFSET(RPS_Scen!$A$11,0,0,ctRPSproj,1)=scenRPS,IF(OFFSET(RPS_Scen!$H$11,0,0,ctRPSproj,1)=$B$31,IF(OFFSET(RPS_Scen!$C$11,0,0,ctRPSproj,1)=$B34,OFFSET(RPS_Scen!AC$11,0,0,ctRPSproj,1)/(8.76*OFFSET(RPS_Scen!$J$11,0,0,ctRPSproj,1))*OFFSET(RPS_Scen!$K$11,0,0,ctRPSproj,1)))))</f>
        <v>161.48910221554908</v>
      </c>
      <c r="T34" s="6">
        <f t="array" aca="1" ref="T34" ca="1">SUM(IF(OFFSET(RPS_Scen!$A$11,0,0,ctRPSproj,1)=scenRPS,IF(OFFSET(RPS_Scen!$H$11,0,0,ctRPSproj,1)=$B$31,IF(OFFSET(RPS_Scen!$C$11,0,0,ctRPSproj,1)=$B34,OFFSET(RPS_Scen!AD$11,0,0,ctRPSproj,1)/(8.76*OFFSET(RPS_Scen!$J$11,0,0,ctRPSproj,1))*OFFSET(RPS_Scen!$K$11,0,0,ctRPSproj,1)))))</f>
        <v>161.48910221554908</v>
      </c>
      <c r="U34" s="6">
        <f t="array" aca="1" ref="U34" ca="1">SUM(IF(OFFSET(RPS_Scen!$A$11,0,0,ctRPSproj,1)=scenRPS,IF(OFFSET(RPS_Scen!$H$11,0,0,ctRPSproj,1)=$B$31,IF(OFFSET(RPS_Scen!$C$11,0,0,ctRPSproj,1)=$B34,OFFSET(RPS_Scen!AE$11,0,0,ctRPSproj,1)/(8.76*OFFSET(RPS_Scen!$J$11,0,0,ctRPSproj,1))*OFFSET(RPS_Scen!$K$11,0,0,ctRPSproj,1)))))</f>
        <v>161.48910221554908</v>
      </c>
      <c r="V34" s="6">
        <f t="array" aca="1" ref="V34" ca="1">SUM(IF(OFFSET(RPS_Scen!$A$11,0,0,ctRPSproj,1)=scenRPS,IF(OFFSET(RPS_Scen!$H$11,0,0,ctRPSproj,1)=$B$31,IF(OFFSET(RPS_Scen!$C$11,0,0,ctRPSproj,1)=$B34,OFFSET(RPS_Scen!AF$11,0,0,ctRPSproj,1)/(8.76*OFFSET(RPS_Scen!$J$11,0,0,ctRPSproj,1))*OFFSET(RPS_Scen!$K$11,0,0,ctRPSproj,1)))))</f>
        <v>161.48910221554908</v>
      </c>
      <c r="W34" s="6">
        <f t="array" aca="1" ref="W34" ca="1">SUM(IF(OFFSET(RPS_Scen!$A$11,0,0,ctRPSproj,1)=scenRPS,IF(OFFSET(RPS_Scen!$H$11,0,0,ctRPSproj,1)=$B$31,IF(OFFSET(RPS_Scen!$C$11,0,0,ctRPSproj,1)=$B34,OFFSET(RPS_Scen!AG$11,0,0,ctRPSproj,1)/(8.76*OFFSET(RPS_Scen!$J$11,0,0,ctRPSproj,1))*OFFSET(RPS_Scen!$K$11,0,0,ctRPSproj,1)))))</f>
        <v>161.48910221554908</v>
      </c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</row>
    <row r="35" spans="2:57">
      <c r="B35" s="89" t="s">
        <v>18</v>
      </c>
      <c r="C35" s="152" t="s">
        <v>18</v>
      </c>
      <c r="D35" s="6">
        <f t="array" aca="1" ref="D35" ca="1">SUM(IF(OFFSET(RPS_Scen!$A$11,0,0,ctRPSproj,1)=scenRPS,IF(OFFSET(RPS_Scen!$H$11,0,0,ctRPSproj,1)=$B$31,IF(OFFSET(RPS_Scen!$C$11,0,0,ctRPSproj,1)=$B35,OFFSET(RPS_Scen!N$11,0,0,ctRPSproj,1)/(8.76*OFFSET(RPS_Scen!$J$11,0,0,ctRPSproj,1))*OFFSET(RPS_Scen!$K$11,0,0,ctRPSproj,1)))))</f>
        <v>0</v>
      </c>
      <c r="E35" s="6">
        <f t="array" aca="1" ref="E35" ca="1">SUM(IF(OFFSET(RPS_Scen!$A$11,0,0,ctRPSproj,1)=scenRPS,IF(OFFSET(RPS_Scen!$H$11,0,0,ctRPSproj,1)=$B$31,IF(OFFSET(RPS_Scen!$C$11,0,0,ctRPSproj,1)=$B35,OFFSET(RPS_Scen!O$11,0,0,ctRPSproj,1)/(8.76*OFFSET(RPS_Scen!$J$11,0,0,ctRPSproj,1))*OFFSET(RPS_Scen!$K$11,0,0,ctRPSproj,1)))))</f>
        <v>0</v>
      </c>
      <c r="F35" s="6">
        <f t="array" aca="1" ref="F35" ca="1">SUM(IF(OFFSET(RPS_Scen!$A$11,0,0,ctRPSproj,1)=scenRPS,IF(OFFSET(RPS_Scen!$H$11,0,0,ctRPSproj,1)=$B$31,IF(OFFSET(RPS_Scen!$C$11,0,0,ctRPSproj,1)=$B35,OFFSET(RPS_Scen!P$11,0,0,ctRPSproj,1)/(8.76*OFFSET(RPS_Scen!$J$11,0,0,ctRPSproj,1))*OFFSET(RPS_Scen!$K$11,0,0,ctRPSproj,1)))))</f>
        <v>0</v>
      </c>
      <c r="G35" s="6">
        <f t="array" aca="1" ref="G35" ca="1">SUM(IF(OFFSET(RPS_Scen!$A$11,0,0,ctRPSproj,1)=scenRPS,IF(OFFSET(RPS_Scen!$H$11,0,0,ctRPSproj,1)=$B$31,IF(OFFSET(RPS_Scen!$C$11,0,0,ctRPSproj,1)=$B35,OFFSET(RPS_Scen!Q$11,0,0,ctRPSproj,1)/(8.76*OFFSET(RPS_Scen!$J$11,0,0,ctRPSproj,1))*OFFSET(RPS_Scen!$K$11,0,0,ctRPSproj,1)))))</f>
        <v>0</v>
      </c>
      <c r="H35" s="6">
        <f t="array" aca="1" ref="H35" ca="1">SUM(IF(OFFSET(RPS_Scen!$A$11,0,0,ctRPSproj,1)=scenRPS,IF(OFFSET(RPS_Scen!$H$11,0,0,ctRPSproj,1)=$B$31,IF(OFFSET(RPS_Scen!$C$11,0,0,ctRPSproj,1)=$B35,OFFSET(RPS_Scen!R$11,0,0,ctRPSproj,1)/(8.76*OFFSET(RPS_Scen!$J$11,0,0,ctRPSproj,1))*OFFSET(RPS_Scen!$K$11,0,0,ctRPSproj,1)))))</f>
        <v>0</v>
      </c>
      <c r="I35" s="6">
        <f t="array" aca="1" ref="I35" ca="1">SUM(IF(OFFSET(RPS_Scen!$A$11,0,0,ctRPSproj,1)=scenRPS,IF(OFFSET(RPS_Scen!$H$11,0,0,ctRPSproj,1)=$B$31,IF(OFFSET(RPS_Scen!$C$11,0,0,ctRPSproj,1)=$B35,OFFSET(RPS_Scen!S$11,0,0,ctRPSproj,1)/(8.76*OFFSET(RPS_Scen!$J$11,0,0,ctRPSproj,1))*OFFSET(RPS_Scen!$K$11,0,0,ctRPSproj,1)))))</f>
        <v>0</v>
      </c>
      <c r="J35" s="6">
        <f t="array" aca="1" ref="J35" ca="1">SUM(IF(OFFSET(RPS_Scen!$A$11,0,0,ctRPSproj,1)=scenRPS,IF(OFFSET(RPS_Scen!$H$11,0,0,ctRPSproj,1)=$B$31,IF(OFFSET(RPS_Scen!$C$11,0,0,ctRPSproj,1)=$B35,OFFSET(RPS_Scen!T$11,0,0,ctRPSproj,1)/(8.76*OFFSET(RPS_Scen!$J$11,0,0,ctRPSproj,1))*OFFSET(RPS_Scen!$K$11,0,0,ctRPSproj,1)))))</f>
        <v>0</v>
      </c>
      <c r="K35" s="6">
        <f t="array" aca="1" ref="K35" ca="1">SUM(IF(OFFSET(RPS_Scen!$A$11,0,0,ctRPSproj,1)=scenRPS,IF(OFFSET(RPS_Scen!$H$11,0,0,ctRPSproj,1)=$B$31,IF(OFFSET(RPS_Scen!$C$11,0,0,ctRPSproj,1)=$B35,OFFSET(RPS_Scen!U$11,0,0,ctRPSproj,1)/(8.76*OFFSET(RPS_Scen!$J$11,0,0,ctRPSproj,1))*OFFSET(RPS_Scen!$K$11,0,0,ctRPSproj,1)))))</f>
        <v>0</v>
      </c>
      <c r="L35" s="6">
        <f t="array" aca="1" ref="L35" ca="1">SUM(IF(OFFSET(RPS_Scen!$A$11,0,0,ctRPSproj,1)=scenRPS,IF(OFFSET(RPS_Scen!$H$11,0,0,ctRPSproj,1)=$B$31,IF(OFFSET(RPS_Scen!$C$11,0,0,ctRPSproj,1)=$B35,OFFSET(RPS_Scen!V$11,0,0,ctRPSproj,1)/(8.76*OFFSET(RPS_Scen!$J$11,0,0,ctRPSproj,1))*OFFSET(RPS_Scen!$K$11,0,0,ctRPSproj,1)))))</f>
        <v>0</v>
      </c>
      <c r="M35" s="6">
        <f t="array" aca="1" ref="M35" ca="1">SUM(IF(OFFSET(RPS_Scen!$A$11,0,0,ctRPSproj,1)=scenRPS,IF(OFFSET(RPS_Scen!$H$11,0,0,ctRPSproj,1)=$B$31,IF(OFFSET(RPS_Scen!$C$11,0,0,ctRPSproj,1)=$B35,OFFSET(RPS_Scen!W$11,0,0,ctRPSproj,1)/(8.76*OFFSET(RPS_Scen!$J$11,0,0,ctRPSproj,1))*OFFSET(RPS_Scen!$K$11,0,0,ctRPSproj,1)))))</f>
        <v>0</v>
      </c>
      <c r="N35" s="6">
        <f t="array" aca="1" ref="N35" ca="1">SUM(IF(OFFSET(RPS_Scen!$A$11,0,0,ctRPSproj,1)=scenRPS,IF(OFFSET(RPS_Scen!$H$11,0,0,ctRPSproj,1)=$B$31,IF(OFFSET(RPS_Scen!$C$11,0,0,ctRPSproj,1)=$B35,OFFSET(RPS_Scen!X$11,0,0,ctRPSproj,1)/(8.76*OFFSET(RPS_Scen!$J$11,0,0,ctRPSproj,1))*OFFSET(RPS_Scen!$K$11,0,0,ctRPSproj,1)))))</f>
        <v>0</v>
      </c>
      <c r="O35" s="6">
        <f t="array" aca="1" ref="O35" ca="1">SUM(IF(OFFSET(RPS_Scen!$A$11,0,0,ctRPSproj,1)=scenRPS,IF(OFFSET(RPS_Scen!$H$11,0,0,ctRPSproj,1)=$B$31,IF(OFFSET(RPS_Scen!$C$11,0,0,ctRPSproj,1)=$B35,OFFSET(RPS_Scen!Y$11,0,0,ctRPSproj,1)/(8.76*OFFSET(RPS_Scen!$J$11,0,0,ctRPSproj,1))*OFFSET(RPS_Scen!$K$11,0,0,ctRPSproj,1)))))</f>
        <v>0</v>
      </c>
      <c r="P35" s="6">
        <f t="array" aca="1" ref="P35" ca="1">SUM(IF(OFFSET(RPS_Scen!$A$11,0,0,ctRPSproj,1)=scenRPS,IF(OFFSET(RPS_Scen!$H$11,0,0,ctRPSproj,1)=$B$31,IF(OFFSET(RPS_Scen!$C$11,0,0,ctRPSproj,1)=$B35,OFFSET(RPS_Scen!Z$11,0,0,ctRPSproj,1)/(8.76*OFFSET(RPS_Scen!$J$11,0,0,ctRPSproj,1))*OFFSET(RPS_Scen!$K$11,0,0,ctRPSproj,1)))))</f>
        <v>0</v>
      </c>
      <c r="Q35" s="6">
        <f t="array" aca="1" ref="Q35" ca="1">SUM(IF(OFFSET(RPS_Scen!$A$11,0,0,ctRPSproj,1)=scenRPS,IF(OFFSET(RPS_Scen!$H$11,0,0,ctRPSproj,1)=$B$31,IF(OFFSET(RPS_Scen!$C$11,0,0,ctRPSproj,1)=$B35,OFFSET(RPS_Scen!AA$11,0,0,ctRPSproj,1)/(8.76*OFFSET(RPS_Scen!$J$11,0,0,ctRPSproj,1))*OFFSET(RPS_Scen!$K$11,0,0,ctRPSproj,1)))))</f>
        <v>0</v>
      </c>
      <c r="R35" s="6">
        <f t="array" aca="1" ref="R35" ca="1">SUM(IF(OFFSET(RPS_Scen!$A$11,0,0,ctRPSproj,1)=scenRPS,IF(OFFSET(RPS_Scen!$H$11,0,0,ctRPSproj,1)=$B$31,IF(OFFSET(RPS_Scen!$C$11,0,0,ctRPSproj,1)=$B35,OFFSET(RPS_Scen!AB$11,0,0,ctRPSproj,1)/(8.76*OFFSET(RPS_Scen!$J$11,0,0,ctRPSproj,1))*OFFSET(RPS_Scen!$K$11,0,0,ctRPSproj,1)))))</f>
        <v>0</v>
      </c>
      <c r="S35" s="6">
        <f t="array" aca="1" ref="S35" ca="1">SUM(IF(OFFSET(RPS_Scen!$A$11,0,0,ctRPSproj,1)=scenRPS,IF(OFFSET(RPS_Scen!$H$11,0,0,ctRPSproj,1)=$B$31,IF(OFFSET(RPS_Scen!$C$11,0,0,ctRPSproj,1)=$B35,OFFSET(RPS_Scen!AC$11,0,0,ctRPSproj,1)/(8.76*OFFSET(RPS_Scen!$J$11,0,0,ctRPSproj,1))*OFFSET(RPS_Scen!$K$11,0,0,ctRPSproj,1)))))</f>
        <v>0</v>
      </c>
      <c r="T35" s="6">
        <f t="array" aca="1" ref="T35" ca="1">SUM(IF(OFFSET(RPS_Scen!$A$11,0,0,ctRPSproj,1)=scenRPS,IF(OFFSET(RPS_Scen!$H$11,0,0,ctRPSproj,1)=$B$31,IF(OFFSET(RPS_Scen!$C$11,0,0,ctRPSproj,1)=$B35,OFFSET(RPS_Scen!AD$11,0,0,ctRPSproj,1)/(8.76*OFFSET(RPS_Scen!$J$11,0,0,ctRPSproj,1))*OFFSET(RPS_Scen!$K$11,0,0,ctRPSproj,1)))))</f>
        <v>0</v>
      </c>
      <c r="U35" s="6">
        <f t="array" aca="1" ref="U35" ca="1">SUM(IF(OFFSET(RPS_Scen!$A$11,0,0,ctRPSproj,1)=scenRPS,IF(OFFSET(RPS_Scen!$H$11,0,0,ctRPSproj,1)=$B$31,IF(OFFSET(RPS_Scen!$C$11,0,0,ctRPSproj,1)=$B35,OFFSET(RPS_Scen!AE$11,0,0,ctRPSproj,1)/(8.76*OFFSET(RPS_Scen!$J$11,0,0,ctRPSproj,1))*OFFSET(RPS_Scen!$K$11,0,0,ctRPSproj,1)))))</f>
        <v>0</v>
      </c>
      <c r="V35" s="6">
        <f t="array" aca="1" ref="V35" ca="1">SUM(IF(OFFSET(RPS_Scen!$A$11,0,0,ctRPSproj,1)=scenRPS,IF(OFFSET(RPS_Scen!$H$11,0,0,ctRPSproj,1)=$B$31,IF(OFFSET(RPS_Scen!$C$11,0,0,ctRPSproj,1)=$B35,OFFSET(RPS_Scen!AF$11,0,0,ctRPSproj,1)/(8.76*OFFSET(RPS_Scen!$J$11,0,0,ctRPSproj,1))*OFFSET(RPS_Scen!$K$11,0,0,ctRPSproj,1)))))</f>
        <v>0</v>
      </c>
      <c r="W35" s="6">
        <f t="array" aca="1" ref="W35" ca="1">SUM(IF(OFFSET(RPS_Scen!$A$11,0,0,ctRPSproj,1)=scenRPS,IF(OFFSET(RPS_Scen!$H$11,0,0,ctRPSproj,1)=$B$31,IF(OFFSET(RPS_Scen!$C$11,0,0,ctRPSproj,1)=$B35,OFFSET(RPS_Scen!AG$11,0,0,ctRPSproj,1)/(8.76*OFFSET(RPS_Scen!$J$11,0,0,ctRPSproj,1))*OFFSET(RPS_Scen!$K$11,0,0,ctRPSproj,1)))))</f>
        <v>0</v>
      </c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</row>
    <row r="36" spans="2:57">
      <c r="B36" s="89" t="s">
        <v>185</v>
      </c>
      <c r="C36" s="152" t="s">
        <v>138</v>
      </c>
      <c r="D36" s="6">
        <f t="array" aca="1" ref="D36" ca="1">SUM(IF(OFFSET(RPS_Scen!$A$11,0,0,ctRPSproj,1)=scenRPS,IF(OFFSET(RPS_Scen!$H$11,0,0,ctRPSproj,1)=$B$31,IF(OFFSET(RPS_Scen!$C$11,0,0,ctRPSproj,1)=$B36,OFFSET(RPS_Scen!N$11,0,0,ctRPSproj,1)/(8.76*OFFSET(RPS_Scen!$J$11,0,0,ctRPSproj,1))*OFFSET(RPS_Scen!$K$11,0,0,ctRPSproj,1)))))</f>
        <v>0</v>
      </c>
      <c r="E36" s="6">
        <f t="array" aca="1" ref="E36" ca="1">SUM(IF(OFFSET(RPS_Scen!$A$11,0,0,ctRPSproj,1)=scenRPS,IF(OFFSET(RPS_Scen!$H$11,0,0,ctRPSproj,1)=$B$31,IF(OFFSET(RPS_Scen!$C$11,0,0,ctRPSproj,1)=$B36,OFFSET(RPS_Scen!O$11,0,0,ctRPSproj,1)/(8.76*OFFSET(RPS_Scen!$J$11,0,0,ctRPSproj,1))*OFFSET(RPS_Scen!$K$11,0,0,ctRPSproj,1)))))</f>
        <v>0</v>
      </c>
      <c r="F36" s="6">
        <f t="array" aca="1" ref="F36" ca="1">SUM(IF(OFFSET(RPS_Scen!$A$11,0,0,ctRPSproj,1)=scenRPS,IF(OFFSET(RPS_Scen!$H$11,0,0,ctRPSproj,1)=$B$31,IF(OFFSET(RPS_Scen!$C$11,0,0,ctRPSproj,1)=$B36,OFFSET(RPS_Scen!P$11,0,0,ctRPSproj,1)/(8.76*OFFSET(RPS_Scen!$J$11,0,0,ctRPSproj,1))*OFFSET(RPS_Scen!$K$11,0,0,ctRPSproj,1)))))</f>
        <v>0</v>
      </c>
      <c r="G36" s="6">
        <f t="array" aca="1" ref="G36" ca="1">SUM(IF(OFFSET(RPS_Scen!$A$11,0,0,ctRPSproj,1)=scenRPS,IF(OFFSET(RPS_Scen!$H$11,0,0,ctRPSproj,1)=$B$31,IF(OFFSET(RPS_Scen!$C$11,0,0,ctRPSproj,1)=$B36,OFFSET(RPS_Scen!Q$11,0,0,ctRPSproj,1)/(8.76*OFFSET(RPS_Scen!$J$11,0,0,ctRPSproj,1))*OFFSET(RPS_Scen!$K$11,0,0,ctRPSproj,1)))))</f>
        <v>31.439776714865445</v>
      </c>
      <c r="H36" s="6">
        <f t="array" aca="1" ref="H36" ca="1">SUM(IF(OFFSET(RPS_Scen!$A$11,0,0,ctRPSproj,1)=scenRPS,IF(OFFSET(RPS_Scen!$H$11,0,0,ctRPSproj,1)=$B$31,IF(OFFSET(RPS_Scen!$C$11,0,0,ctRPSproj,1)=$B36,OFFSET(RPS_Scen!R$11,0,0,ctRPSproj,1)/(8.76*OFFSET(RPS_Scen!$J$11,0,0,ctRPSproj,1))*OFFSET(RPS_Scen!$K$11,0,0,ctRPSproj,1)))))</f>
        <v>31.439776714865445</v>
      </c>
      <c r="I36" s="6">
        <f t="array" aca="1" ref="I36" ca="1">SUM(IF(OFFSET(RPS_Scen!$A$11,0,0,ctRPSproj,1)=scenRPS,IF(OFFSET(RPS_Scen!$H$11,0,0,ctRPSproj,1)=$B$31,IF(OFFSET(RPS_Scen!$C$11,0,0,ctRPSproj,1)=$B36,OFFSET(RPS_Scen!S$11,0,0,ctRPSproj,1)/(8.76*OFFSET(RPS_Scen!$J$11,0,0,ctRPSproj,1))*OFFSET(RPS_Scen!$K$11,0,0,ctRPSproj,1)))))</f>
        <v>31.439776714865445</v>
      </c>
      <c r="J36" s="6">
        <f t="array" aca="1" ref="J36" ca="1">SUM(IF(OFFSET(RPS_Scen!$A$11,0,0,ctRPSproj,1)=scenRPS,IF(OFFSET(RPS_Scen!$H$11,0,0,ctRPSproj,1)=$B$31,IF(OFFSET(RPS_Scen!$C$11,0,0,ctRPSproj,1)=$B36,OFFSET(RPS_Scen!T$11,0,0,ctRPSproj,1)/(8.76*OFFSET(RPS_Scen!$J$11,0,0,ctRPSproj,1))*OFFSET(RPS_Scen!$K$11,0,0,ctRPSproj,1)))))</f>
        <v>31.439776714865445</v>
      </c>
      <c r="K36" s="6">
        <f t="array" aca="1" ref="K36" ca="1">SUM(IF(OFFSET(RPS_Scen!$A$11,0,0,ctRPSproj,1)=scenRPS,IF(OFFSET(RPS_Scen!$H$11,0,0,ctRPSproj,1)=$B$31,IF(OFFSET(RPS_Scen!$C$11,0,0,ctRPSproj,1)=$B36,OFFSET(RPS_Scen!U$11,0,0,ctRPSproj,1)/(8.76*OFFSET(RPS_Scen!$J$11,0,0,ctRPSproj,1))*OFFSET(RPS_Scen!$K$11,0,0,ctRPSproj,1)))))</f>
        <v>31.439776714865445</v>
      </c>
      <c r="L36" s="6">
        <f t="array" aca="1" ref="L36" ca="1">SUM(IF(OFFSET(RPS_Scen!$A$11,0,0,ctRPSproj,1)=scenRPS,IF(OFFSET(RPS_Scen!$H$11,0,0,ctRPSproj,1)=$B$31,IF(OFFSET(RPS_Scen!$C$11,0,0,ctRPSproj,1)=$B36,OFFSET(RPS_Scen!V$11,0,0,ctRPSproj,1)/(8.76*OFFSET(RPS_Scen!$J$11,0,0,ctRPSproj,1))*OFFSET(RPS_Scen!$K$11,0,0,ctRPSproj,1)))))</f>
        <v>35.53032160449348</v>
      </c>
      <c r="M36" s="6">
        <f t="array" aca="1" ref="M36" ca="1">SUM(IF(OFFSET(RPS_Scen!$A$11,0,0,ctRPSproj,1)=scenRPS,IF(OFFSET(RPS_Scen!$H$11,0,0,ctRPSproj,1)=$B$31,IF(OFFSET(RPS_Scen!$C$11,0,0,ctRPSproj,1)=$B36,OFFSET(RPS_Scen!W$11,0,0,ctRPSproj,1)/(8.76*OFFSET(RPS_Scen!$J$11,0,0,ctRPSproj,1))*OFFSET(RPS_Scen!$K$11,0,0,ctRPSproj,1)))))</f>
        <v>35.53032160449348</v>
      </c>
      <c r="N36" s="6">
        <f t="array" aca="1" ref="N36" ca="1">SUM(IF(OFFSET(RPS_Scen!$A$11,0,0,ctRPSproj,1)=scenRPS,IF(OFFSET(RPS_Scen!$H$11,0,0,ctRPSproj,1)=$B$31,IF(OFFSET(RPS_Scen!$C$11,0,0,ctRPSproj,1)=$B36,OFFSET(RPS_Scen!X$11,0,0,ctRPSproj,1)/(8.76*OFFSET(RPS_Scen!$J$11,0,0,ctRPSproj,1))*OFFSET(RPS_Scen!$K$11,0,0,ctRPSproj,1)))))</f>
        <v>35.53032160449348</v>
      </c>
      <c r="O36" s="6">
        <f t="array" aca="1" ref="O36" ca="1">SUM(IF(OFFSET(RPS_Scen!$A$11,0,0,ctRPSproj,1)=scenRPS,IF(OFFSET(RPS_Scen!$H$11,0,0,ctRPSproj,1)=$B$31,IF(OFFSET(RPS_Scen!$C$11,0,0,ctRPSproj,1)=$B36,OFFSET(RPS_Scen!Y$11,0,0,ctRPSproj,1)/(8.76*OFFSET(RPS_Scen!$J$11,0,0,ctRPSproj,1))*OFFSET(RPS_Scen!$K$11,0,0,ctRPSproj,1)))))</f>
        <v>35.53032160449348</v>
      </c>
      <c r="P36" s="6">
        <f t="array" aca="1" ref="P36" ca="1">SUM(IF(OFFSET(RPS_Scen!$A$11,0,0,ctRPSproj,1)=scenRPS,IF(OFFSET(RPS_Scen!$H$11,0,0,ctRPSproj,1)=$B$31,IF(OFFSET(RPS_Scen!$C$11,0,0,ctRPSproj,1)=$B36,OFFSET(RPS_Scen!Z$11,0,0,ctRPSproj,1)/(8.76*OFFSET(RPS_Scen!$J$11,0,0,ctRPSproj,1))*OFFSET(RPS_Scen!$K$11,0,0,ctRPSproj,1)))))</f>
        <v>35.53032160449348</v>
      </c>
      <c r="Q36" s="6">
        <f t="array" aca="1" ref="Q36" ca="1">SUM(IF(OFFSET(RPS_Scen!$A$11,0,0,ctRPSproj,1)=scenRPS,IF(OFFSET(RPS_Scen!$H$11,0,0,ctRPSproj,1)=$B$31,IF(OFFSET(RPS_Scen!$C$11,0,0,ctRPSproj,1)=$B36,OFFSET(RPS_Scen!AA$11,0,0,ctRPSproj,1)/(8.76*OFFSET(RPS_Scen!$J$11,0,0,ctRPSproj,1))*OFFSET(RPS_Scen!$K$11,0,0,ctRPSproj,1)))))</f>
        <v>35.53032160449348</v>
      </c>
      <c r="R36" s="6">
        <f t="array" aca="1" ref="R36" ca="1">SUM(IF(OFFSET(RPS_Scen!$A$11,0,0,ctRPSproj,1)=scenRPS,IF(OFFSET(RPS_Scen!$H$11,0,0,ctRPSproj,1)=$B$31,IF(OFFSET(RPS_Scen!$C$11,0,0,ctRPSproj,1)=$B36,OFFSET(RPS_Scen!AB$11,0,0,ctRPSproj,1)/(8.76*OFFSET(RPS_Scen!$J$11,0,0,ctRPSproj,1))*OFFSET(RPS_Scen!$K$11,0,0,ctRPSproj,1)))))</f>
        <v>35.53032160449348</v>
      </c>
      <c r="S36" s="6">
        <f t="array" aca="1" ref="S36" ca="1">SUM(IF(OFFSET(RPS_Scen!$A$11,0,0,ctRPSproj,1)=scenRPS,IF(OFFSET(RPS_Scen!$H$11,0,0,ctRPSproj,1)=$B$31,IF(OFFSET(RPS_Scen!$C$11,0,0,ctRPSproj,1)=$B36,OFFSET(RPS_Scen!AC$11,0,0,ctRPSproj,1)/(8.76*OFFSET(RPS_Scen!$J$11,0,0,ctRPSproj,1))*OFFSET(RPS_Scen!$K$11,0,0,ctRPSproj,1)))))</f>
        <v>35.53032160449348</v>
      </c>
      <c r="T36" s="6">
        <f t="array" aca="1" ref="T36" ca="1">SUM(IF(OFFSET(RPS_Scen!$A$11,0,0,ctRPSproj,1)=scenRPS,IF(OFFSET(RPS_Scen!$H$11,0,0,ctRPSproj,1)=$B$31,IF(OFFSET(RPS_Scen!$C$11,0,0,ctRPSproj,1)=$B36,OFFSET(RPS_Scen!AD$11,0,0,ctRPSproj,1)/(8.76*OFFSET(RPS_Scen!$J$11,0,0,ctRPSproj,1))*OFFSET(RPS_Scen!$K$11,0,0,ctRPSproj,1)))))</f>
        <v>35.53032160449348</v>
      </c>
      <c r="U36" s="6">
        <f t="array" aca="1" ref="U36" ca="1">SUM(IF(OFFSET(RPS_Scen!$A$11,0,0,ctRPSproj,1)=scenRPS,IF(OFFSET(RPS_Scen!$H$11,0,0,ctRPSproj,1)=$B$31,IF(OFFSET(RPS_Scen!$C$11,0,0,ctRPSproj,1)=$B36,OFFSET(RPS_Scen!AE$11,0,0,ctRPSproj,1)/(8.76*OFFSET(RPS_Scen!$J$11,0,0,ctRPSproj,1))*OFFSET(RPS_Scen!$K$11,0,0,ctRPSproj,1)))))</f>
        <v>35.53032160449348</v>
      </c>
      <c r="V36" s="6">
        <f t="array" aca="1" ref="V36" ca="1">SUM(IF(OFFSET(RPS_Scen!$A$11,0,0,ctRPSproj,1)=scenRPS,IF(OFFSET(RPS_Scen!$H$11,0,0,ctRPSproj,1)=$B$31,IF(OFFSET(RPS_Scen!$C$11,0,0,ctRPSproj,1)=$B36,OFFSET(RPS_Scen!AF$11,0,0,ctRPSproj,1)/(8.76*OFFSET(RPS_Scen!$J$11,0,0,ctRPSproj,1))*OFFSET(RPS_Scen!$K$11,0,0,ctRPSproj,1)))))</f>
        <v>35.53032160449348</v>
      </c>
      <c r="W36" s="6">
        <f t="array" aca="1" ref="W36" ca="1">SUM(IF(OFFSET(RPS_Scen!$A$11,0,0,ctRPSproj,1)=scenRPS,IF(OFFSET(RPS_Scen!$H$11,0,0,ctRPSproj,1)=$B$31,IF(OFFSET(RPS_Scen!$C$11,0,0,ctRPSproj,1)=$B36,OFFSET(RPS_Scen!AG$11,0,0,ctRPSproj,1)/(8.76*OFFSET(RPS_Scen!$J$11,0,0,ctRPSproj,1))*OFFSET(RPS_Scen!$K$11,0,0,ctRPSproj,1)))))</f>
        <v>35.53032160449348</v>
      </c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</row>
    <row r="37" spans="2:57">
      <c r="B37" s="89" t="s">
        <v>186</v>
      </c>
      <c r="C37" s="152" t="s">
        <v>138</v>
      </c>
      <c r="D37" s="6">
        <f t="array" aca="1" ref="D37" ca="1">SUM(IF(OFFSET(RPS_Scen!$A$11,0,0,ctRPSproj,1)=scenRPS,IF(OFFSET(RPS_Scen!$H$11,0,0,ctRPSproj,1)=$B$31,IF(OFFSET(RPS_Scen!$C$11,0,0,ctRPSproj,1)=$B37,OFFSET(RPS_Scen!N$11,0,0,ctRPSproj,1)/(8.76*OFFSET(RPS_Scen!$J$11,0,0,ctRPSproj,1))*OFFSET(RPS_Scen!$K$11,0,0,ctRPSproj,1)))))</f>
        <v>0</v>
      </c>
      <c r="E37" s="6">
        <f t="array" aca="1" ref="E37" ca="1">SUM(IF(OFFSET(RPS_Scen!$A$11,0,0,ctRPSproj,1)=scenRPS,IF(OFFSET(RPS_Scen!$H$11,0,0,ctRPSproj,1)=$B$31,IF(OFFSET(RPS_Scen!$C$11,0,0,ctRPSproj,1)=$B37,OFFSET(RPS_Scen!O$11,0,0,ctRPSproj,1)/(8.76*OFFSET(RPS_Scen!$J$11,0,0,ctRPSproj,1))*OFFSET(RPS_Scen!$K$11,0,0,ctRPSproj,1)))))</f>
        <v>0</v>
      </c>
      <c r="F37" s="6">
        <f t="array" aca="1" ref="F37" ca="1">SUM(IF(OFFSET(RPS_Scen!$A$11,0,0,ctRPSproj,1)=scenRPS,IF(OFFSET(RPS_Scen!$H$11,0,0,ctRPSproj,1)=$B$31,IF(OFFSET(RPS_Scen!$C$11,0,0,ctRPSproj,1)=$B37,OFFSET(RPS_Scen!P$11,0,0,ctRPSproj,1)/(8.76*OFFSET(RPS_Scen!$J$11,0,0,ctRPSproj,1))*OFFSET(RPS_Scen!$K$11,0,0,ctRPSproj,1)))))</f>
        <v>0</v>
      </c>
      <c r="G37" s="6">
        <f t="array" aca="1" ref="G37" ca="1">SUM(IF(OFFSET(RPS_Scen!$A$11,0,0,ctRPSproj,1)=scenRPS,IF(OFFSET(RPS_Scen!$H$11,0,0,ctRPSproj,1)=$B$31,IF(OFFSET(RPS_Scen!$C$11,0,0,ctRPSproj,1)=$B37,OFFSET(RPS_Scen!Q$11,0,0,ctRPSproj,1)/(8.76*OFFSET(RPS_Scen!$J$11,0,0,ctRPSproj,1))*OFFSET(RPS_Scen!$K$11,0,0,ctRPSproj,1)))))</f>
        <v>0</v>
      </c>
      <c r="H37" s="6">
        <f t="array" aca="1" ref="H37" ca="1">SUM(IF(OFFSET(RPS_Scen!$A$11,0,0,ctRPSproj,1)=scenRPS,IF(OFFSET(RPS_Scen!$H$11,0,0,ctRPSproj,1)=$B$31,IF(OFFSET(RPS_Scen!$C$11,0,0,ctRPSproj,1)=$B37,OFFSET(RPS_Scen!R$11,0,0,ctRPSproj,1)/(8.76*OFFSET(RPS_Scen!$J$11,0,0,ctRPSproj,1))*OFFSET(RPS_Scen!$K$11,0,0,ctRPSproj,1)))))</f>
        <v>0</v>
      </c>
      <c r="I37" s="6">
        <f t="array" aca="1" ref="I37" ca="1">SUM(IF(OFFSET(RPS_Scen!$A$11,0,0,ctRPSproj,1)=scenRPS,IF(OFFSET(RPS_Scen!$H$11,0,0,ctRPSproj,1)=$B$31,IF(OFFSET(RPS_Scen!$C$11,0,0,ctRPSproj,1)=$B37,OFFSET(RPS_Scen!S$11,0,0,ctRPSproj,1)/(8.76*OFFSET(RPS_Scen!$J$11,0,0,ctRPSproj,1))*OFFSET(RPS_Scen!$K$11,0,0,ctRPSproj,1)))))</f>
        <v>0</v>
      </c>
      <c r="J37" s="6">
        <f t="array" aca="1" ref="J37" ca="1">SUM(IF(OFFSET(RPS_Scen!$A$11,0,0,ctRPSproj,1)=scenRPS,IF(OFFSET(RPS_Scen!$H$11,0,0,ctRPSproj,1)=$B$31,IF(OFFSET(RPS_Scen!$C$11,0,0,ctRPSproj,1)=$B37,OFFSET(RPS_Scen!T$11,0,0,ctRPSproj,1)/(8.76*OFFSET(RPS_Scen!$J$11,0,0,ctRPSproj,1))*OFFSET(RPS_Scen!$K$11,0,0,ctRPSproj,1)))))</f>
        <v>0</v>
      </c>
      <c r="K37" s="6">
        <f t="array" aca="1" ref="K37" ca="1">SUM(IF(OFFSET(RPS_Scen!$A$11,0,0,ctRPSproj,1)=scenRPS,IF(OFFSET(RPS_Scen!$H$11,0,0,ctRPSproj,1)=$B$31,IF(OFFSET(RPS_Scen!$C$11,0,0,ctRPSproj,1)=$B37,OFFSET(RPS_Scen!U$11,0,0,ctRPSproj,1)/(8.76*OFFSET(RPS_Scen!$J$11,0,0,ctRPSproj,1))*OFFSET(RPS_Scen!$K$11,0,0,ctRPSproj,1)))))</f>
        <v>0</v>
      </c>
      <c r="L37" s="6">
        <f t="array" aca="1" ref="L37" ca="1">SUM(IF(OFFSET(RPS_Scen!$A$11,0,0,ctRPSproj,1)=scenRPS,IF(OFFSET(RPS_Scen!$H$11,0,0,ctRPSproj,1)=$B$31,IF(OFFSET(RPS_Scen!$C$11,0,0,ctRPSproj,1)=$B37,OFFSET(RPS_Scen!V$11,0,0,ctRPSproj,1)/(8.76*OFFSET(RPS_Scen!$J$11,0,0,ctRPSproj,1))*OFFSET(RPS_Scen!$K$11,0,0,ctRPSproj,1)))))</f>
        <v>0</v>
      </c>
      <c r="M37" s="6">
        <f t="array" aca="1" ref="M37" ca="1">SUM(IF(OFFSET(RPS_Scen!$A$11,0,0,ctRPSproj,1)=scenRPS,IF(OFFSET(RPS_Scen!$H$11,0,0,ctRPSproj,1)=$B$31,IF(OFFSET(RPS_Scen!$C$11,0,0,ctRPSproj,1)=$B37,OFFSET(RPS_Scen!W$11,0,0,ctRPSproj,1)/(8.76*OFFSET(RPS_Scen!$J$11,0,0,ctRPSproj,1))*OFFSET(RPS_Scen!$K$11,0,0,ctRPSproj,1)))))</f>
        <v>0</v>
      </c>
      <c r="N37" s="6">
        <f t="array" aca="1" ref="N37" ca="1">SUM(IF(OFFSET(RPS_Scen!$A$11,0,0,ctRPSproj,1)=scenRPS,IF(OFFSET(RPS_Scen!$H$11,0,0,ctRPSproj,1)=$B$31,IF(OFFSET(RPS_Scen!$C$11,0,0,ctRPSproj,1)=$B37,OFFSET(RPS_Scen!X$11,0,0,ctRPSproj,1)/(8.76*OFFSET(RPS_Scen!$J$11,0,0,ctRPSproj,1))*OFFSET(RPS_Scen!$K$11,0,0,ctRPSproj,1)))))</f>
        <v>0</v>
      </c>
      <c r="O37" s="6">
        <f t="array" aca="1" ref="O37" ca="1">SUM(IF(OFFSET(RPS_Scen!$A$11,0,0,ctRPSproj,1)=scenRPS,IF(OFFSET(RPS_Scen!$H$11,0,0,ctRPSproj,1)=$B$31,IF(OFFSET(RPS_Scen!$C$11,0,0,ctRPSproj,1)=$B37,OFFSET(RPS_Scen!Y$11,0,0,ctRPSproj,1)/(8.76*OFFSET(RPS_Scen!$J$11,0,0,ctRPSproj,1))*OFFSET(RPS_Scen!$K$11,0,0,ctRPSproj,1)))))</f>
        <v>0</v>
      </c>
      <c r="P37" s="6">
        <f t="array" aca="1" ref="P37" ca="1">SUM(IF(OFFSET(RPS_Scen!$A$11,0,0,ctRPSproj,1)=scenRPS,IF(OFFSET(RPS_Scen!$H$11,0,0,ctRPSproj,1)=$B$31,IF(OFFSET(RPS_Scen!$C$11,0,0,ctRPSproj,1)=$B37,OFFSET(RPS_Scen!Z$11,0,0,ctRPSproj,1)/(8.76*OFFSET(RPS_Scen!$J$11,0,0,ctRPSproj,1))*OFFSET(RPS_Scen!$K$11,0,0,ctRPSproj,1)))))</f>
        <v>0</v>
      </c>
      <c r="Q37" s="6">
        <f t="array" aca="1" ref="Q37" ca="1">SUM(IF(OFFSET(RPS_Scen!$A$11,0,0,ctRPSproj,1)=scenRPS,IF(OFFSET(RPS_Scen!$H$11,0,0,ctRPSproj,1)=$B$31,IF(OFFSET(RPS_Scen!$C$11,0,0,ctRPSproj,1)=$B37,OFFSET(RPS_Scen!AA$11,0,0,ctRPSproj,1)/(8.76*OFFSET(RPS_Scen!$J$11,0,0,ctRPSproj,1))*OFFSET(RPS_Scen!$K$11,0,0,ctRPSproj,1)))))</f>
        <v>0</v>
      </c>
      <c r="R37" s="6">
        <f t="array" aca="1" ref="R37" ca="1">SUM(IF(OFFSET(RPS_Scen!$A$11,0,0,ctRPSproj,1)=scenRPS,IF(OFFSET(RPS_Scen!$H$11,0,0,ctRPSproj,1)=$B$31,IF(OFFSET(RPS_Scen!$C$11,0,0,ctRPSproj,1)=$B37,OFFSET(RPS_Scen!AB$11,0,0,ctRPSproj,1)/(8.76*OFFSET(RPS_Scen!$J$11,0,0,ctRPSproj,1))*OFFSET(RPS_Scen!$K$11,0,0,ctRPSproj,1)))))</f>
        <v>0</v>
      </c>
      <c r="S37" s="6">
        <f t="array" aca="1" ref="S37" ca="1">SUM(IF(OFFSET(RPS_Scen!$A$11,0,0,ctRPSproj,1)=scenRPS,IF(OFFSET(RPS_Scen!$H$11,0,0,ctRPSproj,1)=$B$31,IF(OFFSET(RPS_Scen!$C$11,0,0,ctRPSproj,1)=$B37,OFFSET(RPS_Scen!AC$11,0,0,ctRPSproj,1)/(8.76*OFFSET(RPS_Scen!$J$11,0,0,ctRPSproj,1))*OFFSET(RPS_Scen!$K$11,0,0,ctRPSproj,1)))))</f>
        <v>0</v>
      </c>
      <c r="T37" s="6">
        <f t="array" aca="1" ref="T37" ca="1">SUM(IF(OFFSET(RPS_Scen!$A$11,0,0,ctRPSproj,1)=scenRPS,IF(OFFSET(RPS_Scen!$H$11,0,0,ctRPSproj,1)=$B$31,IF(OFFSET(RPS_Scen!$C$11,0,0,ctRPSproj,1)=$B37,OFFSET(RPS_Scen!AD$11,0,0,ctRPSproj,1)/(8.76*OFFSET(RPS_Scen!$J$11,0,0,ctRPSproj,1))*OFFSET(RPS_Scen!$K$11,0,0,ctRPSproj,1)))))</f>
        <v>0</v>
      </c>
      <c r="U37" s="6">
        <f t="array" aca="1" ref="U37" ca="1">SUM(IF(OFFSET(RPS_Scen!$A$11,0,0,ctRPSproj,1)=scenRPS,IF(OFFSET(RPS_Scen!$H$11,0,0,ctRPSproj,1)=$B$31,IF(OFFSET(RPS_Scen!$C$11,0,0,ctRPSproj,1)=$B37,OFFSET(RPS_Scen!AE$11,0,0,ctRPSproj,1)/(8.76*OFFSET(RPS_Scen!$J$11,0,0,ctRPSproj,1))*OFFSET(RPS_Scen!$K$11,0,0,ctRPSproj,1)))))</f>
        <v>0</v>
      </c>
      <c r="V37" s="6">
        <f t="array" aca="1" ref="V37" ca="1">SUM(IF(OFFSET(RPS_Scen!$A$11,0,0,ctRPSproj,1)=scenRPS,IF(OFFSET(RPS_Scen!$H$11,0,0,ctRPSproj,1)=$B$31,IF(OFFSET(RPS_Scen!$C$11,0,0,ctRPSproj,1)=$B37,OFFSET(RPS_Scen!AF$11,0,0,ctRPSproj,1)/(8.76*OFFSET(RPS_Scen!$J$11,0,0,ctRPSproj,1))*OFFSET(RPS_Scen!$K$11,0,0,ctRPSproj,1)))))</f>
        <v>0</v>
      </c>
      <c r="W37" s="6">
        <f t="array" aca="1" ref="W37" ca="1">SUM(IF(OFFSET(RPS_Scen!$A$11,0,0,ctRPSproj,1)=scenRPS,IF(OFFSET(RPS_Scen!$H$11,0,0,ctRPSproj,1)=$B$31,IF(OFFSET(RPS_Scen!$C$11,0,0,ctRPSproj,1)=$B37,OFFSET(RPS_Scen!AG$11,0,0,ctRPSproj,1)/(8.76*OFFSET(RPS_Scen!$J$11,0,0,ctRPSproj,1))*OFFSET(RPS_Scen!$K$11,0,0,ctRPSproj,1)))))</f>
        <v>0</v>
      </c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</row>
    <row r="38" spans="2:57">
      <c r="B38" s="89" t="s">
        <v>187</v>
      </c>
      <c r="C38" s="152" t="s">
        <v>138</v>
      </c>
      <c r="D38" s="6">
        <f t="array" aca="1" ref="D38" ca="1">SUM(IF(OFFSET(RPS_Scen!$A$11,0,0,ctRPSproj,1)=scenRPS,IF(OFFSET(RPS_Scen!$H$11,0,0,ctRPSproj,1)=$B$31,IF(OFFSET(RPS_Scen!$C$11,0,0,ctRPSproj,1)=$B38,OFFSET(RPS_Scen!N$11,0,0,ctRPSproj,1)/(8.76*OFFSET(RPS_Scen!$J$11,0,0,ctRPSproj,1))*OFFSET(RPS_Scen!$K$11,0,0,ctRPSproj,1)))))</f>
        <v>0</v>
      </c>
      <c r="E38" s="6">
        <f t="array" aca="1" ref="E38" ca="1">SUM(IF(OFFSET(RPS_Scen!$A$11,0,0,ctRPSproj,1)=scenRPS,IF(OFFSET(RPS_Scen!$H$11,0,0,ctRPSproj,1)=$B$31,IF(OFFSET(RPS_Scen!$C$11,0,0,ctRPSproj,1)=$B38,OFFSET(RPS_Scen!O$11,0,0,ctRPSproj,1)/(8.76*OFFSET(RPS_Scen!$J$11,0,0,ctRPSproj,1))*OFFSET(RPS_Scen!$K$11,0,0,ctRPSproj,1)))))</f>
        <v>0</v>
      </c>
      <c r="F38" s="6">
        <f t="array" aca="1" ref="F38" ca="1">SUM(IF(OFFSET(RPS_Scen!$A$11,0,0,ctRPSproj,1)=scenRPS,IF(OFFSET(RPS_Scen!$H$11,0,0,ctRPSproj,1)=$B$31,IF(OFFSET(RPS_Scen!$C$11,0,0,ctRPSproj,1)=$B38,OFFSET(RPS_Scen!P$11,0,0,ctRPSproj,1)/(8.76*OFFSET(RPS_Scen!$J$11,0,0,ctRPSproj,1))*OFFSET(RPS_Scen!$K$11,0,0,ctRPSproj,1)))))</f>
        <v>0</v>
      </c>
      <c r="G38" s="6">
        <f t="array" aca="1" ref="G38" ca="1">SUM(IF(OFFSET(RPS_Scen!$A$11,0,0,ctRPSproj,1)=scenRPS,IF(OFFSET(RPS_Scen!$H$11,0,0,ctRPSproj,1)=$B$31,IF(OFFSET(RPS_Scen!$C$11,0,0,ctRPSproj,1)=$B38,OFFSET(RPS_Scen!Q$11,0,0,ctRPSproj,1)/(8.76*OFFSET(RPS_Scen!$J$11,0,0,ctRPSproj,1))*OFFSET(RPS_Scen!$K$11,0,0,ctRPSproj,1)))))</f>
        <v>0</v>
      </c>
      <c r="H38" s="6">
        <f t="array" aca="1" ref="H38" ca="1">SUM(IF(OFFSET(RPS_Scen!$A$11,0,0,ctRPSproj,1)=scenRPS,IF(OFFSET(RPS_Scen!$H$11,0,0,ctRPSproj,1)=$B$31,IF(OFFSET(RPS_Scen!$C$11,0,0,ctRPSproj,1)=$B38,OFFSET(RPS_Scen!R$11,0,0,ctRPSproj,1)/(8.76*OFFSET(RPS_Scen!$J$11,0,0,ctRPSproj,1))*OFFSET(RPS_Scen!$K$11,0,0,ctRPSproj,1)))))</f>
        <v>207.8842157166211</v>
      </c>
      <c r="I38" s="6">
        <f t="array" aca="1" ref="I38" ca="1">SUM(IF(OFFSET(RPS_Scen!$A$11,0,0,ctRPSproj,1)=scenRPS,IF(OFFSET(RPS_Scen!$H$11,0,0,ctRPSproj,1)=$B$31,IF(OFFSET(RPS_Scen!$C$11,0,0,ctRPSproj,1)=$B38,OFFSET(RPS_Scen!S$11,0,0,ctRPSproj,1)/(8.76*OFFSET(RPS_Scen!$J$11,0,0,ctRPSproj,1))*OFFSET(RPS_Scen!$K$11,0,0,ctRPSproj,1)))))</f>
        <v>207.8842157166211</v>
      </c>
      <c r="J38" s="6">
        <f t="array" aca="1" ref="J38" ca="1">SUM(IF(OFFSET(RPS_Scen!$A$11,0,0,ctRPSproj,1)=scenRPS,IF(OFFSET(RPS_Scen!$H$11,0,0,ctRPSproj,1)=$B$31,IF(OFFSET(RPS_Scen!$C$11,0,0,ctRPSproj,1)=$B38,OFFSET(RPS_Scen!T$11,0,0,ctRPSproj,1)/(8.76*OFFSET(RPS_Scen!$J$11,0,0,ctRPSproj,1))*OFFSET(RPS_Scen!$K$11,0,0,ctRPSproj,1)))))</f>
        <v>207.8842157166211</v>
      </c>
      <c r="K38" s="6">
        <f t="array" aca="1" ref="K38" ca="1">SUM(IF(OFFSET(RPS_Scen!$A$11,0,0,ctRPSproj,1)=scenRPS,IF(OFFSET(RPS_Scen!$H$11,0,0,ctRPSproj,1)=$B$31,IF(OFFSET(RPS_Scen!$C$11,0,0,ctRPSproj,1)=$B38,OFFSET(RPS_Scen!U$11,0,0,ctRPSproj,1)/(8.76*OFFSET(RPS_Scen!$J$11,0,0,ctRPSproj,1))*OFFSET(RPS_Scen!$K$11,0,0,ctRPSproj,1)))))</f>
        <v>207.8842157166211</v>
      </c>
      <c r="L38" s="6">
        <f t="array" aca="1" ref="L38" ca="1">SUM(IF(OFFSET(RPS_Scen!$A$11,0,0,ctRPSproj,1)=scenRPS,IF(OFFSET(RPS_Scen!$H$11,0,0,ctRPSproj,1)=$B$31,IF(OFFSET(RPS_Scen!$C$11,0,0,ctRPSproj,1)=$B38,OFFSET(RPS_Scen!V$11,0,0,ctRPSproj,1)/(8.76*OFFSET(RPS_Scen!$J$11,0,0,ctRPSproj,1))*OFFSET(RPS_Scen!$K$11,0,0,ctRPSproj,1)))))</f>
        <v>207.8842157166211</v>
      </c>
      <c r="M38" s="6">
        <f t="array" aca="1" ref="M38" ca="1">SUM(IF(OFFSET(RPS_Scen!$A$11,0,0,ctRPSproj,1)=scenRPS,IF(OFFSET(RPS_Scen!$H$11,0,0,ctRPSproj,1)=$B$31,IF(OFFSET(RPS_Scen!$C$11,0,0,ctRPSproj,1)=$B38,OFFSET(RPS_Scen!W$11,0,0,ctRPSproj,1)/(8.76*OFFSET(RPS_Scen!$J$11,0,0,ctRPSproj,1))*OFFSET(RPS_Scen!$K$11,0,0,ctRPSproj,1)))))</f>
        <v>207.8842157166211</v>
      </c>
      <c r="N38" s="6">
        <f t="array" aca="1" ref="N38" ca="1">SUM(IF(OFFSET(RPS_Scen!$A$11,0,0,ctRPSproj,1)=scenRPS,IF(OFFSET(RPS_Scen!$H$11,0,0,ctRPSproj,1)=$B$31,IF(OFFSET(RPS_Scen!$C$11,0,0,ctRPSproj,1)=$B38,OFFSET(RPS_Scen!X$11,0,0,ctRPSproj,1)/(8.76*OFFSET(RPS_Scen!$J$11,0,0,ctRPSproj,1))*OFFSET(RPS_Scen!$K$11,0,0,ctRPSproj,1)))))</f>
        <v>207.8842157166211</v>
      </c>
      <c r="O38" s="6">
        <f t="array" aca="1" ref="O38" ca="1">SUM(IF(OFFSET(RPS_Scen!$A$11,0,0,ctRPSproj,1)=scenRPS,IF(OFFSET(RPS_Scen!$H$11,0,0,ctRPSproj,1)=$B$31,IF(OFFSET(RPS_Scen!$C$11,0,0,ctRPSproj,1)=$B38,OFFSET(RPS_Scen!Y$11,0,0,ctRPSproj,1)/(8.76*OFFSET(RPS_Scen!$J$11,0,0,ctRPSproj,1))*OFFSET(RPS_Scen!$K$11,0,0,ctRPSproj,1)))))</f>
        <v>207.8842157166211</v>
      </c>
      <c r="P38" s="6">
        <f t="array" aca="1" ref="P38" ca="1">SUM(IF(OFFSET(RPS_Scen!$A$11,0,0,ctRPSproj,1)=scenRPS,IF(OFFSET(RPS_Scen!$H$11,0,0,ctRPSproj,1)=$B$31,IF(OFFSET(RPS_Scen!$C$11,0,0,ctRPSproj,1)=$B38,OFFSET(RPS_Scen!Z$11,0,0,ctRPSproj,1)/(8.76*OFFSET(RPS_Scen!$J$11,0,0,ctRPSproj,1))*OFFSET(RPS_Scen!$K$11,0,0,ctRPSproj,1)))))</f>
        <v>207.8842157166211</v>
      </c>
      <c r="Q38" s="6">
        <f t="array" aca="1" ref="Q38" ca="1">SUM(IF(OFFSET(RPS_Scen!$A$11,0,0,ctRPSproj,1)=scenRPS,IF(OFFSET(RPS_Scen!$H$11,0,0,ctRPSproj,1)=$B$31,IF(OFFSET(RPS_Scen!$C$11,0,0,ctRPSproj,1)=$B38,OFFSET(RPS_Scen!AA$11,0,0,ctRPSproj,1)/(8.76*OFFSET(RPS_Scen!$J$11,0,0,ctRPSproj,1))*OFFSET(RPS_Scen!$K$11,0,0,ctRPSproj,1)))))</f>
        <v>207.8842157166211</v>
      </c>
      <c r="R38" s="6">
        <f t="array" aca="1" ref="R38" ca="1">SUM(IF(OFFSET(RPS_Scen!$A$11,0,0,ctRPSproj,1)=scenRPS,IF(OFFSET(RPS_Scen!$H$11,0,0,ctRPSproj,1)=$B$31,IF(OFFSET(RPS_Scen!$C$11,0,0,ctRPSproj,1)=$B38,OFFSET(RPS_Scen!AB$11,0,0,ctRPSproj,1)/(8.76*OFFSET(RPS_Scen!$J$11,0,0,ctRPSproj,1))*OFFSET(RPS_Scen!$K$11,0,0,ctRPSproj,1)))))</f>
        <v>207.8842157166211</v>
      </c>
      <c r="S38" s="6">
        <f t="array" aca="1" ref="S38" ca="1">SUM(IF(OFFSET(RPS_Scen!$A$11,0,0,ctRPSproj,1)=scenRPS,IF(OFFSET(RPS_Scen!$H$11,0,0,ctRPSproj,1)=$B$31,IF(OFFSET(RPS_Scen!$C$11,0,0,ctRPSproj,1)=$B38,OFFSET(RPS_Scen!AC$11,0,0,ctRPSproj,1)/(8.76*OFFSET(RPS_Scen!$J$11,0,0,ctRPSproj,1))*OFFSET(RPS_Scen!$K$11,0,0,ctRPSproj,1)))))</f>
        <v>207.8842157166211</v>
      </c>
      <c r="T38" s="6">
        <f t="array" aca="1" ref="T38" ca="1">SUM(IF(OFFSET(RPS_Scen!$A$11,0,0,ctRPSproj,1)=scenRPS,IF(OFFSET(RPS_Scen!$H$11,0,0,ctRPSproj,1)=$B$31,IF(OFFSET(RPS_Scen!$C$11,0,0,ctRPSproj,1)=$B38,OFFSET(RPS_Scen!AD$11,0,0,ctRPSproj,1)/(8.76*OFFSET(RPS_Scen!$J$11,0,0,ctRPSproj,1))*OFFSET(RPS_Scen!$K$11,0,0,ctRPSproj,1)))))</f>
        <v>207.8842157166211</v>
      </c>
      <c r="U38" s="6">
        <f t="array" aca="1" ref="U38" ca="1">SUM(IF(OFFSET(RPS_Scen!$A$11,0,0,ctRPSproj,1)=scenRPS,IF(OFFSET(RPS_Scen!$H$11,0,0,ctRPSproj,1)=$B$31,IF(OFFSET(RPS_Scen!$C$11,0,0,ctRPSproj,1)=$B38,OFFSET(RPS_Scen!AE$11,0,0,ctRPSproj,1)/(8.76*OFFSET(RPS_Scen!$J$11,0,0,ctRPSproj,1))*OFFSET(RPS_Scen!$K$11,0,0,ctRPSproj,1)))))</f>
        <v>207.8842157166211</v>
      </c>
      <c r="V38" s="6">
        <f t="array" aca="1" ref="V38" ca="1">SUM(IF(OFFSET(RPS_Scen!$A$11,0,0,ctRPSproj,1)=scenRPS,IF(OFFSET(RPS_Scen!$H$11,0,0,ctRPSproj,1)=$B$31,IF(OFFSET(RPS_Scen!$C$11,0,0,ctRPSproj,1)=$B38,OFFSET(RPS_Scen!AF$11,0,0,ctRPSproj,1)/(8.76*OFFSET(RPS_Scen!$J$11,0,0,ctRPSproj,1))*OFFSET(RPS_Scen!$K$11,0,0,ctRPSproj,1)))))</f>
        <v>207.8842157166211</v>
      </c>
      <c r="W38" s="6">
        <f t="array" aca="1" ref="W38" ca="1">SUM(IF(OFFSET(RPS_Scen!$A$11,0,0,ctRPSproj,1)=scenRPS,IF(OFFSET(RPS_Scen!$H$11,0,0,ctRPSproj,1)=$B$31,IF(OFFSET(RPS_Scen!$C$11,0,0,ctRPSproj,1)=$B38,OFFSET(RPS_Scen!AG$11,0,0,ctRPSproj,1)/(8.76*OFFSET(RPS_Scen!$J$11,0,0,ctRPSproj,1))*OFFSET(RPS_Scen!$K$11,0,0,ctRPSproj,1)))))</f>
        <v>207.8842157166211</v>
      </c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</row>
    <row r="39" spans="2:57">
      <c r="B39" s="89" t="s">
        <v>137</v>
      </c>
      <c r="C39" s="152" t="s">
        <v>137</v>
      </c>
      <c r="D39" s="6">
        <f t="array" aca="1" ref="D39" ca="1">SUM(IF(OFFSET(RPS_Scen!$A$11,0,0,ctRPSproj,1)=scenRPS,IF(OFFSET(RPS_Scen!$H$11,0,0,ctRPSproj,1)=$B$31,IF(OFFSET(RPS_Scen!$C$11,0,0,ctRPSproj,1)=$B39,OFFSET(RPS_Scen!N$11,0,0,ctRPSproj,1)/(8.76*OFFSET(RPS_Scen!$J$11,0,0,ctRPSproj,1))*OFFSET(RPS_Scen!$K$11,0,0,ctRPSproj,1)))))</f>
        <v>0</v>
      </c>
      <c r="E39" s="6">
        <f t="array" aca="1" ref="E39" ca="1">SUM(IF(OFFSET(RPS_Scen!$A$11,0,0,ctRPSproj,1)=scenRPS,IF(OFFSET(RPS_Scen!$H$11,0,0,ctRPSproj,1)=$B$31,IF(OFFSET(RPS_Scen!$C$11,0,0,ctRPSproj,1)=$B39,OFFSET(RPS_Scen!O$11,0,0,ctRPSproj,1)/(8.76*OFFSET(RPS_Scen!$J$11,0,0,ctRPSproj,1))*OFFSET(RPS_Scen!$K$11,0,0,ctRPSproj,1)))))</f>
        <v>0</v>
      </c>
      <c r="F39" s="6">
        <f t="array" aca="1" ref="F39" ca="1">SUM(IF(OFFSET(RPS_Scen!$A$11,0,0,ctRPSproj,1)=scenRPS,IF(OFFSET(RPS_Scen!$H$11,0,0,ctRPSproj,1)=$B$31,IF(OFFSET(RPS_Scen!$C$11,0,0,ctRPSproj,1)=$B39,OFFSET(RPS_Scen!P$11,0,0,ctRPSproj,1)/(8.76*OFFSET(RPS_Scen!$J$11,0,0,ctRPSproj,1))*OFFSET(RPS_Scen!$K$11,0,0,ctRPSproj,1)))))</f>
        <v>0</v>
      </c>
      <c r="G39" s="6">
        <f t="array" aca="1" ref="G39" ca="1">SUM(IF(OFFSET(RPS_Scen!$A$11,0,0,ctRPSproj,1)=scenRPS,IF(OFFSET(RPS_Scen!$H$11,0,0,ctRPSproj,1)=$B$31,IF(OFFSET(RPS_Scen!$C$11,0,0,ctRPSproj,1)=$B39,OFFSET(RPS_Scen!Q$11,0,0,ctRPSproj,1)/(8.76*OFFSET(RPS_Scen!$J$11,0,0,ctRPSproj,1))*OFFSET(RPS_Scen!$K$11,0,0,ctRPSproj,1)))))</f>
        <v>0</v>
      </c>
      <c r="H39" s="6">
        <f t="array" aca="1" ref="H39" ca="1">SUM(IF(OFFSET(RPS_Scen!$A$11,0,0,ctRPSproj,1)=scenRPS,IF(OFFSET(RPS_Scen!$H$11,0,0,ctRPSproj,1)=$B$31,IF(OFFSET(RPS_Scen!$C$11,0,0,ctRPSproj,1)=$B39,OFFSET(RPS_Scen!R$11,0,0,ctRPSproj,1)/(8.76*OFFSET(RPS_Scen!$J$11,0,0,ctRPSproj,1))*OFFSET(RPS_Scen!$K$11,0,0,ctRPSproj,1)))))</f>
        <v>60.730835785817391</v>
      </c>
      <c r="I39" s="6">
        <f t="array" aca="1" ref="I39" ca="1">SUM(IF(OFFSET(RPS_Scen!$A$11,0,0,ctRPSproj,1)=scenRPS,IF(OFFSET(RPS_Scen!$H$11,0,0,ctRPSproj,1)=$B$31,IF(OFFSET(RPS_Scen!$C$11,0,0,ctRPSproj,1)=$B39,OFFSET(RPS_Scen!S$11,0,0,ctRPSproj,1)/(8.76*OFFSET(RPS_Scen!$J$11,0,0,ctRPSproj,1))*OFFSET(RPS_Scen!$K$11,0,0,ctRPSproj,1)))))</f>
        <v>85.869345012763688</v>
      </c>
      <c r="J39" s="6">
        <f t="array" aca="1" ref="J39" ca="1">SUM(IF(OFFSET(RPS_Scen!$A$11,0,0,ctRPSproj,1)=scenRPS,IF(OFFSET(RPS_Scen!$H$11,0,0,ctRPSproj,1)=$B$31,IF(OFFSET(RPS_Scen!$C$11,0,0,ctRPSproj,1)=$B39,OFFSET(RPS_Scen!T$11,0,0,ctRPSproj,1)/(8.76*OFFSET(RPS_Scen!$J$11,0,0,ctRPSproj,1))*OFFSET(RPS_Scen!$K$11,0,0,ctRPSproj,1)))))</f>
        <v>85.869345012763688</v>
      </c>
      <c r="K39" s="6">
        <f t="array" aca="1" ref="K39" ca="1">SUM(IF(OFFSET(RPS_Scen!$A$11,0,0,ctRPSproj,1)=scenRPS,IF(OFFSET(RPS_Scen!$H$11,0,0,ctRPSproj,1)=$B$31,IF(OFFSET(RPS_Scen!$C$11,0,0,ctRPSproj,1)=$B39,OFFSET(RPS_Scen!U$11,0,0,ctRPSproj,1)/(8.76*OFFSET(RPS_Scen!$J$11,0,0,ctRPSproj,1))*OFFSET(RPS_Scen!$K$11,0,0,ctRPSproj,1)))))</f>
        <v>85.869345012763688</v>
      </c>
      <c r="L39" s="6">
        <f t="array" aca="1" ref="L39" ca="1">SUM(IF(OFFSET(RPS_Scen!$A$11,0,0,ctRPSproj,1)=scenRPS,IF(OFFSET(RPS_Scen!$H$11,0,0,ctRPSproj,1)=$B$31,IF(OFFSET(RPS_Scen!$C$11,0,0,ctRPSproj,1)=$B39,OFFSET(RPS_Scen!V$11,0,0,ctRPSproj,1)/(8.76*OFFSET(RPS_Scen!$J$11,0,0,ctRPSproj,1))*OFFSET(RPS_Scen!$K$11,0,0,ctRPSproj,1)))))</f>
        <v>89.134694650909253</v>
      </c>
      <c r="M39" s="6">
        <f t="array" aca="1" ref="M39" ca="1">SUM(IF(OFFSET(RPS_Scen!$A$11,0,0,ctRPSproj,1)=scenRPS,IF(OFFSET(RPS_Scen!$H$11,0,0,ctRPSproj,1)=$B$31,IF(OFFSET(RPS_Scen!$C$11,0,0,ctRPSproj,1)=$B39,OFFSET(RPS_Scen!W$11,0,0,ctRPSproj,1)/(8.76*OFFSET(RPS_Scen!$J$11,0,0,ctRPSproj,1))*OFFSET(RPS_Scen!$K$11,0,0,ctRPSproj,1)))))</f>
        <v>89.134694650909253</v>
      </c>
      <c r="N39" s="6">
        <f t="array" aca="1" ref="N39" ca="1">SUM(IF(OFFSET(RPS_Scen!$A$11,0,0,ctRPSproj,1)=scenRPS,IF(OFFSET(RPS_Scen!$H$11,0,0,ctRPSproj,1)=$B$31,IF(OFFSET(RPS_Scen!$C$11,0,0,ctRPSproj,1)=$B39,OFFSET(RPS_Scen!X$11,0,0,ctRPSproj,1)/(8.76*OFFSET(RPS_Scen!$J$11,0,0,ctRPSproj,1))*OFFSET(RPS_Scen!$K$11,0,0,ctRPSproj,1)))))</f>
        <v>89.134694650909253</v>
      </c>
      <c r="O39" s="6">
        <f t="array" aca="1" ref="O39" ca="1">SUM(IF(OFFSET(RPS_Scen!$A$11,0,0,ctRPSproj,1)=scenRPS,IF(OFFSET(RPS_Scen!$H$11,0,0,ctRPSproj,1)=$B$31,IF(OFFSET(RPS_Scen!$C$11,0,0,ctRPSproj,1)=$B39,OFFSET(RPS_Scen!Y$11,0,0,ctRPSproj,1)/(8.76*OFFSET(RPS_Scen!$J$11,0,0,ctRPSproj,1))*OFFSET(RPS_Scen!$K$11,0,0,ctRPSproj,1)))))</f>
        <v>89.134694650909253</v>
      </c>
      <c r="P39" s="6">
        <f t="array" aca="1" ref="P39" ca="1">SUM(IF(OFFSET(RPS_Scen!$A$11,0,0,ctRPSproj,1)=scenRPS,IF(OFFSET(RPS_Scen!$H$11,0,0,ctRPSproj,1)=$B$31,IF(OFFSET(RPS_Scen!$C$11,0,0,ctRPSproj,1)=$B39,OFFSET(RPS_Scen!Z$11,0,0,ctRPSproj,1)/(8.76*OFFSET(RPS_Scen!$J$11,0,0,ctRPSproj,1))*OFFSET(RPS_Scen!$K$11,0,0,ctRPSproj,1)))))</f>
        <v>89.134694650909253</v>
      </c>
      <c r="Q39" s="6">
        <f t="array" aca="1" ref="Q39" ca="1">SUM(IF(OFFSET(RPS_Scen!$A$11,0,0,ctRPSproj,1)=scenRPS,IF(OFFSET(RPS_Scen!$H$11,0,0,ctRPSproj,1)=$B$31,IF(OFFSET(RPS_Scen!$C$11,0,0,ctRPSproj,1)=$B39,OFFSET(RPS_Scen!AA$11,0,0,ctRPSproj,1)/(8.76*OFFSET(RPS_Scen!$J$11,0,0,ctRPSproj,1))*OFFSET(RPS_Scen!$K$11,0,0,ctRPSproj,1)))))</f>
        <v>89.134694650909253</v>
      </c>
      <c r="R39" s="6">
        <f t="array" aca="1" ref="R39" ca="1">SUM(IF(OFFSET(RPS_Scen!$A$11,0,0,ctRPSproj,1)=scenRPS,IF(OFFSET(RPS_Scen!$H$11,0,0,ctRPSproj,1)=$B$31,IF(OFFSET(RPS_Scen!$C$11,0,0,ctRPSproj,1)=$B39,OFFSET(RPS_Scen!AB$11,0,0,ctRPSproj,1)/(8.76*OFFSET(RPS_Scen!$J$11,0,0,ctRPSproj,1))*OFFSET(RPS_Scen!$K$11,0,0,ctRPSproj,1)))))</f>
        <v>89.134694650909253</v>
      </c>
      <c r="S39" s="6">
        <f t="array" aca="1" ref="S39" ca="1">SUM(IF(OFFSET(RPS_Scen!$A$11,0,0,ctRPSproj,1)=scenRPS,IF(OFFSET(RPS_Scen!$H$11,0,0,ctRPSproj,1)=$B$31,IF(OFFSET(RPS_Scen!$C$11,0,0,ctRPSproj,1)=$B39,OFFSET(RPS_Scen!AC$11,0,0,ctRPSproj,1)/(8.76*OFFSET(RPS_Scen!$J$11,0,0,ctRPSproj,1))*OFFSET(RPS_Scen!$K$11,0,0,ctRPSproj,1)))))</f>
        <v>89.134694650909253</v>
      </c>
      <c r="T39" s="6">
        <f t="array" aca="1" ref="T39" ca="1">SUM(IF(OFFSET(RPS_Scen!$A$11,0,0,ctRPSproj,1)=scenRPS,IF(OFFSET(RPS_Scen!$H$11,0,0,ctRPSproj,1)=$B$31,IF(OFFSET(RPS_Scen!$C$11,0,0,ctRPSproj,1)=$B39,OFFSET(RPS_Scen!AD$11,0,0,ctRPSproj,1)/(8.76*OFFSET(RPS_Scen!$J$11,0,0,ctRPSproj,1))*OFFSET(RPS_Scen!$K$11,0,0,ctRPSproj,1)))))</f>
        <v>89.134694650909253</v>
      </c>
      <c r="U39" s="6">
        <f t="array" aca="1" ref="U39" ca="1">SUM(IF(OFFSET(RPS_Scen!$A$11,0,0,ctRPSproj,1)=scenRPS,IF(OFFSET(RPS_Scen!$H$11,0,0,ctRPSproj,1)=$B$31,IF(OFFSET(RPS_Scen!$C$11,0,0,ctRPSproj,1)=$B39,OFFSET(RPS_Scen!AE$11,0,0,ctRPSproj,1)/(8.76*OFFSET(RPS_Scen!$J$11,0,0,ctRPSproj,1))*OFFSET(RPS_Scen!$K$11,0,0,ctRPSproj,1)))))</f>
        <v>89.134694650909253</v>
      </c>
      <c r="V39" s="6">
        <f t="array" aca="1" ref="V39" ca="1">SUM(IF(OFFSET(RPS_Scen!$A$11,0,0,ctRPSproj,1)=scenRPS,IF(OFFSET(RPS_Scen!$H$11,0,0,ctRPSproj,1)=$B$31,IF(OFFSET(RPS_Scen!$C$11,0,0,ctRPSproj,1)=$B39,OFFSET(RPS_Scen!AF$11,0,0,ctRPSproj,1)/(8.76*OFFSET(RPS_Scen!$J$11,0,0,ctRPSproj,1))*OFFSET(RPS_Scen!$K$11,0,0,ctRPSproj,1)))))</f>
        <v>89.134694650909253</v>
      </c>
      <c r="W39" s="6">
        <f t="array" aca="1" ref="W39" ca="1">SUM(IF(OFFSET(RPS_Scen!$A$11,0,0,ctRPSproj,1)=scenRPS,IF(OFFSET(RPS_Scen!$H$11,0,0,ctRPSproj,1)=$B$31,IF(OFFSET(RPS_Scen!$C$11,0,0,ctRPSproj,1)=$B39,OFFSET(RPS_Scen!AG$11,0,0,ctRPSproj,1)/(8.76*OFFSET(RPS_Scen!$J$11,0,0,ctRPSproj,1))*OFFSET(RPS_Scen!$K$11,0,0,ctRPSproj,1)))))</f>
        <v>89.134694650909253</v>
      </c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</row>
    <row r="40" spans="2:57">
      <c r="B40" s="90" t="s">
        <v>2103</v>
      </c>
      <c r="C40" s="90"/>
      <c r="D40" s="103">
        <f ca="1">SUM(D32:D39)</f>
        <v>0</v>
      </c>
      <c r="E40" s="103">
        <f t="shared" ref="E40" ca="1" si="12">SUM(E32:E39)</f>
        <v>0</v>
      </c>
      <c r="F40" s="103">
        <f t="shared" ref="F40" ca="1" si="13">SUM(F32:F39)</f>
        <v>0</v>
      </c>
      <c r="G40" s="103">
        <f t="shared" ref="G40" ca="1" si="14">SUM(G32:G39)</f>
        <v>143.16844669936535</v>
      </c>
      <c r="H40" s="103">
        <f t="shared" ref="H40" ca="1" si="15">SUM(H32:H39)</f>
        <v>439.98236364522097</v>
      </c>
      <c r="I40" s="103">
        <f t="shared" ref="I40" ca="1" si="16">SUM(I32:I39)</f>
        <v>465.1208728721673</v>
      </c>
      <c r="J40" s="103">
        <f t="shared" ref="J40" ca="1" si="17">SUM(J32:J39)</f>
        <v>465.1208728721673</v>
      </c>
      <c r="K40" s="103">
        <f t="shared" ref="K40" ca="1" si="18">SUM(K32:K39)</f>
        <v>465.1208728721673</v>
      </c>
      <c r="L40" s="103">
        <f t="shared" ref="L40" ca="1" si="19">SUM(L32:L39)</f>
        <v>507.77594675619821</v>
      </c>
      <c r="M40" s="103">
        <f t="shared" ref="M40:W40" ca="1" si="20">SUM(M32:M39)</f>
        <v>507.77594675619821</v>
      </c>
      <c r="N40" s="103">
        <f t="shared" ca="1" si="20"/>
        <v>507.77594675619821</v>
      </c>
      <c r="O40" s="103">
        <f t="shared" ca="1" si="20"/>
        <v>507.77594675619821</v>
      </c>
      <c r="P40" s="103">
        <f t="shared" ca="1" si="20"/>
        <v>507.77594675619821</v>
      </c>
      <c r="Q40" s="103">
        <f t="shared" ca="1" si="20"/>
        <v>507.77594675619821</v>
      </c>
      <c r="R40" s="103">
        <f t="shared" ca="1" si="20"/>
        <v>507.77594675619821</v>
      </c>
      <c r="S40" s="103">
        <f t="shared" ca="1" si="20"/>
        <v>507.77594675619821</v>
      </c>
      <c r="T40" s="103">
        <f t="shared" ca="1" si="20"/>
        <v>507.77594675619821</v>
      </c>
      <c r="U40" s="103">
        <f t="shared" ca="1" si="20"/>
        <v>507.77594675619821</v>
      </c>
      <c r="V40" s="103">
        <f t="shared" ca="1" si="20"/>
        <v>507.77594675619821</v>
      </c>
      <c r="W40" s="103">
        <f t="shared" ca="1" si="20"/>
        <v>507.77594675619821</v>
      </c>
    </row>
    <row r="42" spans="2:57">
      <c r="B42" s="31" t="s">
        <v>2145</v>
      </c>
    </row>
    <row r="44" spans="2:57">
      <c r="B44" s="90" t="s">
        <v>2187</v>
      </c>
      <c r="C44" s="31"/>
    </row>
    <row r="45" spans="2:57">
      <c r="B45" s="151" t="s">
        <v>2186</v>
      </c>
      <c r="C45" s="81"/>
      <c r="D45" s="6">
        <f>IF(D$2&gt;2020,Loads!G56,0)</f>
        <v>0</v>
      </c>
      <c r="E45" s="6">
        <f>IF(E$2&gt;2020,Loads!H56,0)</f>
        <v>0</v>
      </c>
      <c r="F45" s="6">
        <f>IF(F$2&gt;2020,Loads!I56,0)</f>
        <v>0</v>
      </c>
      <c r="G45" s="6">
        <f>IF(G$2&gt;2020,Loads!J56,0)</f>
        <v>0</v>
      </c>
      <c r="H45" s="6">
        <f>IF(H$2&gt;2020,Loads!K56,0)</f>
        <v>0</v>
      </c>
      <c r="I45" s="6">
        <f>IF(I$2&gt;2020,Loads!L56,0)</f>
        <v>0</v>
      </c>
      <c r="J45" s="6">
        <f>IF(J$2&gt;2020,Loads!M56,0)</f>
        <v>0</v>
      </c>
      <c r="K45" s="6">
        <f>IF(K$2&gt;2020,Loads!N56,0)</f>
        <v>0</v>
      </c>
      <c r="L45" s="6">
        <f>IF(L$2&gt;2020,Loads!O56,0)</f>
        <v>0</v>
      </c>
      <c r="M45" s="6">
        <f>IF(M$2&gt;2020,Loads!P56,0)</f>
        <v>0</v>
      </c>
      <c r="N45" s="6">
        <f ca="1">IF(N$2&gt;2020,Loads!Q56,0)</f>
        <v>0</v>
      </c>
      <c r="O45" s="6">
        <f ca="1">IF(O$2&gt;2020,Loads!R56,0)</f>
        <v>0</v>
      </c>
      <c r="P45" s="6">
        <f ca="1">IF(P$2&gt;2020,Loads!S56,0)</f>
        <v>0</v>
      </c>
      <c r="Q45" s="6">
        <f ca="1">IF(Q$2&gt;2020,Loads!T56,0)</f>
        <v>0</v>
      </c>
      <c r="R45" s="6">
        <f ca="1">IF(R$2&gt;2020,Loads!U56,0)</f>
        <v>0</v>
      </c>
      <c r="S45" s="6">
        <f ca="1">IF(S$2&gt;2020,Loads!V56,0)</f>
        <v>0</v>
      </c>
      <c r="T45" s="6">
        <f ca="1">IF(T$2&gt;2020,Loads!W56,0)</f>
        <v>0</v>
      </c>
      <c r="U45" s="6">
        <f ca="1">IF(U$2&gt;2020,Loads!X56,0)</f>
        <v>0</v>
      </c>
      <c r="V45" s="6">
        <f ca="1">IF(V$2&gt;2020,Loads!Y56,0)</f>
        <v>3853.8629265199706</v>
      </c>
      <c r="W45" s="6">
        <f ca="1">IF(W$2&gt;2020,Loads!Z56,0)</f>
        <v>9502.8999519224017</v>
      </c>
    </row>
    <row r="46" spans="2:57">
      <c r="B46" s="151" t="s">
        <v>2141</v>
      </c>
      <c r="C46" s="81"/>
      <c r="D46" s="6">
        <f ca="1">MAX((Loads!G$36-Loads!G$35)*Loads!G$41-(Loads!$P$36-Loads!$P$35)*Loads!$P$41,0)</f>
        <v>0</v>
      </c>
      <c r="E46" s="6">
        <f ca="1">MAX((Loads!H$36-Loads!H$35)*Loads!H$41-(Loads!$P$36-Loads!$P$35)*Loads!$P$41,0)</f>
        <v>0</v>
      </c>
      <c r="F46" s="6">
        <f ca="1">MAX((Loads!I$36-Loads!I$35)*Loads!I$41-(Loads!$P$36-Loads!$P$35)*Loads!$P$41,0)</f>
        <v>0</v>
      </c>
      <c r="G46" s="6">
        <f ca="1">MAX((Loads!J$36-Loads!J$35)*Loads!J$41-(Loads!$P$36-Loads!$P$35)*Loads!$P$41,0)</f>
        <v>0</v>
      </c>
      <c r="H46" s="6">
        <f ca="1">MAX((Loads!K$36-Loads!K$35)*Loads!K$41-(Loads!$P$36-Loads!$P$35)*Loads!$P$41,0)</f>
        <v>0</v>
      </c>
      <c r="I46" s="6">
        <f ca="1">MAX((Loads!L$36-Loads!L$35)*Loads!L$41-(Loads!$P$36-Loads!$P$35)*Loads!$P$41,0)</f>
        <v>0</v>
      </c>
      <c r="J46" s="6">
        <f ca="1">MAX((Loads!M$36-Loads!M$35)*Loads!M$41-(Loads!$P$36-Loads!$P$35)*Loads!$P$41,0)</f>
        <v>0</v>
      </c>
      <c r="K46" s="6">
        <f ca="1">MAX((Loads!N$36-Loads!N$35)*Loads!N$41-(Loads!$P$36-Loads!$P$35)*Loads!$P$41,0)</f>
        <v>0</v>
      </c>
      <c r="L46" s="6">
        <f ca="1">MAX((Loads!O$36-Loads!O$35)*Loads!O$41-(Loads!$P$36-Loads!$P$35)*Loads!$P$41,0)</f>
        <v>0</v>
      </c>
      <c r="M46" s="6">
        <f ca="1">MAX((Loads!P$36-Loads!P$35)*Loads!P$41-(Loads!$P$36-Loads!$P$35)*Loads!$P$41,0)</f>
        <v>0</v>
      </c>
      <c r="N46" s="6">
        <f ca="1">MAX((Loads!Q$36-Loads!Q$35)*Loads!Q$41-(Loads!$P$36-Loads!$P$35)*Loads!$P$41,0)</f>
        <v>69.173150005155549</v>
      </c>
      <c r="O46" s="6">
        <f ca="1">MAX((Loads!R$36-Loads!R$35)*Loads!R$41-(Loads!$P$36-Loads!$P$35)*Loads!$P$41,0)</f>
        <v>139.21096438538643</v>
      </c>
      <c r="P46" s="6">
        <f ca="1">MAX((Loads!S$36-Loads!S$35)*Loads!S$41-(Loads!$P$36-Loads!$P$35)*Loads!$P$41,0)</f>
        <v>210.12425144537156</v>
      </c>
      <c r="Q46" s="6">
        <f ca="1">MAX((Loads!T$36-Loads!T$35)*Loads!T$41-(Loads!$P$36-Loads!$P$35)*Loads!$P$41,0)</f>
        <v>281.92395459359523</v>
      </c>
      <c r="R46" s="6">
        <f ca="1">MAX((Loads!U$36-Loads!U$35)*Loads!U$41-(Loads!$P$36-Loads!$P$35)*Loads!$P$41,0)</f>
        <v>354.62115403118241</v>
      </c>
      <c r="S46" s="6">
        <f ca="1">MAX((Loads!V$36-Loads!V$35)*Loads!V$41-(Loads!$P$36-Loads!$P$35)*Loads!$P$41,0)</f>
        <v>428.22706846173514</v>
      </c>
      <c r="T46" s="6">
        <f ca="1">MAX((Loads!W$36-Loads!W$35)*Loads!W$41-(Loads!$P$36-Loads!$P$35)*Loads!$P$41,0)</f>
        <v>502.75305682267299</v>
      </c>
      <c r="U46" s="6">
        <f ca="1">MAX((Loads!X$36-Loads!X$35)*Loads!X$41-(Loads!$P$36-Loads!$P$35)*Loads!$P$41,0)</f>
        <v>578.2106200381113</v>
      </c>
      <c r="V46" s="6">
        <f ca="1">MAX((Loads!Y$36-Loads!Y$35)*Loads!Y$41-(Loads!$P$36-Loads!$P$35)*Loads!$P$41,0)</f>
        <v>654.61140279375195</v>
      </c>
      <c r="W46" s="6">
        <f ca="1">MAX((Loads!Z$36-Loads!Z$35)*Loads!Z$41-(Loads!$P$36-Loads!$P$35)*Loads!$P$41,0)</f>
        <v>731.96719533384567</v>
      </c>
    </row>
    <row r="47" spans="2:57">
      <c r="B47" s="81"/>
    </row>
    <row r="48" spans="2:57">
      <c r="B48" s="90" t="s">
        <v>2147</v>
      </c>
      <c r="C48" s="150"/>
      <c r="D48" s="82"/>
      <c r="E48" s="82"/>
      <c r="F48" s="82"/>
      <c r="G48" s="82"/>
      <c r="H48" s="82"/>
      <c r="I48" s="82"/>
      <c r="J48" s="82"/>
      <c r="K48" s="82"/>
      <c r="L48" s="82"/>
      <c r="M48" s="82"/>
    </row>
    <row r="49" spans="2:23">
      <c r="B49" s="89" t="s">
        <v>184</v>
      </c>
      <c r="C49" s="152" t="s">
        <v>139</v>
      </c>
      <c r="D49" s="6">
        <f ca="1">SUM(D$45:D$46)*GeneralInputs!$D38/(8.76*GeneralInputs!$E38)*GeneralInputs!$F38</f>
        <v>0</v>
      </c>
      <c r="E49" s="6">
        <f ca="1">SUM(E$45:E$46)*GeneralInputs!$D38/(8.76*GeneralInputs!$E38)*GeneralInputs!$F38</f>
        <v>0</v>
      </c>
      <c r="F49" s="6">
        <f ca="1">SUM(F$45:F$46)*GeneralInputs!$D38/(8.76*GeneralInputs!$E38)*GeneralInputs!$F38</f>
        <v>0</v>
      </c>
      <c r="G49" s="6">
        <f ca="1">SUM(G$45:G$46)*GeneralInputs!$D38/(8.76*GeneralInputs!$E38)*GeneralInputs!$F38</f>
        <v>0</v>
      </c>
      <c r="H49" s="6">
        <f ca="1">SUM(H$45:H$46)*GeneralInputs!$D38/(8.76*GeneralInputs!$E38)*GeneralInputs!$F38</f>
        <v>0</v>
      </c>
      <c r="I49" s="6">
        <f ca="1">SUM(I$45:I$46)*GeneralInputs!$D38/(8.76*GeneralInputs!$E38)*GeneralInputs!$F38</f>
        <v>0</v>
      </c>
      <c r="J49" s="6">
        <f ca="1">SUM(J$45:J$46)*GeneralInputs!$D38/(8.76*GeneralInputs!$E38)*GeneralInputs!$F38</f>
        <v>0</v>
      </c>
      <c r="K49" s="6">
        <f ca="1">SUM(K$45:K$46)*GeneralInputs!$D38/(8.76*GeneralInputs!$E38)*GeneralInputs!$F38</f>
        <v>0</v>
      </c>
      <c r="L49" s="6">
        <f ca="1">SUM(L$45:L$46)*GeneralInputs!$D38/(8.76*GeneralInputs!$E38)*GeneralInputs!$F38</f>
        <v>0</v>
      </c>
      <c r="M49" s="6">
        <f ca="1">SUM(M$45:M$46)*GeneralInputs!$D38/(8.76*GeneralInputs!$E38)*GeneralInputs!$F38</f>
        <v>0</v>
      </c>
      <c r="N49" s="6">
        <f ca="1">SUM(N$45:N$46)*GeneralInputs!$D38/(8.76*GeneralInputs!$E38)*GeneralInputs!$F38</f>
        <v>0</v>
      </c>
      <c r="O49" s="6">
        <f ca="1">SUM(O$45:O$46)*GeneralInputs!$D38/(8.76*GeneralInputs!$E38)*GeneralInputs!$F38</f>
        <v>0</v>
      </c>
      <c r="P49" s="6">
        <f ca="1">SUM(P$45:P$46)*GeneralInputs!$D38/(8.76*GeneralInputs!$E38)*GeneralInputs!$F38</f>
        <v>0</v>
      </c>
      <c r="Q49" s="6">
        <f ca="1">SUM(Q$45:Q$46)*GeneralInputs!$D38/(8.76*GeneralInputs!$E38)*GeneralInputs!$F38</f>
        <v>0</v>
      </c>
      <c r="R49" s="6">
        <f ca="1">SUM(R$45:R$46)*GeneralInputs!$D38/(8.76*GeneralInputs!$E38)*GeneralInputs!$F38</f>
        <v>0</v>
      </c>
      <c r="S49" s="6">
        <f ca="1">SUM(S$45:S$46)*GeneralInputs!$D38/(8.76*GeneralInputs!$E38)*GeneralInputs!$F38</f>
        <v>0</v>
      </c>
      <c r="T49" s="6">
        <f ca="1">SUM(T$45:T$46)*GeneralInputs!$D38/(8.76*GeneralInputs!$E38)*GeneralInputs!$F38</f>
        <v>0</v>
      </c>
      <c r="U49" s="6">
        <f ca="1">SUM(U$45:U$46)*GeneralInputs!$D38/(8.76*GeneralInputs!$E38)*GeneralInputs!$F38</f>
        <v>0</v>
      </c>
      <c r="V49" s="6">
        <f ca="1">SUM(V$45:V$46)*GeneralInputs!$D38/(8.76*GeneralInputs!$E38)*GeneralInputs!$F38</f>
        <v>0</v>
      </c>
      <c r="W49" s="6">
        <f ca="1">SUM(W$45:W$46)*GeneralInputs!$D38/(8.76*GeneralInputs!$E38)*GeneralInputs!$F38</f>
        <v>0</v>
      </c>
    </row>
    <row r="50" spans="2:23">
      <c r="B50" s="89" t="s">
        <v>139</v>
      </c>
      <c r="C50" s="152" t="s">
        <v>139</v>
      </c>
      <c r="D50" s="6">
        <f ca="1">SUM(D$45:D$46)*GeneralInputs!$D39/(8.76*GeneralInputs!$E39)*GeneralInputs!$F39</f>
        <v>0</v>
      </c>
      <c r="E50" s="6">
        <f ca="1">SUM(E$45:E$46)*GeneralInputs!$D39/(8.76*GeneralInputs!$E39)*GeneralInputs!$F39</f>
        <v>0</v>
      </c>
      <c r="F50" s="6">
        <f ca="1">SUM(F$45:F$46)*GeneralInputs!$D39/(8.76*GeneralInputs!$E39)*GeneralInputs!$F39</f>
        <v>0</v>
      </c>
      <c r="G50" s="6">
        <f ca="1">SUM(G$45:G$46)*GeneralInputs!$D39/(8.76*GeneralInputs!$E39)*GeneralInputs!$F39</f>
        <v>0</v>
      </c>
      <c r="H50" s="6">
        <f ca="1">SUM(H$45:H$46)*GeneralInputs!$D39/(8.76*GeneralInputs!$E39)*GeneralInputs!$F39</f>
        <v>0</v>
      </c>
      <c r="I50" s="6">
        <f ca="1">SUM(I$45:I$46)*GeneralInputs!$D39/(8.76*GeneralInputs!$E39)*GeneralInputs!$F39</f>
        <v>0</v>
      </c>
      <c r="J50" s="6">
        <f ca="1">SUM(J$45:J$46)*GeneralInputs!$D39/(8.76*GeneralInputs!$E39)*GeneralInputs!$F39</f>
        <v>0</v>
      </c>
      <c r="K50" s="6">
        <f ca="1">SUM(K$45:K$46)*GeneralInputs!$D39/(8.76*GeneralInputs!$E39)*GeneralInputs!$F39</f>
        <v>0</v>
      </c>
      <c r="L50" s="6">
        <f ca="1">SUM(L$45:L$46)*GeneralInputs!$D39/(8.76*GeneralInputs!$E39)*GeneralInputs!$F39</f>
        <v>0</v>
      </c>
      <c r="M50" s="6">
        <f ca="1">SUM(M$45:M$46)*GeneralInputs!$D39/(8.76*GeneralInputs!$E39)*GeneralInputs!$F39</f>
        <v>0</v>
      </c>
      <c r="N50" s="6">
        <f ca="1">SUM(N$45:N$46)*GeneralInputs!$D39/(8.76*GeneralInputs!$E39)*GeneralInputs!$F39</f>
        <v>0.18001596455109514</v>
      </c>
      <c r="O50" s="6">
        <f ca="1">SUM(O$45:O$46)*GeneralInputs!$D39/(8.76*GeneralInputs!$E39)*GeneralInputs!$F39</f>
        <v>0.36228212865910725</v>
      </c>
      <c r="P50" s="6">
        <f ca="1">SUM(P$45:P$46)*GeneralInputs!$D39/(8.76*GeneralInputs!$E39)*GeneralInputs!$F39</f>
        <v>0.54682661981847314</v>
      </c>
      <c r="Q50" s="6">
        <f ca="1">SUM(Q$45:Q$46)*GeneralInputs!$D39/(8.76*GeneralInputs!$E39)*GeneralInputs!$F39</f>
        <v>0.73367791711730168</v>
      </c>
      <c r="R50" s="6">
        <f ca="1">SUM(R$45:R$46)*GeneralInputs!$D39/(8.76*GeneralInputs!$E39)*GeneralInputs!$F39</f>
        <v>0.92286485563239351</v>
      </c>
      <c r="S50" s="6">
        <f ca="1">SUM(S$45:S$46)*GeneralInputs!$D39/(8.76*GeneralInputs!$E39)*GeneralInputs!$F39</f>
        <v>1.1144166308789127</v>
      </c>
      <c r="T50" s="6">
        <f ca="1">SUM(T$45:T$46)*GeneralInputs!$D39/(8.76*GeneralInputs!$E39)*GeneralInputs!$F39</f>
        <v>1.3083628033160222</v>
      </c>
      <c r="U50" s="6">
        <f ca="1">SUM(U$45:U$46)*GeneralInputs!$D39/(8.76*GeneralInputs!$E39)*GeneralInputs!$F39</f>
        <v>1.5047333029085659</v>
      </c>
      <c r="V50" s="6">
        <f ca="1">SUM(V$45:V$46)*GeneralInputs!$D39/(8.76*GeneralInputs!$E39)*GeneralInputs!$F39</f>
        <v>11.732837885578036</v>
      </c>
      <c r="W50" s="6">
        <f ca="1">SUM(W$45:W$46)*GeneralInputs!$D39/(8.76*GeneralInputs!$E39)*GeneralInputs!$F39</f>
        <v>26.635182602329515</v>
      </c>
    </row>
    <row r="51" spans="2:23">
      <c r="B51" s="89" t="s">
        <v>136</v>
      </c>
      <c r="C51" s="152" t="s">
        <v>136</v>
      </c>
      <c r="D51" s="6">
        <f ca="1">SUM(D$45:D$46)*GeneralInputs!$D40/(8.76*GeneralInputs!$E40)*GeneralInputs!$F40</f>
        <v>0</v>
      </c>
      <c r="E51" s="6">
        <f ca="1">SUM(E$45:E$46)*GeneralInputs!$D40/(8.76*GeneralInputs!$E40)*GeneralInputs!$F40</f>
        <v>0</v>
      </c>
      <c r="F51" s="6">
        <f ca="1">SUM(F$45:F$46)*GeneralInputs!$D40/(8.76*GeneralInputs!$E40)*GeneralInputs!$F40</f>
        <v>0</v>
      </c>
      <c r="G51" s="6">
        <f ca="1">SUM(G$45:G$46)*GeneralInputs!$D40/(8.76*GeneralInputs!$E40)*GeneralInputs!$F40</f>
        <v>0</v>
      </c>
      <c r="H51" s="6">
        <f ca="1">SUM(H$45:H$46)*GeneralInputs!$D40/(8.76*GeneralInputs!$E40)*GeneralInputs!$F40</f>
        <v>0</v>
      </c>
      <c r="I51" s="6">
        <f ca="1">SUM(I$45:I$46)*GeneralInputs!$D40/(8.76*GeneralInputs!$E40)*GeneralInputs!$F40</f>
        <v>0</v>
      </c>
      <c r="J51" s="6">
        <f ca="1">SUM(J$45:J$46)*GeneralInputs!$D40/(8.76*GeneralInputs!$E40)*GeneralInputs!$F40</f>
        <v>0</v>
      </c>
      <c r="K51" s="6">
        <f ca="1">SUM(K$45:K$46)*GeneralInputs!$D40/(8.76*GeneralInputs!$E40)*GeneralInputs!$F40</f>
        <v>0</v>
      </c>
      <c r="L51" s="6">
        <f ca="1">SUM(L$45:L$46)*GeneralInputs!$D40/(8.76*GeneralInputs!$E40)*GeneralInputs!$F40</f>
        <v>0</v>
      </c>
      <c r="M51" s="6">
        <f ca="1">SUM(M$45:M$46)*GeneralInputs!$D40/(8.76*GeneralInputs!$E40)*GeneralInputs!$F40</f>
        <v>0</v>
      </c>
      <c r="N51" s="6">
        <f ca="1">SUM(N$45:N$46)*GeneralInputs!$D40/(8.76*GeneralInputs!$E40)*GeneralInputs!$F40</f>
        <v>0.20896488332428489</v>
      </c>
      <c r="O51" s="6">
        <f ca="1">SUM(O$45:O$46)*GeneralInputs!$D40/(8.76*GeneralInputs!$E40)*GeneralInputs!$F40</f>
        <v>0.4205418276901563</v>
      </c>
      <c r="P51" s="6">
        <f ca="1">SUM(P$45:P$46)*GeneralInputs!$D40/(8.76*GeneralInputs!$E40)*GeneralInputs!$F40</f>
        <v>0.6347634838606051</v>
      </c>
      <c r="Q51" s="6">
        <f ca="1">SUM(Q$45:Q$46)*GeneralInputs!$D40/(8.76*GeneralInputs!$E40)*GeneralInputs!$F40</f>
        <v>0.85166291073315048</v>
      </c>
      <c r="R51" s="6">
        <f ca="1">SUM(R$45:R$46)*GeneralInputs!$D40/(8.76*GeneralInputs!$E40)*GeneralInputs!$F40</f>
        <v>1.0712735804416351</v>
      </c>
      <c r="S51" s="6">
        <f ca="1">SUM(S$45:S$46)*GeneralInputs!$D40/(8.76*GeneralInputs!$E40)*GeneralInputs!$F40</f>
        <v>1.2936293835214629</v>
      </c>
      <c r="T51" s="6">
        <f ca="1">SUM(T$45:T$46)*GeneralInputs!$D40/(8.76*GeneralInputs!$E40)*GeneralInputs!$F40</f>
        <v>1.5187646341397982</v>
      </c>
      <c r="U51" s="6">
        <f ca="1">SUM(U$45:U$46)*GeneralInputs!$D40/(8.76*GeneralInputs!$E40)*GeneralInputs!$F40</f>
        <v>1.7467140753908288</v>
      </c>
      <c r="V51" s="6">
        <f ca="1">SUM(V$45:V$46)*GeneralInputs!$D40/(8.76*GeneralInputs!$E40)*GeneralInputs!$F40</f>
        <v>13.6196314917762</v>
      </c>
      <c r="W51" s="6">
        <f ca="1">SUM(W$45:W$46)*GeneralInputs!$D40/(8.76*GeneralInputs!$E40)*GeneralInputs!$F40</f>
        <v>30.918467918644112</v>
      </c>
    </row>
    <row r="52" spans="2:23">
      <c r="B52" s="89" t="s">
        <v>18</v>
      </c>
      <c r="C52" s="152" t="s">
        <v>18</v>
      </c>
      <c r="D52" s="6">
        <f ca="1">SUM(D$45:D$46)*GeneralInputs!$D41/(8.76*GeneralInputs!$E41)*GeneralInputs!$F41</f>
        <v>0</v>
      </c>
      <c r="E52" s="6">
        <f ca="1">SUM(E$45:E$46)*GeneralInputs!$D41/(8.76*GeneralInputs!$E41)*GeneralInputs!$F41</f>
        <v>0</v>
      </c>
      <c r="F52" s="6">
        <f ca="1">SUM(F$45:F$46)*GeneralInputs!$D41/(8.76*GeneralInputs!$E41)*GeneralInputs!$F41</f>
        <v>0</v>
      </c>
      <c r="G52" s="6">
        <f ca="1">SUM(G$45:G$46)*GeneralInputs!$D41/(8.76*GeneralInputs!$E41)*GeneralInputs!$F41</f>
        <v>0</v>
      </c>
      <c r="H52" s="6">
        <f ca="1">SUM(H$45:H$46)*GeneralInputs!$D41/(8.76*GeneralInputs!$E41)*GeneralInputs!$F41</f>
        <v>0</v>
      </c>
      <c r="I52" s="6">
        <f ca="1">SUM(I$45:I$46)*GeneralInputs!$D41/(8.76*GeneralInputs!$E41)*GeneralInputs!$F41</f>
        <v>0</v>
      </c>
      <c r="J52" s="6">
        <f ca="1">SUM(J$45:J$46)*GeneralInputs!$D41/(8.76*GeneralInputs!$E41)*GeneralInputs!$F41</f>
        <v>0</v>
      </c>
      <c r="K52" s="6">
        <f ca="1">SUM(K$45:K$46)*GeneralInputs!$D41/(8.76*GeneralInputs!$E41)*GeneralInputs!$F41</f>
        <v>0</v>
      </c>
      <c r="L52" s="6">
        <f ca="1">SUM(L$45:L$46)*GeneralInputs!$D41/(8.76*GeneralInputs!$E41)*GeneralInputs!$F41</f>
        <v>0</v>
      </c>
      <c r="M52" s="6">
        <f ca="1">SUM(M$45:M$46)*GeneralInputs!$D41/(8.76*GeneralInputs!$E41)*GeneralInputs!$F41</f>
        <v>0</v>
      </c>
      <c r="N52" s="6">
        <f ca="1">SUM(N$45:N$46)*GeneralInputs!$D41/(8.76*GeneralInputs!$E41)*GeneralInputs!$F41</f>
        <v>0</v>
      </c>
      <c r="O52" s="6">
        <f ca="1">SUM(O$45:O$46)*GeneralInputs!$D41/(8.76*GeneralInputs!$E41)*GeneralInputs!$F41</f>
        <v>0</v>
      </c>
      <c r="P52" s="6">
        <f ca="1">SUM(P$45:P$46)*GeneralInputs!$D41/(8.76*GeneralInputs!$E41)*GeneralInputs!$F41</f>
        <v>0</v>
      </c>
      <c r="Q52" s="6">
        <f ca="1">SUM(Q$45:Q$46)*GeneralInputs!$D41/(8.76*GeneralInputs!$E41)*GeneralInputs!$F41</f>
        <v>0</v>
      </c>
      <c r="R52" s="6">
        <f ca="1">SUM(R$45:R$46)*GeneralInputs!$D41/(8.76*GeneralInputs!$E41)*GeneralInputs!$F41</f>
        <v>0</v>
      </c>
      <c r="S52" s="6">
        <f ca="1">SUM(S$45:S$46)*GeneralInputs!$D41/(8.76*GeneralInputs!$E41)*GeneralInputs!$F41</f>
        <v>0</v>
      </c>
      <c r="T52" s="6">
        <f ca="1">SUM(T$45:T$46)*GeneralInputs!$D41/(8.76*GeneralInputs!$E41)*GeneralInputs!$F41</f>
        <v>0</v>
      </c>
      <c r="U52" s="6">
        <f ca="1">SUM(U$45:U$46)*GeneralInputs!$D41/(8.76*GeneralInputs!$E41)*GeneralInputs!$F41</f>
        <v>0</v>
      </c>
      <c r="V52" s="6">
        <f ca="1">SUM(V$45:V$46)*GeneralInputs!$D41/(8.76*GeneralInputs!$E41)*GeneralInputs!$F41</f>
        <v>0</v>
      </c>
      <c r="W52" s="6">
        <f ca="1">SUM(W$45:W$46)*GeneralInputs!$D41/(8.76*GeneralInputs!$E41)*GeneralInputs!$F41</f>
        <v>0</v>
      </c>
    </row>
    <row r="53" spans="2:23">
      <c r="B53" s="89" t="s">
        <v>185</v>
      </c>
      <c r="C53" s="152" t="s">
        <v>138</v>
      </c>
      <c r="D53" s="6">
        <f ca="1">SUM(D$45:D$46)*GeneralInputs!$D42/(8.76*GeneralInputs!$E42)*GeneralInputs!$F42</f>
        <v>0</v>
      </c>
      <c r="E53" s="6">
        <f ca="1">SUM(E$45:E$46)*GeneralInputs!$D42/(8.76*GeneralInputs!$E42)*GeneralInputs!$F42</f>
        <v>0</v>
      </c>
      <c r="F53" s="6">
        <f ca="1">SUM(F$45:F$46)*GeneralInputs!$D42/(8.76*GeneralInputs!$E42)*GeneralInputs!$F42</f>
        <v>0</v>
      </c>
      <c r="G53" s="6">
        <f ca="1">SUM(G$45:G$46)*GeneralInputs!$D42/(8.76*GeneralInputs!$E42)*GeneralInputs!$F42</f>
        <v>0</v>
      </c>
      <c r="H53" s="6">
        <f ca="1">SUM(H$45:H$46)*GeneralInputs!$D42/(8.76*GeneralInputs!$E42)*GeneralInputs!$F42</f>
        <v>0</v>
      </c>
      <c r="I53" s="6">
        <f ca="1">SUM(I$45:I$46)*GeneralInputs!$D42/(8.76*GeneralInputs!$E42)*GeneralInputs!$F42</f>
        <v>0</v>
      </c>
      <c r="J53" s="6">
        <f ca="1">SUM(J$45:J$46)*GeneralInputs!$D42/(8.76*GeneralInputs!$E42)*GeneralInputs!$F42</f>
        <v>0</v>
      </c>
      <c r="K53" s="6">
        <f ca="1">SUM(K$45:K$46)*GeneralInputs!$D42/(8.76*GeneralInputs!$E42)*GeneralInputs!$F42</f>
        <v>0</v>
      </c>
      <c r="L53" s="6">
        <f ca="1">SUM(L$45:L$46)*GeneralInputs!$D42/(8.76*GeneralInputs!$E42)*GeneralInputs!$F42</f>
        <v>0</v>
      </c>
      <c r="M53" s="6">
        <f ca="1">SUM(M$45:M$46)*GeneralInputs!$D42/(8.76*GeneralInputs!$E42)*GeneralInputs!$F42</f>
        <v>0</v>
      </c>
      <c r="N53" s="6">
        <f ca="1">SUM(N$45:N$46)*GeneralInputs!$D42/(8.76*GeneralInputs!$E42)*GeneralInputs!$F42</f>
        <v>3.8314151890164556</v>
      </c>
      <c r="O53" s="6">
        <f ca="1">SUM(O$45:O$46)*GeneralInputs!$D42/(8.76*GeneralInputs!$E42)*GeneralInputs!$F42</f>
        <v>7.71072306789622</v>
      </c>
      <c r="P53" s="6">
        <f ca="1">SUM(P$45:P$46)*GeneralInputs!$D42/(8.76*GeneralInputs!$E42)*GeneralInputs!$F42</f>
        <v>11.638522295262055</v>
      </c>
      <c r="Q53" s="6">
        <f ca="1">SUM(Q$45:Q$46)*GeneralInputs!$D42/(8.76*GeneralInputs!$E42)*GeneralInputs!$F42</f>
        <v>15.615419012969342</v>
      </c>
      <c r="R53" s="6">
        <f ca="1">SUM(R$45:R$46)*GeneralInputs!$D42/(8.76*GeneralInputs!$E42)*GeneralInputs!$F42</f>
        <v>19.642026939648563</v>
      </c>
      <c r="S53" s="6">
        <f ca="1">SUM(S$45:S$46)*GeneralInputs!$D42/(8.76*GeneralInputs!$E42)*GeneralInputs!$F42</f>
        <v>23.718967465411037</v>
      </c>
      <c r="T53" s="6">
        <f ca="1">SUM(T$45:T$46)*GeneralInputs!$D42/(8.76*GeneralInputs!$E42)*GeneralInputs!$F42</f>
        <v>27.846869747745714</v>
      </c>
      <c r="U53" s="6">
        <f ca="1">SUM(U$45:U$46)*GeneralInputs!$D42/(8.76*GeneralInputs!$E42)*GeneralInputs!$F42</f>
        <v>32.026370808608952</v>
      </c>
      <c r="V53" s="6">
        <f ca="1">SUM(V$45:V$46)*GeneralInputs!$D42/(8.76*GeneralInputs!$E42)*GeneralInputs!$F42</f>
        <v>249.71881464608646</v>
      </c>
      <c r="W53" s="6">
        <f ca="1">SUM(W$45:W$46)*GeneralInputs!$D42/(8.76*GeneralInputs!$E42)*GeneralInputs!$F42</f>
        <v>566.89662741454515</v>
      </c>
    </row>
    <row r="54" spans="2:23">
      <c r="B54" s="89" t="s">
        <v>186</v>
      </c>
      <c r="C54" s="152" t="s">
        <v>138</v>
      </c>
      <c r="D54" s="6">
        <f ca="1">SUM(D$45:D$46)*GeneralInputs!$D43/(8.76*GeneralInputs!$E43)*GeneralInputs!$F43</f>
        <v>0</v>
      </c>
      <c r="E54" s="6">
        <f ca="1">SUM(E$45:E$46)*GeneralInputs!$D43/(8.76*GeneralInputs!$E43)*GeneralInputs!$F43</f>
        <v>0</v>
      </c>
      <c r="F54" s="6">
        <f ca="1">SUM(F$45:F$46)*GeneralInputs!$D43/(8.76*GeneralInputs!$E43)*GeneralInputs!$F43</f>
        <v>0</v>
      </c>
      <c r="G54" s="6">
        <f ca="1">SUM(G$45:G$46)*GeneralInputs!$D43/(8.76*GeneralInputs!$E43)*GeneralInputs!$F43</f>
        <v>0</v>
      </c>
      <c r="H54" s="6">
        <f ca="1">SUM(H$45:H$46)*GeneralInputs!$D43/(8.76*GeneralInputs!$E43)*GeneralInputs!$F43</f>
        <v>0</v>
      </c>
      <c r="I54" s="6">
        <f ca="1">SUM(I$45:I$46)*GeneralInputs!$D43/(8.76*GeneralInputs!$E43)*GeneralInputs!$F43</f>
        <v>0</v>
      </c>
      <c r="J54" s="6">
        <f ca="1">SUM(J$45:J$46)*GeneralInputs!$D43/(8.76*GeneralInputs!$E43)*GeneralInputs!$F43</f>
        <v>0</v>
      </c>
      <c r="K54" s="6">
        <f ca="1">SUM(K$45:K$46)*GeneralInputs!$D43/(8.76*GeneralInputs!$E43)*GeneralInputs!$F43</f>
        <v>0</v>
      </c>
      <c r="L54" s="6">
        <f ca="1">SUM(L$45:L$46)*GeneralInputs!$D43/(8.76*GeneralInputs!$E43)*GeneralInputs!$F43</f>
        <v>0</v>
      </c>
      <c r="M54" s="6">
        <f ca="1">SUM(M$45:M$46)*GeneralInputs!$D43/(8.76*GeneralInputs!$E43)*GeneralInputs!$F43</f>
        <v>0</v>
      </c>
      <c r="N54" s="6">
        <f ca="1">SUM(N$45:N$46)*GeneralInputs!$D43/(8.76*GeneralInputs!$E43)*GeneralInputs!$F43</f>
        <v>0</v>
      </c>
      <c r="O54" s="6">
        <f ca="1">SUM(O$45:O$46)*GeneralInputs!$D43/(8.76*GeneralInputs!$E43)*GeneralInputs!$F43</f>
        <v>0</v>
      </c>
      <c r="P54" s="6">
        <f ca="1">SUM(P$45:P$46)*GeneralInputs!$D43/(8.76*GeneralInputs!$E43)*GeneralInputs!$F43</f>
        <v>0</v>
      </c>
      <c r="Q54" s="6">
        <f ca="1">SUM(Q$45:Q$46)*GeneralInputs!$D43/(8.76*GeneralInputs!$E43)*GeneralInputs!$F43</f>
        <v>0</v>
      </c>
      <c r="R54" s="6">
        <f ca="1">SUM(R$45:R$46)*GeneralInputs!$D43/(8.76*GeneralInputs!$E43)*GeneralInputs!$F43</f>
        <v>0</v>
      </c>
      <c r="S54" s="6">
        <f ca="1">SUM(S$45:S$46)*GeneralInputs!$D43/(8.76*GeneralInputs!$E43)*GeneralInputs!$F43</f>
        <v>0</v>
      </c>
      <c r="T54" s="6">
        <f ca="1">SUM(T$45:T$46)*GeneralInputs!$D43/(8.76*GeneralInputs!$E43)*GeneralInputs!$F43</f>
        <v>0</v>
      </c>
      <c r="U54" s="6">
        <f ca="1">SUM(U$45:U$46)*GeneralInputs!$D43/(8.76*GeneralInputs!$E43)*GeneralInputs!$F43</f>
        <v>0</v>
      </c>
      <c r="V54" s="6">
        <f ca="1">SUM(V$45:V$46)*GeneralInputs!$D43/(8.76*GeneralInputs!$E43)*GeneralInputs!$F43</f>
        <v>0</v>
      </c>
      <c r="W54" s="6">
        <f ca="1">SUM(W$45:W$46)*GeneralInputs!$D43/(8.76*GeneralInputs!$E43)*GeneralInputs!$F43</f>
        <v>0</v>
      </c>
    </row>
    <row r="55" spans="2:23">
      <c r="B55" s="89" t="s">
        <v>187</v>
      </c>
      <c r="C55" s="152" t="s">
        <v>138</v>
      </c>
      <c r="D55" s="6">
        <f ca="1">SUM(D$45:D$46)*GeneralInputs!$D44/(8.76*GeneralInputs!$E44)*GeneralInputs!$F44</f>
        <v>0</v>
      </c>
      <c r="E55" s="6">
        <f ca="1">SUM(E$45:E$46)*GeneralInputs!$D44/(8.76*GeneralInputs!$E44)*GeneralInputs!$F44</f>
        <v>0</v>
      </c>
      <c r="F55" s="6">
        <f ca="1">SUM(F$45:F$46)*GeneralInputs!$D44/(8.76*GeneralInputs!$E44)*GeneralInputs!$F44</f>
        <v>0</v>
      </c>
      <c r="G55" s="6">
        <f ca="1">SUM(G$45:G$46)*GeneralInputs!$D44/(8.76*GeneralInputs!$E44)*GeneralInputs!$F44</f>
        <v>0</v>
      </c>
      <c r="H55" s="6">
        <f ca="1">SUM(H$45:H$46)*GeneralInputs!$D44/(8.76*GeneralInputs!$E44)*GeneralInputs!$F44</f>
        <v>0</v>
      </c>
      <c r="I55" s="6">
        <f ca="1">SUM(I$45:I$46)*GeneralInputs!$D44/(8.76*GeneralInputs!$E44)*GeneralInputs!$F44</f>
        <v>0</v>
      </c>
      <c r="J55" s="6">
        <f ca="1">SUM(J$45:J$46)*GeneralInputs!$D44/(8.76*GeneralInputs!$E44)*GeneralInputs!$F44</f>
        <v>0</v>
      </c>
      <c r="K55" s="6">
        <f ca="1">SUM(K$45:K$46)*GeneralInputs!$D44/(8.76*GeneralInputs!$E44)*GeneralInputs!$F44</f>
        <v>0</v>
      </c>
      <c r="L55" s="6">
        <f ca="1">SUM(L$45:L$46)*GeneralInputs!$D44/(8.76*GeneralInputs!$E44)*GeneralInputs!$F44</f>
        <v>0</v>
      </c>
      <c r="M55" s="6">
        <f ca="1">SUM(M$45:M$46)*GeneralInputs!$D44/(8.76*GeneralInputs!$E44)*GeneralInputs!$F44</f>
        <v>0</v>
      </c>
      <c r="N55" s="6">
        <f ca="1">SUM(N$45:N$46)*GeneralInputs!$D44/(8.76*GeneralInputs!$E44)*GeneralInputs!$F44</f>
        <v>4.559545598980888</v>
      </c>
      <c r="O55" s="6">
        <f ca="1">SUM(O$45:O$46)*GeneralInputs!$D44/(8.76*GeneralInputs!$E44)*GeneralInputs!$F44</f>
        <v>9.1760855179497529</v>
      </c>
      <c r="P55" s="6">
        <f ca="1">SUM(P$45:P$46)*GeneralInputs!$D44/(8.76*GeneralInputs!$E44)*GeneralInputs!$F44</f>
        <v>13.85033218590582</v>
      </c>
      <c r="Q55" s="6">
        <f ca="1">SUM(Q$45:Q$46)*GeneralInputs!$D44/(8.76*GeneralInputs!$E44)*GeneralInputs!$F44</f>
        <v>18.583006937210595</v>
      </c>
      <c r="R55" s="6">
        <f ca="1">SUM(R$45:R$46)*GeneralInputs!$D44/(8.76*GeneralInputs!$E44)*GeneralInputs!$F44</f>
        <v>23.37484012290739</v>
      </c>
      <c r="S55" s="6">
        <f ca="1">SUM(S$45:S$46)*GeneralInputs!$D44/(8.76*GeneralInputs!$E44)*GeneralInputs!$F44</f>
        <v>28.226571223425108</v>
      </c>
      <c r="T55" s="6">
        <f ca="1">SUM(T$45:T$46)*GeneralInputs!$D44/(8.76*GeneralInputs!$E44)*GeneralInputs!$F44</f>
        <v>33.138948962699509</v>
      </c>
      <c r="U55" s="6">
        <f ca="1">SUM(U$45:U$46)*GeneralInputs!$D44/(8.76*GeneralInputs!$E44)*GeneralInputs!$F44</f>
        <v>38.112731423714095</v>
      </c>
      <c r="V55" s="6">
        <f ca="1">SUM(V$45:V$46)*GeneralInputs!$D44/(8.76*GeneralInputs!$E44)*GeneralInputs!$F44</f>
        <v>297.17591702573304</v>
      </c>
      <c r="W55" s="6">
        <f ca="1">SUM(W$45:W$46)*GeneralInputs!$D44/(8.76*GeneralInputs!$E44)*GeneralInputs!$F44</f>
        <v>674.63088574032281</v>
      </c>
    </row>
    <row r="56" spans="2:23">
      <c r="B56" s="89" t="s">
        <v>137</v>
      </c>
      <c r="C56" s="152" t="s">
        <v>137</v>
      </c>
      <c r="D56" s="6">
        <f ca="1">SUM(D$45:D$46)*GeneralInputs!$D45/(8.76*GeneralInputs!$E45)*GeneralInputs!$F45</f>
        <v>0</v>
      </c>
      <c r="E56" s="6">
        <f ca="1">SUM(E$45:E$46)*GeneralInputs!$D45/(8.76*GeneralInputs!$E45)*GeneralInputs!$F45</f>
        <v>0</v>
      </c>
      <c r="F56" s="6">
        <f ca="1">SUM(F$45:F$46)*GeneralInputs!$D45/(8.76*GeneralInputs!$E45)*GeneralInputs!$F45</f>
        <v>0</v>
      </c>
      <c r="G56" s="6">
        <f ca="1">SUM(G$45:G$46)*GeneralInputs!$D45/(8.76*GeneralInputs!$E45)*GeneralInputs!$F45</f>
        <v>0</v>
      </c>
      <c r="H56" s="6">
        <f ca="1">SUM(H$45:H$46)*GeneralInputs!$D45/(8.76*GeneralInputs!$E45)*GeneralInputs!$F45</f>
        <v>0</v>
      </c>
      <c r="I56" s="6">
        <f ca="1">SUM(I$45:I$46)*GeneralInputs!$D45/(8.76*GeneralInputs!$E45)*GeneralInputs!$F45</f>
        <v>0</v>
      </c>
      <c r="J56" s="6">
        <f ca="1">SUM(J$45:J$46)*GeneralInputs!$D45/(8.76*GeneralInputs!$E45)*GeneralInputs!$F45</f>
        <v>0</v>
      </c>
      <c r="K56" s="6">
        <f ca="1">SUM(K$45:K$46)*GeneralInputs!$D45/(8.76*GeneralInputs!$E45)*GeneralInputs!$F45</f>
        <v>0</v>
      </c>
      <c r="L56" s="6">
        <f ca="1">SUM(L$45:L$46)*GeneralInputs!$D45/(8.76*GeneralInputs!$E45)*GeneralInputs!$F45</f>
        <v>0</v>
      </c>
      <c r="M56" s="6">
        <f ca="1">SUM(M$45:M$46)*GeneralInputs!$D45/(8.76*GeneralInputs!$E45)*GeneralInputs!$F45</f>
        <v>0</v>
      </c>
      <c r="N56" s="6">
        <f ca="1">SUM(N$45:N$46)*GeneralInputs!$D45/(8.76*GeneralInputs!$E45)*GeneralInputs!$F45</f>
        <v>1.8679858371725064</v>
      </c>
      <c r="O56" s="6">
        <f ca="1">SUM(O$45:O$46)*GeneralInputs!$D45/(8.76*GeneralInputs!$E45)*GeneralInputs!$F45</f>
        <v>3.7593214973099633</v>
      </c>
      <c r="P56" s="6">
        <f ca="1">SUM(P$45:P$46)*GeneralInputs!$D45/(8.76*GeneralInputs!$E45)*GeneralInputs!$F45</f>
        <v>5.6742988531991747</v>
      </c>
      <c r="Q56" s="6">
        <f ca="1">SUM(Q$45:Q$46)*GeneralInputs!$D45/(8.76*GeneralInputs!$E45)*GeneralInputs!$F45</f>
        <v>7.6132134260366984</v>
      </c>
      <c r="R56" s="6">
        <f ca="1">SUM(R$45:R$46)*GeneralInputs!$D45/(8.76*GeneralInputs!$E45)*GeneralInputs!$F45</f>
        <v>9.5763644310349783</v>
      </c>
      <c r="S56" s="6">
        <f ca="1">SUM(S$45:S$46)*GeneralInputs!$D45/(8.76*GeneralInputs!$E45)*GeneralInputs!$F45</f>
        <v>11.564054823595622</v>
      </c>
      <c r="T56" s="6">
        <f ca="1">SUM(T$45:T$46)*GeneralInputs!$D45/(8.76*GeneralInputs!$E45)*GeneralInputs!$F45</f>
        <v>13.57659134606336</v>
      </c>
      <c r="U56" s="6">
        <f ca="1">SUM(U$45:U$46)*GeneralInputs!$D45/(8.76*GeneralInputs!$E45)*GeneralInputs!$F45</f>
        <v>15.614284575061641</v>
      </c>
      <c r="V56" s="6">
        <f ca="1">SUM(V$45:V$46)*GeneralInputs!$D45/(8.76*GeneralInputs!$E45)*GeneralInputs!$F45</f>
        <v>121.74906294980302</v>
      </c>
      <c r="W56" s="6">
        <f ca="1">SUM(W$45:W$46)*GeneralInputs!$D45/(8.76*GeneralInputs!$E45)*GeneralInputs!$F45</f>
        <v>276.38739706073693</v>
      </c>
    </row>
    <row r="57" spans="2:23">
      <c r="B57" s="153" t="s">
        <v>2144</v>
      </c>
      <c r="C57" s="90"/>
      <c r="D57" s="103">
        <f ca="1">SUM(D49:D56)</f>
        <v>0</v>
      </c>
      <c r="E57" s="103">
        <f t="shared" ref="E57:W57" ca="1" si="21">SUM(E49:E56)</f>
        <v>0</v>
      </c>
      <c r="F57" s="103">
        <f t="shared" ca="1" si="21"/>
        <v>0</v>
      </c>
      <c r="G57" s="103">
        <f t="shared" ca="1" si="21"/>
        <v>0</v>
      </c>
      <c r="H57" s="103">
        <f t="shared" ca="1" si="21"/>
        <v>0</v>
      </c>
      <c r="I57" s="103">
        <f t="shared" ca="1" si="21"/>
        <v>0</v>
      </c>
      <c r="J57" s="103">
        <f t="shared" ca="1" si="21"/>
        <v>0</v>
      </c>
      <c r="K57" s="103">
        <f t="shared" ca="1" si="21"/>
        <v>0</v>
      </c>
      <c r="L57" s="103">
        <f t="shared" ca="1" si="21"/>
        <v>0</v>
      </c>
      <c r="M57" s="103">
        <f t="shared" ca="1" si="21"/>
        <v>0</v>
      </c>
      <c r="N57" s="103">
        <f t="shared" ca="1" si="21"/>
        <v>10.647927473045231</v>
      </c>
      <c r="O57" s="103">
        <f t="shared" ca="1" si="21"/>
        <v>21.4289540395052</v>
      </c>
      <c r="P57" s="103">
        <f t="shared" ca="1" si="21"/>
        <v>32.34474343804613</v>
      </c>
      <c r="Q57" s="103">
        <f t="shared" ca="1" si="21"/>
        <v>43.396980204067091</v>
      </c>
      <c r="R57" s="103">
        <f t="shared" ca="1" si="21"/>
        <v>54.587369929664959</v>
      </c>
      <c r="S57" s="103">
        <f t="shared" ca="1" si="21"/>
        <v>65.917639526832147</v>
      </c>
      <c r="T57" s="103">
        <f t="shared" ca="1" si="21"/>
        <v>77.389537493964411</v>
      </c>
      <c r="U57" s="103">
        <f t="shared" ca="1" si="21"/>
        <v>89.004834185684089</v>
      </c>
      <c r="V57" s="103">
        <f t="shared" ca="1" si="21"/>
        <v>693.99626399897681</v>
      </c>
      <c r="W57" s="103">
        <f t="shared" ca="1" si="21"/>
        <v>1575.4685607365786</v>
      </c>
    </row>
    <row r="58" spans="2:23">
      <c r="B58" s="90"/>
      <c r="C58" s="90"/>
      <c r="D58" s="91"/>
      <c r="E58" s="91"/>
      <c r="F58" s="91"/>
      <c r="G58" s="91"/>
      <c r="H58" s="91"/>
      <c r="I58" s="91"/>
      <c r="J58" s="91"/>
      <c r="K58" s="91"/>
      <c r="L58" s="91"/>
      <c r="M58" s="91"/>
    </row>
    <row r="59" spans="2:23">
      <c r="B59" s="90"/>
      <c r="C59" s="90"/>
      <c r="D59" s="91"/>
      <c r="E59" s="91"/>
      <c r="F59" s="91"/>
      <c r="G59" s="91"/>
      <c r="H59" s="91"/>
      <c r="I59" s="91"/>
      <c r="J59" s="91"/>
      <c r="K59" s="91"/>
      <c r="L59" s="91"/>
      <c r="M59" s="91"/>
    </row>
    <row r="60" spans="2:23">
      <c r="B60" s="31" t="s">
        <v>2146</v>
      </c>
      <c r="C60" s="31"/>
    </row>
    <row r="61" spans="2:23">
      <c r="B61" s="151" t="s">
        <v>184</v>
      </c>
      <c r="C61" s="152" t="s">
        <v>139</v>
      </c>
      <c r="D61" s="6">
        <f t="shared" ref="D61:W61" ca="1" si="22">SUM(D10,D21,D32,D49)</f>
        <v>0</v>
      </c>
      <c r="E61" s="6">
        <f t="shared" ca="1" si="22"/>
        <v>0</v>
      </c>
      <c r="F61" s="6">
        <f t="shared" ca="1" si="22"/>
        <v>0</v>
      </c>
      <c r="G61" s="6">
        <f t="shared" ca="1" si="22"/>
        <v>0</v>
      </c>
      <c r="H61" s="6">
        <f t="shared" ca="1" si="22"/>
        <v>0</v>
      </c>
      <c r="I61" s="6">
        <f t="shared" ca="1" si="22"/>
        <v>0</v>
      </c>
      <c r="J61" s="6">
        <f t="shared" ca="1" si="22"/>
        <v>0</v>
      </c>
      <c r="K61" s="6">
        <f t="shared" ca="1" si="22"/>
        <v>0</v>
      </c>
      <c r="L61" s="6">
        <f t="shared" ca="1" si="22"/>
        <v>0</v>
      </c>
      <c r="M61" s="6">
        <f t="shared" ca="1" si="22"/>
        <v>0</v>
      </c>
      <c r="N61" s="6">
        <f t="shared" ca="1" si="22"/>
        <v>0</v>
      </c>
      <c r="O61" s="6">
        <f t="shared" ca="1" si="22"/>
        <v>0</v>
      </c>
      <c r="P61" s="6">
        <f t="shared" ca="1" si="22"/>
        <v>0</v>
      </c>
      <c r="Q61" s="6">
        <f t="shared" ca="1" si="22"/>
        <v>0</v>
      </c>
      <c r="R61" s="6">
        <f t="shared" ca="1" si="22"/>
        <v>0</v>
      </c>
      <c r="S61" s="6">
        <f t="shared" ca="1" si="22"/>
        <v>0</v>
      </c>
      <c r="T61" s="6">
        <f t="shared" ca="1" si="22"/>
        <v>0</v>
      </c>
      <c r="U61" s="6">
        <f t="shared" ca="1" si="22"/>
        <v>0</v>
      </c>
      <c r="V61" s="6">
        <f t="shared" ca="1" si="22"/>
        <v>0</v>
      </c>
      <c r="W61" s="6">
        <f t="shared" ca="1" si="22"/>
        <v>0</v>
      </c>
    </row>
    <row r="62" spans="2:23">
      <c r="B62" s="151" t="s">
        <v>139</v>
      </c>
      <c r="C62" s="152" t="s">
        <v>139</v>
      </c>
      <c r="D62" s="6">
        <f t="shared" ref="D62:W62" ca="1" si="23">SUM(D11,D22,D33,D50)</f>
        <v>7.2599999999999971</v>
      </c>
      <c r="E62" s="6">
        <f t="shared" ca="1" si="23"/>
        <v>7.2599999999999971</v>
      </c>
      <c r="F62" s="6">
        <f t="shared" ca="1" si="23"/>
        <v>36.299999999999997</v>
      </c>
      <c r="G62" s="6">
        <f t="shared" ca="1" si="23"/>
        <v>83.03761256862532</v>
      </c>
      <c r="H62" s="6">
        <f t="shared" ca="1" si="23"/>
        <v>83.03761256862532</v>
      </c>
      <c r="I62" s="6">
        <f t="shared" ca="1" si="23"/>
        <v>83.03761256862532</v>
      </c>
      <c r="J62" s="6">
        <f t="shared" ca="1" si="23"/>
        <v>83.03761256862532</v>
      </c>
      <c r="K62" s="6">
        <f t="shared" ca="1" si="23"/>
        <v>83.03761256862532</v>
      </c>
      <c r="L62" s="6">
        <f t="shared" ca="1" si="23"/>
        <v>83.03761256862532</v>
      </c>
      <c r="M62" s="6">
        <f t="shared" ca="1" si="23"/>
        <v>83.03761256862532</v>
      </c>
      <c r="N62" s="6">
        <f t="shared" ca="1" si="23"/>
        <v>83.217628533176409</v>
      </c>
      <c r="O62" s="6">
        <f t="shared" ca="1" si="23"/>
        <v>83.399894697284424</v>
      </c>
      <c r="P62" s="6">
        <f t="shared" ca="1" si="23"/>
        <v>83.584439188443795</v>
      </c>
      <c r="Q62" s="6">
        <f t="shared" ca="1" si="23"/>
        <v>83.771290485742625</v>
      </c>
      <c r="R62" s="6">
        <f t="shared" ca="1" si="23"/>
        <v>83.960477424257718</v>
      </c>
      <c r="S62" s="6">
        <f t="shared" ca="1" si="23"/>
        <v>84.152029199504227</v>
      </c>
      <c r="T62" s="6">
        <f t="shared" ca="1" si="23"/>
        <v>84.345975371941336</v>
      </c>
      <c r="U62" s="6">
        <f t="shared" ca="1" si="23"/>
        <v>84.542345871533882</v>
      </c>
      <c r="V62" s="6">
        <f t="shared" ca="1" si="23"/>
        <v>94.770450454203356</v>
      </c>
      <c r="W62" s="6">
        <f t="shared" ca="1" si="23"/>
        <v>109.67279517095483</v>
      </c>
    </row>
    <row r="63" spans="2:23">
      <c r="B63" s="151" t="s">
        <v>136</v>
      </c>
      <c r="C63" s="152" t="s">
        <v>136</v>
      </c>
      <c r="D63" s="6">
        <f t="shared" ref="D63:W63" ca="1" si="24">SUM(D12,D23,D34,D51)</f>
        <v>0</v>
      </c>
      <c r="E63" s="6">
        <f t="shared" ca="1" si="24"/>
        <v>0</v>
      </c>
      <c r="F63" s="6">
        <f t="shared" ca="1" si="24"/>
        <v>0</v>
      </c>
      <c r="G63" s="6">
        <f t="shared" ca="1" si="24"/>
        <v>97.991057415874579</v>
      </c>
      <c r="H63" s="6">
        <f t="shared" ca="1" si="24"/>
        <v>126.18992285929171</v>
      </c>
      <c r="I63" s="6">
        <f t="shared" ca="1" si="24"/>
        <v>126.18992285929171</v>
      </c>
      <c r="J63" s="6">
        <f t="shared" ca="1" si="24"/>
        <v>126.18992285929171</v>
      </c>
      <c r="K63" s="6">
        <f t="shared" ca="1" si="24"/>
        <v>126.18992285929171</v>
      </c>
      <c r="L63" s="6">
        <f t="shared" ca="1" si="24"/>
        <v>161.48910221554908</v>
      </c>
      <c r="M63" s="6">
        <f t="shared" ca="1" si="24"/>
        <v>161.48910221554908</v>
      </c>
      <c r="N63" s="6">
        <f t="shared" ca="1" si="24"/>
        <v>161.69806709887337</v>
      </c>
      <c r="O63" s="6">
        <f t="shared" ca="1" si="24"/>
        <v>161.90964404323924</v>
      </c>
      <c r="P63" s="6">
        <f t="shared" ca="1" si="24"/>
        <v>162.12386569940969</v>
      </c>
      <c r="Q63" s="6">
        <f t="shared" ca="1" si="24"/>
        <v>162.34076512628224</v>
      </c>
      <c r="R63" s="6">
        <f t="shared" ca="1" si="24"/>
        <v>162.56037579599072</v>
      </c>
      <c r="S63" s="6">
        <f t="shared" ca="1" si="24"/>
        <v>162.78273159907056</v>
      </c>
      <c r="T63" s="6">
        <f t="shared" ca="1" si="24"/>
        <v>163.00786684968887</v>
      </c>
      <c r="U63" s="6">
        <f t="shared" ca="1" si="24"/>
        <v>163.23581629093991</v>
      </c>
      <c r="V63" s="6">
        <f t="shared" ca="1" si="24"/>
        <v>175.10873370732529</v>
      </c>
      <c r="W63" s="6">
        <f t="shared" ca="1" si="24"/>
        <v>192.40757013419318</v>
      </c>
    </row>
    <row r="64" spans="2:23">
      <c r="B64" s="151" t="s">
        <v>18</v>
      </c>
      <c r="C64" s="152" t="s">
        <v>18</v>
      </c>
      <c r="D64" s="6">
        <f t="shared" ref="D64:W64" ca="1" si="25">SUM(D13,D24,D35,D52)</f>
        <v>0</v>
      </c>
      <c r="E64" s="6">
        <f t="shared" ca="1" si="25"/>
        <v>0</v>
      </c>
      <c r="F64" s="6">
        <f t="shared" ca="1" si="25"/>
        <v>0</v>
      </c>
      <c r="G64" s="6">
        <f t="shared" ca="1" si="25"/>
        <v>0</v>
      </c>
      <c r="H64" s="6">
        <f t="shared" ca="1" si="25"/>
        <v>0</v>
      </c>
      <c r="I64" s="6">
        <f t="shared" ca="1" si="25"/>
        <v>0</v>
      </c>
      <c r="J64" s="6">
        <f t="shared" ca="1" si="25"/>
        <v>0</v>
      </c>
      <c r="K64" s="6">
        <f t="shared" ca="1" si="25"/>
        <v>0</v>
      </c>
      <c r="L64" s="6">
        <f t="shared" ca="1" si="25"/>
        <v>0</v>
      </c>
      <c r="M64" s="6">
        <f t="shared" ca="1" si="25"/>
        <v>0</v>
      </c>
      <c r="N64" s="6">
        <f t="shared" ca="1" si="25"/>
        <v>0</v>
      </c>
      <c r="O64" s="6">
        <f t="shared" ca="1" si="25"/>
        <v>0</v>
      </c>
      <c r="P64" s="6">
        <f t="shared" ca="1" si="25"/>
        <v>0</v>
      </c>
      <c r="Q64" s="6">
        <f t="shared" ca="1" si="25"/>
        <v>0</v>
      </c>
      <c r="R64" s="6">
        <f t="shared" ca="1" si="25"/>
        <v>0</v>
      </c>
      <c r="S64" s="6">
        <f t="shared" ca="1" si="25"/>
        <v>0</v>
      </c>
      <c r="T64" s="6">
        <f t="shared" ca="1" si="25"/>
        <v>0</v>
      </c>
      <c r="U64" s="6">
        <f t="shared" ca="1" si="25"/>
        <v>0</v>
      </c>
      <c r="V64" s="6">
        <f t="shared" ca="1" si="25"/>
        <v>0</v>
      </c>
      <c r="W64" s="6">
        <f t="shared" ca="1" si="25"/>
        <v>0</v>
      </c>
    </row>
    <row r="65" spans="2:23">
      <c r="B65" s="151" t="s">
        <v>185</v>
      </c>
      <c r="C65" s="152" t="s">
        <v>138</v>
      </c>
      <c r="D65" s="6">
        <f t="shared" ref="D65:W65" ca="1" si="26">SUM(D14,D25,D36,D53)</f>
        <v>0</v>
      </c>
      <c r="E65" s="6">
        <f t="shared" ca="1" si="26"/>
        <v>74.472518201901266</v>
      </c>
      <c r="F65" s="6">
        <f t="shared" ca="1" si="26"/>
        <v>74.472518201901266</v>
      </c>
      <c r="G65" s="6">
        <f t="shared" ca="1" si="26"/>
        <v>212.88481311866769</v>
      </c>
      <c r="H65" s="6">
        <f t="shared" ca="1" si="26"/>
        <v>1053.0633950628621</v>
      </c>
      <c r="I65" s="6">
        <f t="shared" ca="1" si="26"/>
        <v>1673.8042315888936</v>
      </c>
      <c r="J65" s="6">
        <f t="shared" ca="1" si="26"/>
        <v>1864.5583247062918</v>
      </c>
      <c r="K65" s="6">
        <f t="shared" ca="1" si="26"/>
        <v>1864.5583247062918</v>
      </c>
      <c r="L65" s="6">
        <f t="shared" ca="1" si="26"/>
        <v>1916.7830179069329</v>
      </c>
      <c r="M65" s="6">
        <f t="shared" ca="1" si="26"/>
        <v>1916.7830179069329</v>
      </c>
      <c r="N65" s="6">
        <f t="shared" ca="1" si="26"/>
        <v>1920.6144330959494</v>
      </c>
      <c r="O65" s="6">
        <f t="shared" ca="1" si="26"/>
        <v>1924.4937409748291</v>
      </c>
      <c r="P65" s="6">
        <f t="shared" ca="1" si="26"/>
        <v>1928.4215402021948</v>
      </c>
      <c r="Q65" s="6">
        <f t="shared" ca="1" si="26"/>
        <v>1932.3984369199022</v>
      </c>
      <c r="R65" s="6">
        <f t="shared" ca="1" si="26"/>
        <v>1936.4250448465814</v>
      </c>
      <c r="S65" s="6">
        <f t="shared" ca="1" si="26"/>
        <v>1940.5019853723438</v>
      </c>
      <c r="T65" s="6">
        <f t="shared" ca="1" si="26"/>
        <v>1944.6298876546787</v>
      </c>
      <c r="U65" s="6">
        <f t="shared" ca="1" si="26"/>
        <v>1948.8093887155419</v>
      </c>
      <c r="V65" s="6">
        <f t="shared" ca="1" si="26"/>
        <v>2166.5018325530191</v>
      </c>
      <c r="W65" s="6">
        <f t="shared" ca="1" si="26"/>
        <v>2483.6796453214779</v>
      </c>
    </row>
    <row r="66" spans="2:23">
      <c r="B66" s="151" t="s">
        <v>186</v>
      </c>
      <c r="C66" s="152" t="s">
        <v>138</v>
      </c>
      <c r="D66" s="6">
        <f t="shared" ref="D66:W66" ca="1" si="27">SUM(D15,D26,D37,D54)</f>
        <v>0</v>
      </c>
      <c r="E66" s="6">
        <f t="shared" ca="1" si="27"/>
        <v>0</v>
      </c>
      <c r="F66" s="6">
        <f t="shared" ca="1" si="27"/>
        <v>0</v>
      </c>
      <c r="G66" s="6">
        <f t="shared" ca="1" si="27"/>
        <v>0</v>
      </c>
      <c r="H66" s="6">
        <f t="shared" ca="1" si="27"/>
        <v>0</v>
      </c>
      <c r="I66" s="6">
        <f t="shared" ca="1" si="27"/>
        <v>0</v>
      </c>
      <c r="J66" s="6">
        <f t="shared" ca="1" si="27"/>
        <v>0</v>
      </c>
      <c r="K66" s="6">
        <f t="shared" ca="1" si="27"/>
        <v>0</v>
      </c>
      <c r="L66" s="6">
        <f t="shared" ca="1" si="27"/>
        <v>0</v>
      </c>
      <c r="M66" s="6">
        <f t="shared" ca="1" si="27"/>
        <v>0</v>
      </c>
      <c r="N66" s="6">
        <f t="shared" ca="1" si="27"/>
        <v>0</v>
      </c>
      <c r="O66" s="6">
        <f t="shared" ca="1" si="27"/>
        <v>0</v>
      </c>
      <c r="P66" s="6">
        <f t="shared" ca="1" si="27"/>
        <v>0</v>
      </c>
      <c r="Q66" s="6">
        <f t="shared" ca="1" si="27"/>
        <v>0</v>
      </c>
      <c r="R66" s="6">
        <f t="shared" ca="1" si="27"/>
        <v>0</v>
      </c>
      <c r="S66" s="6">
        <f t="shared" ca="1" si="27"/>
        <v>0</v>
      </c>
      <c r="T66" s="6">
        <f t="shared" ca="1" si="27"/>
        <v>0</v>
      </c>
      <c r="U66" s="6">
        <f t="shared" ca="1" si="27"/>
        <v>0</v>
      </c>
      <c r="V66" s="6">
        <f t="shared" ca="1" si="27"/>
        <v>0</v>
      </c>
      <c r="W66" s="6">
        <f t="shared" ca="1" si="27"/>
        <v>0</v>
      </c>
    </row>
    <row r="67" spans="2:23">
      <c r="B67" s="151" t="s">
        <v>187</v>
      </c>
      <c r="C67" s="152" t="s">
        <v>138</v>
      </c>
      <c r="D67" s="6">
        <f t="shared" ref="D67:W67" ca="1" si="28">SUM(D16,D27,D38,D55)</f>
        <v>0</v>
      </c>
      <c r="E67" s="6">
        <f t="shared" ca="1" si="28"/>
        <v>0</v>
      </c>
      <c r="F67" s="6">
        <f t="shared" ca="1" si="28"/>
        <v>167.55372760575372</v>
      </c>
      <c r="G67" s="6">
        <f t="shared" ca="1" si="28"/>
        <v>404.10007450955254</v>
      </c>
      <c r="H67" s="6">
        <f t="shared" ca="1" si="28"/>
        <v>835.04342052199149</v>
      </c>
      <c r="I67" s="6">
        <f t="shared" ca="1" si="28"/>
        <v>835.04342052199149</v>
      </c>
      <c r="J67" s="6">
        <f t="shared" ca="1" si="28"/>
        <v>1322.1790196145323</v>
      </c>
      <c r="K67" s="6">
        <f t="shared" ca="1" si="28"/>
        <v>1322.1790196145323</v>
      </c>
      <c r="L67" s="6">
        <f t="shared" ca="1" si="28"/>
        <v>2343.6155782492842</v>
      </c>
      <c r="M67" s="6">
        <f t="shared" ca="1" si="28"/>
        <v>2343.6155782492842</v>
      </c>
      <c r="N67" s="6">
        <f t="shared" ca="1" si="28"/>
        <v>2348.1751238482652</v>
      </c>
      <c r="O67" s="6">
        <f t="shared" ca="1" si="28"/>
        <v>2352.7916637672338</v>
      </c>
      <c r="P67" s="6">
        <f t="shared" ca="1" si="28"/>
        <v>2357.4659104351899</v>
      </c>
      <c r="Q67" s="6">
        <f t="shared" ca="1" si="28"/>
        <v>2362.1985851864947</v>
      </c>
      <c r="R67" s="6">
        <f t="shared" ca="1" si="28"/>
        <v>2366.9904183721915</v>
      </c>
      <c r="S67" s="6">
        <f t="shared" ca="1" si="28"/>
        <v>2371.8421494727095</v>
      </c>
      <c r="T67" s="6">
        <f t="shared" ca="1" si="28"/>
        <v>2376.7545272119837</v>
      </c>
      <c r="U67" s="6">
        <f t="shared" ca="1" si="28"/>
        <v>2381.7283096729984</v>
      </c>
      <c r="V67" s="6">
        <f t="shared" ca="1" si="28"/>
        <v>2640.791495275017</v>
      </c>
      <c r="W67" s="6">
        <f t="shared" ca="1" si="28"/>
        <v>3018.246463989607</v>
      </c>
    </row>
    <row r="68" spans="2:23">
      <c r="B68" s="151" t="s">
        <v>137</v>
      </c>
      <c r="C68" s="152" t="s">
        <v>137</v>
      </c>
      <c r="D68" s="6">
        <f t="shared" ref="D68:W68" ca="1" si="29">SUM(D17,D28,D39,D56)</f>
        <v>12.589988748223417</v>
      </c>
      <c r="E68" s="6">
        <f t="shared" ca="1" si="29"/>
        <v>19.036321485541421</v>
      </c>
      <c r="F68" s="6">
        <f t="shared" ca="1" si="29"/>
        <v>19.036321485541421</v>
      </c>
      <c r="G68" s="6">
        <f t="shared" ca="1" si="29"/>
        <v>31.739480985609909</v>
      </c>
      <c r="H68" s="6">
        <f t="shared" ca="1" si="29"/>
        <v>525.35958877195014</v>
      </c>
      <c r="I68" s="6">
        <f t="shared" ca="1" si="29"/>
        <v>550.49809799889647</v>
      </c>
      <c r="J68" s="6">
        <f t="shared" ca="1" si="29"/>
        <v>723.09044336319562</v>
      </c>
      <c r="K68" s="6">
        <f t="shared" ca="1" si="29"/>
        <v>723.09044336319562</v>
      </c>
      <c r="L68" s="6">
        <f t="shared" ca="1" si="29"/>
        <v>726.35579300134123</v>
      </c>
      <c r="M68" s="6">
        <f t="shared" ca="1" si="29"/>
        <v>726.35579300134123</v>
      </c>
      <c r="N68" s="6">
        <f t="shared" ca="1" si="29"/>
        <v>728.22377883851368</v>
      </c>
      <c r="O68" s="6">
        <f t="shared" ca="1" si="29"/>
        <v>730.11511449865122</v>
      </c>
      <c r="P68" s="6">
        <f t="shared" ca="1" si="29"/>
        <v>732.03009185454039</v>
      </c>
      <c r="Q68" s="6">
        <f t="shared" ca="1" si="29"/>
        <v>733.96900642737796</v>
      </c>
      <c r="R68" s="6">
        <f t="shared" ca="1" si="29"/>
        <v>735.93215743237624</v>
      </c>
      <c r="S68" s="6">
        <f t="shared" ca="1" si="29"/>
        <v>737.91984782493682</v>
      </c>
      <c r="T68" s="6">
        <f t="shared" ca="1" si="29"/>
        <v>739.93238434740454</v>
      </c>
      <c r="U68" s="6">
        <f t="shared" ca="1" si="29"/>
        <v>741.9700775764029</v>
      </c>
      <c r="V68" s="6">
        <f t="shared" ca="1" si="29"/>
        <v>848.10485595114426</v>
      </c>
      <c r="W68" s="6">
        <f t="shared" ca="1" si="29"/>
        <v>1002.7431900620782</v>
      </c>
    </row>
    <row r="69" spans="2:23">
      <c r="B69" s="90" t="s">
        <v>2143</v>
      </c>
      <c r="D69" s="103">
        <f ca="1">SUM(D61:D68)</f>
        <v>19.849988748223414</v>
      </c>
      <c r="E69" s="103">
        <f t="shared" ref="E69:W69" ca="1" si="30">SUM(E61:E68)</f>
        <v>100.76883968744268</v>
      </c>
      <c r="F69" s="103">
        <f t="shared" ca="1" si="30"/>
        <v>297.36256729319638</v>
      </c>
      <c r="G69" s="103">
        <f t="shared" ca="1" si="30"/>
        <v>829.75303859833014</v>
      </c>
      <c r="H69" s="103">
        <f t="shared" ca="1" si="30"/>
        <v>2622.6939397847209</v>
      </c>
      <c r="I69" s="103">
        <f t="shared" ca="1" si="30"/>
        <v>3268.5732855376987</v>
      </c>
      <c r="J69" s="103">
        <f t="shared" ca="1" si="30"/>
        <v>4119.0553231119366</v>
      </c>
      <c r="K69" s="103">
        <f t="shared" ca="1" si="30"/>
        <v>4119.0553231119366</v>
      </c>
      <c r="L69" s="103">
        <f t="shared" ca="1" si="30"/>
        <v>5231.2811039417329</v>
      </c>
      <c r="M69" s="103">
        <f t="shared" ca="1" si="30"/>
        <v>5231.2811039417329</v>
      </c>
      <c r="N69" s="103">
        <f t="shared" ca="1" si="30"/>
        <v>5241.9290314147784</v>
      </c>
      <c r="O69" s="103">
        <f t="shared" ca="1" si="30"/>
        <v>5252.7100579812386</v>
      </c>
      <c r="P69" s="103">
        <f t="shared" ca="1" si="30"/>
        <v>5263.6258473797789</v>
      </c>
      <c r="Q69" s="103">
        <f t="shared" ca="1" si="30"/>
        <v>5274.6780841458003</v>
      </c>
      <c r="R69" s="103">
        <f t="shared" ca="1" si="30"/>
        <v>5285.8684738713982</v>
      </c>
      <c r="S69" s="103">
        <f t="shared" ca="1" si="30"/>
        <v>5297.1987434685652</v>
      </c>
      <c r="T69" s="103">
        <f t="shared" ca="1" si="30"/>
        <v>5308.6706414356977</v>
      </c>
      <c r="U69" s="103">
        <f t="shared" ca="1" si="30"/>
        <v>5320.2859381274175</v>
      </c>
      <c r="V69" s="103">
        <f t="shared" ca="1" si="30"/>
        <v>5925.2773679407092</v>
      </c>
      <c r="W69" s="103">
        <f t="shared" ca="1" si="30"/>
        <v>6806.7496646783111</v>
      </c>
    </row>
    <row r="71" spans="2:23">
      <c r="B71" s="31" t="s">
        <v>2146</v>
      </c>
    </row>
    <row r="72" spans="2:23">
      <c r="B72" s="151" t="s">
        <v>139</v>
      </c>
      <c r="C72" s="152"/>
      <c r="D72" s="6">
        <f ca="1">SUMIF($C$61:$C$68,$B72,D$61:D$68)</f>
        <v>7.2599999999999971</v>
      </c>
      <c r="E72" s="6">
        <f t="shared" ref="E72:T76" ca="1" si="31">SUMIF($C$61:$C$68,$B72,E$61:E$68)</f>
        <v>7.2599999999999971</v>
      </c>
      <c r="F72" s="6">
        <f t="shared" ca="1" si="31"/>
        <v>36.299999999999997</v>
      </c>
      <c r="G72" s="6">
        <f t="shared" ca="1" si="31"/>
        <v>83.03761256862532</v>
      </c>
      <c r="H72" s="6">
        <f t="shared" ca="1" si="31"/>
        <v>83.03761256862532</v>
      </c>
      <c r="I72" s="6">
        <f t="shared" ca="1" si="31"/>
        <v>83.03761256862532</v>
      </c>
      <c r="J72" s="6">
        <f t="shared" ca="1" si="31"/>
        <v>83.03761256862532</v>
      </c>
      <c r="K72" s="6">
        <f t="shared" ca="1" si="31"/>
        <v>83.03761256862532</v>
      </c>
      <c r="L72" s="6">
        <f t="shared" ca="1" si="31"/>
        <v>83.03761256862532</v>
      </c>
      <c r="M72" s="6">
        <f t="shared" ca="1" si="31"/>
        <v>83.03761256862532</v>
      </c>
      <c r="N72" s="6">
        <f t="shared" ca="1" si="31"/>
        <v>83.217628533176409</v>
      </c>
      <c r="O72" s="6">
        <f t="shared" ca="1" si="31"/>
        <v>83.399894697284424</v>
      </c>
      <c r="P72" s="6">
        <f t="shared" ca="1" si="31"/>
        <v>83.584439188443795</v>
      </c>
      <c r="Q72" s="6">
        <f t="shared" ca="1" si="31"/>
        <v>83.771290485742625</v>
      </c>
      <c r="R72" s="6">
        <f t="shared" ca="1" si="31"/>
        <v>83.960477424257718</v>
      </c>
      <c r="S72" s="6">
        <f t="shared" ca="1" si="31"/>
        <v>84.152029199504227</v>
      </c>
      <c r="T72" s="6">
        <f t="shared" ca="1" si="31"/>
        <v>84.345975371941336</v>
      </c>
      <c r="U72" s="6">
        <f t="shared" ref="U72:W76" ca="1" si="32">SUMIF($C$61:$C$68,$B72,U$61:U$68)</f>
        <v>84.542345871533882</v>
      </c>
      <c r="V72" s="6">
        <f t="shared" ca="1" si="32"/>
        <v>94.770450454203356</v>
      </c>
      <c r="W72" s="6">
        <f t="shared" ca="1" si="32"/>
        <v>109.67279517095483</v>
      </c>
    </row>
    <row r="73" spans="2:23">
      <c r="B73" s="151" t="s">
        <v>136</v>
      </c>
      <c r="C73" s="152"/>
      <c r="D73" s="6">
        <f t="shared" ref="D73:D76" ca="1" si="33">SUMIF($C$61:$C$68,$B73,D$61:D$68)</f>
        <v>0</v>
      </c>
      <c r="E73" s="6">
        <f t="shared" ca="1" si="31"/>
        <v>0</v>
      </c>
      <c r="F73" s="6">
        <f t="shared" ca="1" si="31"/>
        <v>0</v>
      </c>
      <c r="G73" s="6">
        <f t="shared" ca="1" si="31"/>
        <v>97.991057415874579</v>
      </c>
      <c r="H73" s="6">
        <f t="shared" ca="1" si="31"/>
        <v>126.18992285929171</v>
      </c>
      <c r="I73" s="6">
        <f t="shared" ca="1" si="31"/>
        <v>126.18992285929171</v>
      </c>
      <c r="J73" s="6">
        <f t="shared" ca="1" si="31"/>
        <v>126.18992285929171</v>
      </c>
      <c r="K73" s="6">
        <f t="shared" ca="1" si="31"/>
        <v>126.18992285929171</v>
      </c>
      <c r="L73" s="6">
        <f t="shared" ca="1" si="31"/>
        <v>161.48910221554908</v>
      </c>
      <c r="M73" s="6">
        <f t="shared" ca="1" si="31"/>
        <v>161.48910221554908</v>
      </c>
      <c r="N73" s="6">
        <f t="shared" ca="1" si="31"/>
        <v>161.69806709887337</v>
      </c>
      <c r="O73" s="6">
        <f t="shared" ca="1" si="31"/>
        <v>161.90964404323924</v>
      </c>
      <c r="P73" s="6">
        <f t="shared" ca="1" si="31"/>
        <v>162.12386569940969</v>
      </c>
      <c r="Q73" s="6">
        <f t="shared" ca="1" si="31"/>
        <v>162.34076512628224</v>
      </c>
      <c r="R73" s="6">
        <f t="shared" ca="1" si="31"/>
        <v>162.56037579599072</v>
      </c>
      <c r="S73" s="6">
        <f t="shared" ca="1" si="31"/>
        <v>162.78273159907056</v>
      </c>
      <c r="T73" s="6">
        <f t="shared" ca="1" si="31"/>
        <v>163.00786684968887</v>
      </c>
      <c r="U73" s="6">
        <f t="shared" ca="1" si="32"/>
        <v>163.23581629093991</v>
      </c>
      <c r="V73" s="6">
        <f t="shared" ca="1" si="32"/>
        <v>175.10873370732529</v>
      </c>
      <c r="W73" s="6">
        <f t="shared" ca="1" si="32"/>
        <v>192.40757013419318</v>
      </c>
    </row>
    <row r="74" spans="2:23">
      <c r="B74" s="151" t="s">
        <v>18</v>
      </c>
      <c r="C74" s="152"/>
      <c r="D74" s="6">
        <f t="shared" ca="1" si="33"/>
        <v>0</v>
      </c>
      <c r="E74" s="6">
        <f t="shared" ca="1" si="31"/>
        <v>0</v>
      </c>
      <c r="F74" s="6">
        <f t="shared" ca="1" si="31"/>
        <v>0</v>
      </c>
      <c r="G74" s="6">
        <f t="shared" ca="1" si="31"/>
        <v>0</v>
      </c>
      <c r="H74" s="6">
        <f t="shared" ca="1" si="31"/>
        <v>0</v>
      </c>
      <c r="I74" s="6">
        <f t="shared" ca="1" si="31"/>
        <v>0</v>
      </c>
      <c r="J74" s="6">
        <f t="shared" ca="1" si="31"/>
        <v>0</v>
      </c>
      <c r="K74" s="6">
        <f t="shared" ca="1" si="31"/>
        <v>0</v>
      </c>
      <c r="L74" s="6">
        <f t="shared" ca="1" si="31"/>
        <v>0</v>
      </c>
      <c r="M74" s="6">
        <f t="shared" ca="1" si="31"/>
        <v>0</v>
      </c>
      <c r="N74" s="6">
        <f t="shared" ca="1" si="31"/>
        <v>0</v>
      </c>
      <c r="O74" s="6">
        <f t="shared" ca="1" si="31"/>
        <v>0</v>
      </c>
      <c r="P74" s="6">
        <f t="shared" ca="1" si="31"/>
        <v>0</v>
      </c>
      <c r="Q74" s="6">
        <f t="shared" ca="1" si="31"/>
        <v>0</v>
      </c>
      <c r="R74" s="6">
        <f t="shared" ca="1" si="31"/>
        <v>0</v>
      </c>
      <c r="S74" s="6">
        <f t="shared" ca="1" si="31"/>
        <v>0</v>
      </c>
      <c r="T74" s="6">
        <f t="shared" ca="1" si="31"/>
        <v>0</v>
      </c>
      <c r="U74" s="6">
        <f t="shared" ca="1" si="32"/>
        <v>0</v>
      </c>
      <c r="V74" s="6">
        <f t="shared" ca="1" si="32"/>
        <v>0</v>
      </c>
      <c r="W74" s="6">
        <f t="shared" ca="1" si="32"/>
        <v>0</v>
      </c>
    </row>
    <row r="75" spans="2:23">
      <c r="B75" s="151" t="s">
        <v>138</v>
      </c>
      <c r="C75" s="152"/>
      <c r="D75" s="6">
        <f t="shared" ca="1" si="33"/>
        <v>0</v>
      </c>
      <c r="E75" s="6">
        <f t="shared" ca="1" si="31"/>
        <v>74.472518201901266</v>
      </c>
      <c r="F75" s="6">
        <f t="shared" ca="1" si="31"/>
        <v>242.02624580765499</v>
      </c>
      <c r="G75" s="6">
        <f t="shared" ca="1" si="31"/>
        <v>616.98488762822024</v>
      </c>
      <c r="H75" s="6">
        <f t="shared" ca="1" si="31"/>
        <v>1888.1068155848536</v>
      </c>
      <c r="I75" s="6">
        <f t="shared" ca="1" si="31"/>
        <v>2508.8476521108851</v>
      </c>
      <c r="J75" s="6">
        <f t="shared" ca="1" si="31"/>
        <v>3186.7373443208244</v>
      </c>
      <c r="K75" s="6">
        <f t="shared" ca="1" si="31"/>
        <v>3186.7373443208244</v>
      </c>
      <c r="L75" s="6">
        <f t="shared" ca="1" si="31"/>
        <v>4260.3985961562175</v>
      </c>
      <c r="M75" s="6">
        <f t="shared" ca="1" si="31"/>
        <v>4260.3985961562175</v>
      </c>
      <c r="N75" s="6">
        <f t="shared" ca="1" si="31"/>
        <v>4268.7895569442144</v>
      </c>
      <c r="O75" s="6">
        <f t="shared" ca="1" si="31"/>
        <v>4277.2854047420624</v>
      </c>
      <c r="P75" s="6">
        <f t="shared" ca="1" si="31"/>
        <v>4285.887450637385</v>
      </c>
      <c r="Q75" s="6">
        <f t="shared" ca="1" si="31"/>
        <v>4294.5970221063972</v>
      </c>
      <c r="R75" s="6">
        <f t="shared" ca="1" si="31"/>
        <v>4303.4154632187729</v>
      </c>
      <c r="S75" s="6">
        <f t="shared" ca="1" si="31"/>
        <v>4312.3441348450533</v>
      </c>
      <c r="T75" s="6">
        <f t="shared" ca="1" si="31"/>
        <v>4321.3844148666622</v>
      </c>
      <c r="U75" s="6">
        <f t="shared" ca="1" si="32"/>
        <v>4330.5376983885399</v>
      </c>
      <c r="V75" s="6">
        <f t="shared" ca="1" si="32"/>
        <v>4807.2933278280361</v>
      </c>
      <c r="W75" s="6">
        <f t="shared" ca="1" si="32"/>
        <v>5501.9261093110854</v>
      </c>
    </row>
    <row r="76" spans="2:23">
      <c r="B76" s="151" t="s">
        <v>137</v>
      </c>
      <c r="C76" s="152"/>
      <c r="D76" s="6">
        <f t="shared" ca="1" si="33"/>
        <v>12.589988748223417</v>
      </c>
      <c r="E76" s="6">
        <f t="shared" ca="1" si="31"/>
        <v>19.036321485541421</v>
      </c>
      <c r="F76" s="6">
        <f t="shared" ca="1" si="31"/>
        <v>19.036321485541421</v>
      </c>
      <c r="G76" s="6">
        <f t="shared" ca="1" si="31"/>
        <v>31.739480985609909</v>
      </c>
      <c r="H76" s="6">
        <f t="shared" ca="1" si="31"/>
        <v>525.35958877195014</v>
      </c>
      <c r="I76" s="6">
        <f t="shared" ca="1" si="31"/>
        <v>550.49809799889647</v>
      </c>
      <c r="J76" s="6">
        <f t="shared" ca="1" si="31"/>
        <v>723.09044336319562</v>
      </c>
      <c r="K76" s="6">
        <f t="shared" ca="1" si="31"/>
        <v>723.09044336319562</v>
      </c>
      <c r="L76" s="6">
        <f t="shared" ca="1" si="31"/>
        <v>726.35579300134123</v>
      </c>
      <c r="M76" s="6">
        <f t="shared" ca="1" si="31"/>
        <v>726.35579300134123</v>
      </c>
      <c r="N76" s="6">
        <f t="shared" ca="1" si="31"/>
        <v>728.22377883851368</v>
      </c>
      <c r="O76" s="6">
        <f t="shared" ca="1" si="31"/>
        <v>730.11511449865122</v>
      </c>
      <c r="P76" s="6">
        <f t="shared" ca="1" si="31"/>
        <v>732.03009185454039</v>
      </c>
      <c r="Q76" s="6">
        <f t="shared" ca="1" si="31"/>
        <v>733.96900642737796</v>
      </c>
      <c r="R76" s="6">
        <f t="shared" ca="1" si="31"/>
        <v>735.93215743237624</v>
      </c>
      <c r="S76" s="6">
        <f t="shared" ca="1" si="31"/>
        <v>737.91984782493682</v>
      </c>
      <c r="T76" s="6">
        <f t="shared" ca="1" si="31"/>
        <v>739.93238434740454</v>
      </c>
      <c r="U76" s="6">
        <f t="shared" ca="1" si="32"/>
        <v>741.9700775764029</v>
      </c>
      <c r="V76" s="6">
        <f t="shared" ca="1" si="32"/>
        <v>848.10485595114426</v>
      </c>
      <c r="W76" s="6">
        <f t="shared" ca="1" si="32"/>
        <v>1002.7431900620782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2:Q69"/>
  <sheetViews>
    <sheetView workbookViewId="0">
      <selection activeCell="D23" sqref="D23"/>
    </sheetView>
  </sheetViews>
  <sheetFormatPr defaultRowHeight="12.75"/>
  <cols>
    <col min="1" max="2" width="9.140625" style="12"/>
    <col min="3" max="3" width="20.140625" style="12" bestFit="1" customWidth="1"/>
    <col min="4" max="5" width="10" style="12" bestFit="1" customWidth="1"/>
    <col min="6" max="6" width="9.28515625" style="12" bestFit="1" customWidth="1"/>
    <col min="7" max="16384" width="9.140625" style="12"/>
  </cols>
  <sheetData>
    <row r="2" spans="3:17">
      <c r="C2" s="8" t="s">
        <v>13</v>
      </c>
    </row>
    <row r="3" spans="3:17">
      <c r="C3" s="182" t="s">
        <v>820</v>
      </c>
      <c r="D3" s="12" t="s">
        <v>14</v>
      </c>
      <c r="E3" s="12" t="s">
        <v>15</v>
      </c>
      <c r="F3" s="12" t="s">
        <v>4</v>
      </c>
    </row>
    <row r="4" spans="3:17">
      <c r="C4" s="12" t="s">
        <v>10</v>
      </c>
      <c r="D4" s="93">
        <v>9.7000000000000003E-2</v>
      </c>
      <c r="E4" s="93">
        <v>0.11899999999999999</v>
      </c>
      <c r="F4" s="93">
        <v>7.6999999999999999E-2</v>
      </c>
      <c r="H4" s="20" t="s">
        <v>144</v>
      </c>
    </row>
    <row r="5" spans="3:17">
      <c r="C5" s="12" t="s">
        <v>16</v>
      </c>
      <c r="D5" s="93">
        <v>7.5999999999999998E-2</v>
      </c>
      <c r="E5" s="93">
        <v>0.112</v>
      </c>
      <c r="F5" s="93">
        <v>7.6999999999999999E-2</v>
      </c>
      <c r="H5" s="20" t="s">
        <v>145</v>
      </c>
    </row>
    <row r="6" spans="3:17">
      <c r="C6" s="12" t="s">
        <v>11</v>
      </c>
      <c r="D6" s="93">
        <v>9.6000000000000002E-2</v>
      </c>
      <c r="E6" s="93">
        <v>6.6000000000000003E-2</v>
      </c>
      <c r="F6" s="93">
        <v>7.6999999999999999E-2</v>
      </c>
      <c r="H6" s="20" t="s">
        <v>143</v>
      </c>
    </row>
    <row r="7" spans="3:17">
      <c r="D7" s="12" t="s">
        <v>14</v>
      </c>
      <c r="E7" s="12" t="s">
        <v>15</v>
      </c>
      <c r="F7" s="12" t="s">
        <v>4</v>
      </c>
      <c r="H7" s="20"/>
    </row>
    <row r="8" spans="3:17">
      <c r="C8" s="19" t="s">
        <v>2231</v>
      </c>
      <c r="D8" s="93">
        <v>9.7000000000000003E-2</v>
      </c>
      <c r="E8" s="93">
        <v>0.11899999999999999</v>
      </c>
      <c r="F8" s="93">
        <v>7.6999999999999999E-2</v>
      </c>
      <c r="G8" s="20"/>
    </row>
    <row r="9" spans="3:17">
      <c r="C9" s="182" t="s">
        <v>804</v>
      </c>
      <c r="D9" s="93">
        <v>7.5999999999999998E-2</v>
      </c>
      <c r="E9" s="93">
        <v>0.112</v>
      </c>
      <c r="F9" s="93">
        <v>7.6999999999999999E-2</v>
      </c>
    </row>
    <row r="10" spans="3:17">
      <c r="C10" s="182" t="s">
        <v>2130</v>
      </c>
      <c r="D10" s="93">
        <v>9.6000000000000002E-2</v>
      </c>
      <c r="E10" s="93">
        <v>6.6000000000000003E-2</v>
      </c>
      <c r="F10" s="93">
        <v>7.6999999999999999E-2</v>
      </c>
    </row>
    <row r="11" spans="3:17">
      <c r="C11" s="182"/>
    </row>
    <row r="12" spans="3:17">
      <c r="C12" s="8" t="s">
        <v>2065</v>
      </c>
    </row>
    <row r="13" spans="3:17">
      <c r="C13" s="22"/>
      <c r="D13" s="26" t="s">
        <v>10</v>
      </c>
      <c r="E13" s="26" t="s">
        <v>12</v>
      </c>
      <c r="F13" s="26" t="s">
        <v>11</v>
      </c>
      <c r="Q13" s="65"/>
    </row>
    <row r="14" spans="3:17">
      <c r="C14" s="23" t="s">
        <v>139</v>
      </c>
      <c r="D14" s="64">
        <f ca="1">SUMIFS(OFFSET('2011 Prelim NQC Report'!$H$3,0,0,ctExistingNQC,1),OFFSET('2011 Prelim NQC Report'!$E$3,0,0,ctExistingNQC,1),D$13,OFFSET('2011 Prelim NQC Report'!$F$3,0,0,ctExistingNQC,1),$C14)+SUMIFS(OFFSET('2011 Prelim NQC Report'!$I$3,0,month-1,ctExistingNQC,1),OFFSET('2011 Prelim NQC Report'!$E$3,0,0,ctExistingNQC,1),D$13,OFFSET('2011 Prelim NQC Report'!$F$3,0,0,ctExistingNQC,1),$C14)</f>
        <v>408.74</v>
      </c>
      <c r="E14" s="64">
        <f ca="1">SUMIFS(OFFSET('2011 Prelim NQC Report'!$H$3,0,0,ctExistingNQC,1),OFFSET('2011 Prelim NQC Report'!$E$3,0,0,ctExistingNQC,1),E$13,OFFSET('2011 Prelim NQC Report'!$F$3,0,0,ctExistingNQC,1),$C14)+SUMIFS(OFFSET('2011 Prelim NQC Report'!$I$3,0,month-1,ctExistingNQC,1),OFFSET('2011 Prelim NQC Report'!$E$3,0,0,ctExistingNQC,1),E$13,OFFSET('2011 Prelim NQC Report'!$F$3,0,0,ctExistingNQC,1),$C14)</f>
        <v>149.76999999999998</v>
      </c>
      <c r="F14" s="64">
        <f ca="1">SUMIFS(OFFSET('2011 Prelim NQC Report'!$H$3,0,0,ctExistingNQC,1),OFFSET('2011 Prelim NQC Report'!$E$3,0,0,ctExistingNQC,1),F$13,OFFSET('2011 Prelim NQC Report'!$F$3,0,0,ctExistingNQC,1),$C14)+SUMIFS(OFFSET('2011 Prelim NQC Report'!$I$3,0,month-1,ctExistingNQC,1),OFFSET('2011 Prelim NQC Report'!$E$3,0,0,ctExistingNQC,1),F$13,OFFSET('2011 Prelim NQC Report'!$F$3,0,0,ctExistingNQC,1),$C14)</f>
        <v>14.58</v>
      </c>
    </row>
    <row r="15" spans="3:17">
      <c r="C15" s="23" t="s">
        <v>2061</v>
      </c>
      <c r="D15" s="64">
        <f ca="1">SUMIFS(OFFSET('2011 Prelim NQC Report'!$H$3,0,0,ctExistingNQC,1),OFFSET('2011 Prelim NQC Report'!$E$3,0,0,ctExistingNQC,1),D$13,OFFSET('2011 Prelim NQC Report'!$F$3,0,0,ctExistingNQC,1),$C15)+SUMIFS(OFFSET('2011 Prelim NQC Report'!$I$3,0,month-1,ctExistingNQC,1),OFFSET('2011 Prelim NQC Report'!$E$3,0,0,ctExistingNQC,1),D$13,OFFSET('2011 Prelim NQC Report'!$F$3,0,0,ctExistingNQC,1),$C15)</f>
        <v>1887.8999999999996</v>
      </c>
      <c r="E15" s="64">
        <f ca="1">SUMIFS(OFFSET('2011 Prelim NQC Report'!$H$3,0,0,ctExistingNQC,1),OFFSET('2011 Prelim NQC Report'!$E$3,0,0,ctExistingNQC,1),E$13,OFFSET('2011 Prelim NQC Report'!$F$3,0,0,ctExistingNQC,1),$C15)+SUMIFS(OFFSET('2011 Prelim NQC Report'!$I$3,0,month-1,ctExistingNQC,1),OFFSET('2011 Prelim NQC Report'!$E$3,0,0,ctExistingNQC,1),E$13,OFFSET('2011 Prelim NQC Report'!$F$3,0,0,ctExistingNQC,1),$C15)</f>
        <v>1488.8799999999999</v>
      </c>
      <c r="F15" s="64">
        <f ca="1">SUMIFS(OFFSET('2011 Prelim NQC Report'!$H$3,0,0,ctExistingNQC,1),OFFSET('2011 Prelim NQC Report'!$E$3,0,0,ctExistingNQC,1),F$13,OFFSET('2011 Prelim NQC Report'!$F$3,0,0,ctExistingNQC,1),$C15)+SUMIFS(OFFSET('2011 Prelim NQC Report'!$I$3,0,month-1,ctExistingNQC,1),OFFSET('2011 Prelim NQC Report'!$E$3,0,0,ctExistingNQC,1),F$13,OFFSET('2011 Prelim NQC Report'!$F$3,0,0,ctExistingNQC,1),$C15)</f>
        <v>136.20999999999998</v>
      </c>
    </row>
    <row r="16" spans="3:17">
      <c r="C16" s="23" t="s">
        <v>136</v>
      </c>
      <c r="D16" s="64">
        <f ca="1">SUMIFS(OFFSET('2011 Prelim NQC Report'!$H$3,0,0,ctExistingNQC,1),OFFSET('2011 Prelim NQC Report'!$E$3,0,0,ctExistingNQC,1),D$13,OFFSET('2011 Prelim NQC Report'!$F$3,0,0,ctExistingNQC,1),$C16)+SUMIFS(OFFSET('2011 Prelim NQC Report'!$I$3,0,month-1,ctExistingNQC,1),OFFSET('2011 Prelim NQC Report'!$E$3,0,0,ctExistingNQC,1),D$13,OFFSET('2011 Prelim NQC Report'!$F$3,0,0,ctExistingNQC,1),$C16)</f>
        <v>834.7</v>
      </c>
      <c r="E16" s="64">
        <f ca="1">SUMIFS(OFFSET('2011 Prelim NQC Report'!$H$3,0,0,ctExistingNQC,1),OFFSET('2011 Prelim NQC Report'!$E$3,0,0,ctExistingNQC,1),E$13,OFFSET('2011 Prelim NQC Report'!$F$3,0,0,ctExistingNQC,1),$C16)+SUMIFS(OFFSET('2011 Prelim NQC Report'!$I$3,0,month-1,ctExistingNQC,1),OFFSET('2011 Prelim NQC Report'!$E$3,0,0,ctExistingNQC,1),E$13,OFFSET('2011 Prelim NQC Report'!$F$3,0,0,ctExistingNQC,1),$C16)</f>
        <v>244.43000000000004</v>
      </c>
      <c r="F16" s="64">
        <f ca="1">SUMIFS(OFFSET('2011 Prelim NQC Report'!$H$3,0,0,ctExistingNQC,1),OFFSET('2011 Prelim NQC Report'!$E$3,0,0,ctExistingNQC,1),F$13,OFFSET('2011 Prelim NQC Report'!$F$3,0,0,ctExistingNQC,1),$C16)+SUMIFS(OFFSET('2011 Prelim NQC Report'!$I$3,0,month-1,ctExistingNQC,1),OFFSET('2011 Prelim NQC Report'!$E$3,0,0,ctExistingNQC,1),F$13,OFFSET('2011 Prelim NQC Report'!$F$3,0,0,ctExistingNQC,1),$C16)</f>
        <v>0</v>
      </c>
    </row>
    <row r="17" spans="3:9">
      <c r="C17" s="23" t="s">
        <v>18</v>
      </c>
      <c r="D17" s="64">
        <f ca="1">SUMIFS(OFFSET('2011 Prelim NQC Report'!$H$3,0,0,ctExistingNQC,1),OFFSET('2011 Prelim NQC Report'!$E$3,0,0,ctExistingNQC,1),D$13,OFFSET('2011 Prelim NQC Report'!$F$3,0,0,ctExistingNQC,1),$C17)+SUMIFS(OFFSET('2011 Prelim NQC Report'!$I$3,0,month-1,ctExistingNQC,1),OFFSET('2011 Prelim NQC Report'!$E$3,0,0,ctExistingNQC,1),D$13,OFFSET('2011 Prelim NQC Report'!$F$3,0,0,ctExistingNQC,1),$C17)</f>
        <v>6461.0900000000011</v>
      </c>
      <c r="E17" s="64">
        <f ca="1">SUMIFS(OFFSET('2011 Prelim NQC Report'!$H$3,0,0,ctExistingNQC,1),OFFSET('2011 Prelim NQC Report'!$E$3,0,0,ctExistingNQC,1),E$13,OFFSET('2011 Prelim NQC Report'!$F$3,0,0,ctExistingNQC,1),$C17)+SUMIFS(OFFSET('2011 Prelim NQC Report'!$I$3,0,month-1,ctExistingNQC,1),OFFSET('2011 Prelim NQC Report'!$E$3,0,0,ctExistingNQC,1),E$13,OFFSET('2011 Prelim NQC Report'!$F$3,0,0,ctExistingNQC,1),$C17)</f>
        <v>1469.6799999999998</v>
      </c>
      <c r="F17" s="64">
        <f ca="1">SUMIFS(OFFSET('2011 Prelim NQC Report'!$H$3,0,0,ctExistingNQC,1),OFFSET('2011 Prelim NQC Report'!$E$3,0,0,ctExistingNQC,1),F$13,OFFSET('2011 Prelim NQC Report'!$F$3,0,0,ctExistingNQC,1),$C17)+SUMIFS(OFFSET('2011 Prelim NQC Report'!$I$3,0,month-1,ctExistingNQC,1),OFFSET('2011 Prelim NQC Report'!$E$3,0,0,ctExistingNQC,1),F$13,OFFSET('2011 Prelim NQC Report'!$F$3,0,0,ctExistingNQC,1),$C17)</f>
        <v>3.9213200000000001</v>
      </c>
    </row>
    <row r="18" spans="3:9">
      <c r="C18" s="23" t="s">
        <v>21</v>
      </c>
      <c r="D18" s="64">
        <f ca="1">SUMIFS(OFFSET('2011 Prelim NQC Report'!$H$3,0,0,ctExistingNQC,1),OFFSET('2011 Prelim NQC Report'!$E$3,0,0,ctExistingNQC,1),D$13,OFFSET('2011 Prelim NQC Report'!$F$3,0,0,ctExistingNQC,1),$C18)+SUMIFS(OFFSET('2011 Prelim NQC Report'!$I$3,0,month-1,ctExistingNQC,1),OFFSET('2011 Prelim NQC Report'!$E$3,0,0,ctExistingNQC,1),D$13,OFFSET('2011 Prelim NQC Report'!$F$3,0,0,ctExistingNQC,1),$C18)</f>
        <v>2240</v>
      </c>
      <c r="E18" s="64">
        <f ca="1">SUMIFS(OFFSET('2011 Prelim NQC Report'!$H$3,0,0,ctExistingNQC,1),OFFSET('2011 Prelim NQC Report'!$E$3,0,0,ctExistingNQC,1),E$13,OFFSET('2011 Prelim NQC Report'!$F$3,0,0,ctExistingNQC,1),$C18)+SUMIFS(OFFSET('2011 Prelim NQC Report'!$I$3,0,month-1,ctExistingNQC,1),OFFSET('2011 Prelim NQC Report'!$E$3,0,0,ctExistingNQC,1),E$13,OFFSET('2011 Prelim NQC Report'!$F$3,0,0,ctExistingNQC,1),$C18)</f>
        <v>2246</v>
      </c>
      <c r="F18" s="64">
        <f ca="1">SUMIFS(OFFSET('2011 Prelim NQC Report'!$H$3,0,0,ctExistingNQC,1),OFFSET('2011 Prelim NQC Report'!$E$3,0,0,ctExistingNQC,1),F$13,OFFSET('2011 Prelim NQC Report'!$F$3,0,0,ctExistingNQC,1),$C18)+SUMIFS(OFFSET('2011 Prelim NQC Report'!$I$3,0,month-1,ctExistingNQC,1),OFFSET('2011 Prelim NQC Report'!$E$3,0,0,ctExistingNQC,1),F$13,OFFSET('2011 Prelim NQC Report'!$F$3,0,0,ctExistingNQC,1),$C18)</f>
        <v>0</v>
      </c>
    </row>
    <row r="19" spans="3:9">
      <c r="C19" s="23" t="s">
        <v>20</v>
      </c>
      <c r="D19" s="64">
        <f ca="1">SUMIFS(OFFSET('2011 Prelim NQC Report'!$H$3,0,0,ctExistingNQC,1),OFFSET('2011 Prelim NQC Report'!$E$3,0,0,ctExistingNQC,1),D$13,OFFSET('2011 Prelim NQC Report'!$F$3,0,0,ctExistingNQC,1),$C19)+SUMIFS(OFFSET('2011 Prelim NQC Report'!$I$3,0,month-1,ctExistingNQC,1),OFFSET('2011 Prelim NQC Report'!$E$3,0,0,ctExistingNQC,1),D$13,OFFSET('2011 Prelim NQC Report'!$F$3,0,0,ctExistingNQC,1),$C19)</f>
        <v>2370.3399999999997</v>
      </c>
      <c r="E19" s="64">
        <f ca="1">SUMIFS(OFFSET('2011 Prelim NQC Report'!$H$3,0,0,ctExistingNQC,1),OFFSET('2011 Prelim NQC Report'!$E$3,0,0,ctExistingNQC,1),E$13,OFFSET('2011 Prelim NQC Report'!$F$3,0,0,ctExistingNQC,1),$C19)+SUMIFS(OFFSET('2011 Prelim NQC Report'!$I$3,0,month-1,ctExistingNQC,1),OFFSET('2011 Prelim NQC Report'!$E$3,0,0,ctExistingNQC,1),E$13,OFFSET('2011 Prelim NQC Report'!$F$3,0,0,ctExistingNQC,1),$C19)</f>
        <v>1080.6500000000001</v>
      </c>
      <c r="F19" s="64">
        <f ca="1">SUMIFS(OFFSET('2011 Prelim NQC Report'!$H$3,0,0,ctExistingNQC,1),OFFSET('2011 Prelim NQC Report'!$E$3,0,0,ctExistingNQC,1),F$13,OFFSET('2011 Prelim NQC Report'!$F$3,0,0,ctExistingNQC,1),$C19)+SUMIFS(OFFSET('2011 Prelim NQC Report'!$I$3,0,month-1,ctExistingNQC,1),OFFSET('2011 Prelim NQC Report'!$E$3,0,0,ctExistingNQC,1),F$13,OFFSET('2011 Prelim NQC Report'!$F$3,0,0,ctExistingNQC,1),$C19)</f>
        <v>705.3</v>
      </c>
    </row>
    <row r="20" spans="3:9">
      <c r="C20" s="23" t="s">
        <v>138</v>
      </c>
      <c r="D20" s="64">
        <f ca="1">SUMIFS(OFFSET('2011 Prelim NQC Report'!$H$3,0,0,ctExistingNQC,1),OFFSET('2011 Prelim NQC Report'!$E$3,0,0,ctExistingNQC,1),D$13,OFFSET('2011 Prelim NQC Report'!$F$3,0,0,ctExistingNQC,1),$C20)+SUMIFS(OFFSET('2011 Prelim NQC Report'!$I$3,0,month-1,ctExistingNQC,1),OFFSET('2011 Prelim NQC Report'!$E$3,0,0,ctExistingNQC,1),D$13,OFFSET('2011 Prelim NQC Report'!$F$3,0,0,ctExistingNQC,1),$C20)</f>
        <v>1.8406721803182851</v>
      </c>
      <c r="E20" s="64">
        <f ca="1">SUMIFS(OFFSET('2011 Prelim NQC Report'!$H$3,0,0,ctExistingNQC,1),OFFSET('2011 Prelim NQC Report'!$E$3,0,0,ctExistingNQC,1),E$13,OFFSET('2011 Prelim NQC Report'!$F$3,0,0,ctExistingNQC,1),$C20)+SUMIFS(OFFSET('2011 Prelim NQC Report'!$I$3,0,month-1,ctExistingNQC,1),OFFSET('2011 Prelim NQC Report'!$E$3,0,0,ctExistingNQC,1),E$13,OFFSET('2011 Prelim NQC Report'!$F$3,0,0,ctExistingNQC,1),$C20)</f>
        <v>381.79840225397857</v>
      </c>
      <c r="F20" s="64">
        <f ca="1">SUMIFS(OFFSET('2011 Prelim NQC Report'!$H$3,0,0,ctExistingNQC,1),OFFSET('2011 Prelim NQC Report'!$E$3,0,0,ctExistingNQC,1),F$13,OFFSET('2011 Prelim NQC Report'!$F$3,0,0,ctExistingNQC,1),$C20)+SUMIFS(OFFSET('2011 Prelim NQC Report'!$I$3,0,month-1,ctExistingNQC,1),OFFSET('2011 Prelim NQC Report'!$E$3,0,0,ctExistingNQC,1),F$13,OFFSET('2011 Prelim NQC Report'!$F$3,0,0,ctExistingNQC,1),$C20)</f>
        <v>0</v>
      </c>
    </row>
    <row r="21" spans="3:9">
      <c r="C21" s="23" t="s">
        <v>19</v>
      </c>
      <c r="D21" s="64">
        <f ca="1">SUMIFS(OFFSET('2011 Prelim NQC Report'!$H$3,0,0,ctExistingNQC,1),OFFSET('2011 Prelim NQC Report'!$E$3,0,0,ctExistingNQC,1),D$13,OFFSET('2011 Prelim NQC Report'!$F$3,0,0,ctExistingNQC,1),$C21)+SUMIFS(OFFSET('2011 Prelim NQC Report'!$I$3,0,month-1,ctExistingNQC,1),OFFSET('2011 Prelim NQC Report'!$E$3,0,0,ctExistingNQC,1),D$13,OFFSET('2011 Prelim NQC Report'!$F$3,0,0,ctExistingNQC,1),$C21)</f>
        <v>10464.75</v>
      </c>
      <c r="E21" s="64">
        <f ca="1">SUMIFS(OFFSET('2011 Prelim NQC Report'!$H$3,0,0,ctExistingNQC,1),OFFSET('2011 Prelim NQC Report'!$E$3,0,0,ctExistingNQC,1),E$13,OFFSET('2011 Prelim NQC Report'!$F$3,0,0,ctExistingNQC,1),$C21)+SUMIFS(OFFSET('2011 Prelim NQC Report'!$I$3,0,month-1,ctExistingNQC,1),OFFSET('2011 Prelim NQC Report'!$E$3,0,0,ctExistingNQC,1),E$13,OFFSET('2011 Prelim NQC Report'!$F$3,0,0,ctExistingNQC,1),$C21)</f>
        <v>12082.550000000001</v>
      </c>
      <c r="F21" s="64">
        <f ca="1">SUMIFS(OFFSET('2011 Prelim NQC Report'!$H$3,0,0,ctExistingNQC,1),OFFSET('2011 Prelim NQC Report'!$E$3,0,0,ctExistingNQC,1),F$13,OFFSET('2011 Prelim NQC Report'!$F$3,0,0,ctExistingNQC,1),$C21)+SUMIFS(OFFSET('2011 Prelim NQC Report'!$I$3,0,month-1,ctExistingNQC,1),OFFSET('2011 Prelim NQC Report'!$E$3,0,0,ctExistingNQC,1),F$13,OFFSET('2011 Prelim NQC Report'!$F$3,0,0,ctExistingNQC,1),$C21)</f>
        <v>3540.7999999999997</v>
      </c>
    </row>
    <row r="22" spans="3:9">
      <c r="C22" s="23" t="s">
        <v>137</v>
      </c>
      <c r="D22" s="64">
        <f ca="1">SUMIFS(OFFSET('2011 Prelim NQC Report'!$H$3,0,0,ctExistingNQC,1),OFFSET('2011 Prelim NQC Report'!$E$3,0,0,ctExistingNQC,1),D$13,OFFSET('2011 Prelim NQC Report'!$F$3,0,0,ctExistingNQC,1),$C22)+SUMIFS(OFFSET('2011 Prelim NQC Report'!$I$3,0,month-1,ctExistingNQC,1),OFFSET('2011 Prelim NQC Report'!$E$3,0,0,ctExistingNQC,1),D$13,OFFSET('2011 Prelim NQC Report'!$F$3,0,0,ctExistingNQC,1),$C22)</f>
        <v>179.94</v>
      </c>
      <c r="E22" s="64">
        <f ca="1">SUMIFS(OFFSET('2011 Prelim NQC Report'!$H$3,0,0,ctExistingNQC,1),OFFSET('2011 Prelim NQC Report'!$E$3,0,0,ctExistingNQC,1),E$13,OFFSET('2011 Prelim NQC Report'!$F$3,0,0,ctExistingNQC,1),$C22)+SUMIFS(OFFSET('2011 Prelim NQC Report'!$I$3,0,month-1,ctExistingNQC,1),OFFSET('2011 Prelim NQC Report'!$E$3,0,0,ctExistingNQC,1),E$13,OFFSET('2011 Prelim NQC Report'!$F$3,0,0,ctExistingNQC,1),$C22)</f>
        <v>140.42999999999998</v>
      </c>
      <c r="F22" s="64">
        <f ca="1">SUMIFS(OFFSET('2011 Prelim NQC Report'!$H$3,0,0,ctExistingNQC,1),OFFSET('2011 Prelim NQC Report'!$E$3,0,0,ctExistingNQC,1),F$13,OFFSET('2011 Prelim NQC Report'!$F$3,0,0,ctExistingNQC,1),$C22)+SUMIFS(OFFSET('2011 Prelim NQC Report'!$I$3,0,month-1,ctExistingNQC,1),OFFSET('2011 Prelim NQC Report'!$E$3,0,0,ctExistingNQC,1),F$13,OFFSET('2011 Prelim NQC Report'!$F$3,0,0,ctExistingNQC,1),$C22)</f>
        <v>6.46</v>
      </c>
    </row>
    <row r="23" spans="3:9">
      <c r="C23" s="23" t="s">
        <v>22</v>
      </c>
      <c r="D23" s="64">
        <f ca="1">SUMIFS(OFFSET('2011 Prelim NQC Report'!$H$3,0,0,ctExistingNQC,1),OFFSET('2011 Prelim NQC Report'!$E$3,0,0,ctExistingNQC,1),D$13,OFFSET('2011 Prelim NQC Report'!$F$3,0,0,ctExistingNQC,1),$C23)+SUMIFS(OFFSET('2011 Prelim NQC Report'!$I$3,0,month-1,ctExistingNQC,1),OFFSET('2011 Prelim NQC Report'!$E$3,0,0,ctExistingNQC,1),D$13,OFFSET('2011 Prelim NQC Report'!$F$3,0,0,ctExistingNQC,1),$C23)</f>
        <v>767.92000000000007</v>
      </c>
      <c r="E23" s="64">
        <f ca="1">SUMIFS(OFFSET('2011 Prelim NQC Report'!$H$3,0,0,ctExistingNQC,1),OFFSET('2011 Prelim NQC Report'!$E$3,0,0,ctExistingNQC,1),E$13,OFFSET('2011 Prelim NQC Report'!$F$3,0,0,ctExistingNQC,1),$C23)+SUMIFS(OFFSET('2011 Prelim NQC Report'!$I$3,0,month-1,ctExistingNQC,1),OFFSET('2011 Prelim NQC Report'!$E$3,0,0,ctExistingNQC,1),E$13,OFFSET('2011 Prelim NQC Report'!$F$3,0,0,ctExistingNQC,1),$C23)</f>
        <v>497.54</v>
      </c>
      <c r="F23" s="64">
        <f ca="1">SUMIFS(OFFSET('2011 Prelim NQC Report'!$H$3,0,0,ctExistingNQC,1),OFFSET('2011 Prelim NQC Report'!$E$3,0,0,ctExistingNQC,1),F$13,OFFSET('2011 Prelim NQC Report'!$F$3,0,0,ctExistingNQC,1),$C23)+SUMIFS(OFFSET('2011 Prelim NQC Report'!$I$3,0,month-1,ctExistingNQC,1),OFFSET('2011 Prelim NQC Report'!$E$3,0,0,ctExistingNQC,1),F$13,OFFSET('2011 Prelim NQC Report'!$F$3,0,0,ctExistingNQC,1),$C23)</f>
        <v>2.95</v>
      </c>
    </row>
    <row r="24" spans="3:9">
      <c r="C24" s="20"/>
    </row>
    <row r="25" spans="3:9">
      <c r="C25" s="8" t="s">
        <v>142</v>
      </c>
      <c r="D25" s="94">
        <v>7064</v>
      </c>
      <c r="E25" s="94">
        <v>9250</v>
      </c>
      <c r="F25" s="94">
        <v>1271</v>
      </c>
      <c r="I25" s="27"/>
    </row>
    <row r="26" spans="3:9">
      <c r="I26" s="27"/>
    </row>
    <row r="27" spans="3:9">
      <c r="C27" s="8" t="s">
        <v>146</v>
      </c>
      <c r="I27" s="27"/>
    </row>
    <row r="28" spans="3:9">
      <c r="C28" s="8"/>
      <c r="D28" s="26" t="s">
        <v>10</v>
      </c>
      <c r="E28" s="26" t="s">
        <v>12</v>
      </c>
      <c r="F28" s="26" t="s">
        <v>11</v>
      </c>
    </row>
    <row r="29" spans="3:9">
      <c r="C29" s="25" t="s">
        <v>17</v>
      </c>
      <c r="D29" s="38">
        <f ca="1">SUM(D14,D16,D20,D22)</f>
        <v>1425.2206721803184</v>
      </c>
      <c r="E29" s="38">
        <f t="shared" ref="E29:F29" ca="1" si="0">SUM(E14,E16,E20,E22)</f>
        <v>916.42840225397856</v>
      </c>
      <c r="F29" s="38">
        <f t="shared" ca="1" si="0"/>
        <v>21.04</v>
      </c>
    </row>
    <row r="30" spans="3:9">
      <c r="C30" s="25" t="s">
        <v>18</v>
      </c>
      <c r="D30" s="38">
        <f ca="1">D17</f>
        <v>6461.0900000000011</v>
      </c>
      <c r="E30" s="38">
        <f t="shared" ref="E30:F30" ca="1" si="1">E17</f>
        <v>1469.6799999999998</v>
      </c>
      <c r="F30" s="38">
        <f t="shared" ca="1" si="1"/>
        <v>3.9213200000000001</v>
      </c>
    </row>
    <row r="31" spans="3:9">
      <c r="C31" s="25" t="s">
        <v>4</v>
      </c>
      <c r="D31" s="38">
        <f ca="1">D15</f>
        <v>1887.8999999999996</v>
      </c>
      <c r="E31" s="38">
        <f t="shared" ref="E31:F31" ca="1" si="2">E15</f>
        <v>1488.8799999999999</v>
      </c>
      <c r="F31" s="38">
        <f t="shared" ca="1" si="2"/>
        <v>136.20999999999998</v>
      </c>
    </row>
    <row r="32" spans="3:9">
      <c r="C32" s="25" t="s">
        <v>141</v>
      </c>
      <c r="D32" s="38">
        <f>D25</f>
        <v>7064</v>
      </c>
      <c r="E32" s="38">
        <f>E25</f>
        <v>9250</v>
      </c>
      <c r="F32" s="38">
        <f>F25</f>
        <v>1271</v>
      </c>
    </row>
    <row r="33" spans="3:7">
      <c r="C33" s="25" t="s">
        <v>140</v>
      </c>
      <c r="D33" s="38">
        <f ca="1">SUM(D14:D23)-SUM(D29:D31)-D25</f>
        <v>8779.0099999999966</v>
      </c>
      <c r="E33" s="38">
        <f ca="1">SUM(E14:E23)-SUM(E29:E31)-E25</f>
        <v>6656.7400000000052</v>
      </c>
      <c r="F33" s="38">
        <f ca="1">SUM(F14:F23)-SUM(F29:F31)-F25</f>
        <v>2978.0499999999993</v>
      </c>
    </row>
    <row r="34" spans="3:7">
      <c r="C34" s="25"/>
    </row>
    <row r="36" spans="3:7">
      <c r="C36" s="8" t="s">
        <v>2132</v>
      </c>
      <c r="D36" s="106"/>
    </row>
    <row r="37" spans="3:7">
      <c r="C37" s="107" t="s">
        <v>2133</v>
      </c>
      <c r="D37" s="106"/>
      <c r="E37" s="106" t="s">
        <v>2134</v>
      </c>
      <c r="F37" s="106" t="s">
        <v>2135</v>
      </c>
    </row>
    <row r="38" spans="3:7">
      <c r="C38" s="106" t="s">
        <v>184</v>
      </c>
      <c r="D38" s="108">
        <v>5.5807569340135359E-3</v>
      </c>
      <c r="E38" s="109">
        <v>0.8</v>
      </c>
      <c r="F38" s="109">
        <v>0</v>
      </c>
    </row>
    <row r="39" spans="3:7">
      <c r="C39" s="106" t="s">
        <v>139</v>
      </c>
      <c r="D39" s="108">
        <v>2.9359764326746959E-2</v>
      </c>
      <c r="E39" s="109">
        <v>0.85</v>
      </c>
      <c r="F39" s="109">
        <v>0.66</v>
      </c>
    </row>
    <row r="40" spans="3:7">
      <c r="C40" s="106" t="s">
        <v>136</v>
      </c>
      <c r="D40" s="108">
        <v>3.0322242318170881E-2</v>
      </c>
      <c r="E40" s="109">
        <v>0.82500000000000007</v>
      </c>
      <c r="F40" s="109">
        <v>0.72</v>
      </c>
    </row>
    <row r="41" spans="3:7">
      <c r="C41" s="106" t="s">
        <v>18</v>
      </c>
      <c r="D41" s="108">
        <v>0</v>
      </c>
      <c r="E41" s="109">
        <v>0.35</v>
      </c>
      <c r="F41" s="109">
        <v>0</v>
      </c>
    </row>
    <row r="42" spans="3:7">
      <c r="C42" s="106" t="s">
        <v>185</v>
      </c>
      <c r="D42" s="108">
        <v>0.19739468544964961</v>
      </c>
      <c r="E42" s="109">
        <v>0.26443749999999999</v>
      </c>
      <c r="F42" s="109">
        <v>0.65</v>
      </c>
    </row>
    <row r="43" spans="3:7">
      <c r="C43" s="106" t="s">
        <v>186</v>
      </c>
      <c r="D43" s="108">
        <v>5.2536027491432082E-2</v>
      </c>
      <c r="E43" s="109">
        <v>0.23851225776812562</v>
      </c>
      <c r="F43" s="109">
        <v>0</v>
      </c>
    </row>
    <row r="44" spans="3:7">
      <c r="C44" s="106" t="s">
        <v>187</v>
      </c>
      <c r="D44" s="108">
        <v>0.20820206286430601</v>
      </c>
      <c r="E44" s="109">
        <v>0.2668262983999703</v>
      </c>
      <c r="F44" s="109">
        <v>0.74</v>
      </c>
    </row>
    <row r="45" spans="3:7">
      <c r="C45" s="106" t="s">
        <v>137</v>
      </c>
      <c r="D45" s="108">
        <v>0.4766044606156809</v>
      </c>
      <c r="E45" s="109">
        <v>0.32235762917068039</v>
      </c>
      <c r="F45" s="109">
        <v>0.16</v>
      </c>
    </row>
    <row r="46" spans="3:7">
      <c r="C46" s="172"/>
      <c r="D46" s="176"/>
      <c r="E46" s="176"/>
      <c r="F46" s="176"/>
      <c r="G46" s="176"/>
    </row>
    <row r="47" spans="3:7">
      <c r="C47" s="159" t="s">
        <v>2073</v>
      </c>
      <c r="D47" s="156"/>
      <c r="E47" s="156"/>
      <c r="F47" s="172"/>
      <c r="G47" s="176"/>
    </row>
    <row r="48" spans="3:7">
      <c r="C48" s="173" t="s">
        <v>2116</v>
      </c>
      <c r="D48" s="156"/>
      <c r="E48" s="156"/>
      <c r="F48" s="172"/>
      <c r="G48" s="176"/>
    </row>
    <row r="49" spans="3:6">
      <c r="C49" s="174" t="s">
        <v>805</v>
      </c>
      <c r="D49" s="18">
        <v>0.92</v>
      </c>
      <c r="E49" s="68" t="s">
        <v>2074</v>
      </c>
    </row>
    <row r="50" spans="3:6">
      <c r="C50" s="175" t="s">
        <v>804</v>
      </c>
      <c r="D50" s="18">
        <v>0.9</v>
      </c>
      <c r="E50" s="68" t="s">
        <v>2075</v>
      </c>
    </row>
    <row r="51" spans="3:6">
      <c r="C51" s="175" t="s">
        <v>807</v>
      </c>
      <c r="D51" s="18">
        <v>1</v>
      </c>
      <c r="E51" s="68" t="s">
        <v>2076</v>
      </c>
    </row>
    <row r="52" spans="3:6">
      <c r="C52" s="172"/>
      <c r="D52" s="172"/>
      <c r="E52" s="176"/>
      <c r="F52" s="176"/>
    </row>
    <row r="53" spans="3:6">
      <c r="C53" s="155" t="s">
        <v>2104</v>
      </c>
      <c r="D53" s="18">
        <v>0.17</v>
      </c>
    </row>
    <row r="54" spans="3:6">
      <c r="C54" s="172"/>
    </row>
    <row r="55" spans="3:6">
      <c r="C55" s="232" t="s">
        <v>2385</v>
      </c>
    </row>
    <row r="56" spans="3:6">
      <c r="C56" s="182" t="s">
        <v>2352</v>
      </c>
      <c r="D56" s="233">
        <v>1.2500000000000001E-2</v>
      </c>
    </row>
    <row r="57" spans="3:6">
      <c r="C57" s="182" t="s">
        <v>2363</v>
      </c>
      <c r="D57" s="233">
        <v>0</v>
      </c>
    </row>
    <row r="58" spans="3:6">
      <c r="C58" s="182" t="s">
        <v>2362</v>
      </c>
      <c r="D58" s="233">
        <v>0</v>
      </c>
    </row>
    <row r="59" spans="3:6">
      <c r="C59" s="182" t="s">
        <v>4</v>
      </c>
      <c r="D59" s="233">
        <v>0</v>
      </c>
    </row>
    <row r="60" spans="3:6">
      <c r="C60" s="182"/>
    </row>
    <row r="61" spans="3:6">
      <c r="C61" s="8" t="s">
        <v>2392</v>
      </c>
    </row>
    <row r="62" spans="3:6">
      <c r="C62" s="12" t="s">
        <v>184</v>
      </c>
      <c r="D62" s="24">
        <v>1264.0859999999998</v>
      </c>
    </row>
    <row r="63" spans="3:6">
      <c r="C63" s="12" t="s">
        <v>139</v>
      </c>
      <c r="D63" s="24">
        <v>3719.2040000000002</v>
      </c>
    </row>
    <row r="64" spans="3:6">
      <c r="C64" s="12" t="s">
        <v>136</v>
      </c>
      <c r="D64" s="24">
        <v>11943.331999999999</v>
      </c>
    </row>
    <row r="65" spans="3:4">
      <c r="C65" s="12" t="s">
        <v>18</v>
      </c>
      <c r="D65" s="24">
        <v>2585.9499999999998</v>
      </c>
    </row>
    <row r="66" spans="3:4">
      <c r="C66" s="12" t="s">
        <v>185</v>
      </c>
      <c r="D66" s="24">
        <v>0</v>
      </c>
    </row>
    <row r="67" spans="3:4">
      <c r="C67" s="12" t="s">
        <v>186</v>
      </c>
      <c r="D67" s="24">
        <v>0</v>
      </c>
    </row>
    <row r="68" spans="3:4">
      <c r="C68" s="12" t="s">
        <v>187</v>
      </c>
      <c r="D68" s="24">
        <v>757.14800000000002</v>
      </c>
    </row>
    <row r="69" spans="3:4">
      <c r="C69" s="12" t="s">
        <v>137</v>
      </c>
      <c r="D69" s="24">
        <v>4933.5349999999999</v>
      </c>
    </row>
  </sheetData>
  <sortState ref="C11:C19">
    <sortCondition ref="C1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filterMode="1">
    <tabColor rgb="FF00B050"/>
    <pageSetUpPr fitToPage="1"/>
  </sheetPr>
  <dimension ref="A1:AL650"/>
  <sheetViews>
    <sheetView zoomScale="85" zoomScaleNormal="85" workbookViewId="0">
      <pane xSplit="1" ySplit="2" topLeftCell="B3" activePane="bottomRight" state="frozen"/>
      <selection activeCell="B36" sqref="B36"/>
      <selection pane="topRight" activeCell="B36" sqref="B36"/>
      <selection pane="bottomLeft" activeCell="B36" sqref="B36"/>
      <selection pane="bottomRight" activeCell="F605" sqref="F605"/>
    </sheetView>
  </sheetViews>
  <sheetFormatPr defaultRowHeight="12.75"/>
  <cols>
    <col min="1" max="1" width="23.5703125" style="56" customWidth="1"/>
    <col min="2" max="2" width="30" style="56" customWidth="1"/>
    <col min="3" max="4" width="13.42578125" style="57" customWidth="1"/>
    <col min="5" max="5" width="16.28515625" style="57" customWidth="1"/>
    <col min="6" max="7" width="17.7109375" style="50" customWidth="1"/>
    <col min="8" max="20" width="8.7109375" style="51" customWidth="1"/>
    <col min="21" max="21" width="12.85546875" style="50" customWidth="1"/>
    <col min="22" max="22" width="11.7109375" style="49" customWidth="1"/>
    <col min="23" max="23" width="9.42578125" style="49" customWidth="1"/>
    <col min="24" max="35" width="9.140625" style="50"/>
    <col min="36" max="36" width="42.5703125" style="50" customWidth="1"/>
    <col min="37" max="16384" width="9.140625" style="50"/>
  </cols>
  <sheetData>
    <row r="1" spans="1:38" s="54" customFormat="1" ht="20.25" customHeight="1">
      <c r="A1" s="84"/>
      <c r="B1" s="85"/>
      <c r="C1" s="85"/>
      <c r="D1" s="85"/>
      <c r="E1" s="85"/>
      <c r="F1" s="86"/>
      <c r="G1" s="87"/>
      <c r="H1" s="248" t="s">
        <v>2058</v>
      </c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50"/>
      <c r="W1" s="248" t="s">
        <v>2096</v>
      </c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50"/>
      <c r="AJ1" s="62"/>
      <c r="AK1" s="62"/>
      <c r="AL1" s="62"/>
    </row>
    <row r="2" spans="1:38" ht="38.25">
      <c r="A2" s="55" t="s">
        <v>365</v>
      </c>
      <c r="B2" s="63" t="s">
        <v>2057</v>
      </c>
      <c r="C2" s="55" t="s">
        <v>2056</v>
      </c>
      <c r="D2" s="55" t="s">
        <v>2055</v>
      </c>
      <c r="E2" s="55" t="s">
        <v>2054</v>
      </c>
      <c r="F2" s="55" t="s">
        <v>2053</v>
      </c>
      <c r="G2" s="55" t="s">
        <v>2063</v>
      </c>
      <c r="H2" s="53" t="s">
        <v>2052</v>
      </c>
      <c r="I2" s="53" t="s">
        <v>2051</v>
      </c>
      <c r="J2" s="53" t="s">
        <v>2050</v>
      </c>
      <c r="K2" s="53" t="s">
        <v>2049</v>
      </c>
      <c r="L2" s="53" t="s">
        <v>2048</v>
      </c>
      <c r="M2" s="53" t="s">
        <v>2047</v>
      </c>
      <c r="N2" s="53" t="s">
        <v>2046</v>
      </c>
      <c r="O2" s="53" t="s">
        <v>2045</v>
      </c>
      <c r="P2" s="53" t="s">
        <v>2044</v>
      </c>
      <c r="Q2" s="53" t="s">
        <v>2043</v>
      </c>
      <c r="R2" s="53" t="s">
        <v>2042</v>
      </c>
      <c r="S2" s="53" t="s">
        <v>2041</v>
      </c>
      <c r="T2" s="53" t="s">
        <v>2040</v>
      </c>
      <c r="U2" s="53" t="s">
        <v>2039</v>
      </c>
      <c r="V2" s="53" t="s">
        <v>2038</v>
      </c>
      <c r="W2" s="53" t="s">
        <v>2052</v>
      </c>
      <c r="X2" s="53" t="s">
        <v>2051</v>
      </c>
      <c r="Y2" s="53" t="s">
        <v>2050</v>
      </c>
      <c r="Z2" s="53" t="s">
        <v>2049</v>
      </c>
      <c r="AA2" s="53" t="s">
        <v>2048</v>
      </c>
      <c r="AB2" s="53" t="s">
        <v>2047</v>
      </c>
      <c r="AC2" s="53" t="s">
        <v>2046</v>
      </c>
      <c r="AD2" s="53" t="s">
        <v>2045</v>
      </c>
      <c r="AE2" s="53" t="s">
        <v>2044</v>
      </c>
      <c r="AF2" s="53" t="s">
        <v>2043</v>
      </c>
      <c r="AG2" s="53" t="s">
        <v>2042</v>
      </c>
      <c r="AH2" s="53" t="s">
        <v>2041</v>
      </c>
      <c r="AI2" s="53" t="s">
        <v>2040</v>
      </c>
      <c r="AJ2" s="53" t="s">
        <v>2097</v>
      </c>
    </row>
    <row r="3" spans="1:38" hidden="1">
      <c r="A3" s="56" t="s">
        <v>2037</v>
      </c>
      <c r="B3" s="56" t="s">
        <v>2036</v>
      </c>
      <c r="C3" s="60" t="s">
        <v>10</v>
      </c>
      <c r="D3" s="60" t="s">
        <v>852</v>
      </c>
      <c r="E3" s="60" t="s">
        <v>10</v>
      </c>
      <c r="F3" s="50" t="s">
        <v>851</v>
      </c>
      <c r="G3" s="50" t="b">
        <v>0</v>
      </c>
      <c r="H3" s="58">
        <v>16</v>
      </c>
      <c r="I3" s="58">
        <v>0</v>
      </c>
      <c r="J3" s="58">
        <v>0</v>
      </c>
      <c r="K3" s="58">
        <v>0</v>
      </c>
      <c r="L3" s="58">
        <v>0</v>
      </c>
      <c r="M3" s="58">
        <v>0</v>
      </c>
      <c r="N3" s="58">
        <v>0</v>
      </c>
      <c r="O3" s="58">
        <v>0</v>
      </c>
      <c r="P3" s="58">
        <v>0</v>
      </c>
      <c r="Q3" s="58">
        <v>0</v>
      </c>
      <c r="R3" s="58">
        <v>0</v>
      </c>
      <c r="S3" s="58">
        <v>0</v>
      </c>
      <c r="T3" s="58">
        <v>0</v>
      </c>
      <c r="U3" s="52">
        <v>22</v>
      </c>
      <c r="V3" s="49" t="s">
        <v>815</v>
      </c>
    </row>
    <row r="4" spans="1:38" ht="13.5" hidden="1" customHeight="1">
      <c r="A4" s="56" t="s">
        <v>2035</v>
      </c>
      <c r="B4" s="56" t="s">
        <v>2034</v>
      </c>
      <c r="C4" s="60" t="s">
        <v>10</v>
      </c>
      <c r="D4" s="60" t="s">
        <v>828</v>
      </c>
      <c r="E4" s="60" t="s">
        <v>10</v>
      </c>
      <c r="F4" s="50" t="s">
        <v>816</v>
      </c>
      <c r="G4" s="50" t="b">
        <v>0</v>
      </c>
      <c r="H4" s="58">
        <v>16</v>
      </c>
      <c r="I4" s="58">
        <v>0</v>
      </c>
      <c r="J4" s="58">
        <v>0</v>
      </c>
      <c r="K4" s="58">
        <v>0</v>
      </c>
      <c r="L4" s="58">
        <v>0</v>
      </c>
      <c r="M4" s="58">
        <v>0</v>
      </c>
      <c r="N4" s="58">
        <v>0</v>
      </c>
      <c r="O4" s="58">
        <v>0</v>
      </c>
      <c r="P4" s="58">
        <v>0</v>
      </c>
      <c r="Q4" s="58">
        <v>0</v>
      </c>
      <c r="R4" s="58">
        <v>0</v>
      </c>
      <c r="S4" s="58">
        <v>0</v>
      </c>
      <c r="T4" s="58">
        <v>0</v>
      </c>
      <c r="U4" s="52">
        <v>22.69</v>
      </c>
      <c r="V4" s="49" t="s">
        <v>815</v>
      </c>
    </row>
    <row r="5" spans="1:38" hidden="1">
      <c r="A5" s="59" t="s">
        <v>2033</v>
      </c>
      <c r="B5" s="59" t="s">
        <v>2032</v>
      </c>
      <c r="C5" s="61" t="s">
        <v>10</v>
      </c>
      <c r="D5" s="61" t="s">
        <v>828</v>
      </c>
      <c r="E5" s="60" t="s">
        <v>10</v>
      </c>
      <c r="F5" s="50" t="s">
        <v>894</v>
      </c>
      <c r="G5" s="50" t="b">
        <v>0</v>
      </c>
      <c r="H5" s="58">
        <v>50.5</v>
      </c>
      <c r="I5" s="58">
        <v>0</v>
      </c>
      <c r="J5" s="58">
        <v>0</v>
      </c>
      <c r="K5" s="58">
        <v>0</v>
      </c>
      <c r="L5" s="58">
        <v>0</v>
      </c>
      <c r="M5" s="58">
        <v>0</v>
      </c>
      <c r="N5" s="58">
        <v>0</v>
      </c>
      <c r="O5" s="58">
        <v>0</v>
      </c>
      <c r="P5" s="58">
        <v>0</v>
      </c>
      <c r="Q5" s="58">
        <v>0</v>
      </c>
      <c r="R5" s="58">
        <v>0</v>
      </c>
      <c r="S5" s="58">
        <v>0</v>
      </c>
      <c r="T5" s="58">
        <v>0</v>
      </c>
      <c r="U5" s="52">
        <v>50.6</v>
      </c>
      <c r="V5" s="49" t="s">
        <v>815</v>
      </c>
    </row>
    <row r="6" spans="1:38" hidden="1">
      <c r="A6" s="59" t="s">
        <v>2031</v>
      </c>
      <c r="B6" s="59" t="s">
        <v>2030</v>
      </c>
      <c r="C6" s="61" t="s">
        <v>12</v>
      </c>
      <c r="D6" s="61" t="s">
        <v>47</v>
      </c>
      <c r="E6" s="60" t="s">
        <v>12</v>
      </c>
      <c r="F6" s="50" t="s">
        <v>894</v>
      </c>
      <c r="G6" s="50" t="b">
        <v>1</v>
      </c>
      <c r="H6" s="58">
        <v>174.56</v>
      </c>
      <c r="I6" s="58">
        <v>0</v>
      </c>
      <c r="J6" s="58">
        <v>0</v>
      </c>
      <c r="K6" s="58">
        <v>0</v>
      </c>
      <c r="L6" s="58">
        <v>0</v>
      </c>
      <c r="M6" s="58">
        <v>0</v>
      </c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2">
        <v>174.56</v>
      </c>
      <c r="V6" s="49" t="s">
        <v>815</v>
      </c>
    </row>
    <row r="7" spans="1:38" hidden="1">
      <c r="A7" s="59" t="s">
        <v>2029</v>
      </c>
      <c r="B7" s="59" t="s">
        <v>2028</v>
      </c>
      <c r="C7" s="61" t="s">
        <v>12</v>
      </c>
      <c r="D7" s="61" t="s">
        <v>47</v>
      </c>
      <c r="E7" s="60" t="s">
        <v>12</v>
      </c>
      <c r="F7" s="50" t="s">
        <v>894</v>
      </c>
      <c r="G7" s="50" t="b">
        <v>1</v>
      </c>
      <c r="H7" s="58">
        <v>175</v>
      </c>
      <c r="I7" s="58">
        <v>0</v>
      </c>
      <c r="J7" s="58">
        <v>0</v>
      </c>
      <c r="K7" s="58">
        <v>0</v>
      </c>
      <c r="L7" s="58">
        <v>0</v>
      </c>
      <c r="M7" s="58">
        <v>0</v>
      </c>
      <c r="N7" s="58">
        <v>0</v>
      </c>
      <c r="O7" s="58">
        <v>0</v>
      </c>
      <c r="P7" s="58">
        <v>0</v>
      </c>
      <c r="Q7" s="58">
        <v>0</v>
      </c>
      <c r="R7" s="58">
        <v>0</v>
      </c>
      <c r="S7" s="58">
        <v>0</v>
      </c>
      <c r="T7" s="58">
        <v>0</v>
      </c>
      <c r="U7" s="52">
        <v>175</v>
      </c>
      <c r="V7" s="49" t="s">
        <v>815</v>
      </c>
    </row>
    <row r="8" spans="1:38" hidden="1">
      <c r="A8" s="59" t="s">
        <v>2027</v>
      </c>
      <c r="B8" s="59" t="s">
        <v>2026</v>
      </c>
      <c r="C8" s="61" t="s">
        <v>12</v>
      </c>
      <c r="D8" s="61" t="s">
        <v>47</v>
      </c>
      <c r="E8" s="60" t="s">
        <v>12</v>
      </c>
      <c r="F8" s="50" t="s">
        <v>894</v>
      </c>
      <c r="G8" s="50" t="b">
        <v>1</v>
      </c>
      <c r="H8" s="58">
        <v>332.18</v>
      </c>
      <c r="I8" s="58">
        <v>0</v>
      </c>
      <c r="J8" s="58">
        <v>0</v>
      </c>
      <c r="K8" s="58">
        <v>0</v>
      </c>
      <c r="L8" s="58">
        <v>0</v>
      </c>
      <c r="M8" s="58">
        <v>0</v>
      </c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2">
        <v>332.18</v>
      </c>
      <c r="V8" s="49" t="s">
        <v>815</v>
      </c>
    </row>
    <row r="9" spans="1:38" hidden="1">
      <c r="A9" s="59" t="s">
        <v>2025</v>
      </c>
      <c r="B9" s="59" t="s">
        <v>2024</v>
      </c>
      <c r="C9" s="61" t="s">
        <v>12</v>
      </c>
      <c r="D9" s="61" t="s">
        <v>47</v>
      </c>
      <c r="E9" s="60" t="s">
        <v>12</v>
      </c>
      <c r="F9" s="50" t="s">
        <v>894</v>
      </c>
      <c r="G9" s="50" t="b">
        <v>1</v>
      </c>
      <c r="H9" s="58">
        <v>335.67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2">
        <v>335.67</v>
      </c>
      <c r="V9" s="49" t="s">
        <v>815</v>
      </c>
    </row>
    <row r="10" spans="1:38" hidden="1">
      <c r="A10" s="59" t="s">
        <v>2023</v>
      </c>
      <c r="B10" s="59" t="s">
        <v>2022</v>
      </c>
      <c r="C10" s="61" t="s">
        <v>12</v>
      </c>
      <c r="D10" s="61" t="s">
        <v>47</v>
      </c>
      <c r="E10" s="60" t="s">
        <v>12</v>
      </c>
      <c r="F10" s="50" t="s">
        <v>894</v>
      </c>
      <c r="G10" s="50" t="b">
        <v>1</v>
      </c>
      <c r="H10" s="58">
        <v>497.97</v>
      </c>
      <c r="I10" s="58">
        <v>0</v>
      </c>
      <c r="J10" s="58">
        <v>0</v>
      </c>
      <c r="K10" s="58">
        <v>0</v>
      </c>
      <c r="L10" s="58">
        <v>0</v>
      </c>
      <c r="M10" s="58">
        <v>0</v>
      </c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2">
        <v>497.97</v>
      </c>
      <c r="V10" s="49" t="s">
        <v>815</v>
      </c>
    </row>
    <row r="11" spans="1:38" hidden="1">
      <c r="A11" s="59" t="s">
        <v>2021</v>
      </c>
      <c r="B11" s="59" t="s">
        <v>2020</v>
      </c>
      <c r="C11" s="61" t="s">
        <v>12</v>
      </c>
      <c r="D11" s="61" t="s">
        <v>47</v>
      </c>
      <c r="E11" s="60" t="s">
        <v>12</v>
      </c>
      <c r="F11" s="50" t="s">
        <v>894</v>
      </c>
      <c r="G11" s="50" t="b">
        <v>1</v>
      </c>
      <c r="H11" s="58">
        <v>495</v>
      </c>
      <c r="I11" s="58">
        <v>0</v>
      </c>
      <c r="J11" s="58">
        <v>0</v>
      </c>
      <c r="K11" s="58">
        <v>0</v>
      </c>
      <c r="L11" s="58">
        <v>0</v>
      </c>
      <c r="M11" s="58">
        <v>0</v>
      </c>
      <c r="N11" s="58">
        <v>0</v>
      </c>
      <c r="O11" s="58">
        <v>0</v>
      </c>
      <c r="P11" s="58">
        <v>0</v>
      </c>
      <c r="Q11" s="58">
        <v>0</v>
      </c>
      <c r="R11" s="58">
        <v>0</v>
      </c>
      <c r="S11" s="58">
        <v>0</v>
      </c>
      <c r="T11" s="58">
        <v>0</v>
      </c>
      <c r="U11" s="52">
        <v>495</v>
      </c>
      <c r="V11" s="49" t="s">
        <v>815</v>
      </c>
    </row>
    <row r="12" spans="1:38" hidden="1">
      <c r="A12" s="59" t="s">
        <v>2019</v>
      </c>
      <c r="B12" s="59" t="s">
        <v>2018</v>
      </c>
      <c r="C12" s="61" t="s">
        <v>12</v>
      </c>
      <c r="D12" s="61" t="s">
        <v>52</v>
      </c>
      <c r="E12" s="60" t="s">
        <v>12</v>
      </c>
      <c r="F12" s="50" t="s">
        <v>827</v>
      </c>
      <c r="G12" s="50" t="b">
        <v>0</v>
      </c>
      <c r="H12" s="58">
        <v>0</v>
      </c>
      <c r="I12" s="58">
        <v>16</v>
      </c>
      <c r="J12" s="58">
        <v>16</v>
      </c>
      <c r="K12" s="58">
        <v>16</v>
      </c>
      <c r="L12" s="58">
        <v>16</v>
      </c>
      <c r="M12" s="58">
        <v>16</v>
      </c>
      <c r="N12" s="58">
        <v>16</v>
      </c>
      <c r="O12" s="58">
        <v>16</v>
      </c>
      <c r="P12" s="58">
        <v>16</v>
      </c>
      <c r="Q12" s="58">
        <v>16</v>
      </c>
      <c r="R12" s="58">
        <v>16</v>
      </c>
      <c r="S12" s="58">
        <v>16</v>
      </c>
      <c r="T12" s="58">
        <v>16</v>
      </c>
      <c r="U12" s="52">
        <v>16</v>
      </c>
      <c r="V12" s="49" t="s">
        <v>855</v>
      </c>
    </row>
    <row r="13" spans="1:38" hidden="1">
      <c r="A13" s="59" t="s">
        <v>2017</v>
      </c>
      <c r="B13" s="59" t="s">
        <v>2016</v>
      </c>
      <c r="C13" s="61" t="s">
        <v>10</v>
      </c>
      <c r="D13" s="61" t="s">
        <v>32</v>
      </c>
      <c r="E13" s="60" t="s">
        <v>10</v>
      </c>
      <c r="F13" s="50" t="s">
        <v>816</v>
      </c>
      <c r="G13" s="50" t="b">
        <v>0</v>
      </c>
      <c r="H13" s="58">
        <v>23.8</v>
      </c>
      <c r="I13" s="58">
        <v>0</v>
      </c>
      <c r="J13" s="58">
        <v>0</v>
      </c>
      <c r="K13" s="58">
        <v>0</v>
      </c>
      <c r="L13" s="58">
        <v>0</v>
      </c>
      <c r="M13" s="58">
        <v>0</v>
      </c>
      <c r="N13" s="58">
        <v>0</v>
      </c>
      <c r="O13" s="58">
        <v>0</v>
      </c>
      <c r="P13" s="58">
        <v>0</v>
      </c>
      <c r="Q13" s="58">
        <v>0</v>
      </c>
      <c r="R13" s="58">
        <v>0</v>
      </c>
      <c r="S13" s="58">
        <v>0</v>
      </c>
      <c r="T13" s="58">
        <v>0</v>
      </c>
      <c r="U13" s="52">
        <v>23.8</v>
      </c>
      <c r="V13" s="49" t="s">
        <v>948</v>
      </c>
    </row>
    <row r="14" spans="1:38" hidden="1">
      <c r="A14" s="59" t="s">
        <v>2015</v>
      </c>
      <c r="B14" s="59" t="s">
        <v>2014</v>
      </c>
      <c r="C14" s="61" t="s">
        <v>10</v>
      </c>
      <c r="D14" s="61" t="s">
        <v>32</v>
      </c>
      <c r="E14" s="60" t="s">
        <v>10</v>
      </c>
      <c r="F14" s="50" t="s">
        <v>816</v>
      </c>
      <c r="G14" s="50" t="b">
        <v>0</v>
      </c>
      <c r="H14" s="58">
        <v>24.4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58">
        <v>0</v>
      </c>
      <c r="P14" s="58">
        <v>0</v>
      </c>
      <c r="Q14" s="58">
        <v>0</v>
      </c>
      <c r="R14" s="58">
        <v>0</v>
      </c>
      <c r="S14" s="58">
        <v>0</v>
      </c>
      <c r="T14" s="58">
        <v>0</v>
      </c>
      <c r="U14" s="52">
        <v>25.4</v>
      </c>
      <c r="V14" s="49" t="s">
        <v>948</v>
      </c>
    </row>
    <row r="15" spans="1:38" hidden="1">
      <c r="A15" s="59" t="s">
        <v>2013</v>
      </c>
      <c r="B15" s="59" t="s">
        <v>2012</v>
      </c>
      <c r="C15" s="61" t="s">
        <v>10</v>
      </c>
      <c r="D15" s="61" t="s">
        <v>88</v>
      </c>
      <c r="E15" s="60" t="s">
        <v>10</v>
      </c>
      <c r="F15" s="50" t="s">
        <v>812</v>
      </c>
      <c r="G15" s="50" t="b">
        <v>0</v>
      </c>
      <c r="H15" s="58">
        <v>0</v>
      </c>
      <c r="I15" s="58">
        <v>0.01</v>
      </c>
      <c r="J15" s="58">
        <v>0.06</v>
      </c>
      <c r="K15" s="58">
        <v>0.39</v>
      </c>
      <c r="L15" s="58">
        <v>0.43</v>
      </c>
      <c r="M15" s="58">
        <v>1.32</v>
      </c>
      <c r="N15" s="58">
        <v>0.57999999999999996</v>
      </c>
      <c r="O15" s="58">
        <v>0.93</v>
      </c>
      <c r="P15" s="58">
        <v>0.42</v>
      </c>
      <c r="Q15" s="58">
        <v>0.26</v>
      </c>
      <c r="R15" s="58">
        <v>0.13</v>
      </c>
      <c r="S15" s="58">
        <v>0.01</v>
      </c>
      <c r="T15" s="58">
        <v>0</v>
      </c>
      <c r="U15" s="52">
        <v>56.2</v>
      </c>
      <c r="V15" s="49" t="s">
        <v>820</v>
      </c>
    </row>
    <row r="16" spans="1:38" hidden="1">
      <c r="A16" s="59" t="s">
        <v>2011</v>
      </c>
      <c r="B16" s="59" t="s">
        <v>2010</v>
      </c>
      <c r="C16" s="61" t="s">
        <v>12</v>
      </c>
      <c r="D16" s="61" t="s">
        <v>47</v>
      </c>
      <c r="E16" s="60" t="s">
        <v>12</v>
      </c>
      <c r="F16" s="50" t="s">
        <v>816</v>
      </c>
      <c r="G16" s="50" t="b">
        <v>0</v>
      </c>
      <c r="H16" s="58">
        <v>0</v>
      </c>
      <c r="I16" s="58">
        <v>42.81</v>
      </c>
      <c r="J16" s="58">
        <v>42.81</v>
      </c>
      <c r="K16" s="58">
        <v>42.81</v>
      </c>
      <c r="L16" s="58">
        <v>42.81</v>
      </c>
      <c r="M16" s="58">
        <v>42.81</v>
      </c>
      <c r="N16" s="58">
        <v>40.64</v>
      </c>
      <c r="O16" s="58">
        <v>40.64</v>
      </c>
      <c r="P16" s="58">
        <v>40.64</v>
      </c>
      <c r="Q16" s="58">
        <v>40.64</v>
      </c>
      <c r="R16" s="58">
        <v>40.64</v>
      </c>
      <c r="S16" s="58">
        <v>42.81</v>
      </c>
      <c r="T16" s="58">
        <v>42.81</v>
      </c>
      <c r="U16" s="52">
        <v>46</v>
      </c>
      <c r="V16" s="49" t="s">
        <v>881</v>
      </c>
    </row>
    <row r="17" spans="1:36" hidden="1">
      <c r="A17" s="59" t="s">
        <v>2009</v>
      </c>
      <c r="B17" s="59" t="s">
        <v>2008</v>
      </c>
      <c r="C17" s="61" t="s">
        <v>12</v>
      </c>
      <c r="D17" s="61" t="s">
        <v>52</v>
      </c>
      <c r="E17" s="60" t="s">
        <v>12</v>
      </c>
      <c r="F17" s="50" t="s">
        <v>812</v>
      </c>
      <c r="G17" s="50" t="b">
        <v>0</v>
      </c>
      <c r="H17" s="58">
        <v>0</v>
      </c>
      <c r="I17" s="58">
        <v>30.09</v>
      </c>
      <c r="J17" s="58">
        <v>37.869999999999997</v>
      </c>
      <c r="K17" s="58">
        <v>124.98</v>
      </c>
      <c r="L17" s="58">
        <v>134.22999999999999</v>
      </c>
      <c r="M17" s="58">
        <v>85.23</v>
      </c>
      <c r="N17" s="58">
        <v>96.18</v>
      </c>
      <c r="O17" s="58">
        <v>65.39</v>
      </c>
      <c r="P17" s="58">
        <v>46.06</v>
      </c>
      <c r="Q17" s="58">
        <v>27.17</v>
      </c>
      <c r="R17" s="58">
        <v>32.25</v>
      </c>
      <c r="S17" s="58">
        <v>22.02</v>
      </c>
      <c r="T17" s="58">
        <v>19.22</v>
      </c>
      <c r="U17" s="52">
        <v>346.03</v>
      </c>
      <c r="V17" s="49" t="s">
        <v>820</v>
      </c>
    </row>
    <row r="18" spans="1:36">
      <c r="A18" s="59" t="s">
        <v>2007</v>
      </c>
      <c r="B18" s="59" t="s">
        <v>2007</v>
      </c>
      <c r="C18" s="61" t="s">
        <v>10</v>
      </c>
      <c r="D18" s="61" t="s">
        <v>982</v>
      </c>
      <c r="E18" s="60" t="s">
        <v>10</v>
      </c>
      <c r="F18" s="50" t="s">
        <v>872</v>
      </c>
      <c r="G18" s="50" t="b">
        <v>0</v>
      </c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52">
        <v>531.86</v>
      </c>
      <c r="V18" s="49" t="s">
        <v>815</v>
      </c>
      <c r="X18" s="50">
        <v>531.86</v>
      </c>
      <c r="Y18" s="50">
        <v>531.86</v>
      </c>
      <c r="Z18" s="50">
        <v>531.86</v>
      </c>
      <c r="AA18" s="50">
        <v>524</v>
      </c>
      <c r="AB18" s="50">
        <v>508</v>
      </c>
      <c r="AC18" s="50">
        <v>513</v>
      </c>
      <c r="AD18" s="50">
        <v>505</v>
      </c>
      <c r="AE18" s="50">
        <v>505</v>
      </c>
      <c r="AF18" s="50">
        <v>508</v>
      </c>
      <c r="AG18" s="50">
        <v>520</v>
      </c>
      <c r="AH18" s="50">
        <v>531.86</v>
      </c>
      <c r="AI18" s="50">
        <v>531.86</v>
      </c>
      <c r="AJ18" s="50" t="s">
        <v>2098</v>
      </c>
    </row>
    <row r="19" spans="1:36" hidden="1">
      <c r="A19" s="59" t="s">
        <v>2006</v>
      </c>
      <c r="B19" s="59" t="s">
        <v>2005</v>
      </c>
      <c r="C19" s="61" t="s">
        <v>12</v>
      </c>
      <c r="D19" s="61" t="s">
        <v>47</v>
      </c>
      <c r="E19" s="60" t="s">
        <v>12</v>
      </c>
      <c r="F19" s="50" t="s">
        <v>821</v>
      </c>
      <c r="G19" s="50" t="b">
        <v>0</v>
      </c>
      <c r="H19" s="58">
        <v>0</v>
      </c>
      <c r="I19" s="58">
        <v>246.78</v>
      </c>
      <c r="J19" s="58">
        <v>296.35000000000002</v>
      </c>
      <c r="K19" s="58">
        <v>271.89999999999998</v>
      </c>
      <c r="L19" s="58">
        <v>248.92</v>
      </c>
      <c r="M19" s="58">
        <v>270.07</v>
      </c>
      <c r="N19" s="58">
        <v>297.7</v>
      </c>
      <c r="O19" s="58">
        <v>296.08999999999997</v>
      </c>
      <c r="P19" s="58">
        <v>283.11</v>
      </c>
      <c r="Q19" s="58">
        <v>280.69</v>
      </c>
      <c r="R19" s="58">
        <v>240.5</v>
      </c>
      <c r="S19" s="58">
        <v>250.75</v>
      </c>
      <c r="T19" s="58">
        <v>282.33999999999997</v>
      </c>
      <c r="U19" s="52">
        <v>416.6</v>
      </c>
      <c r="V19" s="49" t="s">
        <v>820</v>
      </c>
    </row>
    <row r="20" spans="1:36" hidden="1">
      <c r="A20" s="59" t="s">
        <v>2004</v>
      </c>
      <c r="B20" s="59" t="s">
        <v>2003</v>
      </c>
      <c r="C20" s="61" t="s">
        <v>10</v>
      </c>
      <c r="D20" s="61" t="s">
        <v>828</v>
      </c>
      <c r="E20" s="60" t="s">
        <v>10</v>
      </c>
      <c r="F20" s="50" t="s">
        <v>827</v>
      </c>
      <c r="G20" s="50" t="b">
        <v>0</v>
      </c>
      <c r="H20" s="58">
        <v>0</v>
      </c>
      <c r="I20" s="58">
        <v>34</v>
      </c>
      <c r="J20" s="58">
        <v>34</v>
      </c>
      <c r="K20" s="58">
        <v>34</v>
      </c>
      <c r="L20" s="58">
        <v>34</v>
      </c>
      <c r="M20" s="58">
        <v>34</v>
      </c>
      <c r="N20" s="58">
        <v>34</v>
      </c>
      <c r="O20" s="58">
        <v>34</v>
      </c>
      <c r="P20" s="58">
        <v>34</v>
      </c>
      <c r="Q20" s="58">
        <v>34</v>
      </c>
      <c r="R20" s="58">
        <v>34</v>
      </c>
      <c r="S20" s="58">
        <v>34</v>
      </c>
      <c r="T20" s="58">
        <v>34</v>
      </c>
      <c r="U20" s="52">
        <v>34</v>
      </c>
      <c r="V20" s="49" t="s">
        <v>820</v>
      </c>
    </row>
    <row r="21" spans="1:36" hidden="1">
      <c r="A21" s="59" t="s">
        <v>2002</v>
      </c>
      <c r="B21" s="59" t="s">
        <v>2001</v>
      </c>
      <c r="C21" s="61" t="s">
        <v>10</v>
      </c>
      <c r="D21" s="61" t="s">
        <v>828</v>
      </c>
      <c r="E21" s="60" t="s">
        <v>10</v>
      </c>
      <c r="F21" s="50" t="s">
        <v>827</v>
      </c>
      <c r="G21" s="50" t="b">
        <v>0</v>
      </c>
      <c r="H21" s="58">
        <v>0</v>
      </c>
      <c r="I21" s="58">
        <v>52.5</v>
      </c>
      <c r="J21" s="58">
        <v>52.5</v>
      </c>
      <c r="K21" s="58">
        <v>52.5</v>
      </c>
      <c r="L21" s="58">
        <v>52.5</v>
      </c>
      <c r="M21" s="58">
        <v>52.5</v>
      </c>
      <c r="N21" s="58">
        <v>52.5</v>
      </c>
      <c r="O21" s="58">
        <v>52.5</v>
      </c>
      <c r="P21" s="58">
        <v>52.5</v>
      </c>
      <c r="Q21" s="58">
        <v>52.5</v>
      </c>
      <c r="R21" s="58">
        <v>52.5</v>
      </c>
      <c r="S21" s="58">
        <v>52.5</v>
      </c>
      <c r="T21" s="58">
        <v>52.5</v>
      </c>
      <c r="U21" s="52">
        <v>52.5</v>
      </c>
      <c r="V21" s="49" t="s">
        <v>820</v>
      </c>
    </row>
    <row r="22" spans="1:36" hidden="1">
      <c r="A22" s="59" t="s">
        <v>2000</v>
      </c>
      <c r="B22" s="59" t="s">
        <v>1999</v>
      </c>
      <c r="C22" s="61" t="s">
        <v>10</v>
      </c>
      <c r="D22" s="61" t="s">
        <v>828</v>
      </c>
      <c r="E22" s="60" t="s">
        <v>10</v>
      </c>
      <c r="F22" s="50" t="s">
        <v>827</v>
      </c>
      <c r="G22" s="50" t="b">
        <v>0</v>
      </c>
      <c r="H22" s="58">
        <v>0</v>
      </c>
      <c r="I22" s="58">
        <v>52.5</v>
      </c>
      <c r="J22" s="58">
        <v>52.5</v>
      </c>
      <c r="K22" s="58">
        <v>52.5</v>
      </c>
      <c r="L22" s="58">
        <v>52.5</v>
      </c>
      <c r="M22" s="58">
        <v>52.5</v>
      </c>
      <c r="N22" s="58">
        <v>52.5</v>
      </c>
      <c r="O22" s="58">
        <v>52.5</v>
      </c>
      <c r="P22" s="58">
        <v>52.5</v>
      </c>
      <c r="Q22" s="58">
        <v>52.5</v>
      </c>
      <c r="R22" s="58">
        <v>52.5</v>
      </c>
      <c r="S22" s="58">
        <v>52.5</v>
      </c>
      <c r="T22" s="58">
        <v>52.5</v>
      </c>
      <c r="U22" s="52">
        <v>54.6</v>
      </c>
      <c r="V22" s="49" t="s">
        <v>820</v>
      </c>
    </row>
    <row r="23" spans="1:36">
      <c r="A23" s="59" t="s">
        <v>1998</v>
      </c>
      <c r="B23" s="59" t="s">
        <v>1998</v>
      </c>
      <c r="C23" s="61" t="s">
        <v>10</v>
      </c>
      <c r="D23" s="61" t="s">
        <v>32</v>
      </c>
      <c r="E23" s="60" t="s">
        <v>10</v>
      </c>
      <c r="F23" s="50" t="s">
        <v>872</v>
      </c>
      <c r="G23" s="50" t="b">
        <v>0</v>
      </c>
      <c r="H23" s="58">
        <v>157</v>
      </c>
      <c r="I23" s="58">
        <v>0</v>
      </c>
      <c r="J23" s="58">
        <v>0</v>
      </c>
      <c r="K23" s="58">
        <v>0</v>
      </c>
      <c r="L23" s="58">
        <v>0</v>
      </c>
      <c r="M23" s="58">
        <v>0</v>
      </c>
      <c r="N23" s="58">
        <v>0</v>
      </c>
      <c r="O23" s="58">
        <v>0</v>
      </c>
      <c r="P23" s="58">
        <v>0</v>
      </c>
      <c r="Q23" s="58">
        <v>0</v>
      </c>
      <c r="R23" s="58">
        <v>0</v>
      </c>
      <c r="S23" s="58">
        <v>0</v>
      </c>
      <c r="T23" s="58">
        <v>0</v>
      </c>
      <c r="U23" s="52">
        <v>270</v>
      </c>
      <c r="V23" s="49" t="s">
        <v>815</v>
      </c>
    </row>
    <row r="24" spans="1:36">
      <c r="A24" s="59" t="s">
        <v>1997</v>
      </c>
      <c r="B24" s="59" t="s">
        <v>1996</v>
      </c>
      <c r="C24" s="61" t="s">
        <v>12</v>
      </c>
      <c r="D24" s="61" t="s">
        <v>47</v>
      </c>
      <c r="E24" s="60" t="s">
        <v>12</v>
      </c>
      <c r="F24" s="50" t="s">
        <v>872</v>
      </c>
      <c r="G24" s="50" t="b">
        <v>0</v>
      </c>
      <c r="H24" s="58">
        <v>0</v>
      </c>
      <c r="I24" s="58">
        <v>0</v>
      </c>
      <c r="J24" s="58">
        <v>0</v>
      </c>
      <c r="K24" s="58">
        <v>0</v>
      </c>
      <c r="L24" s="58">
        <v>0</v>
      </c>
      <c r="M24" s="58">
        <v>0</v>
      </c>
      <c r="N24" s="58">
        <v>0</v>
      </c>
      <c r="O24" s="58">
        <v>0</v>
      </c>
      <c r="P24" s="58">
        <v>0</v>
      </c>
      <c r="Q24" s="58">
        <v>0</v>
      </c>
      <c r="R24" s="58">
        <v>0</v>
      </c>
      <c r="S24" s="58">
        <v>0</v>
      </c>
      <c r="T24" s="58">
        <v>0</v>
      </c>
      <c r="U24" s="52">
        <v>0.2</v>
      </c>
      <c r="V24" s="49" t="s">
        <v>815</v>
      </c>
    </row>
    <row r="25" spans="1:36" hidden="1">
      <c r="A25" s="59" t="s">
        <v>1995</v>
      </c>
      <c r="B25" s="59" t="s">
        <v>1995</v>
      </c>
      <c r="C25" s="61" t="s">
        <v>12</v>
      </c>
      <c r="D25" s="61" t="s">
        <v>47</v>
      </c>
      <c r="E25" s="60" t="s">
        <v>12</v>
      </c>
      <c r="F25" s="50" t="s">
        <v>816</v>
      </c>
      <c r="G25" s="50" t="b">
        <v>0</v>
      </c>
      <c r="H25" s="58">
        <v>45.38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2">
        <v>47</v>
      </c>
      <c r="V25" s="49" t="s">
        <v>815</v>
      </c>
    </row>
    <row r="26" spans="1:36" hidden="1">
      <c r="A26" s="59" t="s">
        <v>1994</v>
      </c>
      <c r="B26" s="59" t="s">
        <v>1993</v>
      </c>
      <c r="C26" s="61" t="s">
        <v>10</v>
      </c>
      <c r="D26" s="61" t="s">
        <v>88</v>
      </c>
      <c r="E26" s="60" t="s">
        <v>10</v>
      </c>
      <c r="F26" s="50" t="s">
        <v>821</v>
      </c>
      <c r="G26" s="50" t="b">
        <v>0</v>
      </c>
      <c r="H26" s="58">
        <v>0</v>
      </c>
      <c r="I26" s="58">
        <v>67.290000000000006</v>
      </c>
      <c r="J26" s="58">
        <v>80.27</v>
      </c>
      <c r="K26" s="58">
        <v>48.31</v>
      </c>
      <c r="L26" s="58">
        <v>84.39</v>
      </c>
      <c r="M26" s="58">
        <v>78.41</v>
      </c>
      <c r="N26" s="58">
        <v>91.66</v>
      </c>
      <c r="O26" s="58">
        <v>86.6</v>
      </c>
      <c r="P26" s="58">
        <v>92.19</v>
      </c>
      <c r="Q26" s="58">
        <v>83.98</v>
      </c>
      <c r="R26" s="58">
        <v>83.28</v>
      </c>
      <c r="S26" s="58">
        <v>55.01</v>
      </c>
      <c r="T26" s="58">
        <v>60.66</v>
      </c>
      <c r="U26" s="52">
        <v>135</v>
      </c>
      <c r="V26" s="49" t="s">
        <v>820</v>
      </c>
    </row>
    <row r="27" spans="1:36" hidden="1">
      <c r="A27" s="59" t="s">
        <v>1992</v>
      </c>
      <c r="B27" s="59" t="s">
        <v>1991</v>
      </c>
      <c r="C27" s="61" t="s">
        <v>10</v>
      </c>
      <c r="D27" s="61" t="s">
        <v>901</v>
      </c>
      <c r="E27" s="60" t="s">
        <v>10</v>
      </c>
      <c r="F27" s="50" t="s">
        <v>821</v>
      </c>
      <c r="G27" s="50" t="b">
        <v>0</v>
      </c>
      <c r="H27" s="58">
        <v>0</v>
      </c>
      <c r="I27" s="58">
        <v>45.12</v>
      </c>
      <c r="J27" s="58">
        <v>45.16</v>
      </c>
      <c r="K27" s="58">
        <v>37.49</v>
      </c>
      <c r="L27" s="58">
        <v>35.299999999999997</v>
      </c>
      <c r="M27" s="58">
        <v>35.22</v>
      </c>
      <c r="N27" s="58">
        <v>43.19</v>
      </c>
      <c r="O27" s="58">
        <v>41.64</v>
      </c>
      <c r="P27" s="58">
        <v>42.21</v>
      </c>
      <c r="Q27" s="58">
        <v>43.4</v>
      </c>
      <c r="R27" s="58">
        <v>38.14</v>
      </c>
      <c r="S27" s="58">
        <v>42.95</v>
      </c>
      <c r="T27" s="58">
        <v>45.99</v>
      </c>
      <c r="U27" s="52">
        <v>55.3</v>
      </c>
      <c r="V27" s="49" t="s">
        <v>820</v>
      </c>
    </row>
    <row r="28" spans="1:36" hidden="1">
      <c r="A28" s="59" t="s">
        <v>1990</v>
      </c>
      <c r="B28" s="59" t="s">
        <v>1989</v>
      </c>
      <c r="C28" s="61" t="s">
        <v>10</v>
      </c>
      <c r="D28" s="61" t="s">
        <v>852</v>
      </c>
      <c r="E28" s="60" t="s">
        <v>10</v>
      </c>
      <c r="F28" s="50" t="s">
        <v>851</v>
      </c>
      <c r="G28" s="50" t="b">
        <v>0</v>
      </c>
      <c r="H28" s="58">
        <v>13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2">
        <v>22</v>
      </c>
      <c r="V28" s="49" t="s">
        <v>815</v>
      </c>
    </row>
    <row r="29" spans="1:36" hidden="1">
      <c r="A29" s="59" t="s">
        <v>1988</v>
      </c>
      <c r="B29" s="59" t="s">
        <v>1987</v>
      </c>
      <c r="C29" s="61" t="s">
        <v>10</v>
      </c>
      <c r="D29" s="61" t="s">
        <v>869</v>
      </c>
      <c r="E29" s="60" t="s">
        <v>10</v>
      </c>
      <c r="F29" s="50" t="s">
        <v>827</v>
      </c>
      <c r="G29" s="50" t="b">
        <v>0</v>
      </c>
      <c r="H29" s="58">
        <v>0</v>
      </c>
      <c r="I29" s="58">
        <v>0.63</v>
      </c>
      <c r="J29" s="58">
        <v>0.42</v>
      </c>
      <c r="K29" s="58">
        <v>0.43</v>
      </c>
      <c r="L29" s="58">
        <v>5.47</v>
      </c>
      <c r="M29" s="58">
        <v>5.93</v>
      </c>
      <c r="N29" s="58">
        <v>7.05</v>
      </c>
      <c r="O29" s="58">
        <v>8.35</v>
      </c>
      <c r="P29" s="58">
        <v>8.36</v>
      </c>
      <c r="Q29" s="58">
        <v>6.46</v>
      </c>
      <c r="R29" s="58">
        <v>2.16</v>
      </c>
      <c r="S29" s="58">
        <v>2.04</v>
      </c>
      <c r="T29" s="58">
        <v>3.91</v>
      </c>
      <c r="U29" s="52">
        <v>11.5</v>
      </c>
      <c r="V29" s="49" t="s">
        <v>820</v>
      </c>
    </row>
    <row r="30" spans="1:36" hidden="1">
      <c r="A30" s="59" t="s">
        <v>1986</v>
      </c>
      <c r="B30" s="59" t="s">
        <v>1985</v>
      </c>
      <c r="C30" s="61" t="s">
        <v>10</v>
      </c>
      <c r="D30" s="61" t="s">
        <v>901</v>
      </c>
      <c r="E30" s="60" t="s">
        <v>10</v>
      </c>
      <c r="F30" s="50" t="s">
        <v>821</v>
      </c>
      <c r="G30" s="50" t="b">
        <v>0</v>
      </c>
      <c r="H30" s="58">
        <v>0</v>
      </c>
      <c r="I30" s="58">
        <v>45.59</v>
      </c>
      <c r="J30" s="58">
        <v>44.22</v>
      </c>
      <c r="K30" s="58">
        <v>46.56</v>
      </c>
      <c r="L30" s="58">
        <v>41.72</v>
      </c>
      <c r="M30" s="58">
        <v>38.85</v>
      </c>
      <c r="N30" s="58">
        <v>45.35</v>
      </c>
      <c r="O30" s="58">
        <v>44.39</v>
      </c>
      <c r="P30" s="58">
        <v>45.79</v>
      </c>
      <c r="Q30" s="58">
        <v>38.58</v>
      </c>
      <c r="R30" s="58">
        <v>43.93</v>
      </c>
      <c r="S30" s="58">
        <v>46.65</v>
      </c>
      <c r="T30" s="58">
        <v>47.58</v>
      </c>
      <c r="U30" s="52">
        <v>55.3</v>
      </c>
      <c r="V30" s="49" t="s">
        <v>820</v>
      </c>
    </row>
    <row r="31" spans="1:36" hidden="1">
      <c r="A31" s="59" t="s">
        <v>1984</v>
      </c>
      <c r="B31" s="59" t="s">
        <v>1983</v>
      </c>
      <c r="C31" s="61" t="s">
        <v>10</v>
      </c>
      <c r="D31" s="61" t="s">
        <v>817</v>
      </c>
      <c r="E31" s="60" t="s">
        <v>10</v>
      </c>
      <c r="F31" s="50" t="s">
        <v>827</v>
      </c>
      <c r="G31" s="50" t="b">
        <v>0</v>
      </c>
      <c r="H31" s="58">
        <v>0</v>
      </c>
      <c r="I31" s="58">
        <v>115</v>
      </c>
      <c r="J31" s="58">
        <v>115</v>
      </c>
      <c r="K31" s="58">
        <v>115</v>
      </c>
      <c r="L31" s="58">
        <v>115</v>
      </c>
      <c r="M31" s="58">
        <v>115</v>
      </c>
      <c r="N31" s="58">
        <v>115</v>
      </c>
      <c r="O31" s="58">
        <v>115</v>
      </c>
      <c r="P31" s="58">
        <v>115</v>
      </c>
      <c r="Q31" s="58">
        <v>115</v>
      </c>
      <c r="R31" s="58">
        <v>115</v>
      </c>
      <c r="S31" s="58">
        <v>115</v>
      </c>
      <c r="T31" s="58">
        <v>115</v>
      </c>
      <c r="U31" s="52">
        <v>119</v>
      </c>
      <c r="V31" s="49" t="s">
        <v>820</v>
      </c>
    </row>
    <row r="32" spans="1:36" hidden="1">
      <c r="A32" s="59" t="s">
        <v>1982</v>
      </c>
      <c r="B32" s="59" t="s">
        <v>1981</v>
      </c>
      <c r="C32" s="61" t="s">
        <v>12</v>
      </c>
      <c r="D32" s="61" t="s">
        <v>52</v>
      </c>
      <c r="E32" s="60" t="s">
        <v>12</v>
      </c>
      <c r="F32" s="50" t="s">
        <v>827</v>
      </c>
      <c r="G32" s="50" t="b">
        <v>0</v>
      </c>
      <c r="H32" s="58">
        <v>0</v>
      </c>
      <c r="I32" s="58">
        <v>773.6</v>
      </c>
      <c r="J32" s="58">
        <v>773.6</v>
      </c>
      <c r="K32" s="58">
        <v>773.6</v>
      </c>
      <c r="L32" s="58">
        <v>773.6</v>
      </c>
      <c r="M32" s="58">
        <v>800.6</v>
      </c>
      <c r="N32" s="58">
        <v>800.6</v>
      </c>
      <c r="O32" s="58">
        <v>800.6</v>
      </c>
      <c r="P32" s="58">
        <v>800.6</v>
      </c>
      <c r="Q32" s="58">
        <v>773.6</v>
      </c>
      <c r="R32" s="58">
        <v>773.6</v>
      </c>
      <c r="S32" s="58">
        <v>773.6</v>
      </c>
      <c r="T32" s="58">
        <v>773.6</v>
      </c>
      <c r="U32" s="52">
        <v>821</v>
      </c>
      <c r="V32" s="49" t="s">
        <v>820</v>
      </c>
    </row>
    <row r="33" spans="1:22" hidden="1">
      <c r="A33" s="59" t="s">
        <v>1980</v>
      </c>
      <c r="B33" s="59" t="s">
        <v>1979</v>
      </c>
      <c r="C33" s="61" t="s">
        <v>10</v>
      </c>
      <c r="D33" s="61" t="s">
        <v>817</v>
      </c>
      <c r="E33" s="60" t="s">
        <v>10</v>
      </c>
      <c r="F33" s="50" t="s">
        <v>824</v>
      </c>
      <c r="G33" s="50" t="b">
        <v>0</v>
      </c>
      <c r="H33" s="58">
        <v>0</v>
      </c>
      <c r="I33" s="58">
        <v>19.98</v>
      </c>
      <c r="J33" s="58">
        <v>19.21</v>
      </c>
      <c r="K33" s="58">
        <v>16.940000000000001</v>
      </c>
      <c r="L33" s="58">
        <v>15.04</v>
      </c>
      <c r="M33" s="58">
        <v>16.97</v>
      </c>
      <c r="N33" s="58">
        <v>22.29</v>
      </c>
      <c r="O33" s="58">
        <v>20.74</v>
      </c>
      <c r="P33" s="58">
        <v>21.64</v>
      </c>
      <c r="Q33" s="58">
        <v>20.43</v>
      </c>
      <c r="R33" s="58">
        <v>14.15</v>
      </c>
      <c r="S33" s="58">
        <v>16.75</v>
      </c>
      <c r="T33" s="58">
        <v>16.559999999999999</v>
      </c>
      <c r="U33" s="52">
        <v>28.8</v>
      </c>
      <c r="V33" s="49" t="s">
        <v>820</v>
      </c>
    </row>
    <row r="34" spans="1:22" hidden="1">
      <c r="A34" s="59" t="s">
        <v>1978</v>
      </c>
      <c r="B34" s="59" t="s">
        <v>1977</v>
      </c>
      <c r="C34" s="61" t="s">
        <v>12</v>
      </c>
      <c r="D34" s="61" t="s">
        <v>88</v>
      </c>
      <c r="E34" s="60" t="s">
        <v>12</v>
      </c>
      <c r="F34" s="50" t="s">
        <v>827</v>
      </c>
      <c r="G34" s="50" t="b">
        <v>0</v>
      </c>
      <c r="H34" s="58">
        <v>0</v>
      </c>
      <c r="I34" s="58">
        <v>2.93</v>
      </c>
      <c r="J34" s="58">
        <v>2.41</v>
      </c>
      <c r="K34" s="58">
        <v>3.19</v>
      </c>
      <c r="L34" s="58">
        <v>4.17</v>
      </c>
      <c r="M34" s="58">
        <v>6.01</v>
      </c>
      <c r="N34" s="58">
        <v>7.71</v>
      </c>
      <c r="O34" s="58">
        <v>7.88</v>
      </c>
      <c r="P34" s="58">
        <v>7.6</v>
      </c>
      <c r="Q34" s="58">
        <v>5.55</v>
      </c>
      <c r="R34" s="58">
        <v>4.08</v>
      </c>
      <c r="S34" s="58">
        <v>2.69</v>
      </c>
      <c r="T34" s="58">
        <v>2.78</v>
      </c>
      <c r="U34" s="52">
        <v>14.18</v>
      </c>
      <c r="V34" s="49" t="s">
        <v>820</v>
      </c>
    </row>
    <row r="35" spans="1:22" hidden="1">
      <c r="A35" s="59" t="s">
        <v>1976</v>
      </c>
      <c r="B35" s="59" t="s">
        <v>1975</v>
      </c>
      <c r="C35" s="61" t="s">
        <v>12</v>
      </c>
      <c r="D35" s="61" t="s">
        <v>88</v>
      </c>
      <c r="E35" s="60" t="s">
        <v>12</v>
      </c>
      <c r="F35" s="50" t="s">
        <v>827</v>
      </c>
      <c r="G35" s="50" t="b">
        <v>0</v>
      </c>
      <c r="H35" s="58">
        <v>0</v>
      </c>
      <c r="I35" s="58">
        <v>4.4000000000000004</v>
      </c>
      <c r="J35" s="58">
        <v>4.0999999999999996</v>
      </c>
      <c r="K35" s="58">
        <v>4.53</v>
      </c>
      <c r="L35" s="58">
        <v>4.83</v>
      </c>
      <c r="M35" s="58">
        <v>7.46</v>
      </c>
      <c r="N35" s="58">
        <v>9.1300000000000008</v>
      </c>
      <c r="O35" s="58">
        <v>11.26</v>
      </c>
      <c r="P35" s="58">
        <v>10.27</v>
      </c>
      <c r="Q35" s="58">
        <v>7.77</v>
      </c>
      <c r="R35" s="58">
        <v>5.85</v>
      </c>
      <c r="S35" s="58">
        <v>3.49</v>
      </c>
      <c r="T35" s="58">
        <v>4.05</v>
      </c>
      <c r="U35" s="52">
        <v>15.9</v>
      </c>
      <c r="V35" s="49" t="s">
        <v>820</v>
      </c>
    </row>
    <row r="36" spans="1:22" hidden="1">
      <c r="A36" s="59" t="s">
        <v>1974</v>
      </c>
      <c r="B36" s="59" t="s">
        <v>1973</v>
      </c>
      <c r="C36" s="61" t="s">
        <v>10</v>
      </c>
      <c r="D36" s="61" t="s">
        <v>88</v>
      </c>
      <c r="E36" s="60" t="s">
        <v>10</v>
      </c>
      <c r="F36" s="50" t="s">
        <v>827</v>
      </c>
      <c r="G36" s="50" t="b">
        <v>0</v>
      </c>
      <c r="H36" s="58">
        <v>0</v>
      </c>
      <c r="I36" s="58">
        <v>85</v>
      </c>
      <c r="J36" s="58">
        <v>85</v>
      </c>
      <c r="K36" s="58">
        <v>85</v>
      </c>
      <c r="L36" s="58">
        <v>85</v>
      </c>
      <c r="M36" s="58">
        <v>85</v>
      </c>
      <c r="N36" s="58">
        <v>85</v>
      </c>
      <c r="O36" s="58">
        <v>85</v>
      </c>
      <c r="P36" s="58">
        <v>85</v>
      </c>
      <c r="Q36" s="58">
        <v>85</v>
      </c>
      <c r="R36" s="58">
        <v>85</v>
      </c>
      <c r="S36" s="58">
        <v>85</v>
      </c>
      <c r="T36" s="58">
        <v>85</v>
      </c>
      <c r="U36" s="52">
        <v>85</v>
      </c>
      <c r="V36" s="49" t="s">
        <v>820</v>
      </c>
    </row>
    <row r="37" spans="1:22" hidden="1">
      <c r="A37" s="59" t="s">
        <v>1972</v>
      </c>
      <c r="B37" s="59" t="s">
        <v>1971</v>
      </c>
      <c r="C37" s="61" t="s">
        <v>10</v>
      </c>
      <c r="D37" s="61" t="s">
        <v>88</v>
      </c>
      <c r="E37" s="60" t="s">
        <v>10</v>
      </c>
      <c r="F37" s="50" t="s">
        <v>827</v>
      </c>
      <c r="G37" s="50" t="b">
        <v>0</v>
      </c>
      <c r="H37" s="58">
        <v>0</v>
      </c>
      <c r="I37" s="58">
        <v>84.1</v>
      </c>
      <c r="J37" s="58">
        <v>84.1</v>
      </c>
      <c r="K37" s="58">
        <v>84.1</v>
      </c>
      <c r="L37" s="58">
        <v>84.1</v>
      </c>
      <c r="M37" s="58">
        <v>84.1</v>
      </c>
      <c r="N37" s="58">
        <v>84.1</v>
      </c>
      <c r="O37" s="58">
        <v>84.1</v>
      </c>
      <c r="P37" s="58">
        <v>84.1</v>
      </c>
      <c r="Q37" s="58">
        <v>84.1</v>
      </c>
      <c r="R37" s="58">
        <v>84.1</v>
      </c>
      <c r="S37" s="58">
        <v>84.1</v>
      </c>
      <c r="T37" s="58">
        <v>84.1</v>
      </c>
      <c r="U37" s="52">
        <v>84.1</v>
      </c>
      <c r="V37" s="49" t="s">
        <v>820</v>
      </c>
    </row>
    <row r="38" spans="1:22" hidden="1">
      <c r="A38" s="59" t="s">
        <v>1970</v>
      </c>
      <c r="B38" s="59" t="s">
        <v>1969</v>
      </c>
      <c r="C38" s="61" t="s">
        <v>10</v>
      </c>
      <c r="D38" s="61" t="s">
        <v>88</v>
      </c>
      <c r="E38" s="60" t="s">
        <v>10</v>
      </c>
      <c r="F38" s="50" t="s">
        <v>827</v>
      </c>
      <c r="G38" s="50" t="b">
        <v>0</v>
      </c>
      <c r="H38" s="58">
        <v>0</v>
      </c>
      <c r="I38" s="58">
        <v>1.8</v>
      </c>
      <c r="J38" s="58">
        <v>1.6</v>
      </c>
      <c r="K38" s="58">
        <v>1.3</v>
      </c>
      <c r="L38" s="58">
        <v>3.5</v>
      </c>
      <c r="M38" s="58">
        <v>2.7</v>
      </c>
      <c r="N38" s="58">
        <v>1.7</v>
      </c>
      <c r="O38" s="58">
        <v>1.6</v>
      </c>
      <c r="P38" s="58">
        <v>1.5</v>
      </c>
      <c r="Q38" s="58">
        <v>1.5</v>
      </c>
      <c r="R38" s="58">
        <v>1.5</v>
      </c>
      <c r="S38" s="58">
        <v>2.1</v>
      </c>
      <c r="T38" s="58">
        <v>1.3</v>
      </c>
      <c r="U38" s="52">
        <v>6.2</v>
      </c>
      <c r="V38" s="49" t="s">
        <v>811</v>
      </c>
    </row>
    <row r="39" spans="1:22" hidden="1">
      <c r="A39" s="59" t="s">
        <v>1968</v>
      </c>
      <c r="B39" s="59" t="s">
        <v>1967</v>
      </c>
      <c r="C39" s="61" t="s">
        <v>10</v>
      </c>
      <c r="D39" s="61" t="s">
        <v>32</v>
      </c>
      <c r="E39" s="60" t="s">
        <v>10</v>
      </c>
      <c r="F39" s="50" t="s">
        <v>824</v>
      </c>
      <c r="G39" s="50" t="b">
        <v>0</v>
      </c>
      <c r="H39" s="58">
        <v>0</v>
      </c>
      <c r="I39" s="58">
        <v>1.24</v>
      </c>
      <c r="J39" s="58">
        <v>1.24</v>
      </c>
      <c r="K39" s="58">
        <v>1.33</v>
      </c>
      <c r="L39" s="58">
        <v>1.27</v>
      </c>
      <c r="M39" s="58">
        <v>1.23</v>
      </c>
      <c r="N39" s="58">
        <v>1.24</v>
      </c>
      <c r="O39" s="58">
        <v>1.25</v>
      </c>
      <c r="P39" s="58">
        <v>1.1599999999999999</v>
      </c>
      <c r="Q39" s="58">
        <v>1.07</v>
      </c>
      <c r="R39" s="58">
        <v>1.1499999999999999</v>
      </c>
      <c r="S39" s="58">
        <v>1.06</v>
      </c>
      <c r="T39" s="58">
        <v>1.06</v>
      </c>
      <c r="U39" s="52">
        <v>2.6</v>
      </c>
      <c r="V39" s="49" t="s">
        <v>820</v>
      </c>
    </row>
    <row r="40" spans="1:22" hidden="1">
      <c r="A40" s="59" t="s">
        <v>1966</v>
      </c>
      <c r="B40" s="59" t="s">
        <v>1965</v>
      </c>
      <c r="C40" s="61" t="s">
        <v>12</v>
      </c>
      <c r="D40" s="61" t="s">
        <v>88</v>
      </c>
      <c r="E40" s="60" t="s">
        <v>12</v>
      </c>
      <c r="F40" s="50" t="s">
        <v>851</v>
      </c>
      <c r="G40" s="50" t="b">
        <v>0</v>
      </c>
      <c r="H40" s="58">
        <v>0</v>
      </c>
      <c r="I40" s="58">
        <v>61.81</v>
      </c>
      <c r="J40" s="58">
        <v>61.82</v>
      </c>
      <c r="K40" s="58">
        <v>59.52</v>
      </c>
      <c r="L40" s="58">
        <v>55.42</v>
      </c>
      <c r="M40" s="58">
        <v>60.63</v>
      </c>
      <c r="N40" s="58">
        <v>65.3</v>
      </c>
      <c r="O40" s="58">
        <v>61.59</v>
      </c>
      <c r="P40" s="58">
        <v>61.21</v>
      </c>
      <c r="Q40" s="58">
        <v>63.43</v>
      </c>
      <c r="R40" s="58">
        <v>63.91</v>
      </c>
      <c r="S40" s="58">
        <v>61.38</v>
      </c>
      <c r="T40" s="58">
        <v>62.88</v>
      </c>
      <c r="U40" s="52">
        <v>100.73</v>
      </c>
      <c r="V40" s="49" t="s">
        <v>820</v>
      </c>
    </row>
    <row r="41" spans="1:22" hidden="1">
      <c r="A41" s="59" t="s">
        <v>1964</v>
      </c>
      <c r="B41" s="59" t="s">
        <v>1963</v>
      </c>
      <c r="C41" s="61" t="s">
        <v>12</v>
      </c>
      <c r="D41" s="61" t="s">
        <v>47</v>
      </c>
      <c r="E41" s="60" t="s">
        <v>12</v>
      </c>
      <c r="F41" s="50" t="s">
        <v>913</v>
      </c>
      <c r="G41" s="50" t="b">
        <v>0</v>
      </c>
      <c r="H41" s="58">
        <v>0</v>
      </c>
      <c r="I41" s="58">
        <v>6.9798142241942362E-2</v>
      </c>
      <c r="J41" s="58">
        <v>1.3134578685699927</v>
      </c>
      <c r="K41" s="58">
        <v>1.8242097111812481</v>
      </c>
      <c r="L41" s="58">
        <v>12.486661445520015</v>
      </c>
      <c r="M41" s="58">
        <v>15.379257133071677</v>
      </c>
      <c r="N41" s="58">
        <v>20.201934099480784</v>
      </c>
      <c r="O41" s="58">
        <v>19.942156198519783</v>
      </c>
      <c r="P41" s="58">
        <v>19.327057893341994</v>
      </c>
      <c r="Q41" s="58">
        <v>17.719079437037397</v>
      </c>
      <c r="R41" s="58">
        <v>7.9287424729770741</v>
      </c>
      <c r="S41" s="58">
        <v>0.25881309823753124</v>
      </c>
      <c r="T41" s="58">
        <v>0.18279072569544472</v>
      </c>
      <c r="U41" s="52">
        <v>21</v>
      </c>
      <c r="V41" s="49" t="s">
        <v>820</v>
      </c>
    </row>
    <row r="42" spans="1:22" hidden="1">
      <c r="A42" s="59" t="s">
        <v>1962</v>
      </c>
      <c r="B42" s="59" t="s">
        <v>1961</v>
      </c>
      <c r="C42" s="61" t="s">
        <v>10</v>
      </c>
      <c r="D42" s="61" t="s">
        <v>817</v>
      </c>
      <c r="E42" s="60" t="s">
        <v>10</v>
      </c>
      <c r="F42" s="50" t="s">
        <v>827</v>
      </c>
      <c r="G42" s="50" t="b">
        <v>0</v>
      </c>
      <c r="H42" s="58">
        <v>0</v>
      </c>
      <c r="I42" s="58">
        <v>0.25</v>
      </c>
      <c r="J42" s="58">
        <v>0.23</v>
      </c>
      <c r="K42" s="58">
        <v>0.34</v>
      </c>
      <c r="L42" s="58">
        <v>0.28000000000000003</v>
      </c>
      <c r="M42" s="58">
        <v>0.28999999999999998</v>
      </c>
      <c r="N42" s="58">
        <v>0.6</v>
      </c>
      <c r="O42" s="58">
        <v>0.73</v>
      </c>
      <c r="P42" s="58">
        <v>0.63</v>
      </c>
      <c r="Q42" s="58">
        <v>0.42</v>
      </c>
      <c r="R42" s="58">
        <v>0.45</v>
      </c>
      <c r="S42" s="58">
        <v>0.24</v>
      </c>
      <c r="T42" s="58">
        <v>0.28999999999999998</v>
      </c>
      <c r="U42" s="52">
        <v>2</v>
      </c>
      <c r="V42" s="49" t="s">
        <v>820</v>
      </c>
    </row>
    <row r="43" spans="1:22" hidden="1">
      <c r="A43" s="59" t="s">
        <v>1960</v>
      </c>
      <c r="B43" s="59" t="s">
        <v>1959</v>
      </c>
      <c r="C43" s="61" t="s">
        <v>10</v>
      </c>
      <c r="D43" s="61" t="s">
        <v>817</v>
      </c>
      <c r="E43" s="60" t="s">
        <v>10</v>
      </c>
      <c r="F43" s="50" t="s">
        <v>816</v>
      </c>
      <c r="G43" s="50" t="b">
        <v>0</v>
      </c>
      <c r="H43" s="58">
        <v>0</v>
      </c>
      <c r="I43" s="58">
        <v>46.3</v>
      </c>
      <c r="J43" s="58">
        <v>46.3</v>
      </c>
      <c r="K43" s="58">
        <v>46.3</v>
      </c>
      <c r="L43" s="58">
        <v>46.3</v>
      </c>
      <c r="M43" s="58">
        <v>46.3</v>
      </c>
      <c r="N43" s="58">
        <v>46</v>
      </c>
      <c r="O43" s="58">
        <v>45</v>
      </c>
      <c r="P43" s="58">
        <v>45</v>
      </c>
      <c r="Q43" s="58">
        <v>45</v>
      </c>
      <c r="R43" s="58">
        <v>46.3</v>
      </c>
      <c r="S43" s="58">
        <v>46.3</v>
      </c>
      <c r="T43" s="58">
        <v>46.3</v>
      </c>
      <c r="U43" s="52">
        <v>46.3</v>
      </c>
      <c r="V43" s="49" t="s">
        <v>815</v>
      </c>
    </row>
    <row r="44" spans="1:22">
      <c r="A44" s="59" t="s">
        <v>1958</v>
      </c>
      <c r="B44" s="59" t="s">
        <v>1957</v>
      </c>
      <c r="C44" s="61" t="s">
        <v>10</v>
      </c>
      <c r="D44" s="61" t="s">
        <v>828</v>
      </c>
      <c r="E44" s="60" t="s">
        <v>10</v>
      </c>
      <c r="F44" s="50" t="s">
        <v>872</v>
      </c>
      <c r="G44" s="50" t="b">
        <v>0</v>
      </c>
      <c r="H44" s="58">
        <v>0</v>
      </c>
      <c r="I44" s="58">
        <v>0</v>
      </c>
      <c r="J44" s="58">
        <v>0</v>
      </c>
      <c r="K44" s="58">
        <v>0</v>
      </c>
      <c r="L44" s="58">
        <v>0.06</v>
      </c>
      <c r="M44" s="58">
        <v>0.71</v>
      </c>
      <c r="N44" s="58">
        <v>1.26</v>
      </c>
      <c r="O44" s="58">
        <v>1.3</v>
      </c>
      <c r="P44" s="58">
        <v>0.68</v>
      </c>
      <c r="Q44" s="58">
        <v>0.04</v>
      </c>
      <c r="R44" s="58">
        <v>0.01</v>
      </c>
      <c r="S44" s="58">
        <v>0.11</v>
      </c>
      <c r="T44" s="58">
        <v>0</v>
      </c>
      <c r="U44" s="52">
        <v>2.85</v>
      </c>
      <c r="V44" s="49" t="s">
        <v>820</v>
      </c>
    </row>
    <row r="45" spans="1:22" hidden="1">
      <c r="A45" s="59" t="s">
        <v>1956</v>
      </c>
      <c r="B45" s="59" t="s">
        <v>1955</v>
      </c>
      <c r="C45" s="61" t="s">
        <v>12</v>
      </c>
      <c r="D45" s="61" t="s">
        <v>11</v>
      </c>
      <c r="E45" s="60" t="s">
        <v>11</v>
      </c>
      <c r="F45" s="50" t="s">
        <v>816</v>
      </c>
      <c r="G45" s="50" t="b">
        <v>0</v>
      </c>
      <c r="H45" s="58">
        <v>43.8</v>
      </c>
      <c r="I45" s="58">
        <v>0</v>
      </c>
      <c r="J45" s="58">
        <v>0</v>
      </c>
      <c r="K45" s="58">
        <v>0</v>
      </c>
      <c r="L45" s="58">
        <v>0</v>
      </c>
      <c r="M45" s="58">
        <v>0</v>
      </c>
      <c r="N45" s="58">
        <v>0</v>
      </c>
      <c r="O45" s="58">
        <v>0</v>
      </c>
      <c r="P45" s="58">
        <v>0</v>
      </c>
      <c r="Q45" s="58">
        <v>0</v>
      </c>
      <c r="R45" s="58">
        <v>0</v>
      </c>
      <c r="S45" s="58">
        <v>0</v>
      </c>
      <c r="T45" s="58">
        <v>0</v>
      </c>
      <c r="U45" s="52">
        <v>48.98</v>
      </c>
      <c r="V45" s="49" t="s">
        <v>815</v>
      </c>
    </row>
    <row r="46" spans="1:22" hidden="1">
      <c r="A46" s="59" t="s">
        <v>1954</v>
      </c>
      <c r="B46" s="59" t="s">
        <v>1953</v>
      </c>
      <c r="C46" s="61" t="s">
        <v>10</v>
      </c>
      <c r="D46" s="61" t="s">
        <v>817</v>
      </c>
      <c r="E46" s="60" t="s">
        <v>10</v>
      </c>
      <c r="F46" s="50" t="s">
        <v>827</v>
      </c>
      <c r="G46" s="50" t="b">
        <v>0</v>
      </c>
      <c r="H46" s="58">
        <v>0</v>
      </c>
      <c r="I46" s="58">
        <v>0.31</v>
      </c>
      <c r="J46" s="58">
        <v>0.35</v>
      </c>
      <c r="K46" s="58">
        <v>0.74</v>
      </c>
      <c r="L46" s="58">
        <v>0.4</v>
      </c>
      <c r="M46" s="58">
        <v>1.18</v>
      </c>
      <c r="N46" s="58">
        <v>1.1299999999999999</v>
      </c>
      <c r="O46" s="58">
        <v>2.75</v>
      </c>
      <c r="P46" s="58">
        <v>2.41</v>
      </c>
      <c r="Q46" s="58">
        <v>1.84</v>
      </c>
      <c r="R46" s="58">
        <v>1.27</v>
      </c>
      <c r="S46" s="58">
        <v>0.45</v>
      </c>
      <c r="T46" s="58">
        <v>0.25</v>
      </c>
      <c r="U46" s="52">
        <v>6.25</v>
      </c>
      <c r="V46" s="49" t="s">
        <v>820</v>
      </c>
    </row>
    <row r="47" spans="1:22" hidden="1">
      <c r="A47" s="59" t="s">
        <v>1952</v>
      </c>
      <c r="B47" s="59" t="s">
        <v>1951</v>
      </c>
      <c r="C47" s="61" t="s">
        <v>10</v>
      </c>
      <c r="D47" s="61" t="s">
        <v>33</v>
      </c>
      <c r="E47" s="60" t="s">
        <v>10</v>
      </c>
      <c r="F47" s="50" t="s">
        <v>827</v>
      </c>
      <c r="G47" s="50" t="b">
        <v>0</v>
      </c>
      <c r="H47" s="58">
        <v>0</v>
      </c>
      <c r="I47" s="58">
        <v>0.62</v>
      </c>
      <c r="J47" s="58">
        <v>0.95</v>
      </c>
      <c r="K47" s="58">
        <v>1.06</v>
      </c>
      <c r="L47" s="58">
        <v>0.44</v>
      </c>
      <c r="M47" s="58">
        <v>0.24</v>
      </c>
      <c r="N47" s="58">
        <v>0</v>
      </c>
      <c r="O47" s="58">
        <v>0</v>
      </c>
      <c r="P47" s="58">
        <v>0</v>
      </c>
      <c r="Q47" s="58">
        <v>0</v>
      </c>
      <c r="R47" s="58">
        <v>0.06</v>
      </c>
      <c r="S47" s="58">
        <v>0.32</v>
      </c>
      <c r="T47" s="58">
        <v>0.62</v>
      </c>
      <c r="U47" s="52">
        <v>2.5</v>
      </c>
      <c r="V47" s="49" t="s">
        <v>820</v>
      </c>
    </row>
    <row r="48" spans="1:22" hidden="1">
      <c r="A48" s="59" t="s">
        <v>1950</v>
      </c>
      <c r="B48" s="59" t="s">
        <v>1949</v>
      </c>
      <c r="C48" s="61" t="s">
        <v>10</v>
      </c>
      <c r="D48" s="61" t="s">
        <v>32</v>
      </c>
      <c r="E48" s="60" t="s">
        <v>10</v>
      </c>
      <c r="F48" s="50" t="s">
        <v>812</v>
      </c>
      <c r="G48" s="50" t="b">
        <v>0</v>
      </c>
      <c r="H48" s="58">
        <v>0</v>
      </c>
      <c r="I48" s="58">
        <v>4.5999999999999996</v>
      </c>
      <c r="J48" s="58">
        <v>7.52</v>
      </c>
      <c r="K48" s="58">
        <v>15.7</v>
      </c>
      <c r="L48" s="58">
        <v>14.03</v>
      </c>
      <c r="M48" s="58">
        <v>54.66</v>
      </c>
      <c r="N48" s="58">
        <v>58.33</v>
      </c>
      <c r="O48" s="58">
        <v>60.2</v>
      </c>
      <c r="P48" s="58">
        <v>34.53</v>
      </c>
      <c r="Q48" s="58">
        <v>9.4</v>
      </c>
      <c r="R48" s="58">
        <v>5.04</v>
      </c>
      <c r="S48" s="58">
        <v>4.03</v>
      </c>
      <c r="T48" s="58">
        <v>3</v>
      </c>
      <c r="U48" s="52">
        <v>162</v>
      </c>
      <c r="V48" s="49" t="s">
        <v>820</v>
      </c>
    </row>
    <row r="49" spans="1:22" hidden="1">
      <c r="A49" s="59" t="s">
        <v>1948</v>
      </c>
      <c r="B49" s="59" t="s">
        <v>1947</v>
      </c>
      <c r="C49" s="61" t="s">
        <v>10</v>
      </c>
      <c r="D49" s="61" t="s">
        <v>32</v>
      </c>
      <c r="E49" s="60" t="s">
        <v>10</v>
      </c>
      <c r="F49" s="50" t="s">
        <v>812</v>
      </c>
      <c r="G49" s="50" t="b">
        <v>0</v>
      </c>
      <c r="H49" s="58">
        <v>0</v>
      </c>
      <c r="I49" s="58">
        <v>7.71</v>
      </c>
      <c r="J49" s="58">
        <v>13.3</v>
      </c>
      <c r="K49" s="58">
        <v>25.68</v>
      </c>
      <c r="L49" s="58">
        <v>22.22</v>
      </c>
      <c r="M49" s="58">
        <v>57.68</v>
      </c>
      <c r="N49" s="58">
        <v>58.53</v>
      </c>
      <c r="O49" s="58">
        <v>57.98</v>
      </c>
      <c r="P49" s="58">
        <v>37.11</v>
      </c>
      <c r="Q49" s="58">
        <v>14.98</v>
      </c>
      <c r="R49" s="58">
        <v>6.79</v>
      </c>
      <c r="S49" s="58">
        <v>5.1100000000000003</v>
      </c>
      <c r="T49" s="58">
        <v>5.27</v>
      </c>
      <c r="U49" s="52">
        <v>150</v>
      </c>
      <c r="V49" s="49" t="s">
        <v>820</v>
      </c>
    </row>
    <row r="50" spans="1:22" hidden="1">
      <c r="A50" s="59" t="s">
        <v>1946</v>
      </c>
      <c r="B50" s="59" t="s">
        <v>1945</v>
      </c>
      <c r="C50" s="61" t="s">
        <v>10</v>
      </c>
      <c r="D50" s="61" t="s">
        <v>32</v>
      </c>
      <c r="E50" s="60" t="s">
        <v>10</v>
      </c>
      <c r="F50" s="50" t="s">
        <v>812</v>
      </c>
      <c r="G50" s="50" t="b">
        <v>0</v>
      </c>
      <c r="H50" s="58">
        <v>0</v>
      </c>
      <c r="I50" s="58">
        <v>6.86</v>
      </c>
      <c r="J50" s="58">
        <v>10.48</v>
      </c>
      <c r="K50" s="58">
        <v>28.54</v>
      </c>
      <c r="L50" s="58">
        <v>29.26</v>
      </c>
      <c r="M50" s="58">
        <v>45.16</v>
      </c>
      <c r="N50" s="58">
        <v>57.77</v>
      </c>
      <c r="O50" s="58">
        <v>47.09</v>
      </c>
      <c r="P50" s="58">
        <v>33.06</v>
      </c>
      <c r="Q50" s="58">
        <v>21.93</v>
      </c>
      <c r="R50" s="58">
        <v>13.23</v>
      </c>
      <c r="S50" s="58">
        <v>5.0999999999999996</v>
      </c>
      <c r="T50" s="58">
        <v>5.09</v>
      </c>
      <c r="U50" s="52">
        <v>150</v>
      </c>
      <c r="V50" s="49" t="s">
        <v>820</v>
      </c>
    </row>
    <row r="51" spans="1:22" hidden="1">
      <c r="A51" s="59" t="s">
        <v>1944</v>
      </c>
      <c r="B51" s="59" t="s">
        <v>1943</v>
      </c>
      <c r="C51" s="61" t="s">
        <v>12</v>
      </c>
      <c r="D51" s="61" t="s">
        <v>47</v>
      </c>
      <c r="E51" s="60" t="s">
        <v>12</v>
      </c>
      <c r="F51" s="50" t="s">
        <v>894</v>
      </c>
      <c r="G51" s="50" t="b">
        <v>0</v>
      </c>
      <c r="H51" s="58">
        <v>65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2">
        <v>65</v>
      </c>
      <c r="V51" s="49" t="s">
        <v>815</v>
      </c>
    </row>
    <row r="52" spans="1:22" hidden="1">
      <c r="A52" s="59" t="s">
        <v>1942</v>
      </c>
      <c r="B52" s="59" t="s">
        <v>1941</v>
      </c>
      <c r="C52" s="61" t="s">
        <v>12</v>
      </c>
      <c r="D52" s="61" t="s">
        <v>32</v>
      </c>
      <c r="E52" s="60" t="s">
        <v>12</v>
      </c>
      <c r="F52" s="50" t="s">
        <v>894</v>
      </c>
      <c r="G52" s="50" t="b">
        <v>0</v>
      </c>
      <c r="H52" s="58">
        <v>493.63</v>
      </c>
      <c r="I52" s="58">
        <v>0</v>
      </c>
      <c r="J52" s="58">
        <v>0</v>
      </c>
      <c r="K52" s="58">
        <v>0</v>
      </c>
      <c r="L52" s="58">
        <v>0</v>
      </c>
      <c r="M52" s="58">
        <v>0</v>
      </c>
      <c r="N52" s="58">
        <v>0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2">
        <v>497</v>
      </c>
      <c r="V52" s="49" t="s">
        <v>815</v>
      </c>
    </row>
    <row r="53" spans="1:22" hidden="1">
      <c r="A53" s="59" t="s">
        <v>1940</v>
      </c>
      <c r="B53" s="59" t="s">
        <v>1939</v>
      </c>
      <c r="C53" s="61" t="s">
        <v>10</v>
      </c>
      <c r="D53" s="61" t="s">
        <v>817</v>
      </c>
      <c r="E53" s="60" t="s">
        <v>10</v>
      </c>
      <c r="F53" s="50" t="s">
        <v>827</v>
      </c>
      <c r="G53" s="50" t="b">
        <v>0</v>
      </c>
      <c r="H53" s="58">
        <v>0</v>
      </c>
      <c r="I53" s="58">
        <v>0.32</v>
      </c>
      <c r="J53" s="58">
        <v>0.4</v>
      </c>
      <c r="K53" s="58">
        <v>0.39</v>
      </c>
      <c r="L53" s="58">
        <v>0.75</v>
      </c>
      <c r="M53" s="58">
        <v>1.1000000000000001</v>
      </c>
      <c r="N53" s="58">
        <v>1.04</v>
      </c>
      <c r="O53" s="58">
        <v>0.68</v>
      </c>
      <c r="P53" s="58">
        <v>1.06</v>
      </c>
      <c r="Q53" s="58">
        <v>0.53</v>
      </c>
      <c r="R53" s="58">
        <v>0.35</v>
      </c>
      <c r="S53" s="58">
        <v>0.43</v>
      </c>
      <c r="T53" s="58">
        <v>0.41</v>
      </c>
      <c r="U53" s="52">
        <v>1.3</v>
      </c>
      <c r="V53" s="49" t="s">
        <v>820</v>
      </c>
    </row>
    <row r="54" spans="1:22" hidden="1">
      <c r="A54" s="59" t="s">
        <v>1938</v>
      </c>
      <c r="B54" s="59" t="s">
        <v>1937</v>
      </c>
      <c r="C54" s="61" t="s">
        <v>10</v>
      </c>
      <c r="D54" s="61" t="s">
        <v>817</v>
      </c>
      <c r="E54" s="60" t="s">
        <v>10</v>
      </c>
      <c r="F54" s="50" t="s">
        <v>827</v>
      </c>
      <c r="G54" s="50" t="b">
        <v>0</v>
      </c>
      <c r="H54" s="58">
        <v>0</v>
      </c>
      <c r="I54" s="58">
        <v>58</v>
      </c>
      <c r="J54" s="58">
        <v>58</v>
      </c>
      <c r="K54" s="58">
        <v>58</v>
      </c>
      <c r="L54" s="58">
        <v>58</v>
      </c>
      <c r="M54" s="58">
        <v>58</v>
      </c>
      <c r="N54" s="58">
        <v>58</v>
      </c>
      <c r="O54" s="58">
        <v>58</v>
      </c>
      <c r="P54" s="58">
        <v>58</v>
      </c>
      <c r="Q54" s="58">
        <v>58</v>
      </c>
      <c r="R54" s="58">
        <v>58</v>
      </c>
      <c r="S54" s="58">
        <v>58</v>
      </c>
      <c r="T54" s="58">
        <v>58</v>
      </c>
      <c r="U54" s="52">
        <v>59</v>
      </c>
      <c r="V54" s="49" t="s">
        <v>820</v>
      </c>
    </row>
    <row r="55" spans="1:22" hidden="1">
      <c r="A55" s="59" t="s">
        <v>1936</v>
      </c>
      <c r="B55" s="59" t="s">
        <v>1935</v>
      </c>
      <c r="C55" s="61" t="s">
        <v>12</v>
      </c>
      <c r="D55" s="61" t="s">
        <v>47</v>
      </c>
      <c r="E55" s="60" t="s">
        <v>12</v>
      </c>
      <c r="F55" s="50" t="s">
        <v>812</v>
      </c>
      <c r="G55" s="50" t="b">
        <v>0</v>
      </c>
      <c r="H55" s="58">
        <v>0</v>
      </c>
      <c r="I55" s="58">
        <v>0.06</v>
      </c>
      <c r="J55" s="58">
        <v>0.14000000000000001</v>
      </c>
      <c r="K55" s="58">
        <v>0.2</v>
      </c>
      <c r="L55" s="58">
        <v>0.23</v>
      </c>
      <c r="M55" s="58">
        <v>0.37</v>
      </c>
      <c r="N55" s="58">
        <v>0.65</v>
      </c>
      <c r="O55" s="58">
        <v>0.26</v>
      </c>
      <c r="P55" s="58">
        <v>0.11</v>
      </c>
      <c r="Q55" s="58">
        <v>0.13</v>
      </c>
      <c r="R55" s="58">
        <v>0.09</v>
      </c>
      <c r="S55" s="58">
        <v>0.05</v>
      </c>
      <c r="T55" s="58">
        <v>0.04</v>
      </c>
      <c r="U55" s="52">
        <v>1.32</v>
      </c>
      <c r="V55" s="49" t="s">
        <v>820</v>
      </c>
    </row>
    <row r="56" spans="1:22" hidden="1">
      <c r="A56" s="59" t="s">
        <v>1934</v>
      </c>
      <c r="B56" s="59" t="s">
        <v>1933</v>
      </c>
      <c r="C56" s="61" t="s">
        <v>10</v>
      </c>
      <c r="D56" s="61" t="s">
        <v>828</v>
      </c>
      <c r="E56" s="60" t="s">
        <v>10</v>
      </c>
      <c r="F56" s="50" t="s">
        <v>821</v>
      </c>
      <c r="G56" s="50" t="b">
        <v>0</v>
      </c>
      <c r="H56" s="58">
        <v>0</v>
      </c>
      <c r="I56" s="58">
        <v>0.01</v>
      </c>
      <c r="J56" s="58">
        <v>0.01</v>
      </c>
      <c r="K56" s="58">
        <v>0</v>
      </c>
      <c r="L56" s="58">
        <v>0</v>
      </c>
      <c r="M56" s="58">
        <v>0</v>
      </c>
      <c r="N56" s="58">
        <v>0</v>
      </c>
      <c r="O56" s="58">
        <v>0</v>
      </c>
      <c r="P56" s="58">
        <v>0</v>
      </c>
      <c r="Q56" s="58">
        <v>0</v>
      </c>
      <c r="R56" s="58">
        <v>0</v>
      </c>
      <c r="S56" s="58">
        <v>0</v>
      </c>
      <c r="T56" s="58">
        <v>0</v>
      </c>
      <c r="U56" s="52">
        <v>2.8</v>
      </c>
      <c r="V56" s="49" t="s">
        <v>820</v>
      </c>
    </row>
    <row r="57" spans="1:22" hidden="1">
      <c r="A57" s="59" t="s">
        <v>1932</v>
      </c>
      <c r="B57" s="59" t="s">
        <v>1931</v>
      </c>
      <c r="C57" s="61" t="s">
        <v>10</v>
      </c>
      <c r="D57" s="61" t="s">
        <v>88</v>
      </c>
      <c r="E57" s="60" t="s">
        <v>10</v>
      </c>
      <c r="F57" s="50" t="s">
        <v>824</v>
      </c>
      <c r="G57" s="50" t="b">
        <v>0</v>
      </c>
      <c r="H57" s="58">
        <v>0</v>
      </c>
      <c r="I57" s="58">
        <v>28.24</v>
      </c>
      <c r="J57" s="58">
        <v>25.97</v>
      </c>
      <c r="K57" s="58">
        <v>16.73</v>
      </c>
      <c r="L57" s="58">
        <v>20.81</v>
      </c>
      <c r="M57" s="58">
        <v>28.95</v>
      </c>
      <c r="N57" s="58">
        <v>29.53</v>
      </c>
      <c r="O57" s="58">
        <v>30.25</v>
      </c>
      <c r="P57" s="58">
        <v>29.71</v>
      </c>
      <c r="Q57" s="58">
        <v>28.69</v>
      </c>
      <c r="R57" s="58">
        <v>28.81</v>
      </c>
      <c r="S57" s="58">
        <v>25.86</v>
      </c>
      <c r="T57" s="58">
        <v>25.39</v>
      </c>
      <c r="U57" s="52">
        <v>35.700000000000003</v>
      </c>
      <c r="V57" s="49" t="s">
        <v>820</v>
      </c>
    </row>
    <row r="58" spans="1:22" hidden="1">
      <c r="A58" s="59" t="s">
        <v>1930</v>
      </c>
      <c r="B58" s="59" t="s">
        <v>1929</v>
      </c>
      <c r="C58" s="61" t="s">
        <v>10</v>
      </c>
      <c r="D58" s="61" t="s">
        <v>88</v>
      </c>
      <c r="E58" s="60" t="s">
        <v>10</v>
      </c>
      <c r="F58" s="50" t="s">
        <v>827</v>
      </c>
      <c r="G58" s="50" t="b">
        <v>0</v>
      </c>
      <c r="H58" s="58">
        <v>0</v>
      </c>
      <c r="I58" s="58">
        <v>41</v>
      </c>
      <c r="J58" s="58">
        <v>41</v>
      </c>
      <c r="K58" s="58">
        <v>41</v>
      </c>
      <c r="L58" s="58">
        <v>41</v>
      </c>
      <c r="M58" s="58">
        <v>41</v>
      </c>
      <c r="N58" s="58">
        <v>41</v>
      </c>
      <c r="O58" s="58">
        <v>41</v>
      </c>
      <c r="P58" s="58">
        <v>41</v>
      </c>
      <c r="Q58" s="58">
        <v>41</v>
      </c>
      <c r="R58" s="58">
        <v>41</v>
      </c>
      <c r="S58" s="58">
        <v>41</v>
      </c>
      <c r="T58" s="58">
        <v>41</v>
      </c>
      <c r="U58" s="52">
        <v>41</v>
      </c>
      <c r="V58" s="49" t="s">
        <v>820</v>
      </c>
    </row>
    <row r="59" spans="1:22" hidden="1">
      <c r="A59" s="59" t="s">
        <v>1928</v>
      </c>
      <c r="B59" s="59" t="s">
        <v>1927</v>
      </c>
      <c r="C59" s="61" t="s">
        <v>12</v>
      </c>
      <c r="D59" s="61" t="s">
        <v>47</v>
      </c>
      <c r="E59" s="60" t="s">
        <v>12</v>
      </c>
      <c r="F59" s="50" t="s">
        <v>812</v>
      </c>
      <c r="G59" s="50" t="b">
        <v>0</v>
      </c>
      <c r="H59" s="58">
        <v>0</v>
      </c>
      <c r="I59" s="58">
        <v>3.26</v>
      </c>
      <c r="J59" s="58">
        <v>4.84</v>
      </c>
      <c r="K59" s="58">
        <v>7.55</v>
      </c>
      <c r="L59" s="58">
        <v>12.92</v>
      </c>
      <c r="M59" s="58">
        <v>17.71</v>
      </c>
      <c r="N59" s="58">
        <v>20.29</v>
      </c>
      <c r="O59" s="58">
        <v>11.62</v>
      </c>
      <c r="P59" s="58">
        <v>8.81</v>
      </c>
      <c r="Q59" s="58">
        <v>5.91</v>
      </c>
      <c r="R59" s="58">
        <v>4.9400000000000004</v>
      </c>
      <c r="S59" s="58">
        <v>1.65</v>
      </c>
      <c r="T59" s="58">
        <v>1.98</v>
      </c>
      <c r="U59" s="52">
        <v>41</v>
      </c>
      <c r="V59" s="49" t="s">
        <v>820</v>
      </c>
    </row>
    <row r="60" spans="1:22" hidden="1">
      <c r="A60" s="59" t="s">
        <v>1926</v>
      </c>
      <c r="B60" s="59" t="s">
        <v>1925</v>
      </c>
      <c r="C60" s="61" t="s">
        <v>12</v>
      </c>
      <c r="D60" s="61" t="s">
        <v>88</v>
      </c>
      <c r="E60" s="60" t="s">
        <v>12</v>
      </c>
      <c r="F60" s="50" t="s">
        <v>851</v>
      </c>
      <c r="G60" s="50" t="b">
        <v>0</v>
      </c>
      <c r="H60" s="58">
        <v>0</v>
      </c>
      <c r="I60" s="58">
        <v>72.92</v>
      </c>
      <c r="J60" s="58">
        <v>72.27</v>
      </c>
      <c r="K60" s="58">
        <v>67.81</v>
      </c>
      <c r="L60" s="58">
        <v>69.5</v>
      </c>
      <c r="M60" s="58">
        <v>71.16</v>
      </c>
      <c r="N60" s="58">
        <v>70.19</v>
      </c>
      <c r="O60" s="58">
        <v>69.75</v>
      </c>
      <c r="P60" s="58">
        <v>69.400000000000006</v>
      </c>
      <c r="Q60" s="58">
        <v>70.2</v>
      </c>
      <c r="R60" s="58">
        <v>69.540000000000006</v>
      </c>
      <c r="S60" s="58">
        <v>71.48</v>
      </c>
      <c r="T60" s="58">
        <v>70.64</v>
      </c>
      <c r="U60" s="52">
        <v>92.2</v>
      </c>
      <c r="V60" s="49" t="s">
        <v>820</v>
      </c>
    </row>
    <row r="61" spans="1:22" hidden="1">
      <c r="A61" s="59" t="s">
        <v>1924</v>
      </c>
      <c r="B61" s="59" t="s">
        <v>1923</v>
      </c>
      <c r="C61" s="61" t="s">
        <v>10</v>
      </c>
      <c r="D61" s="61" t="s">
        <v>32</v>
      </c>
      <c r="E61" s="60" t="s">
        <v>10</v>
      </c>
      <c r="F61" s="50" t="s">
        <v>821</v>
      </c>
      <c r="G61" s="50" t="b">
        <v>0</v>
      </c>
      <c r="H61" s="58">
        <v>0</v>
      </c>
      <c r="I61" s="58">
        <v>24.45</v>
      </c>
      <c r="J61" s="58">
        <v>26.98</v>
      </c>
      <c r="K61" s="58">
        <v>15.68</v>
      </c>
      <c r="L61" s="58">
        <v>22.03</v>
      </c>
      <c r="M61" s="58">
        <v>24.23</v>
      </c>
      <c r="N61" s="58">
        <v>24.75</v>
      </c>
      <c r="O61" s="58">
        <v>23.04</v>
      </c>
      <c r="P61" s="58">
        <v>22.35</v>
      </c>
      <c r="Q61" s="58">
        <v>24.32</v>
      </c>
      <c r="R61" s="58">
        <v>23.06</v>
      </c>
      <c r="S61" s="58">
        <v>26.15</v>
      </c>
      <c r="T61" s="58">
        <v>24.68</v>
      </c>
      <c r="U61" s="52">
        <v>41.5</v>
      </c>
      <c r="V61" s="49" t="s">
        <v>820</v>
      </c>
    </row>
    <row r="62" spans="1:22" hidden="1">
      <c r="A62" s="59" t="s">
        <v>1922</v>
      </c>
      <c r="B62" s="59" t="s">
        <v>1921</v>
      </c>
      <c r="C62" s="61" t="s">
        <v>10</v>
      </c>
      <c r="D62" s="61" t="s">
        <v>828</v>
      </c>
      <c r="E62" s="60" t="s">
        <v>10</v>
      </c>
      <c r="F62" s="50" t="s">
        <v>824</v>
      </c>
      <c r="G62" s="50" t="b">
        <v>0</v>
      </c>
      <c r="H62" s="58">
        <v>17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2">
        <v>24</v>
      </c>
      <c r="V62" s="49" t="s">
        <v>815</v>
      </c>
    </row>
    <row r="63" spans="1:22" hidden="1">
      <c r="A63" s="59" t="s">
        <v>1920</v>
      </c>
      <c r="B63" s="59" t="s">
        <v>1919</v>
      </c>
      <c r="C63" s="61" t="s">
        <v>10</v>
      </c>
      <c r="D63" s="61" t="s">
        <v>88</v>
      </c>
      <c r="E63" s="60" t="s">
        <v>10</v>
      </c>
      <c r="F63" s="50" t="s">
        <v>827</v>
      </c>
      <c r="G63" s="50" t="b">
        <v>0</v>
      </c>
      <c r="H63" s="58">
        <v>0</v>
      </c>
      <c r="I63" s="58">
        <v>48</v>
      </c>
      <c r="J63" s="58">
        <v>48</v>
      </c>
      <c r="K63" s="58">
        <v>48</v>
      </c>
      <c r="L63" s="58">
        <v>48</v>
      </c>
      <c r="M63" s="58">
        <v>48</v>
      </c>
      <c r="N63" s="58">
        <v>48</v>
      </c>
      <c r="O63" s="58">
        <v>48</v>
      </c>
      <c r="P63" s="58">
        <v>48</v>
      </c>
      <c r="Q63" s="58">
        <v>48</v>
      </c>
      <c r="R63" s="58">
        <v>48</v>
      </c>
      <c r="S63" s="58">
        <v>48</v>
      </c>
      <c r="T63" s="58">
        <v>48</v>
      </c>
      <c r="U63" s="52">
        <v>49</v>
      </c>
      <c r="V63" s="49" t="s">
        <v>820</v>
      </c>
    </row>
    <row r="64" spans="1:22" hidden="1">
      <c r="A64" s="59" t="s">
        <v>1918</v>
      </c>
      <c r="B64" s="59" t="s">
        <v>1917</v>
      </c>
      <c r="C64" s="61" t="s">
        <v>10</v>
      </c>
      <c r="D64" s="61" t="s">
        <v>88</v>
      </c>
      <c r="E64" s="60" t="s">
        <v>10</v>
      </c>
      <c r="F64" s="50" t="s">
        <v>827</v>
      </c>
      <c r="G64" s="50" t="b">
        <v>0</v>
      </c>
      <c r="H64" s="58">
        <v>0</v>
      </c>
      <c r="I64" s="58">
        <v>120</v>
      </c>
      <c r="J64" s="58">
        <v>120</v>
      </c>
      <c r="K64" s="58">
        <v>120</v>
      </c>
      <c r="L64" s="58">
        <v>120</v>
      </c>
      <c r="M64" s="58">
        <v>120</v>
      </c>
      <c r="N64" s="58">
        <v>120</v>
      </c>
      <c r="O64" s="58">
        <v>120</v>
      </c>
      <c r="P64" s="58">
        <v>120</v>
      </c>
      <c r="Q64" s="58">
        <v>120</v>
      </c>
      <c r="R64" s="58">
        <v>120</v>
      </c>
      <c r="S64" s="58">
        <v>120</v>
      </c>
      <c r="T64" s="58">
        <v>120</v>
      </c>
      <c r="U64" s="52">
        <v>122</v>
      </c>
      <c r="V64" s="49" t="s">
        <v>820</v>
      </c>
    </row>
    <row r="65" spans="1:22" hidden="1">
      <c r="A65" s="59" t="s">
        <v>1916</v>
      </c>
      <c r="B65" s="59" t="s">
        <v>1915</v>
      </c>
      <c r="C65" s="61" t="s">
        <v>10</v>
      </c>
      <c r="D65" s="61" t="s">
        <v>88</v>
      </c>
      <c r="E65" s="60" t="s">
        <v>10</v>
      </c>
      <c r="F65" s="50" t="s">
        <v>827</v>
      </c>
      <c r="G65" s="50" t="b">
        <v>0</v>
      </c>
      <c r="H65" s="58">
        <v>0</v>
      </c>
      <c r="I65" s="58">
        <v>24</v>
      </c>
      <c r="J65" s="58">
        <v>24</v>
      </c>
      <c r="K65" s="58">
        <v>24</v>
      </c>
      <c r="L65" s="58">
        <v>24</v>
      </c>
      <c r="M65" s="58">
        <v>24</v>
      </c>
      <c r="N65" s="58">
        <v>24</v>
      </c>
      <c r="O65" s="58">
        <v>24</v>
      </c>
      <c r="P65" s="58">
        <v>24</v>
      </c>
      <c r="Q65" s="58">
        <v>24</v>
      </c>
      <c r="R65" s="58">
        <v>24</v>
      </c>
      <c r="S65" s="58">
        <v>24</v>
      </c>
      <c r="T65" s="58">
        <v>24</v>
      </c>
      <c r="U65" s="52">
        <v>24</v>
      </c>
      <c r="V65" s="49" t="s">
        <v>820</v>
      </c>
    </row>
    <row r="66" spans="1:22" hidden="1">
      <c r="A66" s="59" t="s">
        <v>1914</v>
      </c>
      <c r="B66" s="59" t="s">
        <v>1913</v>
      </c>
      <c r="C66" s="61" t="s">
        <v>10</v>
      </c>
      <c r="D66" s="61" t="s">
        <v>32</v>
      </c>
      <c r="E66" s="60" t="s">
        <v>10</v>
      </c>
      <c r="F66" s="50" t="s">
        <v>821</v>
      </c>
      <c r="G66" s="50" t="b">
        <v>0</v>
      </c>
      <c r="H66" s="58">
        <v>0</v>
      </c>
      <c r="I66" s="58">
        <v>20.94</v>
      </c>
      <c r="J66" s="58">
        <v>18.600000000000001</v>
      </c>
      <c r="K66" s="58">
        <v>17.579999999999998</v>
      </c>
      <c r="L66" s="58">
        <v>15.53</v>
      </c>
      <c r="M66" s="58">
        <v>21.27</v>
      </c>
      <c r="N66" s="58">
        <v>21.58</v>
      </c>
      <c r="O66" s="58">
        <v>22.26</v>
      </c>
      <c r="P66" s="58">
        <v>22.08</v>
      </c>
      <c r="Q66" s="58">
        <v>21.83</v>
      </c>
      <c r="R66" s="58">
        <v>23.55</v>
      </c>
      <c r="S66" s="58">
        <v>18.41</v>
      </c>
      <c r="T66" s="58">
        <v>16.7</v>
      </c>
      <c r="U66" s="52">
        <v>57.3</v>
      </c>
      <c r="V66" s="49" t="s">
        <v>820</v>
      </c>
    </row>
    <row r="67" spans="1:22">
      <c r="A67" s="59" t="s">
        <v>1912</v>
      </c>
      <c r="B67" s="59" t="s">
        <v>1911</v>
      </c>
      <c r="C67" s="61" t="s">
        <v>12</v>
      </c>
      <c r="D67" s="61" t="s">
        <v>11</v>
      </c>
      <c r="E67" s="60" t="s">
        <v>11</v>
      </c>
      <c r="F67" s="50" t="s">
        <v>872</v>
      </c>
      <c r="G67" s="50" t="b">
        <v>0</v>
      </c>
      <c r="H67" s="58">
        <v>0</v>
      </c>
      <c r="I67" s="58">
        <v>1.71</v>
      </c>
      <c r="J67" s="58">
        <v>1.66</v>
      </c>
      <c r="K67" s="58">
        <v>1.61</v>
      </c>
      <c r="L67" s="58">
        <v>2.29</v>
      </c>
      <c r="M67" s="58">
        <v>1.9</v>
      </c>
      <c r="N67" s="58">
        <v>1.1599999999999999</v>
      </c>
      <c r="O67" s="58">
        <v>1.87</v>
      </c>
      <c r="P67" s="58">
        <v>2.15</v>
      </c>
      <c r="Q67" s="58">
        <v>2.0099999999999998</v>
      </c>
      <c r="R67" s="58">
        <v>2.14</v>
      </c>
      <c r="S67" s="58">
        <v>2.09</v>
      </c>
      <c r="T67" s="58">
        <v>1.55</v>
      </c>
      <c r="U67" s="52">
        <v>5</v>
      </c>
      <c r="V67" s="49" t="s">
        <v>820</v>
      </c>
    </row>
    <row r="68" spans="1:22" hidden="1">
      <c r="A68" s="59" t="s">
        <v>1910</v>
      </c>
      <c r="B68" s="59" t="s">
        <v>1909</v>
      </c>
      <c r="C68" s="61" t="s">
        <v>12</v>
      </c>
      <c r="D68" s="61" t="s">
        <v>11</v>
      </c>
      <c r="E68" s="60" t="s">
        <v>11</v>
      </c>
      <c r="F68" s="50" t="s">
        <v>827</v>
      </c>
      <c r="G68" s="50" t="b">
        <v>0</v>
      </c>
      <c r="H68" s="58">
        <v>0</v>
      </c>
      <c r="I68" s="58">
        <v>0.45649000000000001</v>
      </c>
      <c r="J68" s="58">
        <v>0.15354699999999999</v>
      </c>
      <c r="K68" s="58">
        <v>4.0962500000000004</v>
      </c>
      <c r="L68" s="58">
        <v>2.8004199999999999</v>
      </c>
      <c r="M68" s="58">
        <v>1.9211199999999999</v>
      </c>
      <c r="N68" s="58">
        <v>2.7608299999999999</v>
      </c>
      <c r="O68" s="58">
        <v>4.5053799999999997</v>
      </c>
      <c r="P68" s="58">
        <v>3.9213200000000001</v>
      </c>
      <c r="Q68" s="58">
        <v>3.9765199999999998</v>
      </c>
      <c r="R68" s="58">
        <v>2.16676</v>
      </c>
      <c r="S68" s="58">
        <v>2.00481</v>
      </c>
      <c r="T68" s="58">
        <v>1.0997399999999999</v>
      </c>
      <c r="U68" s="52">
        <v>5.25</v>
      </c>
      <c r="V68" s="49" t="s">
        <v>820</v>
      </c>
    </row>
    <row r="69" spans="1:22">
      <c r="A69" s="59" t="s">
        <v>1908</v>
      </c>
      <c r="B69" s="59" t="s">
        <v>1908</v>
      </c>
      <c r="C69" s="61" t="s">
        <v>10</v>
      </c>
      <c r="D69" s="61" t="s">
        <v>88</v>
      </c>
      <c r="E69" s="60" t="s">
        <v>10</v>
      </c>
      <c r="F69" s="50" t="s">
        <v>872</v>
      </c>
      <c r="G69" s="50" t="b">
        <v>0</v>
      </c>
      <c r="H69" s="58">
        <v>0</v>
      </c>
      <c r="I69" s="58">
        <v>446</v>
      </c>
      <c r="J69" s="58">
        <v>446</v>
      </c>
      <c r="K69" s="58">
        <v>446</v>
      </c>
      <c r="L69" s="58">
        <v>446</v>
      </c>
      <c r="M69" s="58">
        <v>446</v>
      </c>
      <c r="N69" s="58">
        <v>446</v>
      </c>
      <c r="O69" s="58">
        <v>446</v>
      </c>
      <c r="P69" s="58">
        <v>446</v>
      </c>
      <c r="Q69" s="58">
        <v>446</v>
      </c>
      <c r="R69" s="58">
        <v>446</v>
      </c>
      <c r="S69" s="58">
        <v>446</v>
      </c>
      <c r="T69" s="58">
        <v>446</v>
      </c>
      <c r="U69" s="52">
        <v>456</v>
      </c>
      <c r="V69" s="49" t="s">
        <v>855</v>
      </c>
    </row>
    <row r="70" spans="1:22" hidden="1">
      <c r="A70" s="59" t="s">
        <v>1907</v>
      </c>
      <c r="B70" s="59" t="s">
        <v>1907</v>
      </c>
      <c r="C70" s="61" t="s">
        <v>10</v>
      </c>
      <c r="D70" s="61" t="s">
        <v>88</v>
      </c>
      <c r="E70" s="60" t="s">
        <v>10</v>
      </c>
      <c r="F70" s="50" t="s">
        <v>827</v>
      </c>
      <c r="G70" s="50" t="b">
        <v>0</v>
      </c>
      <c r="H70" s="58">
        <v>0</v>
      </c>
      <c r="I70" s="58">
        <v>0.2</v>
      </c>
      <c r="J70" s="58">
        <v>0.27</v>
      </c>
      <c r="K70" s="58">
        <v>0.61</v>
      </c>
      <c r="L70" s="58">
        <v>0.56999999999999995</v>
      </c>
      <c r="M70" s="58">
        <v>0.54</v>
      </c>
      <c r="N70" s="58">
        <v>0.22</v>
      </c>
      <c r="O70" s="58">
        <v>0.13</v>
      </c>
      <c r="P70" s="58">
        <v>0.1</v>
      </c>
      <c r="Q70" s="58">
        <v>0.09</v>
      </c>
      <c r="R70" s="58">
        <v>0.11</v>
      </c>
      <c r="S70" s="58">
        <v>0.12</v>
      </c>
      <c r="T70" s="58">
        <v>0.14000000000000001</v>
      </c>
      <c r="U70" s="52">
        <v>1</v>
      </c>
      <c r="V70" s="49" t="s">
        <v>820</v>
      </c>
    </row>
    <row r="71" spans="1:22" hidden="1">
      <c r="A71" s="59" t="s">
        <v>1906</v>
      </c>
      <c r="B71" s="59" t="s">
        <v>1905</v>
      </c>
      <c r="C71" s="61" t="s">
        <v>12</v>
      </c>
      <c r="D71" s="61" t="s">
        <v>47</v>
      </c>
      <c r="E71" s="60" t="s">
        <v>12</v>
      </c>
      <c r="F71" s="50" t="s">
        <v>821</v>
      </c>
      <c r="G71" s="50" t="b">
        <v>0</v>
      </c>
      <c r="H71" s="58">
        <v>0</v>
      </c>
      <c r="I71" s="58">
        <v>15.5</v>
      </c>
      <c r="J71" s="58">
        <v>13.07</v>
      </c>
      <c r="K71" s="58">
        <v>18.53</v>
      </c>
      <c r="L71" s="58">
        <v>18.22</v>
      </c>
      <c r="M71" s="58">
        <v>15.76</v>
      </c>
      <c r="N71" s="58">
        <v>18.350000000000001</v>
      </c>
      <c r="O71" s="58">
        <v>18.02</v>
      </c>
      <c r="P71" s="58">
        <v>17.989999999999998</v>
      </c>
      <c r="Q71" s="58">
        <v>17.18</v>
      </c>
      <c r="R71" s="58">
        <v>19.350000000000001</v>
      </c>
      <c r="S71" s="58">
        <v>15.36</v>
      </c>
      <c r="T71" s="58">
        <v>17.98</v>
      </c>
      <c r="U71" s="52">
        <v>31</v>
      </c>
      <c r="V71" s="49" t="s">
        <v>820</v>
      </c>
    </row>
    <row r="72" spans="1:22" hidden="1">
      <c r="A72" s="59" t="s">
        <v>1904</v>
      </c>
      <c r="B72" s="59" t="s">
        <v>1903</v>
      </c>
      <c r="C72" s="61" t="s">
        <v>12</v>
      </c>
      <c r="D72" s="61" t="s">
        <v>47</v>
      </c>
      <c r="E72" s="60" t="s">
        <v>12</v>
      </c>
      <c r="F72" s="50" t="s">
        <v>827</v>
      </c>
      <c r="G72" s="50" t="b">
        <v>0</v>
      </c>
      <c r="H72" s="58">
        <v>1.91</v>
      </c>
      <c r="I72" s="58">
        <v>0</v>
      </c>
      <c r="J72" s="58">
        <v>0</v>
      </c>
      <c r="K72" s="58">
        <v>0</v>
      </c>
      <c r="L72" s="58">
        <v>0</v>
      </c>
      <c r="M72" s="58">
        <v>0</v>
      </c>
      <c r="N72" s="58">
        <v>0</v>
      </c>
      <c r="O72" s="58">
        <v>0</v>
      </c>
      <c r="P72" s="58">
        <v>0</v>
      </c>
      <c r="Q72" s="58">
        <v>0</v>
      </c>
      <c r="R72" s="58">
        <v>0</v>
      </c>
      <c r="S72" s="58">
        <v>0</v>
      </c>
      <c r="T72" s="58">
        <v>0</v>
      </c>
      <c r="U72" s="52">
        <v>1.91</v>
      </c>
      <c r="V72" s="49" t="s">
        <v>881</v>
      </c>
    </row>
    <row r="73" spans="1:22" hidden="1">
      <c r="A73" s="59" t="s">
        <v>1902</v>
      </c>
      <c r="B73" s="59" t="s">
        <v>1902</v>
      </c>
      <c r="C73" s="61" t="s">
        <v>12</v>
      </c>
      <c r="D73" s="61" t="s">
        <v>47</v>
      </c>
      <c r="E73" s="60" t="s">
        <v>12</v>
      </c>
      <c r="F73" s="50" t="s">
        <v>816</v>
      </c>
      <c r="G73" s="50" t="b">
        <v>0</v>
      </c>
      <c r="H73" s="58">
        <v>44.57</v>
      </c>
      <c r="I73" s="58">
        <v>0</v>
      </c>
      <c r="J73" s="58">
        <v>0</v>
      </c>
      <c r="K73" s="58">
        <v>0</v>
      </c>
      <c r="L73" s="58">
        <v>0</v>
      </c>
      <c r="M73" s="58">
        <v>0</v>
      </c>
      <c r="N73" s="58">
        <v>0</v>
      </c>
      <c r="O73" s="58">
        <v>0</v>
      </c>
      <c r="P73" s="58">
        <v>0</v>
      </c>
      <c r="Q73" s="58">
        <v>0</v>
      </c>
      <c r="R73" s="58">
        <v>0</v>
      </c>
      <c r="S73" s="58">
        <v>0</v>
      </c>
      <c r="T73" s="58">
        <v>0</v>
      </c>
      <c r="U73" s="52">
        <v>47</v>
      </c>
      <c r="V73" s="49" t="s">
        <v>815</v>
      </c>
    </row>
    <row r="74" spans="1:22" hidden="1">
      <c r="A74" s="59" t="s">
        <v>1901</v>
      </c>
      <c r="B74" s="59" t="s">
        <v>1900</v>
      </c>
      <c r="C74" s="61" t="s">
        <v>12</v>
      </c>
      <c r="D74" s="61" t="s">
        <v>47</v>
      </c>
      <c r="E74" s="60" t="s">
        <v>12</v>
      </c>
      <c r="F74" s="50" t="s">
        <v>816</v>
      </c>
      <c r="G74" s="50" t="b">
        <v>0</v>
      </c>
      <c r="H74" s="58">
        <v>0</v>
      </c>
      <c r="I74" s="58">
        <v>36</v>
      </c>
      <c r="J74" s="58">
        <v>36</v>
      </c>
      <c r="K74" s="58">
        <v>36</v>
      </c>
      <c r="L74" s="58">
        <v>36</v>
      </c>
      <c r="M74" s="58">
        <v>36</v>
      </c>
      <c r="N74" s="58">
        <v>36</v>
      </c>
      <c r="O74" s="58">
        <v>36</v>
      </c>
      <c r="P74" s="58">
        <v>36</v>
      </c>
      <c r="Q74" s="58">
        <v>36</v>
      </c>
      <c r="R74" s="58">
        <v>36</v>
      </c>
      <c r="S74" s="58">
        <v>36</v>
      </c>
      <c r="T74" s="58">
        <v>36</v>
      </c>
      <c r="U74" s="52">
        <v>41.4</v>
      </c>
      <c r="V74" s="49" t="s">
        <v>815</v>
      </c>
    </row>
    <row r="75" spans="1:22" hidden="1">
      <c r="A75" s="59" t="s">
        <v>1899</v>
      </c>
      <c r="B75" s="59" t="s">
        <v>1898</v>
      </c>
      <c r="C75" s="61" t="s">
        <v>10</v>
      </c>
      <c r="D75" s="61" t="s">
        <v>901</v>
      </c>
      <c r="E75" s="60" t="s">
        <v>10</v>
      </c>
      <c r="F75" s="50" t="s">
        <v>821</v>
      </c>
      <c r="G75" s="50" t="b">
        <v>0</v>
      </c>
      <c r="H75" s="58">
        <v>0</v>
      </c>
      <c r="I75" s="58">
        <v>46.47</v>
      </c>
      <c r="J75" s="58">
        <v>45.67</v>
      </c>
      <c r="K75" s="58">
        <v>45.41</v>
      </c>
      <c r="L75" s="58">
        <v>42.35</v>
      </c>
      <c r="M75" s="58">
        <v>33.24</v>
      </c>
      <c r="N75" s="58">
        <v>46.29</v>
      </c>
      <c r="O75" s="58">
        <v>44.37</v>
      </c>
      <c r="P75" s="58">
        <v>45.27</v>
      </c>
      <c r="Q75" s="58">
        <v>44.29</v>
      </c>
      <c r="R75" s="58">
        <v>36.1</v>
      </c>
      <c r="S75" s="58">
        <v>46.69</v>
      </c>
      <c r="T75" s="58">
        <v>46.49</v>
      </c>
      <c r="U75" s="52">
        <v>55.1</v>
      </c>
      <c r="V75" s="49" t="s">
        <v>820</v>
      </c>
    </row>
    <row r="76" spans="1:22" hidden="1">
      <c r="A76" s="59" t="s">
        <v>1897</v>
      </c>
      <c r="B76" s="59" t="s">
        <v>1896</v>
      </c>
      <c r="C76" s="61" t="s">
        <v>10</v>
      </c>
      <c r="D76" s="61" t="s">
        <v>901</v>
      </c>
      <c r="E76" s="60" t="s">
        <v>10</v>
      </c>
      <c r="F76" s="50" t="s">
        <v>821</v>
      </c>
      <c r="G76" s="50" t="b">
        <v>0</v>
      </c>
      <c r="H76" s="58">
        <v>0</v>
      </c>
      <c r="I76" s="58">
        <v>0.45</v>
      </c>
      <c r="J76" s="58">
        <v>0.69</v>
      </c>
      <c r="K76" s="58">
        <v>0.41</v>
      </c>
      <c r="L76" s="58">
        <v>0.27</v>
      </c>
      <c r="M76" s="58">
        <v>0.57999999999999996</v>
      </c>
      <c r="N76" s="58">
        <v>1.98</v>
      </c>
      <c r="O76" s="58">
        <v>1.49</v>
      </c>
      <c r="P76" s="58">
        <v>1.27</v>
      </c>
      <c r="Q76" s="58">
        <v>0.43</v>
      </c>
      <c r="R76" s="58">
        <v>0.73</v>
      </c>
      <c r="S76" s="58">
        <v>0.48</v>
      </c>
      <c r="T76" s="58">
        <v>0.73</v>
      </c>
      <c r="U76" s="52">
        <v>11.5</v>
      </c>
      <c r="V76" s="49" t="s">
        <v>820</v>
      </c>
    </row>
    <row r="77" spans="1:22" hidden="1">
      <c r="A77" s="59" t="s">
        <v>1895</v>
      </c>
      <c r="B77" s="59" t="s">
        <v>1894</v>
      </c>
      <c r="C77" s="61" t="s">
        <v>10</v>
      </c>
      <c r="D77" s="61" t="s">
        <v>828</v>
      </c>
      <c r="E77" s="60" t="s">
        <v>10</v>
      </c>
      <c r="F77" s="50" t="s">
        <v>821</v>
      </c>
      <c r="G77" s="50" t="b">
        <v>0</v>
      </c>
      <c r="H77" s="58">
        <v>0</v>
      </c>
      <c r="I77" s="58">
        <v>7.27</v>
      </c>
      <c r="J77" s="58">
        <v>10.24</v>
      </c>
      <c r="K77" s="58">
        <v>8.69</v>
      </c>
      <c r="L77" s="58">
        <v>8.23</v>
      </c>
      <c r="M77" s="58">
        <v>8.14</v>
      </c>
      <c r="N77" s="58">
        <v>8.15</v>
      </c>
      <c r="O77" s="58">
        <v>7.54</v>
      </c>
      <c r="P77" s="58">
        <v>7.69</v>
      </c>
      <c r="Q77" s="58">
        <v>7.55</v>
      </c>
      <c r="R77" s="58">
        <v>8.2200000000000006</v>
      </c>
      <c r="S77" s="58">
        <v>7.96</v>
      </c>
      <c r="T77" s="58">
        <v>8.76</v>
      </c>
      <c r="U77" s="52">
        <v>19</v>
      </c>
      <c r="V77" s="49" t="s">
        <v>820</v>
      </c>
    </row>
    <row r="78" spans="1:22" hidden="1">
      <c r="A78" s="59" t="s">
        <v>1893</v>
      </c>
      <c r="B78" s="59" t="s">
        <v>1892</v>
      </c>
      <c r="C78" s="61" t="s">
        <v>10</v>
      </c>
      <c r="D78" s="61" t="s">
        <v>828</v>
      </c>
      <c r="E78" s="60" t="s">
        <v>10</v>
      </c>
      <c r="F78" s="50" t="s">
        <v>821</v>
      </c>
      <c r="G78" s="50" t="b">
        <v>0</v>
      </c>
      <c r="H78" s="58">
        <v>0</v>
      </c>
      <c r="I78" s="58">
        <v>2.19</v>
      </c>
      <c r="J78" s="58">
        <v>2.14</v>
      </c>
      <c r="K78" s="58">
        <v>2.09</v>
      </c>
      <c r="L78" s="58">
        <v>1.95</v>
      </c>
      <c r="M78" s="58">
        <v>1.41</v>
      </c>
      <c r="N78" s="58">
        <v>1.55</v>
      </c>
      <c r="O78" s="58">
        <v>1.68</v>
      </c>
      <c r="P78" s="58">
        <v>1.62</v>
      </c>
      <c r="Q78" s="58">
        <v>1.66</v>
      </c>
      <c r="R78" s="58">
        <v>1.7</v>
      </c>
      <c r="S78" s="58">
        <v>2.04</v>
      </c>
      <c r="T78" s="58">
        <v>1.84</v>
      </c>
      <c r="U78" s="52">
        <v>12.5</v>
      </c>
      <c r="V78" s="49" t="s">
        <v>820</v>
      </c>
    </row>
    <row r="79" spans="1:22" hidden="1">
      <c r="A79" s="59" t="s">
        <v>1891</v>
      </c>
      <c r="B79" s="59" t="s">
        <v>1890</v>
      </c>
      <c r="C79" s="61" t="s">
        <v>10</v>
      </c>
      <c r="D79" s="61" t="s">
        <v>901</v>
      </c>
      <c r="E79" s="60" t="s">
        <v>10</v>
      </c>
      <c r="F79" s="50" t="s">
        <v>821</v>
      </c>
      <c r="G79" s="50" t="b">
        <v>0</v>
      </c>
      <c r="H79" s="58">
        <v>0</v>
      </c>
      <c r="I79" s="58">
        <v>8.84</v>
      </c>
      <c r="J79" s="58">
        <v>7.05</v>
      </c>
      <c r="K79" s="58">
        <v>6.68</v>
      </c>
      <c r="L79" s="58">
        <v>5.49</v>
      </c>
      <c r="M79" s="58">
        <v>6.38</v>
      </c>
      <c r="N79" s="58">
        <v>5.72</v>
      </c>
      <c r="O79" s="58">
        <v>5.58</v>
      </c>
      <c r="P79" s="58">
        <v>5.24</v>
      </c>
      <c r="Q79" s="58">
        <v>4.99</v>
      </c>
      <c r="R79" s="58">
        <v>4.17</v>
      </c>
      <c r="S79" s="58">
        <v>5.73</v>
      </c>
      <c r="T79" s="58">
        <v>6.79</v>
      </c>
      <c r="U79" s="52">
        <v>24.3</v>
      </c>
      <c r="V79" s="49" t="s">
        <v>820</v>
      </c>
    </row>
    <row r="80" spans="1:22" hidden="1">
      <c r="A80" s="59" t="s">
        <v>1889</v>
      </c>
      <c r="B80" s="59" t="s">
        <v>1888</v>
      </c>
      <c r="C80" s="61" t="s">
        <v>12</v>
      </c>
      <c r="D80" s="61" t="s">
        <v>47</v>
      </c>
      <c r="E80" s="60" t="s">
        <v>12</v>
      </c>
      <c r="F80" s="50" t="s">
        <v>821</v>
      </c>
      <c r="G80" s="50" t="b">
        <v>0</v>
      </c>
      <c r="H80" s="58">
        <v>0</v>
      </c>
      <c r="I80" s="58">
        <v>0.8</v>
      </c>
      <c r="J80" s="58">
        <v>2.2000000000000002</v>
      </c>
      <c r="K80" s="58">
        <v>0</v>
      </c>
      <c r="L80" s="58">
        <v>0.13</v>
      </c>
      <c r="M80" s="58">
        <v>0.03</v>
      </c>
      <c r="N80" s="58">
        <v>6.84</v>
      </c>
      <c r="O80" s="58">
        <v>4.37</v>
      </c>
      <c r="P80" s="58">
        <v>0.31</v>
      </c>
      <c r="Q80" s="58">
        <v>0</v>
      </c>
      <c r="R80" s="58">
        <v>4.62</v>
      </c>
      <c r="S80" s="58">
        <v>7.9</v>
      </c>
      <c r="T80" s="58">
        <v>0.46</v>
      </c>
      <c r="U80" s="52">
        <v>85.31</v>
      </c>
      <c r="V80" s="49" t="s">
        <v>820</v>
      </c>
    </row>
    <row r="81" spans="1:22" hidden="1">
      <c r="A81" s="59" t="s">
        <v>1887</v>
      </c>
      <c r="B81" s="59" t="s">
        <v>1886</v>
      </c>
      <c r="C81" s="61" t="s">
        <v>10</v>
      </c>
      <c r="D81" s="61" t="s">
        <v>817</v>
      </c>
      <c r="E81" s="60" t="s">
        <v>10</v>
      </c>
      <c r="F81" s="50" t="s">
        <v>827</v>
      </c>
      <c r="G81" s="50" t="b">
        <v>0</v>
      </c>
      <c r="H81" s="58">
        <v>0</v>
      </c>
      <c r="I81" s="58">
        <v>38</v>
      </c>
      <c r="J81" s="58">
        <v>38</v>
      </c>
      <c r="K81" s="58">
        <v>38</v>
      </c>
      <c r="L81" s="58">
        <v>38</v>
      </c>
      <c r="M81" s="58">
        <v>38</v>
      </c>
      <c r="N81" s="58">
        <v>38</v>
      </c>
      <c r="O81" s="58">
        <v>38</v>
      </c>
      <c r="P81" s="58">
        <v>38</v>
      </c>
      <c r="Q81" s="58">
        <v>38</v>
      </c>
      <c r="R81" s="58">
        <v>38</v>
      </c>
      <c r="S81" s="58">
        <v>38</v>
      </c>
      <c r="T81" s="58">
        <v>38</v>
      </c>
      <c r="U81" s="52">
        <v>42</v>
      </c>
      <c r="V81" s="49" t="s">
        <v>820</v>
      </c>
    </row>
    <row r="82" spans="1:22" hidden="1">
      <c r="A82" s="59" t="s">
        <v>1885</v>
      </c>
      <c r="B82" s="59" t="s">
        <v>1884</v>
      </c>
      <c r="C82" s="61" t="s">
        <v>12</v>
      </c>
      <c r="D82" s="61" t="s">
        <v>11</v>
      </c>
      <c r="E82" s="60" t="s">
        <v>11</v>
      </c>
      <c r="F82" s="50" t="s">
        <v>824</v>
      </c>
      <c r="G82" s="50" t="b">
        <v>0</v>
      </c>
      <c r="H82" s="58">
        <v>0</v>
      </c>
      <c r="I82" s="58">
        <v>0.44</v>
      </c>
      <c r="J82" s="58">
        <v>0.74</v>
      </c>
      <c r="K82" s="58">
        <v>0.82</v>
      </c>
      <c r="L82" s="58">
        <v>0.56999999999999995</v>
      </c>
      <c r="M82" s="58">
        <v>0.42</v>
      </c>
      <c r="N82" s="58">
        <v>0.46</v>
      </c>
      <c r="O82" s="58">
        <v>0.45</v>
      </c>
      <c r="P82" s="58">
        <v>0.43</v>
      </c>
      <c r="Q82" s="58">
        <v>0.35</v>
      </c>
      <c r="R82" s="58">
        <v>0.35</v>
      </c>
      <c r="S82" s="58">
        <v>0.35</v>
      </c>
      <c r="T82" s="58">
        <v>0.34</v>
      </c>
      <c r="U82" s="52">
        <v>5</v>
      </c>
      <c r="V82" s="49" t="s">
        <v>820</v>
      </c>
    </row>
    <row r="83" spans="1:22" hidden="1">
      <c r="A83" s="59" t="s">
        <v>1883</v>
      </c>
      <c r="B83" s="59" t="s">
        <v>1882</v>
      </c>
      <c r="C83" s="61" t="s">
        <v>12</v>
      </c>
      <c r="D83" s="61" t="s">
        <v>11</v>
      </c>
      <c r="E83" s="60" t="s">
        <v>11</v>
      </c>
      <c r="F83" s="50" t="s">
        <v>824</v>
      </c>
      <c r="G83" s="50" t="b">
        <v>0</v>
      </c>
      <c r="H83" s="58">
        <v>0</v>
      </c>
      <c r="I83" s="58">
        <v>1.83</v>
      </c>
      <c r="J83" s="58">
        <v>1.82</v>
      </c>
      <c r="K83" s="58">
        <v>1.83</v>
      </c>
      <c r="L83" s="58">
        <v>1.1200000000000001</v>
      </c>
      <c r="M83" s="58">
        <v>1.18</v>
      </c>
      <c r="N83" s="58">
        <v>1.22</v>
      </c>
      <c r="O83" s="58">
        <v>1.44</v>
      </c>
      <c r="P83" s="58">
        <v>1.26</v>
      </c>
      <c r="Q83" s="58">
        <v>1.37</v>
      </c>
      <c r="R83" s="58">
        <v>1.34</v>
      </c>
      <c r="S83" s="58">
        <v>1.3</v>
      </c>
      <c r="T83" s="58">
        <v>1.46</v>
      </c>
      <c r="U83" s="52">
        <v>2.5</v>
      </c>
      <c r="V83" s="49" t="s">
        <v>820</v>
      </c>
    </row>
    <row r="84" spans="1:22">
      <c r="A84" s="59" t="s">
        <v>1881</v>
      </c>
      <c r="B84" s="59" t="s">
        <v>1880</v>
      </c>
      <c r="C84" s="61" t="s">
        <v>12</v>
      </c>
      <c r="D84" s="61" t="s">
        <v>47</v>
      </c>
      <c r="E84" s="60" t="s">
        <v>12</v>
      </c>
      <c r="F84" s="50" t="s">
        <v>872</v>
      </c>
      <c r="G84" s="50" t="b">
        <v>0</v>
      </c>
      <c r="H84" s="58">
        <v>0</v>
      </c>
      <c r="I84" s="58">
        <v>7.59</v>
      </c>
      <c r="J84" s="58">
        <v>5.53</v>
      </c>
      <c r="K84" s="58">
        <v>8.39</v>
      </c>
      <c r="L84" s="58">
        <v>8.9600000000000009</v>
      </c>
      <c r="M84" s="58">
        <v>7.22</v>
      </c>
      <c r="N84" s="58">
        <v>8.1</v>
      </c>
      <c r="O84" s="58">
        <v>7.95</v>
      </c>
      <c r="P84" s="58">
        <v>9.3000000000000007</v>
      </c>
      <c r="Q84" s="58">
        <v>9.65</v>
      </c>
      <c r="R84" s="58">
        <v>9.65</v>
      </c>
      <c r="S84" s="58">
        <v>7.27</v>
      </c>
      <c r="T84" s="58">
        <v>5.86</v>
      </c>
      <c r="U84" s="52">
        <v>21.8</v>
      </c>
      <c r="V84" s="49" t="s">
        <v>820</v>
      </c>
    </row>
    <row r="85" spans="1:22" hidden="1">
      <c r="A85" s="59" t="s">
        <v>1879</v>
      </c>
      <c r="B85" s="59" t="s">
        <v>1878</v>
      </c>
      <c r="C85" s="61" t="s">
        <v>12</v>
      </c>
      <c r="D85" s="61" t="s">
        <v>47</v>
      </c>
      <c r="E85" s="60" t="s">
        <v>12</v>
      </c>
      <c r="F85" s="50" t="s">
        <v>913</v>
      </c>
      <c r="G85" s="50" t="b">
        <v>0</v>
      </c>
      <c r="H85" s="58">
        <v>0</v>
      </c>
      <c r="I85" s="58">
        <v>6.647442118280225E-3</v>
      </c>
      <c r="J85" s="58">
        <v>0.12509122557809454</v>
      </c>
      <c r="K85" s="58">
        <v>0.17373425820773791</v>
      </c>
      <c r="L85" s="58">
        <v>1.1892058519542872</v>
      </c>
      <c r="M85" s="58">
        <v>1.4646911555306359</v>
      </c>
      <c r="N85" s="58">
        <v>1.9239937237600746</v>
      </c>
      <c r="O85" s="58">
        <v>1.8992529712875985</v>
      </c>
      <c r="P85" s="58">
        <v>1.8406721803182851</v>
      </c>
      <c r="Q85" s="58">
        <v>1.6875313749559426</v>
      </c>
      <c r="R85" s="58">
        <v>0.75511833075972135</v>
      </c>
      <c r="S85" s="58">
        <v>2.46488664988125E-2</v>
      </c>
      <c r="T85" s="58">
        <v>1.7408640542423307E-2</v>
      </c>
      <c r="U85" s="52">
        <v>2</v>
      </c>
      <c r="V85" s="49" t="s">
        <v>820</v>
      </c>
    </row>
    <row r="86" spans="1:22" hidden="1">
      <c r="A86" s="59" t="s">
        <v>1877</v>
      </c>
      <c r="B86" s="59" t="s">
        <v>1876</v>
      </c>
      <c r="C86" s="61" t="s">
        <v>12</v>
      </c>
      <c r="D86" s="61" t="s">
        <v>47</v>
      </c>
      <c r="E86" s="60" t="s">
        <v>12</v>
      </c>
      <c r="F86" s="50" t="s">
        <v>821</v>
      </c>
      <c r="G86" s="50" t="b">
        <v>0</v>
      </c>
      <c r="H86" s="58">
        <v>0</v>
      </c>
      <c r="I86" s="58">
        <v>22.39</v>
      </c>
      <c r="J86" s="58">
        <v>25.03</v>
      </c>
      <c r="K86" s="58">
        <v>25.31</v>
      </c>
      <c r="L86" s="58">
        <v>23.68</v>
      </c>
      <c r="M86" s="58">
        <v>22.44</v>
      </c>
      <c r="N86" s="58">
        <v>25.37</v>
      </c>
      <c r="O86" s="58">
        <v>24.54</v>
      </c>
      <c r="P86" s="58">
        <v>25.07</v>
      </c>
      <c r="Q86" s="58">
        <v>25.71</v>
      </c>
      <c r="R86" s="58">
        <v>21.57</v>
      </c>
      <c r="S86" s="58">
        <v>25.68</v>
      </c>
      <c r="T86" s="58">
        <v>25.82</v>
      </c>
      <c r="U86" s="52">
        <v>31.6</v>
      </c>
      <c r="V86" s="49" t="s">
        <v>820</v>
      </c>
    </row>
    <row r="87" spans="1:22" hidden="1">
      <c r="A87" s="59" t="s">
        <v>1875</v>
      </c>
      <c r="B87" s="59" t="s">
        <v>1874</v>
      </c>
      <c r="C87" s="61" t="s">
        <v>12</v>
      </c>
      <c r="D87" s="61" t="s">
        <v>47</v>
      </c>
      <c r="E87" s="60" t="s">
        <v>12</v>
      </c>
      <c r="F87" s="50" t="s">
        <v>821</v>
      </c>
      <c r="G87" s="50" t="b">
        <v>0</v>
      </c>
      <c r="H87" s="58">
        <v>0</v>
      </c>
      <c r="I87" s="58">
        <v>28.6</v>
      </c>
      <c r="J87" s="58">
        <v>25.82</v>
      </c>
      <c r="K87" s="58">
        <v>29.48</v>
      </c>
      <c r="L87" s="58">
        <v>26.13</v>
      </c>
      <c r="M87" s="58">
        <v>19.260000000000002</v>
      </c>
      <c r="N87" s="58">
        <v>27.4</v>
      </c>
      <c r="O87" s="58">
        <v>25.33</v>
      </c>
      <c r="P87" s="58">
        <v>27.6</v>
      </c>
      <c r="Q87" s="58">
        <v>26.22</v>
      </c>
      <c r="R87" s="58">
        <v>22.8</v>
      </c>
      <c r="S87" s="58">
        <v>23.99</v>
      </c>
      <c r="T87" s="58">
        <v>26.53</v>
      </c>
      <c r="U87" s="52">
        <v>44</v>
      </c>
      <c r="V87" s="49" t="s">
        <v>820</v>
      </c>
    </row>
    <row r="88" spans="1:22" hidden="1">
      <c r="A88" s="59" t="s">
        <v>1873</v>
      </c>
      <c r="B88" s="59" t="s">
        <v>1872</v>
      </c>
      <c r="C88" s="61" t="s">
        <v>12</v>
      </c>
      <c r="D88" s="61" t="s">
        <v>47</v>
      </c>
      <c r="E88" s="60" t="s">
        <v>12</v>
      </c>
      <c r="F88" s="50" t="s">
        <v>824</v>
      </c>
      <c r="G88" s="50" t="b">
        <v>0</v>
      </c>
      <c r="H88" s="58">
        <v>0</v>
      </c>
      <c r="I88" s="58">
        <v>0.99</v>
      </c>
      <c r="J88" s="58">
        <v>1.17</v>
      </c>
      <c r="K88" s="58">
        <v>1.21</v>
      </c>
      <c r="L88" s="58">
        <v>1.18</v>
      </c>
      <c r="M88" s="58">
        <v>1.1200000000000001</v>
      </c>
      <c r="N88" s="58">
        <v>1.37</v>
      </c>
      <c r="O88" s="58">
        <v>1.44</v>
      </c>
      <c r="P88" s="58">
        <v>1.26</v>
      </c>
      <c r="Q88" s="58">
        <v>1.47</v>
      </c>
      <c r="R88" s="58">
        <v>1.3</v>
      </c>
      <c r="S88" s="58">
        <v>1.03</v>
      </c>
      <c r="T88" s="58">
        <v>0.89</v>
      </c>
      <c r="U88" s="52">
        <v>1.9</v>
      </c>
      <c r="V88" s="49" t="s">
        <v>820</v>
      </c>
    </row>
    <row r="89" spans="1:22" hidden="1">
      <c r="A89" s="59" t="s">
        <v>1871</v>
      </c>
      <c r="B89" s="59" t="s">
        <v>1870</v>
      </c>
      <c r="C89" s="61" t="s">
        <v>10</v>
      </c>
      <c r="D89" s="61" t="s">
        <v>828</v>
      </c>
      <c r="E89" s="60" t="s">
        <v>10</v>
      </c>
      <c r="F89" s="50" t="s">
        <v>824</v>
      </c>
      <c r="G89" s="50" t="b">
        <v>0</v>
      </c>
      <c r="H89" s="58">
        <v>0</v>
      </c>
      <c r="I89" s="58">
        <v>7.06</v>
      </c>
      <c r="J89" s="58">
        <v>7.12</v>
      </c>
      <c r="K89" s="58">
        <v>7.25</v>
      </c>
      <c r="L89" s="58">
        <v>8.32</v>
      </c>
      <c r="M89" s="58">
        <v>3.6</v>
      </c>
      <c r="N89" s="58">
        <v>2.67</v>
      </c>
      <c r="O89" s="58">
        <v>4.46</v>
      </c>
      <c r="P89" s="58">
        <v>5.76</v>
      </c>
      <c r="Q89" s="58">
        <v>6.22</v>
      </c>
      <c r="R89" s="58">
        <v>3.86</v>
      </c>
      <c r="S89" s="58">
        <v>4.3899999999999997</v>
      </c>
      <c r="T89" s="58">
        <v>5.22</v>
      </c>
      <c r="U89" s="52">
        <v>11.25</v>
      </c>
      <c r="V89" s="49" t="s">
        <v>820</v>
      </c>
    </row>
    <row r="90" spans="1:22" hidden="1">
      <c r="A90" s="59" t="s">
        <v>1869</v>
      </c>
      <c r="B90" s="59" t="s">
        <v>1868</v>
      </c>
      <c r="C90" s="61" t="s">
        <v>10</v>
      </c>
      <c r="D90" s="61" t="s">
        <v>828</v>
      </c>
      <c r="E90" s="60" t="s">
        <v>10</v>
      </c>
      <c r="F90" s="50" t="s">
        <v>894</v>
      </c>
      <c r="G90" s="50" t="b">
        <v>0</v>
      </c>
      <c r="H90" s="58">
        <v>48</v>
      </c>
      <c r="I90" s="58">
        <v>0</v>
      </c>
      <c r="J90" s="58">
        <v>0</v>
      </c>
      <c r="K90" s="58">
        <v>0</v>
      </c>
      <c r="L90" s="58">
        <v>0</v>
      </c>
      <c r="M90" s="58">
        <v>0</v>
      </c>
      <c r="N90" s="58">
        <v>0</v>
      </c>
      <c r="O90" s="58">
        <v>0</v>
      </c>
      <c r="P90" s="58">
        <v>0</v>
      </c>
      <c r="Q90" s="58">
        <v>0</v>
      </c>
      <c r="R90" s="58">
        <v>0</v>
      </c>
      <c r="S90" s="58">
        <v>0</v>
      </c>
      <c r="T90" s="58">
        <v>0</v>
      </c>
      <c r="U90" s="52">
        <v>48.6</v>
      </c>
      <c r="V90" s="49" t="s">
        <v>815</v>
      </c>
    </row>
    <row r="91" spans="1:22" hidden="1">
      <c r="A91" s="59" t="s">
        <v>1867</v>
      </c>
      <c r="B91" s="59" t="s">
        <v>1866</v>
      </c>
      <c r="C91" s="61" t="s">
        <v>10</v>
      </c>
      <c r="D91" s="61" t="s">
        <v>88</v>
      </c>
      <c r="E91" s="60" t="s">
        <v>10</v>
      </c>
      <c r="F91" s="50" t="s">
        <v>827</v>
      </c>
      <c r="G91" s="50" t="b">
        <v>0</v>
      </c>
      <c r="H91" s="58">
        <v>0</v>
      </c>
      <c r="I91" s="58">
        <v>0.6</v>
      </c>
      <c r="J91" s="58">
        <v>0.75</v>
      </c>
      <c r="K91" s="58">
        <v>0.67</v>
      </c>
      <c r="L91" s="58">
        <v>0.54</v>
      </c>
      <c r="M91" s="58">
        <v>0.48</v>
      </c>
      <c r="N91" s="58">
        <v>0.22</v>
      </c>
      <c r="O91" s="58">
        <v>0.04</v>
      </c>
      <c r="P91" s="58">
        <v>0.01</v>
      </c>
      <c r="Q91" s="58">
        <v>0</v>
      </c>
      <c r="R91" s="58">
        <v>0.08</v>
      </c>
      <c r="S91" s="58">
        <v>0.17</v>
      </c>
      <c r="T91" s="58">
        <v>0.28999999999999998</v>
      </c>
      <c r="U91" s="52">
        <v>1.5</v>
      </c>
      <c r="V91" s="49" t="s">
        <v>820</v>
      </c>
    </row>
    <row r="92" spans="1:22" hidden="1">
      <c r="A92" s="59" t="s">
        <v>1865</v>
      </c>
      <c r="B92" s="59" t="s">
        <v>1864</v>
      </c>
      <c r="C92" s="61" t="s">
        <v>10</v>
      </c>
      <c r="D92" s="61" t="s">
        <v>88</v>
      </c>
      <c r="E92" s="60" t="s">
        <v>10</v>
      </c>
      <c r="F92" s="50" t="s">
        <v>827</v>
      </c>
      <c r="G92" s="50" t="b">
        <v>0</v>
      </c>
      <c r="H92" s="58">
        <v>0</v>
      </c>
      <c r="I92" s="58">
        <v>0</v>
      </c>
      <c r="J92" s="58">
        <v>0</v>
      </c>
      <c r="K92" s="58">
        <v>0</v>
      </c>
      <c r="L92" s="58">
        <v>0</v>
      </c>
      <c r="M92" s="58">
        <v>0</v>
      </c>
      <c r="N92" s="58">
        <v>0</v>
      </c>
      <c r="O92" s="58">
        <v>0</v>
      </c>
      <c r="P92" s="58">
        <v>0</v>
      </c>
      <c r="Q92" s="58">
        <v>0</v>
      </c>
      <c r="R92" s="58">
        <v>0</v>
      </c>
      <c r="S92" s="58">
        <v>0</v>
      </c>
      <c r="T92" s="58">
        <v>0</v>
      </c>
      <c r="U92" s="52">
        <v>0.9</v>
      </c>
      <c r="V92" s="49" t="s">
        <v>820</v>
      </c>
    </row>
    <row r="93" spans="1:22" hidden="1">
      <c r="A93" s="59" t="s">
        <v>1863</v>
      </c>
      <c r="B93" s="59" t="s">
        <v>1862</v>
      </c>
      <c r="C93" s="61" t="s">
        <v>10</v>
      </c>
      <c r="D93" s="61" t="s">
        <v>88</v>
      </c>
      <c r="E93" s="60" t="s">
        <v>10</v>
      </c>
      <c r="F93" s="50" t="s">
        <v>827</v>
      </c>
      <c r="G93" s="50" t="b">
        <v>0</v>
      </c>
      <c r="H93" s="58">
        <v>0</v>
      </c>
      <c r="I93" s="58">
        <v>0.64</v>
      </c>
      <c r="J93" s="58">
        <v>0.43</v>
      </c>
      <c r="K93" s="58">
        <v>0.35</v>
      </c>
      <c r="L93" s="58">
        <v>0.45</v>
      </c>
      <c r="M93" s="58">
        <v>0.78</v>
      </c>
      <c r="N93" s="58">
        <v>0.69</v>
      </c>
      <c r="O93" s="58">
        <v>0.56999999999999995</v>
      </c>
      <c r="P93" s="58">
        <v>0.57999999999999996</v>
      </c>
      <c r="Q93" s="58">
        <v>0.53</v>
      </c>
      <c r="R93" s="58">
        <v>0.54</v>
      </c>
      <c r="S93" s="58">
        <v>0.62</v>
      </c>
      <c r="T93" s="58">
        <v>0.62</v>
      </c>
      <c r="U93" s="52">
        <v>2</v>
      </c>
      <c r="V93" s="49" t="s">
        <v>820</v>
      </c>
    </row>
    <row r="94" spans="1:22">
      <c r="A94" s="59" t="s">
        <v>1861</v>
      </c>
      <c r="B94" s="59" t="s">
        <v>1860</v>
      </c>
      <c r="C94" s="61" t="s">
        <v>10</v>
      </c>
      <c r="D94" s="61" t="s">
        <v>32</v>
      </c>
      <c r="E94" s="60" t="s">
        <v>10</v>
      </c>
      <c r="F94" s="50" t="s">
        <v>872</v>
      </c>
      <c r="G94" s="50" t="b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58">
        <v>0</v>
      </c>
      <c r="P94" s="58">
        <v>0</v>
      </c>
      <c r="Q94" s="58">
        <v>0</v>
      </c>
      <c r="R94" s="58">
        <v>0</v>
      </c>
      <c r="S94" s="58">
        <v>0</v>
      </c>
      <c r="T94" s="58">
        <v>0</v>
      </c>
      <c r="U94" s="52">
        <v>1.25</v>
      </c>
      <c r="V94" s="49" t="s">
        <v>820</v>
      </c>
    </row>
    <row r="95" spans="1:22" hidden="1">
      <c r="A95" s="59" t="s">
        <v>1859</v>
      </c>
      <c r="B95" s="59" t="s">
        <v>1858</v>
      </c>
      <c r="C95" s="61" t="s">
        <v>10</v>
      </c>
      <c r="D95" s="61" t="s">
        <v>88</v>
      </c>
      <c r="E95" s="60" t="s">
        <v>10</v>
      </c>
      <c r="F95" s="50" t="s">
        <v>827</v>
      </c>
      <c r="G95" s="50" t="b">
        <v>0</v>
      </c>
      <c r="H95" s="58">
        <v>0</v>
      </c>
      <c r="I95" s="58">
        <v>1.46</v>
      </c>
      <c r="J95" s="58">
        <v>0.73</v>
      </c>
      <c r="K95" s="58">
        <v>1.24</v>
      </c>
      <c r="L95" s="58">
        <v>3.31</v>
      </c>
      <c r="M95" s="58">
        <v>3.56</v>
      </c>
      <c r="N95" s="58">
        <v>2.36</v>
      </c>
      <c r="O95" s="58">
        <v>1.79</v>
      </c>
      <c r="P95" s="58">
        <v>1.56</v>
      </c>
      <c r="Q95" s="58">
        <v>0.93</v>
      </c>
      <c r="R95" s="58">
        <v>0.28999999999999998</v>
      </c>
      <c r="S95" s="58">
        <v>0.39</v>
      </c>
      <c r="T95" s="58">
        <v>0.32</v>
      </c>
      <c r="U95" s="52">
        <v>6.4</v>
      </c>
      <c r="V95" s="49" t="s">
        <v>820</v>
      </c>
    </row>
    <row r="96" spans="1:22" hidden="1">
      <c r="A96" s="59" t="s">
        <v>1857</v>
      </c>
      <c r="B96" s="59" t="s">
        <v>34</v>
      </c>
      <c r="C96" s="61" t="s">
        <v>10</v>
      </c>
      <c r="D96" s="61" t="s">
        <v>32</v>
      </c>
      <c r="E96" s="60" t="s">
        <v>10</v>
      </c>
      <c r="F96" s="50" t="s">
        <v>894</v>
      </c>
      <c r="G96" s="50" t="b">
        <v>1</v>
      </c>
      <c r="H96" s="58">
        <v>337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58">
        <v>0</v>
      </c>
      <c r="P96" s="58">
        <v>0</v>
      </c>
      <c r="Q96" s="58">
        <v>0</v>
      </c>
      <c r="R96" s="58">
        <v>0</v>
      </c>
      <c r="S96" s="58">
        <v>0</v>
      </c>
      <c r="T96" s="58">
        <v>0</v>
      </c>
      <c r="U96" s="52">
        <v>337</v>
      </c>
      <c r="V96" s="49" t="s">
        <v>815</v>
      </c>
    </row>
    <row r="97" spans="1:22" hidden="1">
      <c r="A97" s="59" t="s">
        <v>1856</v>
      </c>
      <c r="B97" s="59" t="s">
        <v>35</v>
      </c>
      <c r="C97" s="61" t="s">
        <v>10</v>
      </c>
      <c r="D97" s="61" t="s">
        <v>32</v>
      </c>
      <c r="E97" s="60" t="s">
        <v>10</v>
      </c>
      <c r="F97" s="50" t="s">
        <v>894</v>
      </c>
      <c r="G97" s="50" t="b">
        <v>1</v>
      </c>
      <c r="H97" s="58">
        <v>337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58">
        <v>0</v>
      </c>
      <c r="P97" s="58">
        <v>0</v>
      </c>
      <c r="Q97" s="58">
        <v>0</v>
      </c>
      <c r="R97" s="58">
        <v>0</v>
      </c>
      <c r="S97" s="58">
        <v>0</v>
      </c>
      <c r="T97" s="58">
        <v>0</v>
      </c>
      <c r="U97" s="52">
        <v>337</v>
      </c>
      <c r="V97" s="49" t="s">
        <v>815</v>
      </c>
    </row>
    <row r="98" spans="1:22" hidden="1">
      <c r="A98" s="59" t="s">
        <v>1855</v>
      </c>
      <c r="B98" s="59" t="s">
        <v>1854</v>
      </c>
      <c r="C98" s="61" t="s">
        <v>10</v>
      </c>
      <c r="D98" s="61" t="s">
        <v>869</v>
      </c>
      <c r="E98" s="60" t="s">
        <v>10</v>
      </c>
      <c r="F98" s="50" t="s">
        <v>821</v>
      </c>
      <c r="G98" s="50" t="b">
        <v>0</v>
      </c>
      <c r="H98" s="58">
        <v>0</v>
      </c>
      <c r="I98" s="58">
        <v>31.18</v>
      </c>
      <c r="J98" s="58">
        <v>23.44</v>
      </c>
      <c r="K98" s="58">
        <v>33.04</v>
      </c>
      <c r="L98" s="58">
        <v>17.46</v>
      </c>
      <c r="M98" s="58">
        <v>7.18</v>
      </c>
      <c r="N98" s="58">
        <v>22.54</v>
      </c>
      <c r="O98" s="58">
        <v>27.89</v>
      </c>
      <c r="P98" s="58">
        <v>25.46</v>
      </c>
      <c r="Q98" s="58">
        <v>26.13</v>
      </c>
      <c r="R98" s="58">
        <v>26.47</v>
      </c>
      <c r="S98" s="58">
        <v>18.14</v>
      </c>
      <c r="T98" s="58">
        <v>25.66</v>
      </c>
      <c r="U98" s="52">
        <v>50.6</v>
      </c>
      <c r="V98" s="49" t="s">
        <v>820</v>
      </c>
    </row>
    <row r="99" spans="1:22" hidden="1">
      <c r="A99" s="59" t="s">
        <v>1853</v>
      </c>
      <c r="B99" s="59" t="s">
        <v>1852</v>
      </c>
      <c r="C99" s="61" t="s">
        <v>10</v>
      </c>
      <c r="D99" s="61" t="s">
        <v>88</v>
      </c>
      <c r="E99" s="60" t="s">
        <v>10</v>
      </c>
      <c r="F99" s="50" t="s">
        <v>827</v>
      </c>
      <c r="G99" s="50" t="b">
        <v>0</v>
      </c>
      <c r="H99" s="58">
        <v>0</v>
      </c>
      <c r="I99" s="58">
        <v>8.15</v>
      </c>
      <c r="J99" s="58">
        <v>9.4600000000000009</v>
      </c>
      <c r="K99" s="58">
        <v>10.78</v>
      </c>
      <c r="L99" s="58">
        <v>9.6999999999999993</v>
      </c>
      <c r="M99" s="58">
        <v>9.6999999999999993</v>
      </c>
      <c r="N99" s="58">
        <v>7.06</v>
      </c>
      <c r="O99" s="58">
        <v>4.33</v>
      </c>
      <c r="P99" s="58">
        <v>0.5</v>
      </c>
      <c r="Q99" s="58">
        <v>2.08</v>
      </c>
      <c r="R99" s="58">
        <v>4.1399999999999997</v>
      </c>
      <c r="S99" s="58">
        <v>4.54</v>
      </c>
      <c r="T99" s="58">
        <v>5.01</v>
      </c>
      <c r="U99" s="52">
        <v>13</v>
      </c>
      <c r="V99" s="49" t="s">
        <v>820</v>
      </c>
    </row>
    <row r="100" spans="1:22" hidden="1">
      <c r="A100" s="59" t="s">
        <v>1851</v>
      </c>
      <c r="B100" s="59" t="s">
        <v>1850</v>
      </c>
      <c r="C100" s="61" t="s">
        <v>10</v>
      </c>
      <c r="D100" s="61" t="s">
        <v>828</v>
      </c>
      <c r="E100" s="60" t="s">
        <v>10</v>
      </c>
      <c r="F100" s="50" t="s">
        <v>821</v>
      </c>
      <c r="G100" s="50" t="b">
        <v>0</v>
      </c>
      <c r="H100" s="58">
        <v>0</v>
      </c>
      <c r="I100" s="58">
        <v>38.9</v>
      </c>
      <c r="J100" s="58">
        <v>39.21</v>
      </c>
      <c r="K100" s="58">
        <v>37.46</v>
      </c>
      <c r="L100" s="58">
        <v>33.89</v>
      </c>
      <c r="M100" s="58">
        <v>34</v>
      </c>
      <c r="N100" s="58">
        <v>35.28</v>
      </c>
      <c r="O100" s="58">
        <v>34.93</v>
      </c>
      <c r="P100" s="58">
        <v>35.57</v>
      </c>
      <c r="Q100" s="58">
        <v>32.58</v>
      </c>
      <c r="R100" s="58">
        <v>27.02</v>
      </c>
      <c r="S100" s="58">
        <v>38.47</v>
      </c>
      <c r="T100" s="58">
        <v>38.96</v>
      </c>
      <c r="U100" s="52">
        <v>52.9</v>
      </c>
      <c r="V100" s="49" t="s">
        <v>820</v>
      </c>
    </row>
    <row r="101" spans="1:22" hidden="1">
      <c r="A101" s="59" t="s">
        <v>1849</v>
      </c>
      <c r="B101" s="59" t="s">
        <v>1848</v>
      </c>
      <c r="C101" s="61" t="s">
        <v>10</v>
      </c>
      <c r="D101" s="61" t="s">
        <v>817</v>
      </c>
      <c r="E101" s="60" t="s">
        <v>10</v>
      </c>
      <c r="F101" s="50" t="s">
        <v>827</v>
      </c>
      <c r="G101" s="50" t="b">
        <v>0</v>
      </c>
      <c r="H101" s="58">
        <v>0</v>
      </c>
      <c r="I101" s="58">
        <v>149.85</v>
      </c>
      <c r="J101" s="58">
        <v>148.63999999999999</v>
      </c>
      <c r="K101" s="58">
        <v>153.29</v>
      </c>
      <c r="L101" s="58">
        <v>158.63</v>
      </c>
      <c r="M101" s="58">
        <v>162.79</v>
      </c>
      <c r="N101" s="58">
        <v>165.7</v>
      </c>
      <c r="O101" s="58">
        <v>165.1</v>
      </c>
      <c r="P101" s="58">
        <v>161.65</v>
      </c>
      <c r="Q101" s="58">
        <v>156.74</v>
      </c>
      <c r="R101" s="58">
        <v>151.87</v>
      </c>
      <c r="S101" s="58">
        <v>149.94999999999999</v>
      </c>
      <c r="T101" s="58">
        <v>148.24</v>
      </c>
      <c r="U101" s="52">
        <v>176.72</v>
      </c>
      <c r="V101" s="49" t="s">
        <v>820</v>
      </c>
    </row>
    <row r="102" spans="1:22" hidden="1">
      <c r="A102" s="59" t="s">
        <v>1847</v>
      </c>
      <c r="B102" s="59" t="s">
        <v>1846</v>
      </c>
      <c r="C102" s="61" t="s">
        <v>10</v>
      </c>
      <c r="D102" s="61" t="s">
        <v>817</v>
      </c>
      <c r="E102" s="60" t="s">
        <v>10</v>
      </c>
      <c r="F102" s="50" t="s">
        <v>827</v>
      </c>
      <c r="G102" s="50" t="b">
        <v>0</v>
      </c>
      <c r="H102" s="58">
        <v>0</v>
      </c>
      <c r="I102" s="58">
        <v>149.80000000000001</v>
      </c>
      <c r="J102" s="58">
        <v>148.6</v>
      </c>
      <c r="K102" s="58">
        <v>153.24</v>
      </c>
      <c r="L102" s="58">
        <v>158.63</v>
      </c>
      <c r="M102" s="58">
        <v>162.83000000000001</v>
      </c>
      <c r="N102" s="58">
        <v>165.76</v>
      </c>
      <c r="O102" s="58">
        <v>165.16</v>
      </c>
      <c r="P102" s="58">
        <v>161.68</v>
      </c>
      <c r="Q102" s="58">
        <v>156.71</v>
      </c>
      <c r="R102" s="58">
        <v>151.81</v>
      </c>
      <c r="S102" s="58">
        <v>149.91</v>
      </c>
      <c r="T102" s="58">
        <v>148.21</v>
      </c>
      <c r="U102" s="52">
        <v>175.67</v>
      </c>
      <c r="V102" s="49" t="s">
        <v>820</v>
      </c>
    </row>
    <row r="103" spans="1:22" hidden="1">
      <c r="A103" s="59" t="s">
        <v>1845</v>
      </c>
      <c r="B103" s="59" t="s">
        <v>1844</v>
      </c>
      <c r="C103" s="61" t="s">
        <v>10</v>
      </c>
      <c r="D103" s="61" t="s">
        <v>88</v>
      </c>
      <c r="E103" s="60" t="s">
        <v>10</v>
      </c>
      <c r="F103" s="50" t="s">
        <v>824</v>
      </c>
      <c r="G103" s="50" t="b">
        <v>0</v>
      </c>
      <c r="H103" s="58">
        <v>0</v>
      </c>
      <c r="I103" s="58">
        <v>3.81</v>
      </c>
      <c r="J103" s="58">
        <v>2.5</v>
      </c>
      <c r="K103" s="58">
        <v>2.16</v>
      </c>
      <c r="L103" s="58">
        <v>1.57</v>
      </c>
      <c r="M103" s="58">
        <v>5.44</v>
      </c>
      <c r="N103" s="58">
        <v>5.4</v>
      </c>
      <c r="O103" s="58">
        <v>6.04</v>
      </c>
      <c r="P103" s="58">
        <v>6.2</v>
      </c>
      <c r="Q103" s="58">
        <v>5.04</v>
      </c>
      <c r="R103" s="58">
        <v>5.31</v>
      </c>
      <c r="S103" s="58">
        <v>3.26</v>
      </c>
      <c r="T103" s="58">
        <v>5.65</v>
      </c>
      <c r="U103" s="52">
        <v>13.8</v>
      </c>
      <c r="V103" s="49" t="s">
        <v>820</v>
      </c>
    </row>
    <row r="104" spans="1:22" hidden="1">
      <c r="A104" s="59" t="s">
        <v>1843</v>
      </c>
      <c r="B104" s="59" t="s">
        <v>1842</v>
      </c>
      <c r="C104" s="61" t="s">
        <v>12</v>
      </c>
      <c r="D104" s="61" t="s">
        <v>47</v>
      </c>
      <c r="E104" s="60" t="s">
        <v>12</v>
      </c>
      <c r="F104" s="50" t="s">
        <v>816</v>
      </c>
      <c r="G104" s="50" t="b">
        <v>0</v>
      </c>
      <c r="H104" s="58">
        <v>43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58">
        <v>0</v>
      </c>
      <c r="P104" s="58">
        <v>0</v>
      </c>
      <c r="Q104" s="58">
        <v>0</v>
      </c>
      <c r="R104" s="58">
        <v>0</v>
      </c>
      <c r="S104" s="58">
        <v>0</v>
      </c>
      <c r="T104" s="58">
        <v>0</v>
      </c>
      <c r="U104" s="52">
        <v>43</v>
      </c>
      <c r="V104" s="49" t="s">
        <v>815</v>
      </c>
    </row>
    <row r="105" spans="1:22" hidden="1">
      <c r="A105" s="59" t="s">
        <v>1841</v>
      </c>
      <c r="B105" s="59" t="s">
        <v>1840</v>
      </c>
      <c r="C105" s="61" t="s">
        <v>10</v>
      </c>
      <c r="D105" s="61" t="s">
        <v>88</v>
      </c>
      <c r="E105" s="60" t="s">
        <v>10</v>
      </c>
      <c r="F105" s="50" t="s">
        <v>827</v>
      </c>
      <c r="G105" s="50" t="b">
        <v>0</v>
      </c>
      <c r="H105" s="58">
        <v>246.86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58">
        <v>0</v>
      </c>
      <c r="P105" s="58">
        <v>0</v>
      </c>
      <c r="Q105" s="58">
        <v>0</v>
      </c>
      <c r="R105" s="58">
        <v>0</v>
      </c>
      <c r="S105" s="58">
        <v>0</v>
      </c>
      <c r="T105" s="58">
        <v>0</v>
      </c>
      <c r="U105" s="52">
        <v>246.86</v>
      </c>
      <c r="V105" s="49" t="s">
        <v>948</v>
      </c>
    </row>
    <row r="106" spans="1:22" hidden="1">
      <c r="A106" s="59" t="s">
        <v>1839</v>
      </c>
      <c r="B106" s="59" t="s">
        <v>1838</v>
      </c>
      <c r="C106" s="61" t="s">
        <v>10</v>
      </c>
      <c r="D106" s="61" t="s">
        <v>32</v>
      </c>
      <c r="E106" s="60" t="s">
        <v>10</v>
      </c>
      <c r="F106" s="50" t="s">
        <v>821</v>
      </c>
      <c r="G106" s="50" t="b">
        <v>0</v>
      </c>
      <c r="H106" s="58">
        <v>0</v>
      </c>
      <c r="I106" s="58">
        <v>25.8</v>
      </c>
      <c r="J106" s="58">
        <v>25.8</v>
      </c>
      <c r="K106" s="58">
        <v>25.8</v>
      </c>
      <c r="L106" s="58">
        <v>25.8</v>
      </c>
      <c r="M106" s="58">
        <v>25.8</v>
      </c>
      <c r="N106" s="58">
        <v>25.8</v>
      </c>
      <c r="O106" s="58">
        <v>25.8</v>
      </c>
      <c r="P106" s="58">
        <v>25.8</v>
      </c>
      <c r="Q106" s="58">
        <v>25.8</v>
      </c>
      <c r="R106" s="58">
        <v>25.8</v>
      </c>
      <c r="S106" s="58">
        <v>25.8</v>
      </c>
      <c r="T106" s="58">
        <v>25.8</v>
      </c>
      <c r="U106" s="52">
        <v>25.8</v>
      </c>
      <c r="V106" s="49" t="s">
        <v>811</v>
      </c>
    </row>
    <row r="107" spans="1:22" hidden="1">
      <c r="A107" s="59" t="s">
        <v>1837</v>
      </c>
      <c r="B107" s="59" t="s">
        <v>1836</v>
      </c>
      <c r="C107" s="61" t="s">
        <v>12</v>
      </c>
      <c r="D107" s="61" t="s">
        <v>88</v>
      </c>
      <c r="E107" s="60" t="s">
        <v>12</v>
      </c>
      <c r="F107" s="50" t="s">
        <v>827</v>
      </c>
      <c r="G107" s="50" t="b">
        <v>0</v>
      </c>
      <c r="H107" s="58">
        <v>0</v>
      </c>
      <c r="I107" s="58">
        <v>0.3</v>
      </c>
      <c r="J107" s="58">
        <v>0.66</v>
      </c>
      <c r="K107" s="58">
        <v>0.59</v>
      </c>
      <c r="L107" s="58">
        <v>0.36</v>
      </c>
      <c r="M107" s="58">
        <v>1.1299999999999999</v>
      </c>
      <c r="N107" s="58">
        <v>1.02</v>
      </c>
      <c r="O107" s="58">
        <v>0.74</v>
      </c>
      <c r="P107" s="58">
        <v>0.21</v>
      </c>
      <c r="Q107" s="58">
        <v>0.13</v>
      </c>
      <c r="R107" s="58">
        <v>0.15</v>
      </c>
      <c r="S107" s="58">
        <v>0.34</v>
      </c>
      <c r="T107" s="58">
        <v>0.36</v>
      </c>
      <c r="U107" s="52">
        <v>3</v>
      </c>
      <c r="V107" s="49" t="s">
        <v>820</v>
      </c>
    </row>
    <row r="108" spans="1:22" hidden="1">
      <c r="A108" s="59" t="s">
        <v>1835</v>
      </c>
      <c r="B108" s="59" t="s">
        <v>1834</v>
      </c>
      <c r="C108" s="61" t="s">
        <v>12</v>
      </c>
      <c r="D108" s="61" t="s">
        <v>88</v>
      </c>
      <c r="E108" s="60" t="s">
        <v>12</v>
      </c>
      <c r="F108" s="50" t="s">
        <v>851</v>
      </c>
      <c r="G108" s="50" t="b">
        <v>0</v>
      </c>
      <c r="H108" s="58">
        <v>0</v>
      </c>
      <c r="I108" s="58">
        <v>37.25</v>
      </c>
      <c r="J108" s="58">
        <v>35.35</v>
      </c>
      <c r="K108" s="58">
        <v>50.51</v>
      </c>
      <c r="L108" s="58">
        <v>51.85</v>
      </c>
      <c r="M108" s="58">
        <v>52.54</v>
      </c>
      <c r="N108" s="58">
        <v>53.49</v>
      </c>
      <c r="O108" s="58">
        <v>52.57</v>
      </c>
      <c r="P108" s="58">
        <v>52.61</v>
      </c>
      <c r="Q108" s="58">
        <v>52.33</v>
      </c>
      <c r="R108" s="58">
        <v>42.83</v>
      </c>
      <c r="S108" s="58">
        <v>51.78</v>
      </c>
      <c r="T108" s="58">
        <v>52</v>
      </c>
      <c r="U108" s="52">
        <v>64.7</v>
      </c>
      <c r="V108" s="49" t="s">
        <v>820</v>
      </c>
    </row>
    <row r="109" spans="1:22" hidden="1">
      <c r="A109" s="59" t="s">
        <v>1833</v>
      </c>
      <c r="B109" s="59" t="s">
        <v>1832</v>
      </c>
      <c r="C109" s="61" t="s">
        <v>12</v>
      </c>
      <c r="D109" s="61" t="s">
        <v>88</v>
      </c>
      <c r="E109" s="60" t="s">
        <v>12</v>
      </c>
      <c r="F109" s="50" t="s">
        <v>827</v>
      </c>
      <c r="G109" s="50" t="b">
        <v>0</v>
      </c>
      <c r="H109" s="58">
        <v>0</v>
      </c>
      <c r="I109" s="58">
        <v>1.47</v>
      </c>
      <c r="J109" s="58">
        <v>0.95</v>
      </c>
      <c r="K109" s="58">
        <v>1.39</v>
      </c>
      <c r="L109" s="58">
        <v>2.57</v>
      </c>
      <c r="M109" s="58">
        <v>8.16</v>
      </c>
      <c r="N109" s="58">
        <v>7.89</v>
      </c>
      <c r="O109" s="58">
        <v>4.1500000000000004</v>
      </c>
      <c r="P109" s="58">
        <v>1.41</v>
      </c>
      <c r="Q109" s="58">
        <v>0.77</v>
      </c>
      <c r="R109" s="58">
        <v>1.4</v>
      </c>
      <c r="S109" s="58">
        <v>1.21</v>
      </c>
      <c r="T109" s="58">
        <v>1.32</v>
      </c>
      <c r="U109" s="52">
        <v>10.9</v>
      </c>
      <c r="V109" s="49" t="s">
        <v>820</v>
      </c>
    </row>
    <row r="110" spans="1:22">
      <c r="A110" s="59" t="s">
        <v>1831</v>
      </c>
      <c r="B110" s="59" t="s">
        <v>1830</v>
      </c>
      <c r="C110" s="61" t="s">
        <v>12</v>
      </c>
      <c r="D110" s="61" t="s">
        <v>88</v>
      </c>
      <c r="E110" s="60" t="s">
        <v>12</v>
      </c>
      <c r="F110" s="50" t="s">
        <v>872</v>
      </c>
      <c r="G110" s="50" t="b">
        <v>0</v>
      </c>
      <c r="H110" s="58">
        <v>0</v>
      </c>
      <c r="I110" s="58">
        <v>32.65</v>
      </c>
      <c r="J110" s="58">
        <v>33.049999999999997</v>
      </c>
      <c r="K110" s="58">
        <v>29.99</v>
      </c>
      <c r="L110" s="58">
        <v>25.84</v>
      </c>
      <c r="M110" s="58">
        <v>22.31</v>
      </c>
      <c r="N110" s="58">
        <v>20.309999999999999</v>
      </c>
      <c r="O110" s="58">
        <v>16.47</v>
      </c>
      <c r="P110" s="58">
        <v>17.600000000000001</v>
      </c>
      <c r="Q110" s="58">
        <v>19.98</v>
      </c>
      <c r="R110" s="58">
        <v>24.53</v>
      </c>
      <c r="S110" s="58">
        <v>31.74</v>
      </c>
      <c r="T110" s="58">
        <v>34.14</v>
      </c>
      <c r="U110" s="52">
        <v>41.8</v>
      </c>
      <c r="V110" s="49" t="s">
        <v>820</v>
      </c>
    </row>
    <row r="111" spans="1:22" hidden="1">
      <c r="A111" s="59" t="s">
        <v>1829</v>
      </c>
      <c r="B111" s="59" t="s">
        <v>1828</v>
      </c>
      <c r="C111" s="61" t="s">
        <v>12</v>
      </c>
      <c r="D111" s="61" t="s">
        <v>88</v>
      </c>
      <c r="E111" s="60" t="s">
        <v>12</v>
      </c>
      <c r="F111" s="50" t="s">
        <v>827</v>
      </c>
      <c r="G111" s="50" t="b">
        <v>0</v>
      </c>
      <c r="H111" s="58">
        <v>0</v>
      </c>
      <c r="I111" s="58">
        <v>2.5099999999999998</v>
      </c>
      <c r="J111" s="58">
        <v>4.55</v>
      </c>
      <c r="K111" s="58">
        <v>5.17</v>
      </c>
      <c r="L111" s="58">
        <v>4.3099999999999996</v>
      </c>
      <c r="M111" s="58">
        <v>5.5</v>
      </c>
      <c r="N111" s="58">
        <v>6.61</v>
      </c>
      <c r="O111" s="58">
        <v>5.4</v>
      </c>
      <c r="P111" s="58">
        <v>1.47</v>
      </c>
      <c r="Q111" s="58">
        <v>3.4</v>
      </c>
      <c r="R111" s="58">
        <v>1.59</v>
      </c>
      <c r="S111" s="58">
        <v>1.76</v>
      </c>
      <c r="T111" s="58">
        <v>2.72</v>
      </c>
      <c r="U111" s="52">
        <v>11.94</v>
      </c>
      <c r="V111" s="49" t="s">
        <v>820</v>
      </c>
    </row>
    <row r="112" spans="1:22" hidden="1">
      <c r="A112" s="59" t="s">
        <v>1827</v>
      </c>
      <c r="B112" s="59" t="s">
        <v>1826</v>
      </c>
      <c r="C112" s="61" t="s">
        <v>12</v>
      </c>
      <c r="D112" s="61" t="s">
        <v>47</v>
      </c>
      <c r="E112" s="60" t="s">
        <v>12</v>
      </c>
      <c r="F112" s="50" t="s">
        <v>894</v>
      </c>
      <c r="G112" s="50" t="b">
        <v>0</v>
      </c>
      <c r="H112" s="58">
        <v>28</v>
      </c>
      <c r="I112" s="58">
        <v>0</v>
      </c>
      <c r="J112" s="58">
        <v>0</v>
      </c>
      <c r="K112" s="58">
        <v>0</v>
      </c>
      <c r="L112" s="58">
        <v>0</v>
      </c>
      <c r="M112" s="58">
        <v>0</v>
      </c>
      <c r="N112" s="58">
        <v>0</v>
      </c>
      <c r="O112" s="58">
        <v>0</v>
      </c>
      <c r="P112" s="58">
        <v>0</v>
      </c>
      <c r="Q112" s="58">
        <v>0</v>
      </c>
      <c r="R112" s="58">
        <v>0</v>
      </c>
      <c r="S112" s="58">
        <v>0</v>
      </c>
      <c r="T112" s="58">
        <v>0</v>
      </c>
      <c r="U112" s="52">
        <v>28</v>
      </c>
      <c r="V112" s="49" t="s">
        <v>815</v>
      </c>
    </row>
    <row r="113" spans="1:22" hidden="1">
      <c r="A113" s="59" t="s">
        <v>1825</v>
      </c>
      <c r="B113" s="59" t="s">
        <v>1824</v>
      </c>
      <c r="C113" s="61" t="s">
        <v>10</v>
      </c>
      <c r="D113" s="61" t="s">
        <v>88</v>
      </c>
      <c r="E113" s="60" t="s">
        <v>10</v>
      </c>
      <c r="F113" s="50" t="s">
        <v>827</v>
      </c>
      <c r="G113" s="50" t="b">
        <v>0</v>
      </c>
      <c r="H113" s="58">
        <v>0</v>
      </c>
      <c r="I113" s="58">
        <v>0</v>
      </c>
      <c r="J113" s="58">
        <v>0</v>
      </c>
      <c r="K113" s="58">
        <v>2.39</v>
      </c>
      <c r="L113" s="58">
        <v>3.34</v>
      </c>
      <c r="M113" s="58">
        <v>3.04</v>
      </c>
      <c r="N113" s="58">
        <v>3.17</v>
      </c>
      <c r="O113" s="58">
        <v>3.57</v>
      </c>
      <c r="P113" s="58">
        <v>3.26</v>
      </c>
      <c r="Q113" s="58">
        <v>2.27</v>
      </c>
      <c r="R113" s="58">
        <v>0</v>
      </c>
      <c r="S113" s="58">
        <v>0</v>
      </c>
      <c r="T113" s="58">
        <v>0</v>
      </c>
      <c r="U113" s="52">
        <v>8.75</v>
      </c>
      <c r="V113" s="49" t="s">
        <v>820</v>
      </c>
    </row>
    <row r="114" spans="1:22" hidden="1">
      <c r="A114" s="59" t="s">
        <v>1823</v>
      </c>
      <c r="B114" s="59" t="s">
        <v>1822</v>
      </c>
      <c r="C114" s="61" t="s">
        <v>10</v>
      </c>
      <c r="D114" s="61" t="s">
        <v>88</v>
      </c>
      <c r="E114" s="60" t="s">
        <v>10</v>
      </c>
      <c r="F114" s="50" t="s">
        <v>827</v>
      </c>
      <c r="G114" s="50" t="b">
        <v>0</v>
      </c>
      <c r="H114" s="58">
        <v>0</v>
      </c>
      <c r="I114" s="58">
        <v>3.58</v>
      </c>
      <c r="J114" s="58">
        <v>8.3699999999999992</v>
      </c>
      <c r="K114" s="58">
        <v>15.59</v>
      </c>
      <c r="L114" s="58">
        <v>10.18</v>
      </c>
      <c r="M114" s="58">
        <v>5.84</v>
      </c>
      <c r="N114" s="58">
        <v>0.87</v>
      </c>
      <c r="O114" s="58">
        <v>0</v>
      </c>
      <c r="P114" s="58">
        <v>0</v>
      </c>
      <c r="Q114" s="58">
        <v>0</v>
      </c>
      <c r="R114" s="58">
        <v>0.09</v>
      </c>
      <c r="S114" s="58">
        <v>0.3</v>
      </c>
      <c r="T114" s="58">
        <v>0.97</v>
      </c>
      <c r="U114" s="52">
        <v>20.260000000000002</v>
      </c>
      <c r="V114" s="49" t="s">
        <v>820</v>
      </c>
    </row>
    <row r="115" spans="1:22" hidden="1">
      <c r="A115" s="59" t="s">
        <v>1821</v>
      </c>
      <c r="B115" s="59" t="s">
        <v>1820</v>
      </c>
      <c r="C115" s="61" t="s">
        <v>10</v>
      </c>
      <c r="D115" s="61" t="s">
        <v>88</v>
      </c>
      <c r="E115" s="60" t="s">
        <v>10</v>
      </c>
      <c r="F115" s="50" t="s">
        <v>827</v>
      </c>
      <c r="G115" s="50" t="b">
        <v>0</v>
      </c>
      <c r="H115" s="58">
        <v>0</v>
      </c>
      <c r="I115" s="58">
        <v>1.07</v>
      </c>
      <c r="J115" s="58">
        <v>1.31</v>
      </c>
      <c r="K115" s="58">
        <v>1.45</v>
      </c>
      <c r="L115" s="58">
        <v>1.5</v>
      </c>
      <c r="M115" s="58">
        <v>1.18</v>
      </c>
      <c r="N115" s="58">
        <v>0.64</v>
      </c>
      <c r="O115" s="58">
        <v>0.21</v>
      </c>
      <c r="P115" s="58">
        <v>0.1</v>
      </c>
      <c r="Q115" s="58">
        <v>0.12</v>
      </c>
      <c r="R115" s="58">
        <v>0.35</v>
      </c>
      <c r="S115" s="58">
        <v>0.5</v>
      </c>
      <c r="T115" s="58">
        <v>0.78</v>
      </c>
      <c r="U115" s="52">
        <v>2</v>
      </c>
      <c r="V115" s="49" t="s">
        <v>820</v>
      </c>
    </row>
    <row r="116" spans="1:22" hidden="1">
      <c r="A116" s="59" t="s">
        <v>1819</v>
      </c>
      <c r="B116" s="59" t="s">
        <v>1818</v>
      </c>
      <c r="C116" s="61" t="s">
        <v>12</v>
      </c>
      <c r="D116" s="61" t="s">
        <v>11</v>
      </c>
      <c r="E116" s="60" t="s">
        <v>11</v>
      </c>
      <c r="F116" s="50" t="s">
        <v>824</v>
      </c>
      <c r="G116" s="50" t="b">
        <v>0</v>
      </c>
      <c r="H116" s="58">
        <v>0</v>
      </c>
      <c r="I116" s="58">
        <v>3.41</v>
      </c>
      <c r="J116" s="58">
        <v>2.08</v>
      </c>
      <c r="K116" s="58">
        <v>3.56</v>
      </c>
      <c r="L116" s="58">
        <v>4.63</v>
      </c>
      <c r="M116" s="58">
        <v>4.71</v>
      </c>
      <c r="N116" s="58">
        <v>4.74</v>
      </c>
      <c r="O116" s="58">
        <v>3.23</v>
      </c>
      <c r="P116" s="58">
        <v>3.49</v>
      </c>
      <c r="Q116" s="58">
        <v>3.88</v>
      </c>
      <c r="R116" s="58">
        <v>4.51</v>
      </c>
      <c r="S116" s="58">
        <v>4.71</v>
      </c>
      <c r="T116" s="58">
        <v>3.96</v>
      </c>
      <c r="U116" s="52">
        <v>6.1</v>
      </c>
      <c r="V116" s="49" t="s">
        <v>820</v>
      </c>
    </row>
    <row r="117" spans="1:22" hidden="1">
      <c r="A117" s="59" t="s">
        <v>1817</v>
      </c>
      <c r="B117" s="59" t="s">
        <v>1816</v>
      </c>
      <c r="C117" s="61" t="s">
        <v>10</v>
      </c>
      <c r="D117" s="61" t="s">
        <v>828</v>
      </c>
      <c r="E117" s="60" t="s">
        <v>10</v>
      </c>
      <c r="F117" s="50" t="s">
        <v>827</v>
      </c>
      <c r="G117" s="50" t="b">
        <v>0</v>
      </c>
      <c r="H117" s="58">
        <v>0</v>
      </c>
      <c r="I117" s="58">
        <v>0</v>
      </c>
      <c r="J117" s="58">
        <v>0</v>
      </c>
      <c r="K117" s="58">
        <v>0.39</v>
      </c>
      <c r="L117" s="58">
        <v>0.81</v>
      </c>
      <c r="M117" s="58">
        <v>1.25</v>
      </c>
      <c r="N117" s="58">
        <v>1.38</v>
      </c>
      <c r="O117" s="58">
        <v>1.56</v>
      </c>
      <c r="P117" s="58">
        <v>1.2</v>
      </c>
      <c r="Q117" s="58">
        <v>0.67</v>
      </c>
      <c r="R117" s="58">
        <v>0.09</v>
      </c>
      <c r="S117" s="58">
        <v>0</v>
      </c>
      <c r="T117" s="58">
        <v>0</v>
      </c>
      <c r="U117" s="52">
        <v>3.75</v>
      </c>
      <c r="V117" s="49" t="s">
        <v>820</v>
      </c>
    </row>
    <row r="118" spans="1:22" hidden="1">
      <c r="A118" s="59" t="s">
        <v>1815</v>
      </c>
      <c r="B118" s="59" t="s">
        <v>1814</v>
      </c>
      <c r="C118" s="61" t="s">
        <v>10</v>
      </c>
      <c r="D118" s="61" t="s">
        <v>817</v>
      </c>
      <c r="E118" s="60" t="s">
        <v>10</v>
      </c>
      <c r="F118" s="50" t="s">
        <v>827</v>
      </c>
      <c r="G118" s="50" t="b">
        <v>0</v>
      </c>
      <c r="H118" s="58">
        <v>0</v>
      </c>
      <c r="I118" s="58">
        <v>70</v>
      </c>
      <c r="J118" s="58">
        <v>70</v>
      </c>
      <c r="K118" s="58">
        <v>70</v>
      </c>
      <c r="L118" s="58">
        <v>70</v>
      </c>
      <c r="M118" s="58">
        <v>70</v>
      </c>
      <c r="N118" s="58">
        <v>70</v>
      </c>
      <c r="O118" s="58">
        <v>70</v>
      </c>
      <c r="P118" s="58">
        <v>70</v>
      </c>
      <c r="Q118" s="58">
        <v>70</v>
      </c>
      <c r="R118" s="58">
        <v>70</v>
      </c>
      <c r="S118" s="58">
        <v>70</v>
      </c>
      <c r="T118" s="58">
        <v>70</v>
      </c>
      <c r="U118" s="52">
        <v>70.400000000000006</v>
      </c>
      <c r="V118" s="49" t="s">
        <v>820</v>
      </c>
    </row>
    <row r="119" spans="1:22" hidden="1">
      <c r="A119" s="59" t="s">
        <v>1813</v>
      </c>
      <c r="B119" s="59" t="s">
        <v>1812</v>
      </c>
      <c r="C119" s="61" t="s">
        <v>10</v>
      </c>
      <c r="D119" s="61" t="s">
        <v>828</v>
      </c>
      <c r="E119" s="60" t="s">
        <v>10</v>
      </c>
      <c r="F119" s="50" t="s">
        <v>827</v>
      </c>
      <c r="G119" s="50" t="b">
        <v>0</v>
      </c>
      <c r="H119" s="58">
        <v>0</v>
      </c>
      <c r="I119" s="58">
        <v>0.65</v>
      </c>
      <c r="J119" s="58">
        <v>0.65</v>
      </c>
      <c r="K119" s="58">
        <v>0.69</v>
      </c>
      <c r="L119" s="58">
        <v>0.75</v>
      </c>
      <c r="M119" s="58">
        <v>0.83</v>
      </c>
      <c r="N119" s="58">
        <v>0.84</v>
      </c>
      <c r="O119" s="58">
        <v>0.78</v>
      </c>
      <c r="P119" s="58">
        <v>0.71</v>
      </c>
      <c r="Q119" s="58">
        <v>0.7</v>
      </c>
      <c r="R119" s="58">
        <v>0.69</v>
      </c>
      <c r="S119" s="58">
        <v>0.65</v>
      </c>
      <c r="T119" s="58">
        <v>0.62</v>
      </c>
      <c r="U119" s="52">
        <v>0.9</v>
      </c>
      <c r="V119" s="49" t="s">
        <v>820</v>
      </c>
    </row>
    <row r="120" spans="1:22" hidden="1">
      <c r="A120" s="59" t="s">
        <v>1811</v>
      </c>
      <c r="B120" s="59" t="s">
        <v>1810</v>
      </c>
      <c r="C120" s="61" t="s">
        <v>10</v>
      </c>
      <c r="D120" s="61" t="s">
        <v>828</v>
      </c>
      <c r="E120" s="60" t="s">
        <v>10</v>
      </c>
      <c r="F120" s="50" t="s">
        <v>827</v>
      </c>
      <c r="G120" s="50" t="b">
        <v>0</v>
      </c>
      <c r="H120" s="58">
        <v>0</v>
      </c>
      <c r="I120" s="58">
        <v>3.2</v>
      </c>
      <c r="J120" s="58">
        <v>3.2</v>
      </c>
      <c r="K120" s="58">
        <v>3.2</v>
      </c>
      <c r="L120" s="58">
        <v>3.2</v>
      </c>
      <c r="M120" s="58">
        <v>3.2</v>
      </c>
      <c r="N120" s="58">
        <v>3.2</v>
      </c>
      <c r="O120" s="58">
        <v>3.2</v>
      </c>
      <c r="P120" s="58">
        <v>3.2</v>
      </c>
      <c r="Q120" s="58">
        <v>3.2</v>
      </c>
      <c r="R120" s="58">
        <v>3.2</v>
      </c>
      <c r="S120" s="58">
        <v>3.2</v>
      </c>
      <c r="T120" s="58">
        <v>3.2</v>
      </c>
      <c r="U120" s="52">
        <v>3.2</v>
      </c>
      <c r="V120" s="49" t="s">
        <v>820</v>
      </c>
    </row>
    <row r="121" spans="1:22" hidden="1">
      <c r="A121" s="59" t="s">
        <v>1809</v>
      </c>
      <c r="B121" s="59" t="s">
        <v>1808</v>
      </c>
      <c r="C121" s="61" t="s">
        <v>10</v>
      </c>
      <c r="D121" s="61" t="s">
        <v>828</v>
      </c>
      <c r="E121" s="60" t="s">
        <v>10</v>
      </c>
      <c r="F121" s="50" t="s">
        <v>827</v>
      </c>
      <c r="G121" s="50" t="b">
        <v>0</v>
      </c>
      <c r="H121" s="58">
        <v>0</v>
      </c>
      <c r="I121" s="58">
        <v>4.2</v>
      </c>
      <c r="J121" s="58">
        <v>4.2</v>
      </c>
      <c r="K121" s="58">
        <v>4.2</v>
      </c>
      <c r="L121" s="58">
        <v>4.2</v>
      </c>
      <c r="M121" s="58">
        <v>4.2</v>
      </c>
      <c r="N121" s="58">
        <v>4.2</v>
      </c>
      <c r="O121" s="58">
        <v>4.2</v>
      </c>
      <c r="P121" s="58">
        <v>4.2</v>
      </c>
      <c r="Q121" s="58">
        <v>4.2</v>
      </c>
      <c r="R121" s="58">
        <v>4.2</v>
      </c>
      <c r="S121" s="58">
        <v>4.2</v>
      </c>
      <c r="T121" s="58">
        <v>4.2</v>
      </c>
      <c r="U121" s="52">
        <v>4.2</v>
      </c>
      <c r="V121" s="49" t="s">
        <v>820</v>
      </c>
    </row>
    <row r="122" spans="1:22" hidden="1">
      <c r="A122" s="59" t="s">
        <v>1807</v>
      </c>
      <c r="B122" s="59" t="s">
        <v>1806</v>
      </c>
      <c r="C122" s="61" t="s">
        <v>10</v>
      </c>
      <c r="D122" s="61" t="s">
        <v>32</v>
      </c>
      <c r="E122" s="60" t="s">
        <v>10</v>
      </c>
      <c r="F122" s="50" t="s">
        <v>821</v>
      </c>
      <c r="G122" s="50" t="b">
        <v>0</v>
      </c>
      <c r="H122" s="58">
        <v>0</v>
      </c>
      <c r="I122" s="58">
        <v>81.650000000000006</v>
      </c>
      <c r="J122" s="58">
        <v>73.97</v>
      </c>
      <c r="K122" s="58">
        <v>100.12</v>
      </c>
      <c r="L122" s="58">
        <v>110.51</v>
      </c>
      <c r="M122" s="58">
        <v>94.7</v>
      </c>
      <c r="N122" s="58">
        <v>115.46</v>
      </c>
      <c r="O122" s="58">
        <v>157.74</v>
      </c>
      <c r="P122" s="58">
        <v>173.57</v>
      </c>
      <c r="Q122" s="58">
        <v>176.58</v>
      </c>
      <c r="R122" s="58">
        <v>133.96</v>
      </c>
      <c r="S122" s="58">
        <v>92.82</v>
      </c>
      <c r="T122" s="58">
        <v>133.4</v>
      </c>
      <c r="U122" s="52">
        <v>240</v>
      </c>
      <c r="V122" s="49" t="s">
        <v>820</v>
      </c>
    </row>
    <row r="123" spans="1:22" hidden="1">
      <c r="A123" s="59" t="s">
        <v>1805</v>
      </c>
      <c r="B123" s="59" t="s">
        <v>1804</v>
      </c>
      <c r="C123" s="61" t="s">
        <v>12</v>
      </c>
      <c r="D123" s="61" t="s">
        <v>11</v>
      </c>
      <c r="E123" s="60" t="s">
        <v>11</v>
      </c>
      <c r="F123" s="50" t="s">
        <v>812</v>
      </c>
      <c r="G123" s="50" t="b">
        <v>0</v>
      </c>
      <c r="H123" s="58">
        <v>0</v>
      </c>
      <c r="I123" s="58">
        <v>14.01</v>
      </c>
      <c r="J123" s="58">
        <v>13.78</v>
      </c>
      <c r="K123" s="58">
        <v>12.49</v>
      </c>
      <c r="L123" s="58">
        <v>17.23</v>
      </c>
      <c r="M123" s="58">
        <v>13.44</v>
      </c>
      <c r="N123" s="58">
        <v>13.71</v>
      </c>
      <c r="O123" s="58">
        <v>7</v>
      </c>
      <c r="P123" s="58">
        <v>6.46</v>
      </c>
      <c r="Q123" s="58">
        <v>7.89</v>
      </c>
      <c r="R123" s="58">
        <v>10.32</v>
      </c>
      <c r="S123" s="58">
        <v>7.39</v>
      </c>
      <c r="T123" s="58">
        <v>11.13</v>
      </c>
      <c r="U123" s="52">
        <v>50</v>
      </c>
      <c r="V123" s="49" t="s">
        <v>820</v>
      </c>
    </row>
    <row r="124" spans="1:22" hidden="1">
      <c r="A124" s="59" t="s">
        <v>1803</v>
      </c>
      <c r="B124" s="59" t="s">
        <v>1802</v>
      </c>
      <c r="C124" s="61" t="s">
        <v>10</v>
      </c>
      <c r="D124" s="61" t="s">
        <v>32</v>
      </c>
      <c r="E124" s="60" t="s">
        <v>10</v>
      </c>
      <c r="F124" s="50" t="s">
        <v>821</v>
      </c>
      <c r="G124" s="50" t="b">
        <v>0</v>
      </c>
      <c r="H124" s="58">
        <v>6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58">
        <v>0</v>
      </c>
      <c r="P124" s="58">
        <v>0</v>
      </c>
      <c r="Q124" s="58">
        <v>0</v>
      </c>
      <c r="R124" s="58">
        <v>0</v>
      </c>
      <c r="S124" s="58">
        <v>0</v>
      </c>
      <c r="T124" s="58">
        <v>0</v>
      </c>
      <c r="U124" s="52">
        <v>7</v>
      </c>
      <c r="V124" s="49" t="s">
        <v>811</v>
      </c>
    </row>
    <row r="125" spans="1:22" hidden="1">
      <c r="A125" s="59" t="s">
        <v>1801</v>
      </c>
      <c r="B125" s="59" t="s">
        <v>1800</v>
      </c>
      <c r="C125" s="61" t="s">
        <v>10</v>
      </c>
      <c r="D125" s="61" t="s">
        <v>32</v>
      </c>
      <c r="E125" s="60" t="s">
        <v>10</v>
      </c>
      <c r="F125" s="50" t="s">
        <v>816</v>
      </c>
      <c r="G125" s="50" t="b">
        <v>0</v>
      </c>
      <c r="H125" s="58">
        <v>24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58">
        <v>0</v>
      </c>
      <c r="P125" s="58">
        <v>0</v>
      </c>
      <c r="Q125" s="58">
        <v>0</v>
      </c>
      <c r="R125" s="58">
        <v>0</v>
      </c>
      <c r="S125" s="58">
        <v>0</v>
      </c>
      <c r="T125" s="58">
        <v>0</v>
      </c>
      <c r="U125" s="52">
        <v>24.75</v>
      </c>
      <c r="V125" s="49" t="s">
        <v>811</v>
      </c>
    </row>
    <row r="126" spans="1:22" hidden="1">
      <c r="A126" s="59" t="s">
        <v>1799</v>
      </c>
      <c r="B126" s="59" t="s">
        <v>1798</v>
      </c>
      <c r="C126" s="61" t="s">
        <v>10</v>
      </c>
      <c r="D126" s="61" t="s">
        <v>32</v>
      </c>
      <c r="E126" s="60" t="s">
        <v>10</v>
      </c>
      <c r="F126" s="50" t="s">
        <v>816</v>
      </c>
      <c r="G126" s="50" t="b">
        <v>0</v>
      </c>
      <c r="H126" s="58">
        <v>24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0</v>
      </c>
      <c r="O126" s="58">
        <v>0</v>
      </c>
      <c r="P126" s="58">
        <v>0</v>
      </c>
      <c r="Q126" s="58">
        <v>0</v>
      </c>
      <c r="R126" s="58">
        <v>0</v>
      </c>
      <c r="S126" s="58">
        <v>0</v>
      </c>
      <c r="T126" s="58">
        <v>0</v>
      </c>
      <c r="U126" s="52">
        <v>24.75</v>
      </c>
      <c r="V126" s="49" t="s">
        <v>811</v>
      </c>
    </row>
    <row r="127" spans="1:22" hidden="1">
      <c r="A127" s="59" t="s">
        <v>1797</v>
      </c>
      <c r="B127" s="59" t="s">
        <v>1796</v>
      </c>
      <c r="C127" s="61" t="s">
        <v>10</v>
      </c>
      <c r="D127" s="61" t="s">
        <v>88</v>
      </c>
      <c r="E127" s="60" t="s">
        <v>10</v>
      </c>
      <c r="F127" s="50" t="s">
        <v>824</v>
      </c>
      <c r="G127" s="50" t="b">
        <v>0</v>
      </c>
      <c r="H127" s="58">
        <v>0</v>
      </c>
      <c r="I127" s="58">
        <v>2.0699999999999998</v>
      </c>
      <c r="J127" s="58">
        <v>1.99</v>
      </c>
      <c r="K127" s="58">
        <v>1.97</v>
      </c>
      <c r="L127" s="58">
        <v>1.67</v>
      </c>
      <c r="M127" s="58">
        <v>1.37</v>
      </c>
      <c r="N127" s="58">
        <v>1.6</v>
      </c>
      <c r="O127" s="58">
        <v>2.0699999999999998</v>
      </c>
      <c r="P127" s="58">
        <v>2.23</v>
      </c>
      <c r="Q127" s="58">
        <v>2.36</v>
      </c>
      <c r="R127" s="58">
        <v>2.11</v>
      </c>
      <c r="S127" s="58">
        <v>2.29</v>
      </c>
      <c r="T127" s="58">
        <v>2.1800000000000002</v>
      </c>
      <c r="U127" s="52">
        <v>3.03</v>
      </c>
      <c r="V127" s="49" t="s">
        <v>820</v>
      </c>
    </row>
    <row r="128" spans="1:22" hidden="1">
      <c r="A128" s="59" t="s">
        <v>1795</v>
      </c>
      <c r="B128" s="59" t="s">
        <v>1794</v>
      </c>
      <c r="C128" s="61" t="s">
        <v>10</v>
      </c>
      <c r="D128" s="61" t="s">
        <v>88</v>
      </c>
      <c r="E128" s="60" t="s">
        <v>10</v>
      </c>
      <c r="F128" s="50" t="s">
        <v>894</v>
      </c>
      <c r="G128" s="50" t="b">
        <v>0</v>
      </c>
      <c r="H128" s="58">
        <v>0</v>
      </c>
      <c r="I128" s="58">
        <v>1.37</v>
      </c>
      <c r="J128" s="58">
        <v>1.41</v>
      </c>
      <c r="K128" s="58">
        <v>1.3</v>
      </c>
      <c r="L128" s="58">
        <v>1.44</v>
      </c>
      <c r="M128" s="58">
        <v>1.32</v>
      </c>
      <c r="N128" s="58">
        <v>0.88</v>
      </c>
      <c r="O128" s="58">
        <v>1.25</v>
      </c>
      <c r="P128" s="58">
        <v>1.24</v>
      </c>
      <c r="Q128" s="58">
        <v>1.2</v>
      </c>
      <c r="R128" s="58">
        <v>1.32</v>
      </c>
      <c r="S128" s="58">
        <v>1.37</v>
      </c>
      <c r="T128" s="58">
        <v>1.42</v>
      </c>
      <c r="U128" s="52">
        <v>13.04</v>
      </c>
      <c r="V128" s="49" t="s">
        <v>820</v>
      </c>
    </row>
    <row r="129" spans="1:22">
      <c r="A129" s="59" t="s">
        <v>1793</v>
      </c>
      <c r="B129" s="59" t="s">
        <v>1792</v>
      </c>
      <c r="C129" s="61" t="s">
        <v>10</v>
      </c>
      <c r="D129" s="61" t="s">
        <v>88</v>
      </c>
      <c r="E129" s="60" t="s">
        <v>10</v>
      </c>
      <c r="F129" s="50" t="s">
        <v>872</v>
      </c>
      <c r="G129" s="50" t="b">
        <v>0</v>
      </c>
      <c r="H129" s="58">
        <v>0</v>
      </c>
      <c r="I129" s="58">
        <v>0.32</v>
      </c>
      <c r="J129" s="58">
        <v>0.66</v>
      </c>
      <c r="K129" s="58">
        <v>0.13</v>
      </c>
      <c r="L129" s="58">
        <v>0.05</v>
      </c>
      <c r="M129" s="58">
        <v>0.09</v>
      </c>
      <c r="N129" s="58">
        <v>0.16</v>
      </c>
      <c r="O129" s="58">
        <v>0.12</v>
      </c>
      <c r="P129" s="58">
        <v>7.0000000000000007E-2</v>
      </c>
      <c r="Q129" s="58">
        <v>0.03</v>
      </c>
      <c r="R129" s="58">
        <v>0.02</v>
      </c>
      <c r="S129" s="58">
        <v>0.04</v>
      </c>
      <c r="T129" s="58">
        <v>0.04</v>
      </c>
      <c r="U129" s="52">
        <v>1</v>
      </c>
      <c r="V129" s="49" t="s">
        <v>820</v>
      </c>
    </row>
    <row r="130" spans="1:22">
      <c r="A130" s="59" t="s">
        <v>1791</v>
      </c>
      <c r="B130" s="59" t="s">
        <v>1790</v>
      </c>
      <c r="C130" s="61" t="s">
        <v>10</v>
      </c>
      <c r="D130" s="61" t="s">
        <v>869</v>
      </c>
      <c r="E130" s="60" t="s">
        <v>10</v>
      </c>
      <c r="F130" s="50" t="s">
        <v>872</v>
      </c>
      <c r="G130" s="50" t="b">
        <v>0</v>
      </c>
      <c r="H130" s="58">
        <v>0</v>
      </c>
      <c r="I130" s="58">
        <v>0</v>
      </c>
      <c r="J130" s="58">
        <v>0</v>
      </c>
      <c r="K130" s="58">
        <v>0.01</v>
      </c>
      <c r="L130" s="58">
        <v>0.16</v>
      </c>
      <c r="M130" s="58">
        <v>0.52</v>
      </c>
      <c r="N130" s="58">
        <v>0.81</v>
      </c>
      <c r="O130" s="58">
        <v>0.97</v>
      </c>
      <c r="P130" s="58">
        <v>0.49</v>
      </c>
      <c r="Q130" s="58">
        <v>0.11</v>
      </c>
      <c r="R130" s="58">
        <v>0</v>
      </c>
      <c r="S130" s="58">
        <v>0</v>
      </c>
      <c r="T130" s="58">
        <v>0</v>
      </c>
      <c r="U130" s="52">
        <v>2</v>
      </c>
      <c r="V130" s="49" t="s">
        <v>820</v>
      </c>
    </row>
    <row r="131" spans="1:22" hidden="1">
      <c r="A131" s="59" t="s">
        <v>1789</v>
      </c>
      <c r="B131" s="59" t="s">
        <v>87</v>
      </c>
      <c r="C131" s="61" t="s">
        <v>12</v>
      </c>
      <c r="D131" s="61" t="s">
        <v>88</v>
      </c>
      <c r="E131" s="60" t="s">
        <v>12</v>
      </c>
      <c r="F131" s="50" t="s">
        <v>894</v>
      </c>
      <c r="G131" s="50" t="b">
        <v>0</v>
      </c>
      <c r="H131" s="58">
        <v>63</v>
      </c>
      <c r="I131" s="58">
        <v>0</v>
      </c>
      <c r="J131" s="58">
        <v>0</v>
      </c>
      <c r="K131" s="58">
        <v>0</v>
      </c>
      <c r="L131" s="58">
        <v>0</v>
      </c>
      <c r="M131" s="58">
        <v>0</v>
      </c>
      <c r="N131" s="58">
        <v>0</v>
      </c>
      <c r="O131" s="58">
        <v>0</v>
      </c>
      <c r="P131" s="58">
        <v>0</v>
      </c>
      <c r="Q131" s="58">
        <v>0</v>
      </c>
      <c r="R131" s="58">
        <v>0</v>
      </c>
      <c r="S131" s="58">
        <v>0</v>
      </c>
      <c r="T131" s="58">
        <v>0</v>
      </c>
      <c r="U131" s="52">
        <v>63</v>
      </c>
      <c r="V131" s="49" t="s">
        <v>815</v>
      </c>
    </row>
    <row r="132" spans="1:22" hidden="1">
      <c r="A132" s="59" t="s">
        <v>1788</v>
      </c>
      <c r="B132" s="59" t="s">
        <v>89</v>
      </c>
      <c r="C132" s="61" t="s">
        <v>12</v>
      </c>
      <c r="D132" s="61" t="s">
        <v>88</v>
      </c>
      <c r="E132" s="60" t="s">
        <v>12</v>
      </c>
      <c r="F132" s="50" t="s">
        <v>894</v>
      </c>
      <c r="G132" s="50" t="b">
        <v>0</v>
      </c>
      <c r="H132" s="58">
        <v>81.5</v>
      </c>
      <c r="I132" s="58">
        <v>0</v>
      </c>
      <c r="J132" s="58">
        <v>0</v>
      </c>
      <c r="K132" s="58">
        <v>0</v>
      </c>
      <c r="L132" s="58">
        <v>0</v>
      </c>
      <c r="M132" s="58">
        <v>0</v>
      </c>
      <c r="N132" s="58">
        <v>0</v>
      </c>
      <c r="O132" s="58">
        <v>0</v>
      </c>
      <c r="P132" s="58">
        <v>0</v>
      </c>
      <c r="Q132" s="58">
        <v>0</v>
      </c>
      <c r="R132" s="58">
        <v>0</v>
      </c>
      <c r="S132" s="58">
        <v>0</v>
      </c>
      <c r="T132" s="58">
        <v>0</v>
      </c>
      <c r="U132" s="52">
        <v>81.5</v>
      </c>
      <c r="V132" s="49" t="s">
        <v>815</v>
      </c>
    </row>
    <row r="133" spans="1:22" hidden="1">
      <c r="A133" s="59" t="s">
        <v>1787</v>
      </c>
      <c r="B133" s="59" t="s">
        <v>90</v>
      </c>
      <c r="C133" s="61" t="s">
        <v>12</v>
      </c>
      <c r="D133" s="61" t="s">
        <v>88</v>
      </c>
      <c r="E133" s="60" t="s">
        <v>12</v>
      </c>
      <c r="F133" s="50" t="s">
        <v>894</v>
      </c>
      <c r="G133" s="50" t="b">
        <v>0</v>
      </c>
      <c r="H133" s="58">
        <v>245.3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58">
        <v>0</v>
      </c>
      <c r="P133" s="58">
        <v>0</v>
      </c>
      <c r="Q133" s="58">
        <v>0</v>
      </c>
      <c r="R133" s="58">
        <v>0</v>
      </c>
      <c r="S133" s="58">
        <v>0</v>
      </c>
      <c r="T133" s="58">
        <v>0</v>
      </c>
      <c r="U133" s="52">
        <v>245.3</v>
      </c>
      <c r="V133" s="49" t="s">
        <v>815</v>
      </c>
    </row>
    <row r="134" spans="1:22" hidden="1">
      <c r="A134" s="59" t="s">
        <v>1786</v>
      </c>
      <c r="B134" s="59" t="s">
        <v>91</v>
      </c>
      <c r="C134" s="61" t="s">
        <v>12</v>
      </c>
      <c r="D134" s="61" t="s">
        <v>88</v>
      </c>
      <c r="E134" s="60" t="s">
        <v>12</v>
      </c>
      <c r="F134" s="50" t="s">
        <v>894</v>
      </c>
      <c r="G134" s="50" t="b">
        <v>0</v>
      </c>
      <c r="H134" s="58">
        <v>245.9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58">
        <v>0</v>
      </c>
      <c r="P134" s="58">
        <v>0</v>
      </c>
      <c r="Q134" s="58">
        <v>0</v>
      </c>
      <c r="R134" s="58">
        <v>0</v>
      </c>
      <c r="S134" s="58">
        <v>0</v>
      </c>
      <c r="T134" s="58">
        <v>0</v>
      </c>
      <c r="U134" s="52">
        <v>245.9</v>
      </c>
      <c r="V134" s="49" t="s">
        <v>815</v>
      </c>
    </row>
    <row r="135" spans="1:22" hidden="1">
      <c r="A135" s="59" t="s">
        <v>1785</v>
      </c>
      <c r="B135" s="59" t="s">
        <v>1784</v>
      </c>
      <c r="C135" s="61" t="s">
        <v>10</v>
      </c>
      <c r="D135" s="61" t="s">
        <v>817</v>
      </c>
      <c r="E135" s="60" t="s">
        <v>10</v>
      </c>
      <c r="F135" s="50" t="s">
        <v>824</v>
      </c>
      <c r="G135" s="50" t="b">
        <v>0</v>
      </c>
      <c r="H135" s="58">
        <v>0</v>
      </c>
      <c r="I135" s="58">
        <v>2.21</v>
      </c>
      <c r="J135" s="58">
        <v>2.4900000000000002</v>
      </c>
      <c r="K135" s="58">
        <v>2.37</v>
      </c>
      <c r="L135" s="58">
        <v>2.11</v>
      </c>
      <c r="M135" s="58">
        <v>2.17</v>
      </c>
      <c r="N135" s="58">
        <v>2.2400000000000002</v>
      </c>
      <c r="O135" s="58">
        <v>2.0299999999999998</v>
      </c>
      <c r="P135" s="58">
        <v>2.11</v>
      </c>
      <c r="Q135" s="58">
        <v>1.95</v>
      </c>
      <c r="R135" s="58">
        <v>2.2200000000000002</v>
      </c>
      <c r="S135" s="58">
        <v>2.23</v>
      </c>
      <c r="T135" s="58">
        <v>2.16</v>
      </c>
      <c r="U135" s="52">
        <v>4</v>
      </c>
      <c r="V135" s="49" t="s">
        <v>820</v>
      </c>
    </row>
    <row r="136" spans="1:22" hidden="1">
      <c r="A136" s="59" t="s">
        <v>1783</v>
      </c>
      <c r="B136" s="59" t="s">
        <v>1783</v>
      </c>
      <c r="C136" s="61" t="s">
        <v>10</v>
      </c>
      <c r="D136" s="61" t="s">
        <v>817</v>
      </c>
      <c r="E136" s="60" t="s">
        <v>10</v>
      </c>
      <c r="F136" s="50" t="s">
        <v>827</v>
      </c>
      <c r="G136" s="50" t="b">
        <v>0</v>
      </c>
      <c r="H136" s="58">
        <v>0</v>
      </c>
      <c r="I136" s="58">
        <v>0.04</v>
      </c>
      <c r="J136" s="58">
        <v>0.09</v>
      </c>
      <c r="K136" s="58">
        <v>0.7</v>
      </c>
      <c r="L136" s="58">
        <v>0.39</v>
      </c>
      <c r="M136" s="58">
        <v>0.22</v>
      </c>
      <c r="N136" s="58">
        <v>0.01</v>
      </c>
      <c r="O136" s="58">
        <v>0</v>
      </c>
      <c r="P136" s="58">
        <v>0</v>
      </c>
      <c r="Q136" s="58">
        <v>0</v>
      </c>
      <c r="R136" s="58">
        <v>0</v>
      </c>
      <c r="S136" s="58">
        <v>0</v>
      </c>
      <c r="T136" s="58">
        <v>0</v>
      </c>
      <c r="U136" s="52">
        <v>2</v>
      </c>
      <c r="V136" s="49" t="s">
        <v>820</v>
      </c>
    </row>
    <row r="137" spans="1:22" hidden="1">
      <c r="A137" s="59" t="s">
        <v>1782</v>
      </c>
      <c r="B137" s="59" t="s">
        <v>1781</v>
      </c>
      <c r="C137" s="61" t="s">
        <v>10</v>
      </c>
      <c r="D137" s="61" t="s">
        <v>817</v>
      </c>
      <c r="E137" s="60" t="s">
        <v>10</v>
      </c>
      <c r="F137" s="50" t="s">
        <v>827</v>
      </c>
      <c r="G137" s="50" t="b">
        <v>0</v>
      </c>
      <c r="H137" s="58">
        <v>0</v>
      </c>
      <c r="I137" s="58">
        <v>1.32</v>
      </c>
      <c r="J137" s="58">
        <v>1.58</v>
      </c>
      <c r="K137" s="58">
        <v>2.2200000000000002</v>
      </c>
      <c r="L137" s="58">
        <v>1.1299999999999999</v>
      </c>
      <c r="M137" s="58">
        <v>3.09</v>
      </c>
      <c r="N137" s="58">
        <v>3.73</v>
      </c>
      <c r="O137" s="58">
        <v>3.72</v>
      </c>
      <c r="P137" s="58">
        <v>3.78</v>
      </c>
      <c r="Q137" s="58">
        <v>3.68</v>
      </c>
      <c r="R137" s="58">
        <v>2.34</v>
      </c>
      <c r="S137" s="58">
        <v>1.76</v>
      </c>
      <c r="T137" s="58">
        <v>1.46</v>
      </c>
      <c r="U137" s="52">
        <v>7</v>
      </c>
      <c r="V137" s="49" t="s">
        <v>820</v>
      </c>
    </row>
    <row r="138" spans="1:22" hidden="1">
      <c r="A138" s="59" t="s">
        <v>1780</v>
      </c>
      <c r="B138" s="59" t="s">
        <v>1779</v>
      </c>
      <c r="C138" s="61" t="s">
        <v>10</v>
      </c>
      <c r="D138" s="61" t="s">
        <v>32</v>
      </c>
      <c r="E138" s="60" t="s">
        <v>10</v>
      </c>
      <c r="F138" s="50" t="s">
        <v>894</v>
      </c>
      <c r="G138" s="50" t="b">
        <v>0</v>
      </c>
      <c r="H138" s="58">
        <v>0</v>
      </c>
      <c r="I138" s="58">
        <v>861.29</v>
      </c>
      <c r="J138" s="58">
        <v>861.29</v>
      </c>
      <c r="K138" s="58">
        <v>855</v>
      </c>
      <c r="L138" s="58">
        <v>845</v>
      </c>
      <c r="M138" s="58">
        <v>835</v>
      </c>
      <c r="N138" s="58">
        <v>820</v>
      </c>
      <c r="O138" s="58">
        <v>813</v>
      </c>
      <c r="P138" s="58">
        <v>813</v>
      </c>
      <c r="Q138" s="58">
        <v>813</v>
      </c>
      <c r="R138" s="58">
        <v>835</v>
      </c>
      <c r="S138" s="58">
        <v>850</v>
      </c>
      <c r="T138" s="58">
        <v>861.29</v>
      </c>
      <c r="U138" s="52">
        <v>861.29</v>
      </c>
      <c r="V138" s="49" t="s">
        <v>815</v>
      </c>
    </row>
    <row r="139" spans="1:22" hidden="1">
      <c r="A139" s="59" t="s">
        <v>1778</v>
      </c>
      <c r="B139" s="59" t="s">
        <v>1777</v>
      </c>
      <c r="C139" s="61" t="s">
        <v>12</v>
      </c>
      <c r="D139" s="61" t="s">
        <v>47</v>
      </c>
      <c r="E139" s="60" t="s">
        <v>12</v>
      </c>
      <c r="F139" s="50" t="s">
        <v>812</v>
      </c>
      <c r="G139" s="50" t="b">
        <v>0</v>
      </c>
      <c r="H139" s="58">
        <v>0</v>
      </c>
      <c r="I139" s="58">
        <v>15.41</v>
      </c>
      <c r="J139" s="58">
        <v>28.37</v>
      </c>
      <c r="K139" s="58">
        <v>42.49</v>
      </c>
      <c r="L139" s="58">
        <v>48.95</v>
      </c>
      <c r="M139" s="58">
        <v>75.069999999999993</v>
      </c>
      <c r="N139" s="58">
        <v>104.02</v>
      </c>
      <c r="O139" s="58">
        <v>44.06</v>
      </c>
      <c r="P139" s="58">
        <v>24.93</v>
      </c>
      <c r="Q139" s="58">
        <v>23.82</v>
      </c>
      <c r="R139" s="58">
        <v>19.559999999999999</v>
      </c>
      <c r="S139" s="58">
        <v>9.58</v>
      </c>
      <c r="T139" s="58">
        <v>10.74</v>
      </c>
      <c r="U139" s="52">
        <v>362.34</v>
      </c>
      <c r="V139" s="49" t="s">
        <v>820</v>
      </c>
    </row>
    <row r="140" spans="1:22" hidden="1">
      <c r="A140" s="59" t="s">
        <v>1776</v>
      </c>
      <c r="B140" s="59" t="s">
        <v>1775</v>
      </c>
      <c r="C140" s="61" t="s">
        <v>10</v>
      </c>
      <c r="D140" s="61" t="s">
        <v>901</v>
      </c>
      <c r="E140" s="60" t="s">
        <v>10</v>
      </c>
      <c r="F140" s="50" t="s">
        <v>821</v>
      </c>
      <c r="G140" s="50" t="b">
        <v>0</v>
      </c>
      <c r="H140" s="58">
        <v>0</v>
      </c>
      <c r="I140" s="58">
        <v>27.49</v>
      </c>
      <c r="J140" s="58">
        <v>28.28</v>
      </c>
      <c r="K140" s="58">
        <v>18.2</v>
      </c>
      <c r="L140" s="58">
        <v>15.58</v>
      </c>
      <c r="M140" s="58">
        <v>24.81</v>
      </c>
      <c r="N140" s="58">
        <v>28.47</v>
      </c>
      <c r="O140" s="58">
        <v>28.14</v>
      </c>
      <c r="P140" s="58">
        <v>28.24</v>
      </c>
      <c r="Q140" s="58">
        <v>28.28</v>
      </c>
      <c r="R140" s="58">
        <v>28.44</v>
      </c>
      <c r="S140" s="58">
        <v>24.71</v>
      </c>
      <c r="T140" s="58">
        <v>28.16</v>
      </c>
      <c r="U140" s="52">
        <v>36.799999999999997</v>
      </c>
      <c r="V140" s="49" t="s">
        <v>820</v>
      </c>
    </row>
    <row r="141" spans="1:22" hidden="1">
      <c r="A141" s="59" t="s">
        <v>1774</v>
      </c>
      <c r="B141" s="59" t="s">
        <v>42</v>
      </c>
      <c r="C141" s="61" t="s">
        <v>10</v>
      </c>
      <c r="D141" s="61" t="s">
        <v>88</v>
      </c>
      <c r="E141" s="60" t="s">
        <v>10</v>
      </c>
      <c r="F141" s="50" t="s">
        <v>1034</v>
      </c>
      <c r="G141" s="50" t="b">
        <v>1</v>
      </c>
      <c r="H141" s="58">
        <v>1122</v>
      </c>
      <c r="I141" s="58">
        <v>0</v>
      </c>
      <c r="J141" s="58">
        <v>0</v>
      </c>
      <c r="K141" s="58">
        <v>0</v>
      </c>
      <c r="L141" s="58">
        <v>0</v>
      </c>
      <c r="M141" s="58">
        <v>0</v>
      </c>
      <c r="N141" s="58">
        <v>0</v>
      </c>
      <c r="O141" s="58">
        <v>0</v>
      </c>
      <c r="P141" s="58">
        <v>0</v>
      </c>
      <c r="Q141" s="58">
        <v>0</v>
      </c>
      <c r="R141" s="58">
        <v>0</v>
      </c>
      <c r="S141" s="58">
        <v>0</v>
      </c>
      <c r="T141" s="58">
        <v>0</v>
      </c>
      <c r="U141" s="52">
        <v>1150</v>
      </c>
      <c r="V141" s="49" t="s">
        <v>820</v>
      </c>
    </row>
    <row r="142" spans="1:22" hidden="1">
      <c r="A142" s="59" t="s">
        <v>1773</v>
      </c>
      <c r="B142" s="59" t="s">
        <v>43</v>
      </c>
      <c r="C142" s="61" t="s">
        <v>10</v>
      </c>
      <c r="D142" s="61" t="s">
        <v>88</v>
      </c>
      <c r="E142" s="60" t="s">
        <v>10</v>
      </c>
      <c r="F142" s="50" t="s">
        <v>1034</v>
      </c>
      <c r="G142" s="50" t="b">
        <v>1</v>
      </c>
      <c r="H142" s="58">
        <v>1118</v>
      </c>
      <c r="I142" s="58">
        <v>0</v>
      </c>
      <c r="J142" s="58">
        <v>0</v>
      </c>
      <c r="K142" s="58">
        <v>0</v>
      </c>
      <c r="L142" s="58">
        <v>0</v>
      </c>
      <c r="M142" s="58">
        <v>0</v>
      </c>
      <c r="N142" s="58">
        <v>0</v>
      </c>
      <c r="O142" s="58">
        <v>0</v>
      </c>
      <c r="P142" s="58">
        <v>0</v>
      </c>
      <c r="Q142" s="58">
        <v>0</v>
      </c>
      <c r="R142" s="58">
        <v>0</v>
      </c>
      <c r="S142" s="58">
        <v>0</v>
      </c>
      <c r="T142" s="58">
        <v>0</v>
      </c>
      <c r="U142" s="52">
        <v>1150</v>
      </c>
      <c r="V142" s="49" t="s">
        <v>820</v>
      </c>
    </row>
    <row r="143" spans="1:22" hidden="1">
      <c r="A143" s="59" t="s">
        <v>1772</v>
      </c>
      <c r="B143" s="59" t="s">
        <v>1771</v>
      </c>
      <c r="C143" s="61" t="s">
        <v>10</v>
      </c>
      <c r="D143" s="61" t="s">
        <v>828</v>
      </c>
      <c r="E143" s="60" t="s">
        <v>10</v>
      </c>
      <c r="F143" s="50" t="s">
        <v>894</v>
      </c>
      <c r="G143" s="50" t="b">
        <v>0</v>
      </c>
      <c r="H143" s="58">
        <v>9.8699999999999992</v>
      </c>
      <c r="I143" s="58">
        <v>0</v>
      </c>
      <c r="J143" s="58">
        <v>0</v>
      </c>
      <c r="K143" s="58">
        <v>0</v>
      </c>
      <c r="L143" s="58">
        <v>0</v>
      </c>
      <c r="M143" s="58">
        <v>0</v>
      </c>
      <c r="N143" s="58">
        <v>0</v>
      </c>
      <c r="O143" s="58">
        <v>0</v>
      </c>
      <c r="P143" s="58">
        <v>0</v>
      </c>
      <c r="Q143" s="58">
        <v>0</v>
      </c>
      <c r="R143" s="58">
        <v>0</v>
      </c>
      <c r="S143" s="58">
        <v>0</v>
      </c>
      <c r="T143" s="58">
        <v>0</v>
      </c>
      <c r="U143" s="52">
        <v>12</v>
      </c>
      <c r="V143" s="49" t="s">
        <v>815</v>
      </c>
    </row>
    <row r="144" spans="1:22" hidden="1">
      <c r="A144" s="59" t="s">
        <v>1770</v>
      </c>
      <c r="B144" s="59" t="s">
        <v>1769</v>
      </c>
      <c r="C144" s="61" t="s">
        <v>10</v>
      </c>
      <c r="D144" s="61" t="s">
        <v>901</v>
      </c>
      <c r="E144" s="60" t="s">
        <v>10</v>
      </c>
      <c r="F144" s="50" t="s">
        <v>821</v>
      </c>
      <c r="G144" s="50" t="b">
        <v>0</v>
      </c>
      <c r="H144" s="58">
        <v>0</v>
      </c>
      <c r="I144" s="58">
        <v>6.96</v>
      </c>
      <c r="J144" s="58">
        <v>4.8099999999999996</v>
      </c>
      <c r="K144" s="58">
        <v>8.8800000000000008</v>
      </c>
      <c r="L144" s="58">
        <v>12.8</v>
      </c>
      <c r="M144" s="58">
        <v>4.79</v>
      </c>
      <c r="N144" s="58">
        <v>2.25</v>
      </c>
      <c r="O144" s="58">
        <v>1.21</v>
      </c>
      <c r="P144" s="58">
        <v>1.7</v>
      </c>
      <c r="Q144" s="58">
        <v>2.42</v>
      </c>
      <c r="R144" s="58">
        <v>4.13</v>
      </c>
      <c r="S144" s="58">
        <v>5.29</v>
      </c>
      <c r="T144" s="58">
        <v>6.33</v>
      </c>
      <c r="U144" s="52">
        <v>56.2</v>
      </c>
      <c r="V144" s="49" t="s">
        <v>820</v>
      </c>
    </row>
    <row r="145" spans="1:24" hidden="1">
      <c r="A145" s="59" t="s">
        <v>1768</v>
      </c>
      <c r="B145" s="59" t="s">
        <v>1767</v>
      </c>
      <c r="C145" s="61" t="s">
        <v>12</v>
      </c>
      <c r="D145" s="61" t="s">
        <v>11</v>
      </c>
      <c r="E145" s="60" t="s">
        <v>11</v>
      </c>
      <c r="F145" s="50" t="s">
        <v>821</v>
      </c>
      <c r="G145" s="50" t="b">
        <v>0</v>
      </c>
      <c r="H145" s="58">
        <v>0</v>
      </c>
      <c r="I145" s="58">
        <v>44.65</v>
      </c>
      <c r="J145" s="58">
        <v>35.11</v>
      </c>
      <c r="K145" s="58">
        <v>41.75</v>
      </c>
      <c r="L145" s="58">
        <v>32.18</v>
      </c>
      <c r="M145" s="58">
        <v>40.96</v>
      </c>
      <c r="N145" s="58">
        <v>37.67</v>
      </c>
      <c r="O145" s="58">
        <v>40.35</v>
      </c>
      <c r="P145" s="58">
        <v>36.47</v>
      </c>
      <c r="Q145" s="58">
        <v>36.53</v>
      </c>
      <c r="R145" s="58">
        <v>35.78</v>
      </c>
      <c r="S145" s="58">
        <v>40.85</v>
      </c>
      <c r="T145" s="58">
        <v>44.33</v>
      </c>
      <c r="U145" s="52">
        <v>47</v>
      </c>
      <c r="V145" s="49" t="s">
        <v>820</v>
      </c>
    </row>
    <row r="146" spans="1:24" hidden="1">
      <c r="A146" s="59" t="s">
        <v>1766</v>
      </c>
      <c r="B146" s="59" t="s">
        <v>1765</v>
      </c>
      <c r="C146" s="61" t="s">
        <v>12</v>
      </c>
      <c r="D146" s="61" t="s">
        <v>47</v>
      </c>
      <c r="E146" s="60" t="s">
        <v>12</v>
      </c>
      <c r="F146" s="50" t="s">
        <v>827</v>
      </c>
      <c r="G146" s="50" t="b">
        <v>0</v>
      </c>
      <c r="H146" s="58">
        <v>21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58">
        <v>0</v>
      </c>
      <c r="P146" s="58">
        <v>0</v>
      </c>
      <c r="Q146" s="58">
        <v>0</v>
      </c>
      <c r="R146" s="58">
        <v>0</v>
      </c>
      <c r="S146" s="58">
        <v>0</v>
      </c>
      <c r="T146" s="58">
        <v>0</v>
      </c>
      <c r="U146" s="52">
        <v>21</v>
      </c>
      <c r="V146" s="49" t="s">
        <v>811</v>
      </c>
    </row>
    <row r="147" spans="1:24" hidden="1">
      <c r="A147" s="59" t="s">
        <v>1764</v>
      </c>
      <c r="B147" s="59" t="s">
        <v>1763</v>
      </c>
      <c r="C147" s="61" t="s">
        <v>10</v>
      </c>
      <c r="D147" s="61" t="s">
        <v>869</v>
      </c>
      <c r="E147" s="60" t="s">
        <v>10</v>
      </c>
      <c r="F147" s="50" t="s">
        <v>827</v>
      </c>
      <c r="G147" s="50" t="b">
        <v>0</v>
      </c>
      <c r="H147" s="58">
        <v>0</v>
      </c>
      <c r="I147" s="58">
        <v>65.95</v>
      </c>
      <c r="J147" s="58">
        <v>66.319999999999993</v>
      </c>
      <c r="K147" s="58">
        <v>67.86</v>
      </c>
      <c r="L147" s="58">
        <v>65.209999999999994</v>
      </c>
      <c r="M147" s="58">
        <v>70.099999999999994</v>
      </c>
      <c r="N147" s="58">
        <v>72</v>
      </c>
      <c r="O147" s="58">
        <v>72</v>
      </c>
      <c r="P147" s="58">
        <v>72</v>
      </c>
      <c r="Q147" s="58">
        <v>72</v>
      </c>
      <c r="R147" s="58">
        <v>70.02</v>
      </c>
      <c r="S147" s="58">
        <v>67.92</v>
      </c>
      <c r="T147" s="58">
        <v>66.81</v>
      </c>
      <c r="U147" s="52">
        <v>72</v>
      </c>
      <c r="V147" s="49" t="s">
        <v>820</v>
      </c>
    </row>
    <row r="148" spans="1:24">
      <c r="A148" s="59" t="s">
        <v>1762</v>
      </c>
      <c r="B148" s="59" t="s">
        <v>1762</v>
      </c>
      <c r="C148" s="61" t="s">
        <v>10</v>
      </c>
      <c r="D148" s="61" t="s">
        <v>88</v>
      </c>
      <c r="E148" s="60" t="s">
        <v>10</v>
      </c>
      <c r="F148" s="50" t="s">
        <v>872</v>
      </c>
      <c r="G148" s="50" t="b">
        <v>0</v>
      </c>
      <c r="H148" s="58">
        <v>159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58">
        <v>0</v>
      </c>
      <c r="P148" s="58">
        <v>0</v>
      </c>
      <c r="Q148" s="58">
        <v>0</v>
      </c>
      <c r="R148" s="58">
        <v>0</v>
      </c>
      <c r="S148" s="58">
        <v>0</v>
      </c>
      <c r="T148" s="58">
        <v>0</v>
      </c>
      <c r="U148" s="52">
        <v>159</v>
      </c>
      <c r="V148" s="49" t="s">
        <v>855</v>
      </c>
      <c r="X148" s="58"/>
    </row>
    <row r="149" spans="1:24" hidden="1">
      <c r="A149" s="59" t="s">
        <v>1761</v>
      </c>
      <c r="B149" s="59" t="s">
        <v>1760</v>
      </c>
      <c r="C149" s="61" t="s">
        <v>10</v>
      </c>
      <c r="D149" s="61" t="s">
        <v>901</v>
      </c>
      <c r="E149" s="60" t="s">
        <v>10</v>
      </c>
      <c r="F149" s="50" t="s">
        <v>821</v>
      </c>
      <c r="G149" s="50" t="b">
        <v>0</v>
      </c>
      <c r="H149" s="58">
        <v>0</v>
      </c>
      <c r="I149" s="58">
        <v>48.73</v>
      </c>
      <c r="J149" s="58">
        <v>48.71</v>
      </c>
      <c r="K149" s="58">
        <v>48.76</v>
      </c>
      <c r="L149" s="58">
        <v>47.92</v>
      </c>
      <c r="M149" s="58">
        <v>22.52</v>
      </c>
      <c r="N149" s="58">
        <v>34.950000000000003</v>
      </c>
      <c r="O149" s="58">
        <v>34.85</v>
      </c>
      <c r="P149" s="58">
        <v>37.590000000000003</v>
      </c>
      <c r="Q149" s="58">
        <v>38.799999999999997</v>
      </c>
      <c r="R149" s="58">
        <v>38.49</v>
      </c>
      <c r="S149" s="58">
        <v>38.200000000000003</v>
      </c>
      <c r="T149" s="58">
        <v>32.58</v>
      </c>
      <c r="U149" s="52">
        <v>55.3</v>
      </c>
      <c r="V149" s="49" t="s">
        <v>820</v>
      </c>
    </row>
    <row r="150" spans="1:24" hidden="1">
      <c r="A150" s="59" t="s">
        <v>1759</v>
      </c>
      <c r="B150" s="59" t="s">
        <v>1758</v>
      </c>
      <c r="C150" s="61" t="s">
        <v>12</v>
      </c>
      <c r="D150" s="61" t="s">
        <v>47</v>
      </c>
      <c r="E150" s="60" t="s">
        <v>12</v>
      </c>
      <c r="F150" s="50" t="s">
        <v>816</v>
      </c>
      <c r="G150" s="50" t="b">
        <v>0</v>
      </c>
      <c r="H150" s="58">
        <v>0</v>
      </c>
      <c r="I150" s="58">
        <v>36</v>
      </c>
      <c r="J150" s="58">
        <v>36</v>
      </c>
      <c r="K150" s="58">
        <v>36</v>
      </c>
      <c r="L150" s="58">
        <v>36</v>
      </c>
      <c r="M150" s="58">
        <v>36</v>
      </c>
      <c r="N150" s="58">
        <v>36</v>
      </c>
      <c r="O150" s="58">
        <v>36</v>
      </c>
      <c r="P150" s="58">
        <v>36</v>
      </c>
      <c r="Q150" s="58">
        <v>36</v>
      </c>
      <c r="R150" s="58">
        <v>36</v>
      </c>
      <c r="S150" s="58">
        <v>36</v>
      </c>
      <c r="T150" s="58">
        <v>36</v>
      </c>
      <c r="U150" s="52">
        <v>41.4</v>
      </c>
      <c r="V150" s="49" t="s">
        <v>815</v>
      </c>
    </row>
    <row r="151" spans="1:24" hidden="1">
      <c r="A151" s="59" t="s">
        <v>1757</v>
      </c>
      <c r="B151" s="59" t="s">
        <v>1756</v>
      </c>
      <c r="C151" s="61" t="s">
        <v>10</v>
      </c>
      <c r="D151" s="61" t="s">
        <v>817</v>
      </c>
      <c r="E151" s="60" t="s">
        <v>10</v>
      </c>
      <c r="F151" s="50" t="s">
        <v>827</v>
      </c>
      <c r="G151" s="50" t="b">
        <v>0</v>
      </c>
      <c r="H151" s="58">
        <v>0</v>
      </c>
      <c r="I151" s="58">
        <v>26</v>
      </c>
      <c r="J151" s="58">
        <v>26</v>
      </c>
      <c r="K151" s="58">
        <v>26</v>
      </c>
      <c r="L151" s="58">
        <v>26</v>
      </c>
      <c r="M151" s="58">
        <v>26</v>
      </c>
      <c r="N151" s="58">
        <v>26</v>
      </c>
      <c r="O151" s="58">
        <v>26</v>
      </c>
      <c r="P151" s="58">
        <v>26</v>
      </c>
      <c r="Q151" s="58">
        <v>26</v>
      </c>
      <c r="R151" s="58">
        <v>26</v>
      </c>
      <c r="S151" s="58">
        <v>26</v>
      </c>
      <c r="T151" s="58">
        <v>26</v>
      </c>
      <c r="U151" s="52">
        <v>26</v>
      </c>
      <c r="V151" s="49" t="s">
        <v>820</v>
      </c>
    </row>
    <row r="152" spans="1:24" hidden="1">
      <c r="A152" s="59" t="s">
        <v>1755</v>
      </c>
      <c r="B152" s="59" t="s">
        <v>1754</v>
      </c>
      <c r="C152" s="61" t="s">
        <v>10</v>
      </c>
      <c r="D152" s="61" t="s">
        <v>817</v>
      </c>
      <c r="E152" s="60" t="s">
        <v>10</v>
      </c>
      <c r="F152" s="50" t="s">
        <v>827</v>
      </c>
      <c r="G152" s="50" t="b">
        <v>0</v>
      </c>
      <c r="H152" s="58">
        <v>0</v>
      </c>
      <c r="I152" s="58">
        <v>27.4</v>
      </c>
      <c r="J152" s="58">
        <v>27.4</v>
      </c>
      <c r="K152" s="58">
        <v>27.4</v>
      </c>
      <c r="L152" s="58">
        <v>27.4</v>
      </c>
      <c r="M152" s="58">
        <v>27.4</v>
      </c>
      <c r="N152" s="58">
        <v>27.4</v>
      </c>
      <c r="O152" s="58">
        <v>27.4</v>
      </c>
      <c r="P152" s="58">
        <v>27.4</v>
      </c>
      <c r="Q152" s="58">
        <v>27.4</v>
      </c>
      <c r="R152" s="58">
        <v>27.4</v>
      </c>
      <c r="S152" s="58">
        <v>27.4</v>
      </c>
      <c r="T152" s="58">
        <v>27.4</v>
      </c>
      <c r="U152" s="52">
        <v>28.9</v>
      </c>
      <c r="V152" s="49" t="s">
        <v>820</v>
      </c>
    </row>
    <row r="153" spans="1:24" hidden="1">
      <c r="A153" s="59" t="s">
        <v>1753</v>
      </c>
      <c r="B153" s="59" t="s">
        <v>1752</v>
      </c>
      <c r="C153" s="61" t="s">
        <v>10</v>
      </c>
      <c r="D153" s="61" t="s">
        <v>817</v>
      </c>
      <c r="E153" s="60" t="s">
        <v>10</v>
      </c>
      <c r="F153" s="50" t="s">
        <v>827</v>
      </c>
      <c r="G153" s="50" t="b">
        <v>0</v>
      </c>
      <c r="H153" s="58">
        <v>0</v>
      </c>
      <c r="I153" s="58">
        <v>49.5</v>
      </c>
      <c r="J153" s="58">
        <v>49.5</v>
      </c>
      <c r="K153" s="58">
        <v>49.5</v>
      </c>
      <c r="L153" s="58">
        <v>49.5</v>
      </c>
      <c r="M153" s="58">
        <v>49.5</v>
      </c>
      <c r="N153" s="58">
        <v>49.5</v>
      </c>
      <c r="O153" s="58">
        <v>49.5</v>
      </c>
      <c r="P153" s="58">
        <v>49.5</v>
      </c>
      <c r="Q153" s="58">
        <v>49.5</v>
      </c>
      <c r="R153" s="58">
        <v>49.5</v>
      </c>
      <c r="S153" s="58">
        <v>49.5</v>
      </c>
      <c r="T153" s="58">
        <v>49.5</v>
      </c>
      <c r="U153" s="52">
        <v>50</v>
      </c>
      <c r="V153" s="49" t="s">
        <v>820</v>
      </c>
    </row>
    <row r="154" spans="1:24" hidden="1">
      <c r="A154" s="59" t="s">
        <v>1751</v>
      </c>
      <c r="B154" s="59" t="s">
        <v>1750</v>
      </c>
      <c r="C154" s="61" t="s">
        <v>10</v>
      </c>
      <c r="D154" s="61" t="s">
        <v>88</v>
      </c>
      <c r="E154" s="60" t="s">
        <v>10</v>
      </c>
      <c r="F154" s="50" t="s">
        <v>827</v>
      </c>
      <c r="G154" s="50" t="b">
        <v>0</v>
      </c>
      <c r="H154" s="58">
        <v>0</v>
      </c>
      <c r="I154" s="58">
        <v>8.7799999999999994</v>
      </c>
      <c r="J154" s="58">
        <v>7.1</v>
      </c>
      <c r="K154" s="58">
        <v>13.2</v>
      </c>
      <c r="L154" s="58">
        <v>9.39</v>
      </c>
      <c r="M154" s="58">
        <v>7.52</v>
      </c>
      <c r="N154" s="58">
        <v>13.2</v>
      </c>
      <c r="O154" s="58">
        <v>9.0399999999999991</v>
      </c>
      <c r="P154" s="58">
        <v>8</v>
      </c>
      <c r="Q154" s="58">
        <v>5.95</v>
      </c>
      <c r="R154" s="58">
        <v>5.72</v>
      </c>
      <c r="S154" s="58">
        <v>6.14</v>
      </c>
      <c r="T154" s="58">
        <v>5.51</v>
      </c>
      <c r="U154" s="52">
        <v>18.5</v>
      </c>
      <c r="V154" s="49" t="s">
        <v>820</v>
      </c>
    </row>
    <row r="155" spans="1:24" hidden="1">
      <c r="A155" s="59" t="s">
        <v>1749</v>
      </c>
      <c r="B155" s="59" t="s">
        <v>1748</v>
      </c>
      <c r="C155" s="61" t="s">
        <v>10</v>
      </c>
      <c r="D155" s="61" t="s">
        <v>32</v>
      </c>
      <c r="E155" s="60" t="s">
        <v>10</v>
      </c>
      <c r="F155" s="50" t="s">
        <v>894</v>
      </c>
      <c r="G155" s="50" t="b">
        <v>0</v>
      </c>
      <c r="H155" s="58">
        <v>147.80000000000001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58">
        <v>0</v>
      </c>
      <c r="P155" s="58">
        <v>0</v>
      </c>
      <c r="Q155" s="58">
        <v>0</v>
      </c>
      <c r="R155" s="58">
        <v>0</v>
      </c>
      <c r="S155" s="58">
        <v>0</v>
      </c>
      <c r="T155" s="58">
        <v>0</v>
      </c>
      <c r="U155" s="52">
        <v>147.80000000000001</v>
      </c>
      <c r="V155" s="49" t="s">
        <v>811</v>
      </c>
    </row>
    <row r="156" spans="1:24" hidden="1">
      <c r="A156" s="59" t="s">
        <v>1747</v>
      </c>
      <c r="B156" s="59" t="s">
        <v>1746</v>
      </c>
      <c r="C156" s="61" t="s">
        <v>10</v>
      </c>
      <c r="D156" s="61" t="s">
        <v>817</v>
      </c>
      <c r="E156" s="60" t="s">
        <v>10</v>
      </c>
      <c r="F156" s="50" t="s">
        <v>827</v>
      </c>
      <c r="G156" s="50" t="b">
        <v>0</v>
      </c>
      <c r="H156" s="58">
        <v>0</v>
      </c>
      <c r="I156" s="58">
        <v>22</v>
      </c>
      <c r="J156" s="58">
        <v>22</v>
      </c>
      <c r="K156" s="58">
        <v>22</v>
      </c>
      <c r="L156" s="58">
        <v>22</v>
      </c>
      <c r="M156" s="58">
        <v>22</v>
      </c>
      <c r="N156" s="58">
        <v>22</v>
      </c>
      <c r="O156" s="58">
        <v>22</v>
      </c>
      <c r="P156" s="58">
        <v>22</v>
      </c>
      <c r="Q156" s="58">
        <v>22</v>
      </c>
      <c r="R156" s="58">
        <v>22</v>
      </c>
      <c r="S156" s="58">
        <v>22</v>
      </c>
      <c r="T156" s="58">
        <v>22</v>
      </c>
      <c r="U156" s="52">
        <v>22</v>
      </c>
      <c r="V156" s="49" t="s">
        <v>820</v>
      </c>
    </row>
    <row r="157" spans="1:24" hidden="1">
      <c r="A157" s="59" t="s">
        <v>1745</v>
      </c>
      <c r="B157" s="59" t="s">
        <v>1744</v>
      </c>
      <c r="C157" s="61" t="s">
        <v>10</v>
      </c>
      <c r="D157" s="61" t="s">
        <v>817</v>
      </c>
      <c r="E157" s="60" t="s">
        <v>10</v>
      </c>
      <c r="F157" s="50" t="s">
        <v>827</v>
      </c>
      <c r="G157" s="50" t="b">
        <v>0</v>
      </c>
      <c r="H157" s="58">
        <v>0</v>
      </c>
      <c r="I157" s="58">
        <v>26</v>
      </c>
      <c r="J157" s="58">
        <v>26</v>
      </c>
      <c r="K157" s="58">
        <v>26</v>
      </c>
      <c r="L157" s="58">
        <v>26</v>
      </c>
      <c r="M157" s="58">
        <v>26</v>
      </c>
      <c r="N157" s="58">
        <v>26</v>
      </c>
      <c r="O157" s="58">
        <v>26</v>
      </c>
      <c r="P157" s="58">
        <v>26</v>
      </c>
      <c r="Q157" s="58">
        <v>26</v>
      </c>
      <c r="R157" s="58">
        <v>26</v>
      </c>
      <c r="S157" s="58">
        <v>26</v>
      </c>
      <c r="T157" s="58">
        <v>26</v>
      </c>
      <c r="U157" s="52">
        <v>26</v>
      </c>
      <c r="V157" s="49" t="s">
        <v>820</v>
      </c>
    </row>
    <row r="158" spans="1:24" hidden="1">
      <c r="A158" s="59" t="s">
        <v>1743</v>
      </c>
      <c r="B158" s="59" t="s">
        <v>1742</v>
      </c>
      <c r="C158" s="61" t="s">
        <v>12</v>
      </c>
      <c r="D158" s="61" t="s">
        <v>47</v>
      </c>
      <c r="E158" s="60" t="s">
        <v>12</v>
      </c>
      <c r="F158" s="50" t="s">
        <v>827</v>
      </c>
      <c r="G158" s="50" t="b">
        <v>0</v>
      </c>
      <c r="H158" s="58">
        <v>227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58">
        <v>0</v>
      </c>
      <c r="P158" s="58">
        <v>0</v>
      </c>
      <c r="Q158" s="58">
        <v>0</v>
      </c>
      <c r="R158" s="58">
        <v>0</v>
      </c>
      <c r="S158" s="58">
        <v>0</v>
      </c>
      <c r="T158" s="58">
        <v>0</v>
      </c>
      <c r="U158" s="52">
        <v>236.8</v>
      </c>
      <c r="V158" s="49" t="s">
        <v>855</v>
      </c>
    </row>
    <row r="159" spans="1:24" hidden="1">
      <c r="A159" s="59" t="s">
        <v>1741</v>
      </c>
      <c r="B159" s="59" t="s">
        <v>1740</v>
      </c>
      <c r="C159" s="61" t="s">
        <v>12</v>
      </c>
      <c r="D159" s="61" t="s">
        <v>52</v>
      </c>
      <c r="E159" s="60" t="s">
        <v>12</v>
      </c>
      <c r="F159" s="50" t="s">
        <v>827</v>
      </c>
      <c r="G159" s="50" t="b">
        <v>0</v>
      </c>
      <c r="H159" s="58">
        <v>199</v>
      </c>
      <c r="I159" s="58">
        <v>0</v>
      </c>
      <c r="J159" s="58">
        <v>0</v>
      </c>
      <c r="K159" s="58">
        <v>0</v>
      </c>
      <c r="L159" s="58">
        <v>0</v>
      </c>
      <c r="M159" s="58">
        <v>0</v>
      </c>
      <c r="N159" s="58">
        <v>0</v>
      </c>
      <c r="O159" s="58">
        <v>0</v>
      </c>
      <c r="P159" s="58">
        <v>0</v>
      </c>
      <c r="Q159" s="58">
        <v>0</v>
      </c>
      <c r="R159" s="58">
        <v>0</v>
      </c>
      <c r="S159" s="58">
        <v>0</v>
      </c>
      <c r="T159" s="58">
        <v>0</v>
      </c>
      <c r="U159" s="52">
        <v>200</v>
      </c>
      <c r="V159" s="49" t="s">
        <v>820</v>
      </c>
    </row>
    <row r="160" spans="1:24">
      <c r="A160" s="59" t="s">
        <v>1739</v>
      </c>
      <c r="B160" s="59" t="s">
        <v>1739</v>
      </c>
      <c r="C160" s="61" t="s">
        <v>12</v>
      </c>
      <c r="D160" s="61" t="s">
        <v>52</v>
      </c>
      <c r="E160" s="60" t="s">
        <v>12</v>
      </c>
      <c r="F160" s="50" t="s">
        <v>872</v>
      </c>
      <c r="G160" s="50" t="b">
        <v>0</v>
      </c>
      <c r="H160" s="58">
        <v>249</v>
      </c>
      <c r="I160" s="58">
        <v>0</v>
      </c>
      <c r="J160" s="58">
        <v>0</v>
      </c>
      <c r="K160" s="58">
        <v>0</v>
      </c>
      <c r="L160" s="58">
        <v>0</v>
      </c>
      <c r="M160" s="58">
        <v>0</v>
      </c>
      <c r="N160" s="58">
        <v>0</v>
      </c>
      <c r="O160" s="58">
        <v>0</v>
      </c>
      <c r="P160" s="58">
        <v>0</v>
      </c>
      <c r="Q160" s="58">
        <v>0</v>
      </c>
      <c r="R160" s="58">
        <v>0</v>
      </c>
      <c r="S160" s="58">
        <v>0</v>
      </c>
      <c r="T160" s="58">
        <v>0</v>
      </c>
      <c r="U160" s="52">
        <v>840</v>
      </c>
      <c r="V160" s="49" t="s">
        <v>855</v>
      </c>
      <c r="X160" s="58"/>
    </row>
    <row r="161" spans="1:22" hidden="1">
      <c r="A161" s="59" t="s">
        <v>1738</v>
      </c>
      <c r="B161" s="59" t="s">
        <v>1737</v>
      </c>
      <c r="C161" s="61" t="s">
        <v>12</v>
      </c>
      <c r="D161" s="61" t="s">
        <v>11</v>
      </c>
      <c r="E161" s="60" t="s">
        <v>11</v>
      </c>
      <c r="F161" s="50" t="s">
        <v>824</v>
      </c>
      <c r="G161" s="50" t="b">
        <v>0</v>
      </c>
      <c r="H161" s="58">
        <v>0</v>
      </c>
      <c r="I161" s="58">
        <v>0.83</v>
      </c>
      <c r="J161" s="58">
        <v>0.67</v>
      </c>
      <c r="K161" s="58">
        <v>0.54</v>
      </c>
      <c r="L161" s="58">
        <v>0.59</v>
      </c>
      <c r="M161" s="58">
        <v>0.45</v>
      </c>
      <c r="N161" s="58">
        <v>0.34</v>
      </c>
      <c r="O161" s="58">
        <v>0.21</v>
      </c>
      <c r="P161" s="58">
        <v>0.21</v>
      </c>
      <c r="Q161" s="58">
        <v>0.28000000000000003</v>
      </c>
      <c r="R161" s="58">
        <v>0.38</v>
      </c>
      <c r="S161" s="58">
        <v>0.6</v>
      </c>
      <c r="T161" s="58">
        <v>0.96</v>
      </c>
      <c r="U161" s="52">
        <v>1</v>
      </c>
      <c r="V161" s="49" t="s">
        <v>820</v>
      </c>
    </row>
    <row r="162" spans="1:22" hidden="1">
      <c r="A162" s="59" t="s">
        <v>1736</v>
      </c>
      <c r="B162" s="59" t="s">
        <v>1735</v>
      </c>
      <c r="C162" s="61" t="s">
        <v>12</v>
      </c>
      <c r="D162" s="61" t="s">
        <v>11</v>
      </c>
      <c r="E162" s="60" t="s">
        <v>11</v>
      </c>
      <c r="F162" s="50" t="s">
        <v>816</v>
      </c>
      <c r="G162" s="50" t="b">
        <v>0</v>
      </c>
      <c r="H162" s="58">
        <v>46</v>
      </c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2">
        <v>48.1</v>
      </c>
      <c r="V162" s="49" t="s">
        <v>820</v>
      </c>
    </row>
    <row r="163" spans="1:22" hidden="1">
      <c r="A163" s="59" t="s">
        <v>1734</v>
      </c>
      <c r="B163" s="59" t="s">
        <v>1733</v>
      </c>
      <c r="C163" s="61" t="s">
        <v>12</v>
      </c>
      <c r="D163" s="61" t="s">
        <v>11</v>
      </c>
      <c r="E163" s="60" t="s">
        <v>11</v>
      </c>
      <c r="F163" s="50" t="s">
        <v>816</v>
      </c>
      <c r="G163" s="50" t="b">
        <v>0</v>
      </c>
      <c r="H163" s="58">
        <v>42.2</v>
      </c>
      <c r="I163" s="58">
        <v>0</v>
      </c>
      <c r="J163" s="58">
        <v>0</v>
      </c>
      <c r="K163" s="58">
        <v>0</v>
      </c>
      <c r="L163" s="58">
        <v>0</v>
      </c>
      <c r="M163" s="58">
        <v>0</v>
      </c>
      <c r="N163" s="58">
        <v>0</v>
      </c>
      <c r="O163" s="58">
        <v>0</v>
      </c>
      <c r="P163" s="58">
        <v>0</v>
      </c>
      <c r="Q163" s="58">
        <v>0</v>
      </c>
      <c r="R163" s="58">
        <v>0</v>
      </c>
      <c r="S163" s="58">
        <v>0</v>
      </c>
      <c r="T163" s="58">
        <v>0</v>
      </c>
      <c r="U163" s="52">
        <v>45.42</v>
      </c>
      <c r="V163" s="49" t="s">
        <v>815</v>
      </c>
    </row>
    <row r="164" spans="1:22" hidden="1">
      <c r="A164" s="59" t="s">
        <v>1732</v>
      </c>
      <c r="B164" s="59" t="s">
        <v>1731</v>
      </c>
      <c r="C164" s="61" t="s">
        <v>12</v>
      </c>
      <c r="D164" s="61" t="s">
        <v>11</v>
      </c>
      <c r="E164" s="60" t="s">
        <v>11</v>
      </c>
      <c r="F164" s="50" t="s">
        <v>816</v>
      </c>
      <c r="G164" s="50" t="b">
        <v>0</v>
      </c>
      <c r="H164" s="58">
        <v>16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58">
        <v>0</v>
      </c>
      <c r="P164" s="58">
        <v>0</v>
      </c>
      <c r="Q164" s="58">
        <v>0</v>
      </c>
      <c r="R164" s="58">
        <v>0</v>
      </c>
      <c r="S164" s="58">
        <v>0</v>
      </c>
      <c r="T164" s="58">
        <v>0</v>
      </c>
      <c r="U164" s="52">
        <v>16.36</v>
      </c>
      <c r="V164" s="49" t="s">
        <v>815</v>
      </c>
    </row>
    <row r="165" spans="1:22" hidden="1">
      <c r="A165" s="59" t="s">
        <v>1730</v>
      </c>
      <c r="B165" s="59" t="s">
        <v>1729</v>
      </c>
      <c r="C165" s="61" t="s">
        <v>10</v>
      </c>
      <c r="D165" s="61" t="s">
        <v>817</v>
      </c>
      <c r="E165" s="60" t="s">
        <v>10</v>
      </c>
      <c r="F165" s="50" t="s">
        <v>827</v>
      </c>
      <c r="G165" s="50" t="b">
        <v>0</v>
      </c>
      <c r="H165" s="58">
        <v>11</v>
      </c>
      <c r="I165" s="58">
        <v>0</v>
      </c>
      <c r="J165" s="58">
        <v>0</v>
      </c>
      <c r="K165" s="58">
        <v>0</v>
      </c>
      <c r="L165" s="58">
        <v>0</v>
      </c>
      <c r="M165" s="58">
        <v>0</v>
      </c>
      <c r="N165" s="58">
        <v>0</v>
      </c>
      <c r="O165" s="58">
        <v>0</v>
      </c>
      <c r="P165" s="58">
        <v>0</v>
      </c>
      <c r="Q165" s="58">
        <v>0</v>
      </c>
      <c r="R165" s="58">
        <v>0</v>
      </c>
      <c r="S165" s="58">
        <v>0</v>
      </c>
      <c r="T165" s="58">
        <v>0</v>
      </c>
      <c r="U165" s="52">
        <v>11</v>
      </c>
      <c r="V165" s="49" t="s">
        <v>820</v>
      </c>
    </row>
    <row r="166" spans="1:22" hidden="1">
      <c r="A166" s="59" t="s">
        <v>1728</v>
      </c>
      <c r="B166" s="59" t="s">
        <v>1727</v>
      </c>
      <c r="C166" s="61" t="s">
        <v>10</v>
      </c>
      <c r="D166" s="61" t="s">
        <v>817</v>
      </c>
      <c r="E166" s="60" t="s">
        <v>10</v>
      </c>
      <c r="F166" s="50" t="s">
        <v>827</v>
      </c>
      <c r="G166" s="50" t="b">
        <v>0</v>
      </c>
      <c r="H166" s="58">
        <v>11</v>
      </c>
      <c r="I166" s="58">
        <v>0</v>
      </c>
      <c r="J166" s="58">
        <v>0</v>
      </c>
      <c r="K166" s="58">
        <v>0</v>
      </c>
      <c r="L166" s="58">
        <v>0</v>
      </c>
      <c r="M166" s="58">
        <v>0</v>
      </c>
      <c r="N166" s="58">
        <v>0</v>
      </c>
      <c r="O166" s="58">
        <v>0</v>
      </c>
      <c r="P166" s="58">
        <v>0</v>
      </c>
      <c r="Q166" s="58">
        <v>0</v>
      </c>
      <c r="R166" s="58">
        <v>0</v>
      </c>
      <c r="S166" s="58">
        <v>0</v>
      </c>
      <c r="T166" s="58">
        <v>0</v>
      </c>
      <c r="U166" s="52">
        <v>11</v>
      </c>
      <c r="V166" s="49" t="s">
        <v>820</v>
      </c>
    </row>
    <row r="167" spans="1:22" hidden="1">
      <c r="A167" s="59" t="s">
        <v>1726</v>
      </c>
      <c r="B167" s="59" t="s">
        <v>1725</v>
      </c>
      <c r="C167" s="61" t="s">
        <v>10</v>
      </c>
      <c r="D167" s="61" t="s">
        <v>88</v>
      </c>
      <c r="E167" s="60" t="s">
        <v>10</v>
      </c>
      <c r="F167" s="50" t="s">
        <v>827</v>
      </c>
      <c r="G167" s="50" t="b">
        <v>0</v>
      </c>
      <c r="H167" s="58">
        <v>0</v>
      </c>
      <c r="I167" s="58">
        <v>98</v>
      </c>
      <c r="J167" s="58">
        <v>98</v>
      </c>
      <c r="K167" s="58">
        <v>98</v>
      </c>
      <c r="L167" s="58">
        <v>98</v>
      </c>
      <c r="M167" s="58">
        <v>98</v>
      </c>
      <c r="N167" s="58">
        <v>98</v>
      </c>
      <c r="O167" s="58">
        <v>98</v>
      </c>
      <c r="P167" s="58">
        <v>98</v>
      </c>
      <c r="Q167" s="58">
        <v>98</v>
      </c>
      <c r="R167" s="58">
        <v>98</v>
      </c>
      <c r="S167" s="58">
        <v>98</v>
      </c>
      <c r="T167" s="58">
        <v>98</v>
      </c>
      <c r="U167" s="52">
        <v>101.5</v>
      </c>
      <c r="V167" s="49" t="s">
        <v>820</v>
      </c>
    </row>
    <row r="168" spans="1:22" hidden="1">
      <c r="A168" s="59" t="s">
        <v>1724</v>
      </c>
      <c r="B168" s="59" t="s">
        <v>1723</v>
      </c>
      <c r="C168" s="61" t="s">
        <v>10</v>
      </c>
      <c r="D168" s="61" t="s">
        <v>88</v>
      </c>
      <c r="E168" s="60" t="s">
        <v>10</v>
      </c>
      <c r="F168" s="50" t="s">
        <v>827</v>
      </c>
      <c r="G168" s="50" t="b">
        <v>0</v>
      </c>
      <c r="H168" s="58">
        <v>0</v>
      </c>
      <c r="I168" s="58">
        <v>1.8</v>
      </c>
      <c r="J168" s="58">
        <v>2.4</v>
      </c>
      <c r="K168" s="58">
        <v>2.7</v>
      </c>
      <c r="L168" s="58">
        <v>2.2000000000000002</v>
      </c>
      <c r="M168" s="58">
        <v>1.6</v>
      </c>
      <c r="N168" s="58">
        <v>1.7</v>
      </c>
      <c r="O168" s="58">
        <v>2.2000000000000002</v>
      </c>
      <c r="P168" s="58">
        <v>2</v>
      </c>
      <c r="Q168" s="58">
        <v>1.4</v>
      </c>
      <c r="R168" s="58">
        <v>0.4</v>
      </c>
      <c r="S168" s="58">
        <v>0.1</v>
      </c>
      <c r="T168" s="58">
        <v>0.9</v>
      </c>
      <c r="U168" s="52">
        <v>4.9000000000000004</v>
      </c>
      <c r="V168" s="49" t="s">
        <v>811</v>
      </c>
    </row>
    <row r="169" spans="1:22" hidden="1">
      <c r="A169" s="59" t="s">
        <v>1722</v>
      </c>
      <c r="B169" s="59" t="s">
        <v>1721</v>
      </c>
      <c r="C169" s="61" t="s">
        <v>10</v>
      </c>
      <c r="D169" s="61" t="s">
        <v>88</v>
      </c>
      <c r="E169" s="60" t="s">
        <v>10</v>
      </c>
      <c r="F169" s="50" t="s">
        <v>894</v>
      </c>
      <c r="G169" s="50" t="b">
        <v>0</v>
      </c>
      <c r="H169" s="58">
        <v>550</v>
      </c>
      <c r="I169" s="58">
        <v>0</v>
      </c>
      <c r="J169" s="58">
        <v>0</v>
      </c>
      <c r="K169" s="58">
        <v>0</v>
      </c>
      <c r="L169" s="58">
        <v>0</v>
      </c>
      <c r="M169" s="58">
        <v>0</v>
      </c>
      <c r="N169" s="58">
        <v>0</v>
      </c>
      <c r="O169" s="58">
        <v>0</v>
      </c>
      <c r="P169" s="58">
        <v>0</v>
      </c>
      <c r="Q169" s="58">
        <v>0</v>
      </c>
      <c r="R169" s="58">
        <v>0</v>
      </c>
      <c r="S169" s="58">
        <v>0</v>
      </c>
      <c r="T169" s="58">
        <v>0</v>
      </c>
      <c r="U169" s="52">
        <v>551.70000000000005</v>
      </c>
      <c r="V169" s="49" t="s">
        <v>815</v>
      </c>
    </row>
    <row r="170" spans="1:22">
      <c r="A170" s="59" t="s">
        <v>1720</v>
      </c>
      <c r="B170" s="59" t="s">
        <v>1719</v>
      </c>
      <c r="C170" s="61" t="s">
        <v>12</v>
      </c>
      <c r="D170" s="61" t="s">
        <v>47</v>
      </c>
      <c r="E170" s="60" t="s">
        <v>12</v>
      </c>
      <c r="F170" s="50" t="s">
        <v>872</v>
      </c>
      <c r="G170" s="50" t="b">
        <v>0</v>
      </c>
      <c r="H170" s="58">
        <v>0</v>
      </c>
      <c r="I170" s="58">
        <v>0.02</v>
      </c>
      <c r="J170" s="58">
        <v>0.01</v>
      </c>
      <c r="K170" s="58">
        <v>0</v>
      </c>
      <c r="L170" s="58">
        <v>0.01</v>
      </c>
      <c r="M170" s="58">
        <v>0</v>
      </c>
      <c r="N170" s="58">
        <v>0.08</v>
      </c>
      <c r="O170" s="58">
        <v>7.0000000000000007E-2</v>
      </c>
      <c r="P170" s="58">
        <v>0.11</v>
      </c>
      <c r="Q170" s="58">
        <v>0.09</v>
      </c>
      <c r="R170" s="58">
        <v>0.03</v>
      </c>
      <c r="S170" s="58">
        <v>0</v>
      </c>
      <c r="T170" s="58">
        <v>0</v>
      </c>
      <c r="U170" s="52">
        <v>18.510000000000002</v>
      </c>
      <c r="V170" s="49" t="s">
        <v>820</v>
      </c>
    </row>
    <row r="171" spans="1:22" hidden="1">
      <c r="A171" s="59" t="s">
        <v>1718</v>
      </c>
      <c r="B171" s="59" t="s">
        <v>1717</v>
      </c>
      <c r="C171" s="61" t="s">
        <v>10</v>
      </c>
      <c r="D171" s="61" t="s">
        <v>828</v>
      </c>
      <c r="E171" s="60" t="s">
        <v>10</v>
      </c>
      <c r="F171" s="50" t="s">
        <v>824</v>
      </c>
      <c r="G171" s="50" t="b">
        <v>0</v>
      </c>
      <c r="H171" s="58">
        <v>0</v>
      </c>
      <c r="I171" s="58">
        <v>4.22</v>
      </c>
      <c r="J171" s="58">
        <v>3.41</v>
      </c>
      <c r="K171" s="58">
        <v>6.97</v>
      </c>
      <c r="L171" s="58">
        <v>5.44</v>
      </c>
      <c r="M171" s="58">
        <v>2.3199999999999998</v>
      </c>
      <c r="N171" s="58">
        <v>6.84</v>
      </c>
      <c r="O171" s="58">
        <v>6.72</v>
      </c>
      <c r="P171" s="58">
        <v>5.56</v>
      </c>
      <c r="Q171" s="58">
        <v>5.21</v>
      </c>
      <c r="R171" s="58">
        <v>5.27</v>
      </c>
      <c r="S171" s="58">
        <v>6.92</v>
      </c>
      <c r="T171" s="58">
        <v>5.01</v>
      </c>
      <c r="U171" s="52">
        <v>11.25</v>
      </c>
      <c r="V171" s="49" t="s">
        <v>820</v>
      </c>
    </row>
    <row r="172" spans="1:22" hidden="1">
      <c r="A172" s="59" t="s">
        <v>1716</v>
      </c>
      <c r="B172" s="59" t="s">
        <v>49</v>
      </c>
      <c r="C172" s="61" t="s">
        <v>12</v>
      </c>
      <c r="D172" s="61" t="s">
        <v>47</v>
      </c>
      <c r="E172" s="60" t="s">
        <v>12</v>
      </c>
      <c r="F172" s="50" t="s">
        <v>894</v>
      </c>
      <c r="G172" s="50" t="b">
        <v>1</v>
      </c>
      <c r="H172" s="58">
        <v>335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0</v>
      </c>
      <c r="P172" s="58">
        <v>0</v>
      </c>
      <c r="Q172" s="58">
        <v>0</v>
      </c>
      <c r="R172" s="58">
        <v>0</v>
      </c>
      <c r="S172" s="58">
        <v>0</v>
      </c>
      <c r="T172" s="58">
        <v>0</v>
      </c>
      <c r="U172" s="52">
        <v>335</v>
      </c>
      <c r="V172" s="49" t="s">
        <v>815</v>
      </c>
    </row>
    <row r="173" spans="1:22" hidden="1">
      <c r="A173" s="59" t="s">
        <v>1715</v>
      </c>
      <c r="B173" s="59" t="s">
        <v>50</v>
      </c>
      <c r="C173" s="61" t="s">
        <v>12</v>
      </c>
      <c r="D173" s="61" t="s">
        <v>47</v>
      </c>
      <c r="E173" s="60" t="s">
        <v>12</v>
      </c>
      <c r="F173" s="50" t="s">
        <v>894</v>
      </c>
      <c r="G173" s="50" t="b">
        <v>1</v>
      </c>
      <c r="H173" s="58">
        <v>335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0</v>
      </c>
      <c r="P173" s="58">
        <v>0</v>
      </c>
      <c r="Q173" s="58">
        <v>0</v>
      </c>
      <c r="R173" s="58">
        <v>0</v>
      </c>
      <c r="S173" s="58">
        <v>0</v>
      </c>
      <c r="T173" s="58">
        <v>0</v>
      </c>
      <c r="U173" s="52">
        <v>335</v>
      </c>
      <c r="V173" s="49" t="s">
        <v>815</v>
      </c>
    </row>
    <row r="174" spans="1:22" hidden="1">
      <c r="A174" s="59" t="s">
        <v>1714</v>
      </c>
      <c r="B174" s="59" t="s">
        <v>75</v>
      </c>
      <c r="C174" s="61" t="s">
        <v>12</v>
      </c>
      <c r="D174" s="61" t="s">
        <v>11</v>
      </c>
      <c r="E174" s="60" t="s">
        <v>11</v>
      </c>
      <c r="F174" s="50" t="s">
        <v>894</v>
      </c>
      <c r="G174" s="50" t="b">
        <v>1</v>
      </c>
      <c r="H174" s="58">
        <v>106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58">
        <v>0</v>
      </c>
      <c r="P174" s="58">
        <v>0</v>
      </c>
      <c r="Q174" s="58">
        <v>0</v>
      </c>
      <c r="R174" s="58">
        <v>0</v>
      </c>
      <c r="S174" s="58">
        <v>0</v>
      </c>
      <c r="T174" s="58">
        <v>0</v>
      </c>
      <c r="U174" s="52">
        <v>106</v>
      </c>
      <c r="V174" s="49" t="s">
        <v>815</v>
      </c>
    </row>
    <row r="175" spans="1:22" hidden="1">
      <c r="A175" s="59" t="s">
        <v>1713</v>
      </c>
      <c r="B175" s="59" t="s">
        <v>76</v>
      </c>
      <c r="C175" s="61" t="s">
        <v>12</v>
      </c>
      <c r="D175" s="61" t="s">
        <v>11</v>
      </c>
      <c r="E175" s="60" t="s">
        <v>11</v>
      </c>
      <c r="F175" s="50" t="s">
        <v>894</v>
      </c>
      <c r="G175" s="50" t="b">
        <v>1</v>
      </c>
      <c r="H175" s="58">
        <v>104</v>
      </c>
      <c r="I175" s="58">
        <v>0</v>
      </c>
      <c r="J175" s="58">
        <v>0</v>
      </c>
      <c r="K175" s="58">
        <v>0</v>
      </c>
      <c r="L175" s="58">
        <v>0</v>
      </c>
      <c r="M175" s="58">
        <v>0</v>
      </c>
      <c r="N175" s="58">
        <v>0</v>
      </c>
      <c r="O175" s="58">
        <v>0</v>
      </c>
      <c r="P175" s="58">
        <v>0</v>
      </c>
      <c r="Q175" s="58">
        <v>0</v>
      </c>
      <c r="R175" s="58">
        <v>0</v>
      </c>
      <c r="S175" s="58">
        <v>0</v>
      </c>
      <c r="T175" s="58">
        <v>0</v>
      </c>
      <c r="U175" s="52">
        <v>104</v>
      </c>
      <c r="V175" s="49" t="s">
        <v>815</v>
      </c>
    </row>
    <row r="176" spans="1:22" hidden="1">
      <c r="A176" s="59" t="s">
        <v>1712</v>
      </c>
      <c r="B176" s="59" t="s">
        <v>77</v>
      </c>
      <c r="C176" s="61" t="s">
        <v>12</v>
      </c>
      <c r="D176" s="61" t="s">
        <v>11</v>
      </c>
      <c r="E176" s="60" t="s">
        <v>11</v>
      </c>
      <c r="F176" s="50" t="s">
        <v>894</v>
      </c>
      <c r="G176" s="50" t="b">
        <v>1</v>
      </c>
      <c r="H176" s="58">
        <v>110</v>
      </c>
      <c r="I176" s="58">
        <v>0</v>
      </c>
      <c r="J176" s="58">
        <v>0</v>
      </c>
      <c r="K176" s="58">
        <v>0</v>
      </c>
      <c r="L176" s="58">
        <v>0</v>
      </c>
      <c r="M176" s="58">
        <v>0</v>
      </c>
      <c r="N176" s="58">
        <v>0</v>
      </c>
      <c r="O176" s="58">
        <v>0</v>
      </c>
      <c r="P176" s="58">
        <v>0</v>
      </c>
      <c r="Q176" s="58">
        <v>0</v>
      </c>
      <c r="R176" s="58">
        <v>0</v>
      </c>
      <c r="S176" s="58">
        <v>0</v>
      </c>
      <c r="T176" s="58">
        <v>0</v>
      </c>
      <c r="U176" s="52">
        <v>110</v>
      </c>
      <c r="V176" s="49" t="s">
        <v>815</v>
      </c>
    </row>
    <row r="177" spans="1:22" hidden="1">
      <c r="A177" s="59" t="s">
        <v>1711</v>
      </c>
      <c r="B177" s="59" t="s">
        <v>78</v>
      </c>
      <c r="C177" s="61" t="s">
        <v>12</v>
      </c>
      <c r="D177" s="61" t="s">
        <v>11</v>
      </c>
      <c r="E177" s="60" t="s">
        <v>11</v>
      </c>
      <c r="F177" s="50" t="s">
        <v>894</v>
      </c>
      <c r="G177" s="50" t="b">
        <v>1</v>
      </c>
      <c r="H177" s="58">
        <v>300</v>
      </c>
      <c r="I177" s="58">
        <v>0</v>
      </c>
      <c r="J177" s="58">
        <v>0</v>
      </c>
      <c r="K177" s="58">
        <v>0</v>
      </c>
      <c r="L177" s="58">
        <v>0</v>
      </c>
      <c r="M177" s="58">
        <v>0</v>
      </c>
      <c r="N177" s="58">
        <v>0</v>
      </c>
      <c r="O177" s="58">
        <v>0</v>
      </c>
      <c r="P177" s="58">
        <v>0</v>
      </c>
      <c r="Q177" s="58">
        <v>0</v>
      </c>
      <c r="R177" s="58">
        <v>0</v>
      </c>
      <c r="S177" s="58">
        <v>0</v>
      </c>
      <c r="T177" s="58">
        <v>0</v>
      </c>
      <c r="U177" s="52">
        <v>300</v>
      </c>
      <c r="V177" s="49" t="s">
        <v>815</v>
      </c>
    </row>
    <row r="178" spans="1:22" hidden="1">
      <c r="A178" s="59" t="s">
        <v>1710</v>
      </c>
      <c r="B178" s="59" t="s">
        <v>79</v>
      </c>
      <c r="C178" s="61" t="s">
        <v>12</v>
      </c>
      <c r="D178" s="61" t="s">
        <v>11</v>
      </c>
      <c r="E178" s="60" t="s">
        <v>11</v>
      </c>
      <c r="F178" s="50" t="s">
        <v>894</v>
      </c>
      <c r="G178" s="50" t="b">
        <v>1</v>
      </c>
      <c r="H178" s="58">
        <v>330</v>
      </c>
      <c r="I178" s="58">
        <v>0</v>
      </c>
      <c r="J178" s="58">
        <v>0</v>
      </c>
      <c r="K178" s="58">
        <v>0</v>
      </c>
      <c r="L178" s="58">
        <v>0</v>
      </c>
      <c r="M178" s="58">
        <v>0</v>
      </c>
      <c r="N178" s="58">
        <v>0</v>
      </c>
      <c r="O178" s="58">
        <v>0</v>
      </c>
      <c r="P178" s="58">
        <v>0</v>
      </c>
      <c r="Q178" s="58">
        <v>0</v>
      </c>
      <c r="R178" s="58">
        <v>0</v>
      </c>
      <c r="S178" s="58">
        <v>0</v>
      </c>
      <c r="T178" s="58">
        <v>0</v>
      </c>
      <c r="U178" s="52">
        <v>330</v>
      </c>
      <c r="V178" s="49" t="s">
        <v>815</v>
      </c>
    </row>
    <row r="179" spans="1:22" hidden="1">
      <c r="A179" s="59" t="s">
        <v>1709</v>
      </c>
      <c r="B179" s="59" t="s">
        <v>74</v>
      </c>
      <c r="C179" s="61" t="s">
        <v>12</v>
      </c>
      <c r="D179" s="61" t="s">
        <v>11</v>
      </c>
      <c r="E179" s="60" t="s">
        <v>11</v>
      </c>
      <c r="F179" s="50" t="s">
        <v>816</v>
      </c>
      <c r="G179" s="50" t="b">
        <v>1</v>
      </c>
      <c r="H179" s="58">
        <v>14</v>
      </c>
      <c r="I179" s="58">
        <v>0</v>
      </c>
      <c r="J179" s="58">
        <v>0</v>
      </c>
      <c r="K179" s="58">
        <v>0</v>
      </c>
      <c r="L179" s="58">
        <v>0</v>
      </c>
      <c r="M179" s="58">
        <v>0</v>
      </c>
      <c r="N179" s="58">
        <v>0</v>
      </c>
      <c r="O179" s="58">
        <v>0</v>
      </c>
      <c r="P179" s="58">
        <v>0</v>
      </c>
      <c r="Q179" s="58">
        <v>0</v>
      </c>
      <c r="R179" s="58">
        <v>0</v>
      </c>
      <c r="S179" s="58">
        <v>0</v>
      </c>
      <c r="T179" s="58">
        <v>0</v>
      </c>
      <c r="U179" s="52">
        <v>14.5</v>
      </c>
      <c r="V179" s="49" t="s">
        <v>815</v>
      </c>
    </row>
    <row r="180" spans="1:22" hidden="1">
      <c r="A180" s="59" t="s">
        <v>1708</v>
      </c>
      <c r="B180" s="59" t="s">
        <v>1707</v>
      </c>
      <c r="C180" s="61" t="s">
        <v>12</v>
      </c>
      <c r="D180" s="61" t="s">
        <v>11</v>
      </c>
      <c r="E180" s="60" t="s">
        <v>11</v>
      </c>
      <c r="F180" s="50" t="s">
        <v>816</v>
      </c>
      <c r="G180" s="50" t="b">
        <v>0</v>
      </c>
      <c r="H180" s="58">
        <v>35.5</v>
      </c>
      <c r="I180" s="58">
        <v>0</v>
      </c>
      <c r="J180" s="58">
        <v>0</v>
      </c>
      <c r="K180" s="58">
        <v>0</v>
      </c>
      <c r="L180" s="58">
        <v>0</v>
      </c>
      <c r="M180" s="58">
        <v>0</v>
      </c>
      <c r="N180" s="58">
        <v>0</v>
      </c>
      <c r="O180" s="58">
        <v>0</v>
      </c>
      <c r="P180" s="58">
        <v>0</v>
      </c>
      <c r="Q180" s="58">
        <v>0</v>
      </c>
      <c r="R180" s="58">
        <v>0</v>
      </c>
      <c r="S180" s="58">
        <v>0</v>
      </c>
      <c r="T180" s="58">
        <v>0</v>
      </c>
      <c r="U180" s="52">
        <v>35.5</v>
      </c>
      <c r="V180" s="49" t="s">
        <v>815</v>
      </c>
    </row>
    <row r="181" spans="1:22" hidden="1">
      <c r="A181" s="59" t="s">
        <v>1706</v>
      </c>
      <c r="B181" s="59" t="s">
        <v>1705</v>
      </c>
      <c r="C181" s="61" t="s">
        <v>12</v>
      </c>
      <c r="D181" s="61" t="s">
        <v>11</v>
      </c>
      <c r="E181" s="60" t="s">
        <v>11</v>
      </c>
      <c r="F181" s="50" t="s">
        <v>816</v>
      </c>
      <c r="G181" s="50" t="b">
        <v>0</v>
      </c>
      <c r="H181" s="58">
        <v>45.5</v>
      </c>
      <c r="I181" s="58">
        <v>0</v>
      </c>
      <c r="J181" s="58">
        <v>0</v>
      </c>
      <c r="K181" s="58">
        <v>0</v>
      </c>
      <c r="L181" s="58">
        <v>0</v>
      </c>
      <c r="M181" s="58">
        <v>0</v>
      </c>
      <c r="N181" s="58">
        <v>0</v>
      </c>
      <c r="O181" s="58">
        <v>0</v>
      </c>
      <c r="P181" s="58">
        <v>0</v>
      </c>
      <c r="Q181" s="58">
        <v>0</v>
      </c>
      <c r="R181" s="58">
        <v>0</v>
      </c>
      <c r="S181" s="58">
        <v>0</v>
      </c>
      <c r="T181" s="58">
        <v>0</v>
      </c>
      <c r="U181" s="52">
        <v>48.04</v>
      </c>
      <c r="V181" s="49" t="s">
        <v>815</v>
      </c>
    </row>
    <row r="182" spans="1:22" hidden="1">
      <c r="A182" s="59" t="s">
        <v>1704</v>
      </c>
      <c r="B182" s="59" t="s">
        <v>1703</v>
      </c>
      <c r="C182" s="61" t="s">
        <v>12</v>
      </c>
      <c r="D182" s="61" t="s">
        <v>11</v>
      </c>
      <c r="E182" s="60" t="s">
        <v>11</v>
      </c>
      <c r="F182" s="50" t="s">
        <v>821</v>
      </c>
      <c r="G182" s="50" t="b">
        <v>0</v>
      </c>
      <c r="H182" s="58">
        <v>0</v>
      </c>
      <c r="I182" s="58">
        <v>47.63</v>
      </c>
      <c r="J182" s="58">
        <v>45.82</v>
      </c>
      <c r="K182" s="58">
        <v>40.130000000000003</v>
      </c>
      <c r="L182" s="58">
        <v>49.41</v>
      </c>
      <c r="M182" s="58">
        <v>47.83</v>
      </c>
      <c r="N182" s="58">
        <v>49.6</v>
      </c>
      <c r="O182" s="58">
        <v>46.93</v>
      </c>
      <c r="P182" s="58">
        <v>44.04</v>
      </c>
      <c r="Q182" s="58">
        <v>42.53</v>
      </c>
      <c r="R182" s="58">
        <v>33.979999999999997</v>
      </c>
      <c r="S182" s="58">
        <v>45.52</v>
      </c>
      <c r="T182" s="58">
        <v>44.77</v>
      </c>
      <c r="U182" s="52">
        <v>50.3</v>
      </c>
      <c r="V182" s="49" t="s">
        <v>820</v>
      </c>
    </row>
    <row r="183" spans="1:22" hidden="1">
      <c r="A183" s="59" t="s">
        <v>1702</v>
      </c>
      <c r="B183" s="59" t="s">
        <v>1701</v>
      </c>
      <c r="C183" s="61" t="s">
        <v>12</v>
      </c>
      <c r="D183" s="61" t="s">
        <v>47</v>
      </c>
      <c r="E183" s="60" t="s">
        <v>12</v>
      </c>
      <c r="F183" s="50" t="s">
        <v>827</v>
      </c>
      <c r="G183" s="50" t="b">
        <v>0</v>
      </c>
      <c r="H183" s="58">
        <v>0</v>
      </c>
      <c r="I183" s="58">
        <v>1.05</v>
      </c>
      <c r="J183" s="58">
        <v>1.35</v>
      </c>
      <c r="K183" s="58">
        <v>1.37</v>
      </c>
      <c r="L183" s="58">
        <v>1.1499999999999999</v>
      </c>
      <c r="M183" s="58">
        <v>1.08</v>
      </c>
      <c r="N183" s="58">
        <v>0.92</v>
      </c>
      <c r="O183" s="58">
        <v>0.72</v>
      </c>
      <c r="P183" s="58">
        <v>0.67</v>
      </c>
      <c r="Q183" s="58">
        <v>0.66</v>
      </c>
      <c r="R183" s="58">
        <v>0.75</v>
      </c>
      <c r="S183" s="58">
        <v>0.75</v>
      </c>
      <c r="T183" s="58">
        <v>0.97</v>
      </c>
      <c r="U183" s="52">
        <v>2.56</v>
      </c>
      <c r="V183" s="49" t="s">
        <v>820</v>
      </c>
    </row>
    <row r="184" spans="1:22">
      <c r="A184" s="59" t="s">
        <v>1700</v>
      </c>
      <c r="B184" s="59" t="s">
        <v>1699</v>
      </c>
      <c r="C184" s="61" t="s">
        <v>12</v>
      </c>
      <c r="D184" s="61" t="s">
        <v>47</v>
      </c>
      <c r="E184" s="60" t="s">
        <v>12</v>
      </c>
      <c r="F184" s="50" t="s">
        <v>872</v>
      </c>
      <c r="G184" s="50" t="b">
        <v>0</v>
      </c>
      <c r="H184" s="58">
        <v>0</v>
      </c>
      <c r="I184" s="58">
        <v>13.19</v>
      </c>
      <c r="J184" s="58">
        <v>12.14</v>
      </c>
      <c r="K184" s="58">
        <v>10.71</v>
      </c>
      <c r="L184" s="58">
        <v>9.69</v>
      </c>
      <c r="M184" s="58">
        <v>11.3</v>
      </c>
      <c r="N184" s="58">
        <v>15.45</v>
      </c>
      <c r="O184" s="58">
        <v>16.61</v>
      </c>
      <c r="P184" s="58">
        <v>15.11</v>
      </c>
      <c r="Q184" s="58">
        <v>15.44</v>
      </c>
      <c r="R184" s="58">
        <v>11.8</v>
      </c>
      <c r="S184" s="58">
        <v>10.99</v>
      </c>
      <c r="T184" s="58">
        <v>13.11</v>
      </c>
      <c r="U184" s="52">
        <v>41.06</v>
      </c>
      <c r="V184" s="49" t="s">
        <v>820</v>
      </c>
    </row>
    <row r="185" spans="1:22" hidden="1">
      <c r="A185" s="59" t="s">
        <v>1698</v>
      </c>
      <c r="B185" s="59" t="s">
        <v>1697</v>
      </c>
      <c r="C185" s="61" t="s">
        <v>12</v>
      </c>
      <c r="D185" s="61" t="s">
        <v>47</v>
      </c>
      <c r="E185" s="60" t="s">
        <v>12</v>
      </c>
      <c r="F185" s="50" t="s">
        <v>913</v>
      </c>
      <c r="G185" s="50" t="b">
        <v>0</v>
      </c>
      <c r="H185" s="58">
        <v>0</v>
      </c>
      <c r="I185" s="58">
        <v>6.647442118280225E-3</v>
      </c>
      <c r="J185" s="58">
        <v>0.12509122557809454</v>
      </c>
      <c r="K185" s="58">
        <v>0.17373425820773791</v>
      </c>
      <c r="L185" s="58">
        <v>1.1892058519542872</v>
      </c>
      <c r="M185" s="58">
        <v>1.4646911555306359</v>
      </c>
      <c r="N185" s="58">
        <v>1.9239937237600746</v>
      </c>
      <c r="O185" s="58">
        <v>1.8992529712875985</v>
      </c>
      <c r="P185" s="58">
        <v>1.8406721803182851</v>
      </c>
      <c r="Q185" s="58">
        <v>1.6875313749559426</v>
      </c>
      <c r="R185" s="58">
        <v>0.75511833075972135</v>
      </c>
      <c r="S185" s="58">
        <v>2.46488664988125E-2</v>
      </c>
      <c r="T185" s="58">
        <v>1.7408640542423307E-2</v>
      </c>
      <c r="U185" s="52">
        <v>2</v>
      </c>
      <c r="V185" s="49" t="s">
        <v>820</v>
      </c>
    </row>
    <row r="186" spans="1:22" hidden="1">
      <c r="A186" s="59" t="s">
        <v>1696</v>
      </c>
      <c r="B186" s="59" t="s">
        <v>1696</v>
      </c>
      <c r="C186" s="61" t="s">
        <v>12</v>
      </c>
      <c r="D186" s="61" t="s">
        <v>47</v>
      </c>
      <c r="E186" s="60" t="s">
        <v>12</v>
      </c>
      <c r="F186" s="50" t="s">
        <v>816</v>
      </c>
      <c r="G186" s="50" t="b">
        <v>0</v>
      </c>
      <c r="H186" s="58">
        <v>42.53</v>
      </c>
      <c r="I186" s="58">
        <v>0</v>
      </c>
      <c r="J186" s="58">
        <v>0</v>
      </c>
      <c r="K186" s="58">
        <v>0</v>
      </c>
      <c r="L186" s="58">
        <v>0</v>
      </c>
      <c r="M186" s="58">
        <v>0</v>
      </c>
      <c r="N186" s="58">
        <v>0</v>
      </c>
      <c r="O186" s="58">
        <v>0</v>
      </c>
      <c r="P186" s="58">
        <v>0</v>
      </c>
      <c r="Q186" s="58">
        <v>0</v>
      </c>
      <c r="R186" s="58">
        <v>0</v>
      </c>
      <c r="S186" s="58">
        <v>0</v>
      </c>
      <c r="T186" s="58">
        <v>0</v>
      </c>
      <c r="U186" s="52">
        <v>46</v>
      </c>
      <c r="V186" s="49" t="s">
        <v>815</v>
      </c>
    </row>
    <row r="187" spans="1:22" hidden="1">
      <c r="A187" s="59" t="s">
        <v>1695</v>
      </c>
      <c r="B187" s="59" t="s">
        <v>1694</v>
      </c>
      <c r="C187" s="61" t="s">
        <v>12</v>
      </c>
      <c r="D187" s="61" t="s">
        <v>47</v>
      </c>
      <c r="E187" s="60" t="s">
        <v>12</v>
      </c>
      <c r="F187" s="50" t="s">
        <v>827</v>
      </c>
      <c r="G187" s="50" t="b">
        <v>0</v>
      </c>
      <c r="H187" s="58">
        <v>21.19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58">
        <v>0</v>
      </c>
      <c r="P187" s="58">
        <v>0</v>
      </c>
      <c r="Q187" s="58">
        <v>0</v>
      </c>
      <c r="R187" s="58">
        <v>0</v>
      </c>
      <c r="S187" s="58">
        <v>0</v>
      </c>
      <c r="T187" s="58">
        <v>0</v>
      </c>
      <c r="U187" s="52">
        <v>24</v>
      </c>
      <c r="V187" s="49" t="s">
        <v>820</v>
      </c>
    </row>
    <row r="188" spans="1:22" hidden="1">
      <c r="A188" s="59" t="s">
        <v>1693</v>
      </c>
      <c r="B188" s="59" t="s">
        <v>1692</v>
      </c>
      <c r="C188" s="61" t="s">
        <v>12</v>
      </c>
      <c r="D188" s="61" t="s">
        <v>47</v>
      </c>
      <c r="E188" s="60" t="s">
        <v>12</v>
      </c>
      <c r="F188" s="50" t="s">
        <v>824</v>
      </c>
      <c r="G188" s="50" t="b">
        <v>0</v>
      </c>
      <c r="H188" s="58">
        <v>0</v>
      </c>
      <c r="I188" s="58">
        <v>1.22</v>
      </c>
      <c r="J188" s="58">
        <v>1.68</v>
      </c>
      <c r="K188" s="58">
        <v>1.61</v>
      </c>
      <c r="L188" s="58">
        <v>1.65</v>
      </c>
      <c r="M188" s="58">
        <v>1.47</v>
      </c>
      <c r="N188" s="58">
        <v>1.81</v>
      </c>
      <c r="O188" s="58">
        <v>1.48</v>
      </c>
      <c r="P188" s="58">
        <v>1.58</v>
      </c>
      <c r="Q188" s="58">
        <v>1.46</v>
      </c>
      <c r="R188" s="58">
        <v>1.36</v>
      </c>
      <c r="S188" s="58">
        <v>1.1200000000000001</v>
      </c>
      <c r="T188" s="58">
        <v>1.3</v>
      </c>
      <c r="U188" s="52">
        <v>2.1</v>
      </c>
      <c r="V188" s="49" t="s">
        <v>820</v>
      </c>
    </row>
    <row r="189" spans="1:22" hidden="1">
      <c r="A189" s="59" t="s">
        <v>1691</v>
      </c>
      <c r="B189" s="59" t="s">
        <v>92</v>
      </c>
      <c r="C189" s="61" t="s">
        <v>12</v>
      </c>
      <c r="D189" s="61" t="s">
        <v>47</v>
      </c>
      <c r="E189" s="60" t="s">
        <v>12</v>
      </c>
      <c r="F189" s="50" t="s">
        <v>894</v>
      </c>
      <c r="G189" s="50" t="b">
        <v>0</v>
      </c>
      <c r="H189" s="58">
        <v>320</v>
      </c>
      <c r="I189" s="58">
        <v>0</v>
      </c>
      <c r="J189" s="58">
        <v>0</v>
      </c>
      <c r="K189" s="58">
        <v>0</v>
      </c>
      <c r="L189" s="58">
        <v>0</v>
      </c>
      <c r="M189" s="58">
        <v>0</v>
      </c>
      <c r="N189" s="58">
        <v>0</v>
      </c>
      <c r="O189" s="58">
        <v>0</v>
      </c>
      <c r="P189" s="58">
        <v>0</v>
      </c>
      <c r="Q189" s="58">
        <v>0</v>
      </c>
      <c r="R189" s="58">
        <v>0</v>
      </c>
      <c r="S189" s="58">
        <v>0</v>
      </c>
      <c r="T189" s="58">
        <v>0</v>
      </c>
      <c r="U189" s="52">
        <v>320</v>
      </c>
      <c r="V189" s="49" t="s">
        <v>815</v>
      </c>
    </row>
    <row r="190" spans="1:22" hidden="1">
      <c r="A190" s="59" t="s">
        <v>1690</v>
      </c>
      <c r="B190" s="59" t="s">
        <v>93</v>
      </c>
      <c r="C190" s="61" t="s">
        <v>12</v>
      </c>
      <c r="D190" s="61" t="s">
        <v>47</v>
      </c>
      <c r="E190" s="60" t="s">
        <v>12</v>
      </c>
      <c r="F190" s="50" t="s">
        <v>894</v>
      </c>
      <c r="G190" s="50" t="b">
        <v>0</v>
      </c>
      <c r="H190" s="58">
        <v>320</v>
      </c>
      <c r="I190" s="58">
        <v>0</v>
      </c>
      <c r="J190" s="58">
        <v>0</v>
      </c>
      <c r="K190" s="58">
        <v>0</v>
      </c>
      <c r="L190" s="58">
        <v>0</v>
      </c>
      <c r="M190" s="58">
        <v>0</v>
      </c>
      <c r="N190" s="58">
        <v>0</v>
      </c>
      <c r="O190" s="58">
        <v>0</v>
      </c>
      <c r="P190" s="58">
        <v>0</v>
      </c>
      <c r="Q190" s="58">
        <v>0</v>
      </c>
      <c r="R190" s="58">
        <v>0</v>
      </c>
      <c r="S190" s="58">
        <v>0</v>
      </c>
      <c r="T190" s="58">
        <v>0</v>
      </c>
      <c r="U190" s="52">
        <v>320</v>
      </c>
      <c r="V190" s="49" t="s">
        <v>815</v>
      </c>
    </row>
    <row r="191" spans="1:22" hidden="1">
      <c r="A191" s="59" t="s">
        <v>1689</v>
      </c>
      <c r="B191" s="59" t="s">
        <v>1688</v>
      </c>
      <c r="C191" s="61" t="s">
        <v>10</v>
      </c>
      <c r="D191" s="61" t="s">
        <v>828</v>
      </c>
      <c r="E191" s="60" t="s">
        <v>10</v>
      </c>
      <c r="F191" s="50" t="s">
        <v>827</v>
      </c>
      <c r="G191" s="50" t="b">
        <v>0</v>
      </c>
      <c r="H191" s="58">
        <v>0</v>
      </c>
      <c r="I191" s="58">
        <v>32.31</v>
      </c>
      <c r="J191" s="58">
        <v>31.55</v>
      </c>
      <c r="K191" s="58">
        <v>37.18</v>
      </c>
      <c r="L191" s="58">
        <v>48.43</v>
      </c>
      <c r="M191" s="58">
        <v>57.45</v>
      </c>
      <c r="N191" s="58">
        <v>71.08</v>
      </c>
      <c r="O191" s="58">
        <v>70.239999999999995</v>
      </c>
      <c r="P191" s="58">
        <v>61.77</v>
      </c>
      <c r="Q191" s="58">
        <v>53.48</v>
      </c>
      <c r="R191" s="58">
        <v>47.74</v>
      </c>
      <c r="S191" s="58">
        <v>46.06</v>
      </c>
      <c r="T191" s="58">
        <v>45.39</v>
      </c>
      <c r="U191" s="52">
        <v>94.5</v>
      </c>
      <c r="V191" s="49" t="s">
        <v>820</v>
      </c>
    </row>
    <row r="192" spans="1:22" hidden="1">
      <c r="A192" s="59" t="s">
        <v>1687</v>
      </c>
      <c r="B192" s="59" t="s">
        <v>1686</v>
      </c>
      <c r="C192" s="61" t="s">
        <v>10</v>
      </c>
      <c r="D192" s="61" t="s">
        <v>33</v>
      </c>
      <c r="E192" s="60" t="s">
        <v>10</v>
      </c>
      <c r="F192" s="50" t="s">
        <v>824</v>
      </c>
      <c r="G192" s="50" t="b">
        <v>0</v>
      </c>
      <c r="H192" s="58">
        <v>0</v>
      </c>
      <c r="I192" s="58">
        <v>13.54</v>
      </c>
      <c r="J192" s="58">
        <v>11.45</v>
      </c>
      <c r="K192" s="58">
        <v>11.06</v>
      </c>
      <c r="L192" s="58">
        <v>12.08</v>
      </c>
      <c r="M192" s="58">
        <v>13.26</v>
      </c>
      <c r="N192" s="58">
        <v>14.65</v>
      </c>
      <c r="O192" s="58">
        <v>14.8</v>
      </c>
      <c r="P192" s="58">
        <v>14.49</v>
      </c>
      <c r="Q192" s="58">
        <v>13.09</v>
      </c>
      <c r="R192" s="58">
        <v>13.65</v>
      </c>
      <c r="S192" s="58">
        <v>11.48</v>
      </c>
      <c r="T192" s="58">
        <v>13.78</v>
      </c>
      <c r="U192" s="52">
        <v>19.899999999999999</v>
      </c>
      <c r="V192" s="49" t="s">
        <v>820</v>
      </c>
    </row>
    <row r="193" spans="1:22" hidden="1">
      <c r="A193" s="59" t="s">
        <v>1685</v>
      </c>
      <c r="B193" s="59" t="s">
        <v>1684</v>
      </c>
      <c r="C193" s="61" t="s">
        <v>10</v>
      </c>
      <c r="D193" s="61" t="s">
        <v>88</v>
      </c>
      <c r="E193" s="60" t="s">
        <v>10</v>
      </c>
      <c r="F193" s="50" t="s">
        <v>812</v>
      </c>
      <c r="G193" s="50" t="b">
        <v>0</v>
      </c>
      <c r="H193" s="58">
        <v>0</v>
      </c>
      <c r="I193" s="58">
        <v>0</v>
      </c>
      <c r="J193" s="58">
        <v>0</v>
      </c>
      <c r="K193" s="58">
        <v>0</v>
      </c>
      <c r="L193" s="58">
        <v>0</v>
      </c>
      <c r="M193" s="58">
        <v>0</v>
      </c>
      <c r="N193" s="58">
        <v>0</v>
      </c>
      <c r="O193" s="58">
        <v>0</v>
      </c>
      <c r="P193" s="58">
        <v>0</v>
      </c>
      <c r="Q193" s="58">
        <v>0</v>
      </c>
      <c r="R193" s="58">
        <v>0</v>
      </c>
      <c r="S193" s="58">
        <v>0</v>
      </c>
      <c r="T193" s="58">
        <v>0</v>
      </c>
      <c r="U193" s="52">
        <v>34.5</v>
      </c>
      <c r="V193" s="49" t="s">
        <v>820</v>
      </c>
    </row>
    <row r="194" spans="1:22" hidden="1">
      <c r="A194" s="59" t="s">
        <v>1683</v>
      </c>
      <c r="B194" s="59" t="s">
        <v>1682</v>
      </c>
      <c r="C194" s="61" t="s">
        <v>10</v>
      </c>
      <c r="D194" s="61" t="s">
        <v>901</v>
      </c>
      <c r="E194" s="60" t="s">
        <v>10</v>
      </c>
      <c r="F194" s="50" t="s">
        <v>894</v>
      </c>
      <c r="G194" s="50" t="b">
        <v>0</v>
      </c>
      <c r="H194" s="58">
        <v>0</v>
      </c>
      <c r="I194" s="58">
        <v>1.49</v>
      </c>
      <c r="J194" s="58">
        <v>2.02</v>
      </c>
      <c r="K194" s="58">
        <v>1.93</v>
      </c>
      <c r="L194" s="58">
        <v>1.83</v>
      </c>
      <c r="M194" s="58">
        <v>1.65</v>
      </c>
      <c r="N194" s="58">
        <v>0.69</v>
      </c>
      <c r="O194" s="58">
        <v>0.66</v>
      </c>
      <c r="P194" s="58">
        <v>1.28</v>
      </c>
      <c r="Q194" s="58">
        <v>1.82</v>
      </c>
      <c r="R194" s="58">
        <v>1.86</v>
      </c>
      <c r="S194" s="58">
        <v>2.02</v>
      </c>
      <c r="T194" s="58">
        <v>1.4</v>
      </c>
      <c r="U194" s="52">
        <v>17.25</v>
      </c>
      <c r="V194" s="49" t="s">
        <v>820</v>
      </c>
    </row>
    <row r="195" spans="1:22" hidden="1">
      <c r="A195" s="59" t="s">
        <v>1681</v>
      </c>
      <c r="B195" s="59" t="s">
        <v>1680</v>
      </c>
      <c r="C195" s="61" t="s">
        <v>10</v>
      </c>
      <c r="D195" s="61" t="s">
        <v>32</v>
      </c>
      <c r="E195" s="60" t="s">
        <v>10</v>
      </c>
      <c r="F195" s="50" t="s">
        <v>812</v>
      </c>
      <c r="G195" s="50" t="b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58">
        <v>0</v>
      </c>
      <c r="P195" s="58">
        <v>0</v>
      </c>
      <c r="Q195" s="58">
        <v>0</v>
      </c>
      <c r="R195" s="58">
        <v>0</v>
      </c>
      <c r="S195" s="58">
        <v>0</v>
      </c>
      <c r="T195" s="58">
        <v>0</v>
      </c>
      <c r="U195" s="52">
        <v>11.5</v>
      </c>
      <c r="V195" s="49" t="s">
        <v>820</v>
      </c>
    </row>
    <row r="196" spans="1:22" hidden="1">
      <c r="A196" s="59" t="s">
        <v>1679</v>
      </c>
      <c r="B196" s="59" t="s">
        <v>1678</v>
      </c>
      <c r="C196" s="61" t="s">
        <v>10</v>
      </c>
      <c r="D196" s="61" t="s">
        <v>88</v>
      </c>
      <c r="E196" s="60" t="s">
        <v>10</v>
      </c>
      <c r="F196" s="50" t="s">
        <v>812</v>
      </c>
      <c r="G196" s="50" t="b">
        <v>0</v>
      </c>
      <c r="H196" s="58">
        <v>0</v>
      </c>
      <c r="I196" s="58">
        <v>0.73</v>
      </c>
      <c r="J196" s="58">
        <v>1.18</v>
      </c>
      <c r="K196" s="58">
        <v>2.2400000000000002</v>
      </c>
      <c r="L196" s="58">
        <v>1.69</v>
      </c>
      <c r="M196" s="58">
        <v>5.55</v>
      </c>
      <c r="N196" s="58">
        <v>3.81</v>
      </c>
      <c r="O196" s="58">
        <v>4.63</v>
      </c>
      <c r="P196" s="58">
        <v>2.5299999999999998</v>
      </c>
      <c r="Q196" s="58">
        <v>0.91</v>
      </c>
      <c r="R196" s="58">
        <v>0.71</v>
      </c>
      <c r="S196" s="58">
        <v>0.75</v>
      </c>
      <c r="T196" s="58">
        <v>0.48</v>
      </c>
      <c r="U196" s="52">
        <v>18.600000000000001</v>
      </c>
      <c r="V196" s="49" t="s">
        <v>820</v>
      </c>
    </row>
    <row r="197" spans="1:22" hidden="1">
      <c r="A197" s="59" t="s">
        <v>1677</v>
      </c>
      <c r="B197" s="59" t="s">
        <v>1676</v>
      </c>
      <c r="C197" s="61" t="s">
        <v>10</v>
      </c>
      <c r="D197" s="61" t="s">
        <v>32</v>
      </c>
      <c r="E197" s="60" t="s">
        <v>10</v>
      </c>
      <c r="F197" s="50" t="s">
        <v>812</v>
      </c>
      <c r="G197" s="50" t="b">
        <v>0</v>
      </c>
      <c r="H197" s="58">
        <v>0</v>
      </c>
      <c r="I197" s="58">
        <v>0.13</v>
      </c>
      <c r="J197" s="58">
        <v>0.34</v>
      </c>
      <c r="K197" s="58">
        <v>1.53</v>
      </c>
      <c r="L197" s="58">
        <v>1.73</v>
      </c>
      <c r="M197" s="58">
        <v>2.06</v>
      </c>
      <c r="N197" s="58">
        <v>4.9800000000000004</v>
      </c>
      <c r="O197" s="58">
        <v>6.72</v>
      </c>
      <c r="P197" s="58">
        <v>3.32</v>
      </c>
      <c r="Q197" s="58">
        <v>1.27</v>
      </c>
      <c r="R197" s="58">
        <v>0.83</v>
      </c>
      <c r="S197" s="58">
        <v>0.4</v>
      </c>
      <c r="T197" s="58">
        <v>0.01</v>
      </c>
      <c r="U197" s="52">
        <v>55</v>
      </c>
      <c r="V197" s="49" t="s">
        <v>820</v>
      </c>
    </row>
    <row r="198" spans="1:22" hidden="1">
      <c r="A198" s="59" t="s">
        <v>1675</v>
      </c>
      <c r="B198" s="59" t="s">
        <v>1675</v>
      </c>
      <c r="C198" s="61" t="s">
        <v>10</v>
      </c>
      <c r="D198" s="61" t="s">
        <v>817</v>
      </c>
      <c r="E198" s="60" t="s">
        <v>10</v>
      </c>
      <c r="F198" s="50" t="s">
        <v>827</v>
      </c>
      <c r="G198" s="50" t="b">
        <v>0</v>
      </c>
      <c r="H198" s="58">
        <v>0</v>
      </c>
      <c r="I198" s="58">
        <v>0.08</v>
      </c>
      <c r="J198" s="58">
        <v>0.09</v>
      </c>
      <c r="K198" s="58">
        <v>0.08</v>
      </c>
      <c r="L198" s="58">
        <v>0.17</v>
      </c>
      <c r="M198" s="58">
        <v>0.19</v>
      </c>
      <c r="N198" s="58">
        <v>0.45</v>
      </c>
      <c r="O198" s="58">
        <v>0.47</v>
      </c>
      <c r="P198" s="58">
        <v>0.36</v>
      </c>
      <c r="Q198" s="58">
        <v>0.4</v>
      </c>
      <c r="R198" s="58">
        <v>0.36</v>
      </c>
      <c r="S198" s="58">
        <v>0.22</v>
      </c>
      <c r="T198" s="58">
        <v>0.24</v>
      </c>
      <c r="U198" s="52">
        <v>0.5</v>
      </c>
      <c r="V198" s="49" t="s">
        <v>820</v>
      </c>
    </row>
    <row r="199" spans="1:22" hidden="1">
      <c r="A199" s="59" t="s">
        <v>1674</v>
      </c>
      <c r="B199" s="59" t="s">
        <v>1673</v>
      </c>
      <c r="C199" s="61" t="s">
        <v>10</v>
      </c>
      <c r="D199" s="61" t="s">
        <v>817</v>
      </c>
      <c r="E199" s="60" t="s">
        <v>10</v>
      </c>
      <c r="F199" s="50" t="s">
        <v>827</v>
      </c>
      <c r="G199" s="50" t="b">
        <v>0</v>
      </c>
      <c r="H199" s="58">
        <v>0</v>
      </c>
      <c r="I199" s="58">
        <v>14.44</v>
      </c>
      <c r="J199" s="58">
        <v>14.45</v>
      </c>
      <c r="K199" s="58">
        <v>14.88</v>
      </c>
      <c r="L199" s="58">
        <v>15.41</v>
      </c>
      <c r="M199" s="58">
        <v>16.350000000000001</v>
      </c>
      <c r="N199" s="58">
        <v>17.16</v>
      </c>
      <c r="O199" s="58">
        <v>16.829999999999998</v>
      </c>
      <c r="P199" s="58">
        <v>16.010000000000002</v>
      </c>
      <c r="Q199" s="58">
        <v>14.99</v>
      </c>
      <c r="R199" s="58">
        <v>14.24</v>
      </c>
      <c r="S199" s="58">
        <v>14.2</v>
      </c>
      <c r="T199" s="58">
        <v>14.24</v>
      </c>
      <c r="U199" s="52">
        <v>18</v>
      </c>
      <c r="V199" s="49" t="s">
        <v>820</v>
      </c>
    </row>
    <row r="200" spans="1:22" hidden="1">
      <c r="A200" s="59" t="s">
        <v>1672</v>
      </c>
      <c r="B200" s="59" t="s">
        <v>1671</v>
      </c>
      <c r="C200" s="61" t="s">
        <v>10</v>
      </c>
      <c r="D200" s="61" t="s">
        <v>817</v>
      </c>
      <c r="E200" s="60" t="s">
        <v>10</v>
      </c>
      <c r="F200" s="50" t="s">
        <v>827</v>
      </c>
      <c r="G200" s="50" t="b">
        <v>0</v>
      </c>
      <c r="H200" s="58">
        <v>0</v>
      </c>
      <c r="I200" s="58">
        <v>39</v>
      </c>
      <c r="J200" s="58">
        <v>39</v>
      </c>
      <c r="K200" s="58">
        <v>39</v>
      </c>
      <c r="L200" s="58">
        <v>39</v>
      </c>
      <c r="M200" s="58">
        <v>39</v>
      </c>
      <c r="N200" s="58">
        <v>39</v>
      </c>
      <c r="O200" s="58">
        <v>39</v>
      </c>
      <c r="P200" s="58">
        <v>39</v>
      </c>
      <c r="Q200" s="58">
        <v>39</v>
      </c>
      <c r="R200" s="58">
        <v>39</v>
      </c>
      <c r="S200" s="58">
        <v>39</v>
      </c>
      <c r="T200" s="58">
        <v>39</v>
      </c>
      <c r="U200" s="52">
        <v>39</v>
      </c>
      <c r="V200" s="49" t="s">
        <v>820</v>
      </c>
    </row>
    <row r="201" spans="1:22" hidden="1">
      <c r="A201" s="59" t="s">
        <v>1670</v>
      </c>
      <c r="B201" s="59" t="s">
        <v>1669</v>
      </c>
      <c r="C201" s="61" t="s">
        <v>10</v>
      </c>
      <c r="D201" s="61" t="s">
        <v>88</v>
      </c>
      <c r="E201" s="60" t="s">
        <v>10</v>
      </c>
      <c r="F201" s="50" t="s">
        <v>827</v>
      </c>
      <c r="G201" s="50" t="b">
        <v>0</v>
      </c>
      <c r="H201" s="58">
        <v>0</v>
      </c>
      <c r="I201" s="58">
        <v>2.2599999999999998</v>
      </c>
      <c r="J201" s="58">
        <v>7.49</v>
      </c>
      <c r="K201" s="58">
        <v>9.25</v>
      </c>
      <c r="L201" s="58">
        <v>7.68</v>
      </c>
      <c r="M201" s="58">
        <v>6.94</v>
      </c>
      <c r="N201" s="58">
        <v>0.3</v>
      </c>
      <c r="O201" s="58">
        <v>0</v>
      </c>
      <c r="P201" s="58">
        <v>0</v>
      </c>
      <c r="Q201" s="58">
        <v>0</v>
      </c>
      <c r="R201" s="58">
        <v>0.35</v>
      </c>
      <c r="S201" s="58">
        <v>0.43</v>
      </c>
      <c r="T201" s="58">
        <v>1.1000000000000001</v>
      </c>
      <c r="U201" s="52">
        <v>14.3</v>
      </c>
      <c r="V201" s="49" t="s">
        <v>820</v>
      </c>
    </row>
    <row r="202" spans="1:22" hidden="1">
      <c r="A202" s="59" t="s">
        <v>1668</v>
      </c>
      <c r="B202" s="59" t="s">
        <v>1667</v>
      </c>
      <c r="C202" s="61" t="s">
        <v>10</v>
      </c>
      <c r="D202" s="61" t="s">
        <v>828</v>
      </c>
      <c r="E202" s="60" t="s">
        <v>10</v>
      </c>
      <c r="F202" s="50" t="s">
        <v>827</v>
      </c>
      <c r="G202" s="50" t="b">
        <v>0</v>
      </c>
      <c r="H202" s="58">
        <v>0</v>
      </c>
      <c r="I202" s="58">
        <v>1.41</v>
      </c>
      <c r="J202" s="58">
        <v>1.1100000000000001</v>
      </c>
      <c r="K202" s="58">
        <v>2.2200000000000002</v>
      </c>
      <c r="L202" s="58">
        <v>4.96</v>
      </c>
      <c r="M202" s="58">
        <v>15.23</v>
      </c>
      <c r="N202" s="58">
        <v>20.52</v>
      </c>
      <c r="O202" s="58">
        <v>16.39</v>
      </c>
      <c r="P202" s="58">
        <v>8.8699999999999992</v>
      </c>
      <c r="Q202" s="58">
        <v>4.55</v>
      </c>
      <c r="R202" s="58">
        <v>3.43</v>
      </c>
      <c r="S202" s="58">
        <v>3.03</v>
      </c>
      <c r="T202" s="58">
        <v>0.81</v>
      </c>
      <c r="U202" s="52">
        <v>33.700000000000003</v>
      </c>
      <c r="V202" s="49" t="s">
        <v>820</v>
      </c>
    </row>
    <row r="203" spans="1:22" hidden="1">
      <c r="A203" s="59" t="s">
        <v>1666</v>
      </c>
      <c r="B203" s="59" t="s">
        <v>1665</v>
      </c>
      <c r="C203" s="61" t="s">
        <v>10</v>
      </c>
      <c r="D203" s="61" t="s">
        <v>901</v>
      </c>
      <c r="E203" s="60" t="s">
        <v>10</v>
      </c>
      <c r="F203" s="50" t="s">
        <v>821</v>
      </c>
      <c r="G203" s="50" t="b">
        <v>0</v>
      </c>
      <c r="H203" s="58">
        <v>0</v>
      </c>
      <c r="I203" s="58">
        <v>0.12</v>
      </c>
      <c r="J203" s="58">
        <v>0.15</v>
      </c>
      <c r="K203" s="58">
        <v>0.11</v>
      </c>
      <c r="L203" s="58">
        <v>0.11</v>
      </c>
      <c r="M203" s="58">
        <v>0.14000000000000001</v>
      </c>
      <c r="N203" s="58">
        <v>0.09</v>
      </c>
      <c r="O203" s="58">
        <v>0.08</v>
      </c>
      <c r="P203" s="58">
        <v>0.09</v>
      </c>
      <c r="Q203" s="58">
        <v>0.11</v>
      </c>
      <c r="R203" s="58">
        <v>0.1</v>
      </c>
      <c r="S203" s="58">
        <v>0.11</v>
      </c>
      <c r="T203" s="58">
        <v>0.1</v>
      </c>
      <c r="U203" s="52">
        <v>6.9</v>
      </c>
      <c r="V203" s="49" t="s">
        <v>820</v>
      </c>
    </row>
    <row r="204" spans="1:22" hidden="1">
      <c r="A204" s="59" t="s">
        <v>1664</v>
      </c>
      <c r="B204" s="59" t="s">
        <v>1664</v>
      </c>
      <c r="C204" s="61" t="s">
        <v>10</v>
      </c>
      <c r="D204" s="61" t="s">
        <v>33</v>
      </c>
      <c r="E204" s="60" t="s">
        <v>10</v>
      </c>
      <c r="F204" s="50" t="s">
        <v>827</v>
      </c>
      <c r="G204" s="50" t="b">
        <v>0</v>
      </c>
      <c r="H204" s="58">
        <v>0</v>
      </c>
      <c r="I204" s="58">
        <v>1.2</v>
      </c>
      <c r="J204" s="58">
        <v>1.39</v>
      </c>
      <c r="K204" s="58">
        <v>1.6</v>
      </c>
      <c r="L204" s="58">
        <v>1.41</v>
      </c>
      <c r="M204" s="58">
        <v>1.3</v>
      </c>
      <c r="N204" s="58">
        <v>0.95</v>
      </c>
      <c r="O204" s="58">
        <v>0.72</v>
      </c>
      <c r="P204" s="58">
        <v>0.4</v>
      </c>
      <c r="Q204" s="58">
        <v>0.26</v>
      </c>
      <c r="R204" s="58">
        <v>0.42</v>
      </c>
      <c r="S204" s="58">
        <v>0.28999999999999998</v>
      </c>
      <c r="T204" s="58">
        <v>0.66</v>
      </c>
      <c r="U204" s="52">
        <v>1.6</v>
      </c>
      <c r="V204" s="49" t="s">
        <v>820</v>
      </c>
    </row>
    <row r="205" spans="1:22">
      <c r="A205" s="59" t="s">
        <v>1663</v>
      </c>
      <c r="B205" s="59" t="s">
        <v>1662</v>
      </c>
      <c r="C205" s="61" t="s">
        <v>10</v>
      </c>
      <c r="D205" s="61" t="s">
        <v>852</v>
      </c>
      <c r="E205" s="60" t="s">
        <v>10</v>
      </c>
      <c r="F205" s="50" t="s">
        <v>872</v>
      </c>
      <c r="G205" s="50" t="b">
        <v>0</v>
      </c>
      <c r="H205" s="58">
        <v>0</v>
      </c>
      <c r="I205" s="58">
        <v>0.59</v>
      </c>
      <c r="J205" s="58">
        <v>0.59</v>
      </c>
      <c r="K205" s="58">
        <v>0.17</v>
      </c>
      <c r="L205" s="58">
        <v>0.13</v>
      </c>
      <c r="M205" s="58">
        <v>0.14000000000000001</v>
      </c>
      <c r="N205" s="58">
        <v>7.0000000000000007E-2</v>
      </c>
      <c r="O205" s="58">
        <v>0.05</v>
      </c>
      <c r="P205" s="58">
        <v>0.05</v>
      </c>
      <c r="Q205" s="58">
        <v>0.04</v>
      </c>
      <c r="R205" s="58">
        <v>0.04</v>
      </c>
      <c r="S205" s="58">
        <v>0.02</v>
      </c>
      <c r="T205" s="58">
        <v>0.05</v>
      </c>
      <c r="U205" s="52">
        <v>1.05</v>
      </c>
      <c r="V205" s="49" t="s">
        <v>820</v>
      </c>
    </row>
    <row r="206" spans="1:22" hidden="1">
      <c r="A206" s="59" t="s">
        <v>1661</v>
      </c>
      <c r="B206" s="59" t="s">
        <v>1660</v>
      </c>
      <c r="C206" s="61" t="s">
        <v>12</v>
      </c>
      <c r="D206" s="61" t="s">
        <v>88</v>
      </c>
      <c r="E206" s="60" t="s">
        <v>12</v>
      </c>
      <c r="F206" s="50" t="s">
        <v>913</v>
      </c>
      <c r="G206" s="50" t="b">
        <v>0</v>
      </c>
      <c r="H206" s="58">
        <v>0</v>
      </c>
      <c r="I206" s="58">
        <v>0</v>
      </c>
      <c r="J206" s="58">
        <v>0.02</v>
      </c>
      <c r="K206" s="58">
        <v>0.38</v>
      </c>
      <c r="L206" s="58">
        <v>3.44</v>
      </c>
      <c r="M206" s="58">
        <v>2.79</v>
      </c>
      <c r="N206" s="58">
        <v>7.45</v>
      </c>
      <c r="O206" s="58">
        <v>6.18</v>
      </c>
      <c r="P206" s="58">
        <v>6.7</v>
      </c>
      <c r="Q206" s="58">
        <v>6.23</v>
      </c>
      <c r="R206" s="58">
        <v>0.52</v>
      </c>
      <c r="S206" s="58">
        <v>0</v>
      </c>
      <c r="T206" s="58">
        <v>0</v>
      </c>
      <c r="U206" s="52">
        <v>14.2</v>
      </c>
      <c r="V206" s="49" t="s">
        <v>820</v>
      </c>
    </row>
    <row r="207" spans="1:22" hidden="1">
      <c r="A207" s="59" t="s">
        <v>1659</v>
      </c>
      <c r="B207" s="59" t="s">
        <v>1658</v>
      </c>
      <c r="C207" s="61" t="s">
        <v>12</v>
      </c>
      <c r="D207" s="61" t="s">
        <v>47</v>
      </c>
      <c r="E207" s="60" t="s">
        <v>12</v>
      </c>
      <c r="F207" s="50" t="s">
        <v>812</v>
      </c>
      <c r="G207" s="50" t="b">
        <v>0</v>
      </c>
      <c r="H207" s="58">
        <v>0</v>
      </c>
      <c r="I207" s="58">
        <v>0.35</v>
      </c>
      <c r="J207" s="58">
        <v>0.74</v>
      </c>
      <c r="K207" s="58">
        <v>1.46</v>
      </c>
      <c r="L207" s="58">
        <v>1.53</v>
      </c>
      <c r="M207" s="58">
        <v>2.34</v>
      </c>
      <c r="N207" s="58">
        <v>4.3600000000000003</v>
      </c>
      <c r="O207" s="58">
        <v>2.29</v>
      </c>
      <c r="P207" s="58">
        <v>1.38</v>
      </c>
      <c r="Q207" s="58">
        <v>1.28</v>
      </c>
      <c r="R207" s="58">
        <v>0.69</v>
      </c>
      <c r="S207" s="58">
        <v>0.49</v>
      </c>
      <c r="T207" s="58">
        <v>0.32</v>
      </c>
      <c r="U207" s="52">
        <v>15.75</v>
      </c>
      <c r="V207" s="49" t="s">
        <v>820</v>
      </c>
    </row>
    <row r="208" spans="1:22" hidden="1">
      <c r="A208" s="59" t="s">
        <v>1657</v>
      </c>
      <c r="B208" s="59" t="s">
        <v>1656</v>
      </c>
      <c r="C208" s="61" t="s">
        <v>12</v>
      </c>
      <c r="D208" s="61" t="s">
        <v>47</v>
      </c>
      <c r="E208" s="60" t="s">
        <v>12</v>
      </c>
      <c r="F208" s="50" t="s">
        <v>812</v>
      </c>
      <c r="G208" s="50" t="b">
        <v>0</v>
      </c>
      <c r="H208" s="58">
        <v>0</v>
      </c>
      <c r="I208" s="58">
        <v>0.26</v>
      </c>
      <c r="J208" s="58">
        <v>0.3</v>
      </c>
      <c r="K208" s="58">
        <v>0.75</v>
      </c>
      <c r="L208" s="58">
        <v>1.0900000000000001</v>
      </c>
      <c r="M208" s="58">
        <v>1.45</v>
      </c>
      <c r="N208" s="58">
        <v>2.0499999999999998</v>
      </c>
      <c r="O208" s="58">
        <v>1.53</v>
      </c>
      <c r="P208" s="58">
        <v>1.1599999999999999</v>
      </c>
      <c r="Q208" s="58">
        <v>0.86</v>
      </c>
      <c r="R208" s="58">
        <v>0.53</v>
      </c>
      <c r="S208" s="58">
        <v>0.19</v>
      </c>
      <c r="T208" s="58">
        <v>0.2</v>
      </c>
      <c r="U208" s="52">
        <v>5.5</v>
      </c>
      <c r="V208" s="49" t="s">
        <v>820</v>
      </c>
    </row>
    <row r="209" spans="1:22" hidden="1">
      <c r="A209" s="59" t="s">
        <v>1655</v>
      </c>
      <c r="B209" s="59" t="s">
        <v>1654</v>
      </c>
      <c r="C209" s="61" t="s">
        <v>10</v>
      </c>
      <c r="D209" s="61" t="s">
        <v>828</v>
      </c>
      <c r="E209" s="60" t="s">
        <v>10</v>
      </c>
      <c r="F209" s="50" t="s">
        <v>816</v>
      </c>
      <c r="G209" s="50" t="b">
        <v>0</v>
      </c>
      <c r="H209" s="58">
        <v>41.5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58">
        <v>0</v>
      </c>
      <c r="P209" s="58">
        <v>0</v>
      </c>
      <c r="Q209" s="58">
        <v>0</v>
      </c>
      <c r="R209" s="58">
        <v>0</v>
      </c>
      <c r="S209" s="58">
        <v>0</v>
      </c>
      <c r="T209" s="58">
        <v>0</v>
      </c>
      <c r="U209" s="52">
        <v>46</v>
      </c>
      <c r="V209" s="49" t="s">
        <v>815</v>
      </c>
    </row>
    <row r="210" spans="1:22" hidden="1">
      <c r="A210" s="59" t="s">
        <v>1653</v>
      </c>
      <c r="B210" s="59" t="s">
        <v>1652</v>
      </c>
      <c r="C210" s="61" t="s">
        <v>10</v>
      </c>
      <c r="D210" s="61" t="s">
        <v>32</v>
      </c>
      <c r="E210" s="60" t="s">
        <v>10</v>
      </c>
      <c r="F210" s="50" t="s">
        <v>894</v>
      </c>
      <c r="G210" s="50" t="b">
        <v>0</v>
      </c>
      <c r="H210" s="58">
        <v>579</v>
      </c>
      <c r="I210" s="58">
        <v>0</v>
      </c>
      <c r="J210" s="58">
        <v>0</v>
      </c>
      <c r="K210" s="58">
        <v>0</v>
      </c>
      <c r="L210" s="58">
        <v>0</v>
      </c>
      <c r="M210" s="58">
        <v>0</v>
      </c>
      <c r="N210" s="58">
        <v>0</v>
      </c>
      <c r="O210" s="58">
        <v>0</v>
      </c>
      <c r="P210" s="58">
        <v>0</v>
      </c>
      <c r="Q210" s="58">
        <v>0</v>
      </c>
      <c r="R210" s="58">
        <v>0</v>
      </c>
      <c r="S210" s="58">
        <v>0</v>
      </c>
      <c r="T210" s="58">
        <v>0</v>
      </c>
      <c r="U210" s="52">
        <v>590</v>
      </c>
      <c r="V210" s="49" t="s">
        <v>815</v>
      </c>
    </row>
    <row r="211" spans="1:22" hidden="1">
      <c r="A211" s="59" t="s">
        <v>1651</v>
      </c>
      <c r="B211" s="59" t="s">
        <v>1650</v>
      </c>
      <c r="C211" s="61" t="s">
        <v>10</v>
      </c>
      <c r="D211" s="61" t="s">
        <v>852</v>
      </c>
      <c r="E211" s="60" t="s">
        <v>10</v>
      </c>
      <c r="F211" s="50" t="s">
        <v>851</v>
      </c>
      <c r="G211" s="50" t="b">
        <v>0</v>
      </c>
      <c r="H211" s="58">
        <v>60</v>
      </c>
      <c r="I211" s="58">
        <v>0</v>
      </c>
      <c r="J211" s="58">
        <v>0</v>
      </c>
      <c r="K211" s="58">
        <v>0</v>
      </c>
      <c r="L211" s="58">
        <v>0</v>
      </c>
      <c r="M211" s="58">
        <v>0</v>
      </c>
      <c r="N211" s="58">
        <v>0</v>
      </c>
      <c r="O211" s="58">
        <v>0</v>
      </c>
      <c r="P211" s="58">
        <v>0</v>
      </c>
      <c r="Q211" s="58">
        <v>0</v>
      </c>
      <c r="R211" s="58">
        <v>0</v>
      </c>
      <c r="S211" s="58">
        <v>0</v>
      </c>
      <c r="T211" s="58">
        <v>0</v>
      </c>
      <c r="U211" s="52">
        <v>72</v>
      </c>
      <c r="V211" s="49" t="s">
        <v>815</v>
      </c>
    </row>
    <row r="212" spans="1:22" hidden="1">
      <c r="A212" s="59" t="s">
        <v>1649</v>
      </c>
      <c r="B212" s="59" t="s">
        <v>1648</v>
      </c>
      <c r="C212" s="61" t="s">
        <v>10</v>
      </c>
      <c r="D212" s="61" t="s">
        <v>852</v>
      </c>
      <c r="E212" s="60" t="s">
        <v>10</v>
      </c>
      <c r="F212" s="50" t="s">
        <v>851</v>
      </c>
      <c r="G212" s="50" t="b">
        <v>0</v>
      </c>
      <c r="H212" s="58">
        <v>50</v>
      </c>
      <c r="I212" s="58">
        <v>0</v>
      </c>
      <c r="J212" s="58">
        <v>0</v>
      </c>
      <c r="K212" s="58">
        <v>0</v>
      </c>
      <c r="L212" s="58">
        <v>0</v>
      </c>
      <c r="M212" s="58">
        <v>0</v>
      </c>
      <c r="N212" s="58">
        <v>0</v>
      </c>
      <c r="O212" s="58">
        <v>0</v>
      </c>
      <c r="P212" s="58">
        <v>0</v>
      </c>
      <c r="Q212" s="58">
        <v>0</v>
      </c>
      <c r="R212" s="58">
        <v>0</v>
      </c>
      <c r="S212" s="58">
        <v>0</v>
      </c>
      <c r="T212" s="58">
        <v>0</v>
      </c>
      <c r="U212" s="52">
        <v>57</v>
      </c>
      <c r="V212" s="49" t="s">
        <v>815</v>
      </c>
    </row>
    <row r="213" spans="1:22" hidden="1">
      <c r="A213" s="59" t="s">
        <v>1647</v>
      </c>
      <c r="B213" s="59" t="s">
        <v>1646</v>
      </c>
      <c r="C213" s="61" t="s">
        <v>10</v>
      </c>
      <c r="D213" s="61" t="s">
        <v>852</v>
      </c>
      <c r="E213" s="60" t="s">
        <v>10</v>
      </c>
      <c r="F213" s="50" t="s">
        <v>851</v>
      </c>
      <c r="G213" s="50" t="b">
        <v>0</v>
      </c>
      <c r="H213" s="58">
        <v>56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58">
        <v>0</v>
      </c>
      <c r="P213" s="58">
        <v>0</v>
      </c>
      <c r="Q213" s="58">
        <v>0</v>
      </c>
      <c r="R213" s="58">
        <v>0</v>
      </c>
      <c r="S213" s="58">
        <v>0</v>
      </c>
      <c r="T213" s="58">
        <v>0</v>
      </c>
      <c r="U213" s="52">
        <v>95</v>
      </c>
      <c r="V213" s="49" t="s">
        <v>815</v>
      </c>
    </row>
    <row r="214" spans="1:22" hidden="1">
      <c r="A214" s="59" t="s">
        <v>1645</v>
      </c>
      <c r="B214" s="59" t="s">
        <v>1644</v>
      </c>
      <c r="C214" s="61" t="s">
        <v>10</v>
      </c>
      <c r="D214" s="61" t="s">
        <v>852</v>
      </c>
      <c r="E214" s="60" t="s">
        <v>10</v>
      </c>
      <c r="F214" s="50" t="s">
        <v>851</v>
      </c>
      <c r="G214" s="50" t="b">
        <v>0</v>
      </c>
      <c r="H214" s="58">
        <v>50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58">
        <v>0</v>
      </c>
      <c r="P214" s="58">
        <v>0</v>
      </c>
      <c r="Q214" s="58">
        <v>0</v>
      </c>
      <c r="R214" s="58">
        <v>0</v>
      </c>
      <c r="S214" s="58">
        <v>0</v>
      </c>
      <c r="T214" s="58">
        <v>0</v>
      </c>
      <c r="U214" s="52">
        <v>70</v>
      </c>
      <c r="V214" s="49" t="s">
        <v>815</v>
      </c>
    </row>
    <row r="215" spans="1:22" hidden="1">
      <c r="A215" s="59" t="s">
        <v>1643</v>
      </c>
      <c r="B215" s="59" t="s">
        <v>1642</v>
      </c>
      <c r="C215" s="61" t="s">
        <v>10</v>
      </c>
      <c r="D215" s="61" t="s">
        <v>852</v>
      </c>
      <c r="E215" s="60" t="s">
        <v>10</v>
      </c>
      <c r="F215" s="50" t="s">
        <v>851</v>
      </c>
      <c r="G215" s="50" t="b">
        <v>0</v>
      </c>
      <c r="H215" s="58">
        <v>49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58">
        <v>0</v>
      </c>
      <c r="P215" s="58">
        <v>0</v>
      </c>
      <c r="Q215" s="58">
        <v>0</v>
      </c>
      <c r="R215" s="58">
        <v>0</v>
      </c>
      <c r="S215" s="58">
        <v>0</v>
      </c>
      <c r="T215" s="58">
        <v>0</v>
      </c>
      <c r="U215" s="52">
        <v>85</v>
      </c>
      <c r="V215" s="49" t="s">
        <v>815</v>
      </c>
    </row>
    <row r="216" spans="1:22" hidden="1">
      <c r="A216" s="59" t="s">
        <v>1641</v>
      </c>
      <c r="B216" s="59" t="s">
        <v>1641</v>
      </c>
      <c r="C216" s="61" t="s">
        <v>10</v>
      </c>
      <c r="D216" s="61" t="s">
        <v>852</v>
      </c>
      <c r="E216" s="60" t="s">
        <v>10</v>
      </c>
      <c r="F216" s="50" t="s">
        <v>851</v>
      </c>
      <c r="G216" s="50" t="b">
        <v>0</v>
      </c>
      <c r="H216" s="58">
        <v>14.7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58">
        <v>0</v>
      </c>
      <c r="P216" s="58">
        <v>0</v>
      </c>
      <c r="Q216" s="58">
        <v>0</v>
      </c>
      <c r="R216" s="58">
        <v>0</v>
      </c>
      <c r="S216" s="58">
        <v>0</v>
      </c>
      <c r="T216" s="58">
        <v>0</v>
      </c>
      <c r="U216" s="52">
        <v>17</v>
      </c>
      <c r="V216" s="49" t="s">
        <v>815</v>
      </c>
    </row>
    <row r="217" spans="1:22" hidden="1">
      <c r="A217" s="59" t="s">
        <v>1640</v>
      </c>
      <c r="B217" s="59" t="s">
        <v>1639</v>
      </c>
      <c r="C217" s="61" t="s">
        <v>10</v>
      </c>
      <c r="D217" s="61" t="s">
        <v>852</v>
      </c>
      <c r="E217" s="60" t="s">
        <v>10</v>
      </c>
      <c r="F217" s="50" t="s">
        <v>851</v>
      </c>
      <c r="G217" s="50" t="b">
        <v>0</v>
      </c>
      <c r="H217" s="58">
        <v>47</v>
      </c>
      <c r="I217" s="58">
        <v>0</v>
      </c>
      <c r="J217" s="58">
        <v>0</v>
      </c>
      <c r="K217" s="58">
        <v>0</v>
      </c>
      <c r="L217" s="58">
        <v>0</v>
      </c>
      <c r="M217" s="58">
        <v>0</v>
      </c>
      <c r="N217" s="58">
        <v>0</v>
      </c>
      <c r="O217" s="58">
        <v>0</v>
      </c>
      <c r="P217" s="58">
        <v>0</v>
      </c>
      <c r="Q217" s="58">
        <v>0</v>
      </c>
      <c r="R217" s="58">
        <v>0</v>
      </c>
      <c r="S217" s="58">
        <v>0</v>
      </c>
      <c r="T217" s="58">
        <v>0</v>
      </c>
      <c r="U217" s="52">
        <v>60</v>
      </c>
      <c r="V217" s="49" t="s">
        <v>815</v>
      </c>
    </row>
    <row r="218" spans="1:22" hidden="1">
      <c r="A218" s="59" t="s">
        <v>1638</v>
      </c>
      <c r="B218" s="59" t="s">
        <v>1637</v>
      </c>
      <c r="C218" s="61" t="s">
        <v>10</v>
      </c>
      <c r="D218" s="61" t="s">
        <v>852</v>
      </c>
      <c r="E218" s="60" t="s">
        <v>10</v>
      </c>
      <c r="F218" s="50" t="s">
        <v>851</v>
      </c>
      <c r="G218" s="50" t="b">
        <v>0</v>
      </c>
      <c r="H218" s="58">
        <v>45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58">
        <v>0</v>
      </c>
      <c r="P218" s="58">
        <v>0</v>
      </c>
      <c r="Q218" s="58">
        <v>0</v>
      </c>
      <c r="R218" s="58">
        <v>0</v>
      </c>
      <c r="S218" s="58">
        <v>0</v>
      </c>
      <c r="T218" s="58">
        <v>0</v>
      </c>
      <c r="U218" s="52">
        <v>72</v>
      </c>
      <c r="V218" s="49" t="s">
        <v>815</v>
      </c>
    </row>
    <row r="219" spans="1:22" hidden="1">
      <c r="A219" s="59" t="s">
        <v>1636</v>
      </c>
      <c r="B219" s="59" t="s">
        <v>1635</v>
      </c>
      <c r="C219" s="61" t="s">
        <v>10</v>
      </c>
      <c r="D219" s="61" t="s">
        <v>852</v>
      </c>
      <c r="E219" s="60" t="s">
        <v>10</v>
      </c>
      <c r="F219" s="50" t="s">
        <v>851</v>
      </c>
      <c r="G219" s="50" t="b">
        <v>0</v>
      </c>
      <c r="H219" s="58">
        <v>40</v>
      </c>
      <c r="I219" s="58">
        <v>0</v>
      </c>
      <c r="J219" s="58">
        <v>0</v>
      </c>
      <c r="K219" s="58">
        <v>0</v>
      </c>
      <c r="L219" s="58">
        <v>0</v>
      </c>
      <c r="M219" s="58">
        <v>0</v>
      </c>
      <c r="N219" s="58">
        <v>0</v>
      </c>
      <c r="O219" s="58">
        <v>0</v>
      </c>
      <c r="P219" s="58">
        <v>0</v>
      </c>
      <c r="Q219" s="58">
        <v>0</v>
      </c>
      <c r="R219" s="58">
        <v>0</v>
      </c>
      <c r="S219" s="58">
        <v>0</v>
      </c>
      <c r="T219" s="58">
        <v>0</v>
      </c>
      <c r="U219" s="52">
        <v>62</v>
      </c>
      <c r="V219" s="49" t="s">
        <v>815</v>
      </c>
    </row>
    <row r="220" spans="1:22" hidden="1">
      <c r="A220" s="59" t="s">
        <v>1634</v>
      </c>
      <c r="B220" s="59" t="s">
        <v>1633</v>
      </c>
      <c r="C220" s="61" t="s">
        <v>10</v>
      </c>
      <c r="D220" s="61" t="s">
        <v>32</v>
      </c>
      <c r="E220" s="60" t="s">
        <v>10</v>
      </c>
      <c r="F220" s="50" t="s">
        <v>821</v>
      </c>
      <c r="G220" s="50" t="b">
        <v>0</v>
      </c>
      <c r="H220" s="58">
        <v>0</v>
      </c>
      <c r="I220" s="58">
        <v>130</v>
      </c>
      <c r="J220" s="58">
        <v>128</v>
      </c>
      <c r="K220" s="58">
        <v>125</v>
      </c>
      <c r="L220" s="58">
        <v>120</v>
      </c>
      <c r="M220" s="58">
        <v>115</v>
      </c>
      <c r="N220" s="58">
        <v>110</v>
      </c>
      <c r="O220" s="58">
        <v>105</v>
      </c>
      <c r="P220" s="58">
        <v>105</v>
      </c>
      <c r="Q220" s="58">
        <v>110</v>
      </c>
      <c r="R220" s="58">
        <v>120</v>
      </c>
      <c r="S220" s="58">
        <v>125</v>
      </c>
      <c r="T220" s="58">
        <v>130</v>
      </c>
      <c r="U220" s="52">
        <v>135</v>
      </c>
      <c r="V220" s="49" t="s">
        <v>815</v>
      </c>
    </row>
    <row r="221" spans="1:22" hidden="1">
      <c r="A221" s="59" t="s">
        <v>1632</v>
      </c>
      <c r="B221" s="59" t="s">
        <v>1631</v>
      </c>
      <c r="C221" s="61" t="s">
        <v>10</v>
      </c>
      <c r="D221" s="61" t="s">
        <v>32</v>
      </c>
      <c r="E221" s="60" t="s">
        <v>10</v>
      </c>
      <c r="F221" s="50" t="s">
        <v>816</v>
      </c>
      <c r="G221" s="50" t="b">
        <v>0</v>
      </c>
      <c r="H221" s="58">
        <v>0</v>
      </c>
      <c r="I221" s="58">
        <v>94.5</v>
      </c>
      <c r="J221" s="58">
        <v>94.5</v>
      </c>
      <c r="K221" s="58">
        <v>94.5</v>
      </c>
      <c r="L221" s="58">
        <v>93</v>
      </c>
      <c r="M221" s="58">
        <v>92</v>
      </c>
      <c r="N221" s="58">
        <v>91</v>
      </c>
      <c r="O221" s="58">
        <v>91</v>
      </c>
      <c r="P221" s="58">
        <v>91</v>
      </c>
      <c r="Q221" s="58">
        <v>92</v>
      </c>
      <c r="R221" s="58">
        <v>93</v>
      </c>
      <c r="S221" s="58">
        <v>94.5</v>
      </c>
      <c r="T221" s="58">
        <v>94.5</v>
      </c>
      <c r="U221" s="52">
        <v>95.4</v>
      </c>
      <c r="V221" s="49" t="s">
        <v>815</v>
      </c>
    </row>
    <row r="222" spans="1:22" hidden="1">
      <c r="A222" s="59" t="s">
        <v>1630</v>
      </c>
      <c r="B222" s="59" t="s">
        <v>1629</v>
      </c>
      <c r="C222" s="61" t="s">
        <v>10</v>
      </c>
      <c r="D222" s="61" t="s">
        <v>32</v>
      </c>
      <c r="E222" s="60" t="s">
        <v>10</v>
      </c>
      <c r="F222" s="50" t="s">
        <v>816</v>
      </c>
      <c r="G222" s="50" t="b">
        <v>0</v>
      </c>
      <c r="H222" s="58">
        <v>0</v>
      </c>
      <c r="I222" s="58">
        <v>46.2</v>
      </c>
      <c r="J222" s="58">
        <v>46.2</v>
      </c>
      <c r="K222" s="58">
        <v>46.2</v>
      </c>
      <c r="L222" s="58">
        <v>46.2</v>
      </c>
      <c r="M222" s="58">
        <v>46.2</v>
      </c>
      <c r="N222" s="58">
        <v>46</v>
      </c>
      <c r="O222" s="58">
        <v>46</v>
      </c>
      <c r="P222" s="58">
        <v>46</v>
      </c>
      <c r="Q222" s="58">
        <v>46</v>
      </c>
      <c r="R222" s="58">
        <v>46.2</v>
      </c>
      <c r="S222" s="58">
        <v>46.2</v>
      </c>
      <c r="T222" s="58">
        <v>46.2</v>
      </c>
      <c r="U222" s="52">
        <v>46.2</v>
      </c>
      <c r="V222" s="49" t="s">
        <v>815</v>
      </c>
    </row>
    <row r="223" spans="1:22" hidden="1">
      <c r="A223" s="59" t="s">
        <v>1628</v>
      </c>
      <c r="B223" s="59" t="s">
        <v>1627</v>
      </c>
      <c r="C223" s="61" t="s">
        <v>12</v>
      </c>
      <c r="D223" s="61" t="s">
        <v>47</v>
      </c>
      <c r="E223" s="60" t="s">
        <v>12</v>
      </c>
      <c r="F223" s="50" t="s">
        <v>816</v>
      </c>
      <c r="G223" s="50" t="b">
        <v>0</v>
      </c>
      <c r="H223" s="58">
        <v>22.3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58">
        <v>0</v>
      </c>
      <c r="P223" s="58">
        <v>0</v>
      </c>
      <c r="Q223" s="58">
        <v>0</v>
      </c>
      <c r="R223" s="58">
        <v>0</v>
      </c>
      <c r="S223" s="58">
        <v>0</v>
      </c>
      <c r="T223" s="58">
        <v>0</v>
      </c>
      <c r="U223" s="52">
        <v>22.3</v>
      </c>
      <c r="V223" s="49" t="s">
        <v>815</v>
      </c>
    </row>
    <row r="224" spans="1:22" hidden="1">
      <c r="A224" s="59" t="s">
        <v>1626</v>
      </c>
      <c r="B224" s="59" t="s">
        <v>1625</v>
      </c>
      <c r="C224" s="61" t="s">
        <v>12</v>
      </c>
      <c r="D224" s="61" t="s">
        <v>47</v>
      </c>
      <c r="E224" s="60" t="s">
        <v>12</v>
      </c>
      <c r="F224" s="50" t="s">
        <v>816</v>
      </c>
      <c r="G224" s="50" t="b">
        <v>0</v>
      </c>
      <c r="H224" s="58">
        <v>22.3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58">
        <v>0</v>
      </c>
      <c r="P224" s="58">
        <v>0</v>
      </c>
      <c r="Q224" s="58">
        <v>0</v>
      </c>
      <c r="R224" s="58">
        <v>0</v>
      </c>
      <c r="S224" s="58">
        <v>0</v>
      </c>
      <c r="T224" s="58">
        <v>0</v>
      </c>
      <c r="U224" s="52">
        <v>22.3</v>
      </c>
      <c r="V224" s="49" t="s">
        <v>815</v>
      </c>
    </row>
    <row r="225" spans="1:22" hidden="1">
      <c r="A225" s="59" t="s">
        <v>1624</v>
      </c>
      <c r="B225" s="59" t="s">
        <v>1623</v>
      </c>
      <c r="C225" s="61" t="s">
        <v>12</v>
      </c>
      <c r="D225" s="61" t="s">
        <v>47</v>
      </c>
      <c r="E225" s="60" t="s">
        <v>12</v>
      </c>
      <c r="F225" s="50" t="s">
        <v>816</v>
      </c>
      <c r="G225" s="50" t="b">
        <v>0</v>
      </c>
      <c r="H225" s="58">
        <v>44.83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58">
        <v>0</v>
      </c>
      <c r="P225" s="58">
        <v>0</v>
      </c>
      <c r="Q225" s="58">
        <v>0</v>
      </c>
      <c r="R225" s="58">
        <v>0</v>
      </c>
      <c r="S225" s="58">
        <v>0</v>
      </c>
      <c r="T225" s="58">
        <v>0</v>
      </c>
      <c r="U225" s="52">
        <v>44.83</v>
      </c>
      <c r="V225" s="49" t="s">
        <v>815</v>
      </c>
    </row>
    <row r="226" spans="1:22" hidden="1">
      <c r="A226" s="59" t="s">
        <v>1622</v>
      </c>
      <c r="B226" s="59" t="s">
        <v>1621</v>
      </c>
      <c r="C226" s="61" t="s">
        <v>12</v>
      </c>
      <c r="D226" s="61" t="s">
        <v>47</v>
      </c>
      <c r="E226" s="60" t="s">
        <v>12</v>
      </c>
      <c r="F226" s="50" t="s">
        <v>816</v>
      </c>
      <c r="G226" s="50" t="b">
        <v>0</v>
      </c>
      <c r="H226" s="58">
        <v>42.42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58">
        <v>0</v>
      </c>
      <c r="P226" s="58">
        <v>0</v>
      </c>
      <c r="Q226" s="58">
        <v>0</v>
      </c>
      <c r="R226" s="58">
        <v>0</v>
      </c>
      <c r="S226" s="58">
        <v>0</v>
      </c>
      <c r="T226" s="58">
        <v>0</v>
      </c>
      <c r="U226" s="52">
        <v>42.42</v>
      </c>
      <c r="V226" s="49" t="s">
        <v>815</v>
      </c>
    </row>
    <row r="227" spans="1:22">
      <c r="A227" s="59" t="s">
        <v>1620</v>
      </c>
      <c r="B227" s="59" t="s">
        <v>1619</v>
      </c>
      <c r="C227" s="61" t="s">
        <v>10</v>
      </c>
      <c r="D227" s="61" t="s">
        <v>817</v>
      </c>
      <c r="E227" s="60" t="s">
        <v>10</v>
      </c>
      <c r="F227" s="50" t="s">
        <v>872</v>
      </c>
      <c r="G227" s="50" t="b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58">
        <v>0</v>
      </c>
      <c r="P227" s="58">
        <v>0</v>
      </c>
      <c r="Q227" s="58">
        <v>0</v>
      </c>
      <c r="R227" s="58">
        <v>0</v>
      </c>
      <c r="S227" s="58">
        <v>0</v>
      </c>
      <c r="T227" s="58">
        <v>0</v>
      </c>
      <c r="U227" s="52">
        <v>1.25</v>
      </c>
      <c r="V227" s="49" t="s">
        <v>820</v>
      </c>
    </row>
    <row r="228" spans="1:22">
      <c r="A228" s="59" t="s">
        <v>1618</v>
      </c>
      <c r="B228" s="59" t="s">
        <v>1617</v>
      </c>
      <c r="C228" s="61" t="s">
        <v>12</v>
      </c>
      <c r="D228" s="61" t="s">
        <v>52</v>
      </c>
      <c r="E228" s="60" t="s">
        <v>12</v>
      </c>
      <c r="F228" s="50" t="s">
        <v>872</v>
      </c>
      <c r="G228" s="50" t="b">
        <v>0</v>
      </c>
      <c r="H228" s="58">
        <v>0</v>
      </c>
      <c r="I228" s="58">
        <v>0.4</v>
      </c>
      <c r="J228" s="58">
        <v>0.4</v>
      </c>
      <c r="K228" s="58">
        <v>0.4</v>
      </c>
      <c r="L228" s="58">
        <v>0.4</v>
      </c>
      <c r="M228" s="58">
        <v>0.4</v>
      </c>
      <c r="N228" s="58">
        <v>0.28000000000000003</v>
      </c>
      <c r="O228" s="58">
        <v>0.13</v>
      </c>
      <c r="P228" s="58">
        <v>0.17</v>
      </c>
      <c r="Q228" s="58">
        <v>0.17</v>
      </c>
      <c r="R228" s="58">
        <v>0.12</v>
      </c>
      <c r="S228" s="58">
        <v>0.1</v>
      </c>
      <c r="T228" s="58">
        <v>0.06</v>
      </c>
      <c r="U228" s="52">
        <v>0.4</v>
      </c>
      <c r="V228" s="49" t="s">
        <v>820</v>
      </c>
    </row>
    <row r="229" spans="1:22" hidden="1">
      <c r="A229" s="59" t="s">
        <v>1616</v>
      </c>
      <c r="B229" s="59" t="s">
        <v>1615</v>
      </c>
      <c r="C229" s="61" t="s">
        <v>12</v>
      </c>
      <c r="D229" s="61" t="s">
        <v>52</v>
      </c>
      <c r="E229" s="60" t="s">
        <v>12</v>
      </c>
      <c r="F229" s="50" t="s">
        <v>816</v>
      </c>
      <c r="G229" s="50" t="b">
        <v>0</v>
      </c>
      <c r="H229" s="58">
        <v>54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58">
        <v>0</v>
      </c>
      <c r="P229" s="58">
        <v>0</v>
      </c>
      <c r="Q229" s="58">
        <v>0</v>
      </c>
      <c r="R229" s="58">
        <v>0</v>
      </c>
      <c r="S229" s="58">
        <v>0</v>
      </c>
      <c r="T229" s="58">
        <v>0</v>
      </c>
      <c r="U229" s="52">
        <v>54</v>
      </c>
      <c r="V229" s="49" t="s">
        <v>815</v>
      </c>
    </row>
    <row r="230" spans="1:22" hidden="1">
      <c r="A230" s="59" t="s">
        <v>1614</v>
      </c>
      <c r="B230" s="59" t="s">
        <v>1613</v>
      </c>
      <c r="C230" s="61" t="s">
        <v>12</v>
      </c>
      <c r="D230" s="61" t="s">
        <v>52</v>
      </c>
      <c r="E230" s="60" t="s">
        <v>12</v>
      </c>
      <c r="F230" s="50" t="s">
        <v>821</v>
      </c>
      <c r="G230" s="50" t="b">
        <v>0</v>
      </c>
      <c r="H230" s="58">
        <v>0</v>
      </c>
      <c r="I230" s="58">
        <v>0.37</v>
      </c>
      <c r="J230" s="58">
        <v>0.9</v>
      </c>
      <c r="K230" s="58">
        <v>1.3</v>
      </c>
      <c r="L230" s="58">
        <v>0.75</v>
      </c>
      <c r="M230" s="58">
        <v>0.56000000000000005</v>
      </c>
      <c r="N230" s="58">
        <v>0.61</v>
      </c>
      <c r="O230" s="58">
        <v>0.59</v>
      </c>
      <c r="P230" s="58">
        <v>0.35</v>
      </c>
      <c r="Q230" s="58">
        <v>0.37</v>
      </c>
      <c r="R230" s="58">
        <v>1.19</v>
      </c>
      <c r="S230" s="58">
        <v>0.71</v>
      </c>
      <c r="T230" s="58">
        <v>0.93</v>
      </c>
      <c r="U230" s="52">
        <v>49</v>
      </c>
      <c r="V230" s="49" t="s">
        <v>820</v>
      </c>
    </row>
    <row r="231" spans="1:22" hidden="1">
      <c r="A231" s="59" t="s">
        <v>1612</v>
      </c>
      <c r="B231" s="59" t="s">
        <v>1611</v>
      </c>
      <c r="C231" s="61" t="s">
        <v>12</v>
      </c>
      <c r="D231" s="61" t="s">
        <v>52</v>
      </c>
      <c r="E231" s="60" t="s">
        <v>12</v>
      </c>
      <c r="F231" s="50" t="s">
        <v>821</v>
      </c>
      <c r="G231" s="50" t="b">
        <v>0</v>
      </c>
      <c r="H231" s="58">
        <v>0</v>
      </c>
      <c r="I231" s="58">
        <v>3.78</v>
      </c>
      <c r="J231" s="58">
        <v>3.5</v>
      </c>
      <c r="K231" s="58">
        <v>3.46</v>
      </c>
      <c r="L231" s="58">
        <v>2.82</v>
      </c>
      <c r="M231" s="58">
        <v>2.62</v>
      </c>
      <c r="N231" s="58">
        <v>2.0299999999999998</v>
      </c>
      <c r="O231" s="58">
        <v>1.07</v>
      </c>
      <c r="P231" s="58">
        <v>1.5</v>
      </c>
      <c r="Q231" s="58">
        <v>1.32</v>
      </c>
      <c r="R231" s="58">
        <v>1.4</v>
      </c>
      <c r="S231" s="58">
        <v>2.12</v>
      </c>
      <c r="T231" s="58">
        <v>2.68</v>
      </c>
      <c r="U231" s="52">
        <v>9.9</v>
      </c>
      <c r="V231" s="49" t="s">
        <v>820</v>
      </c>
    </row>
    <row r="232" spans="1:22" hidden="1">
      <c r="A232" s="59" t="s">
        <v>1610</v>
      </c>
      <c r="B232" s="59" t="s">
        <v>1610</v>
      </c>
      <c r="C232" s="61" t="s">
        <v>12</v>
      </c>
      <c r="D232" s="61" t="s">
        <v>52</v>
      </c>
      <c r="E232" s="60" t="s">
        <v>12</v>
      </c>
      <c r="F232" s="50" t="s">
        <v>824</v>
      </c>
      <c r="G232" s="50" t="b">
        <v>0</v>
      </c>
      <c r="H232" s="58">
        <v>0</v>
      </c>
      <c r="I232" s="58">
        <v>2.61</v>
      </c>
      <c r="J232" s="58">
        <v>2.66</v>
      </c>
      <c r="K232" s="58">
        <v>1.94</v>
      </c>
      <c r="L232" s="58">
        <v>2.4900000000000002</v>
      </c>
      <c r="M232" s="58">
        <v>2.64</v>
      </c>
      <c r="N232" s="58">
        <v>2.7</v>
      </c>
      <c r="O232" s="58">
        <v>2.56</v>
      </c>
      <c r="P232" s="58">
        <v>2.77</v>
      </c>
      <c r="Q232" s="58">
        <v>2.7</v>
      </c>
      <c r="R232" s="58">
        <v>2.5</v>
      </c>
      <c r="S232" s="58">
        <v>2.54</v>
      </c>
      <c r="T232" s="58">
        <v>2.63</v>
      </c>
      <c r="U232" s="52">
        <v>3.1</v>
      </c>
      <c r="V232" s="49" t="s">
        <v>820</v>
      </c>
    </row>
    <row r="233" spans="1:22" hidden="1">
      <c r="A233" s="59" t="s">
        <v>1609</v>
      </c>
      <c r="B233" s="59" t="s">
        <v>1608</v>
      </c>
      <c r="C233" s="61" t="s">
        <v>10</v>
      </c>
      <c r="D233" s="61" t="s">
        <v>88</v>
      </c>
      <c r="E233" s="60" t="s">
        <v>10</v>
      </c>
      <c r="F233" s="50" t="s">
        <v>827</v>
      </c>
      <c r="G233" s="50" t="b">
        <v>0</v>
      </c>
      <c r="H233" s="58">
        <v>17.66</v>
      </c>
      <c r="I233" s="58">
        <v>0</v>
      </c>
      <c r="J233" s="58">
        <v>0</v>
      </c>
      <c r="K233" s="58">
        <v>0</v>
      </c>
      <c r="L233" s="58">
        <v>0</v>
      </c>
      <c r="M233" s="58">
        <v>0</v>
      </c>
      <c r="N233" s="58">
        <v>0</v>
      </c>
      <c r="O233" s="58">
        <v>0</v>
      </c>
      <c r="P233" s="58">
        <v>0</v>
      </c>
      <c r="Q233" s="58">
        <v>0</v>
      </c>
      <c r="R233" s="58">
        <v>0</v>
      </c>
      <c r="S233" s="58">
        <v>0</v>
      </c>
      <c r="T233" s="58">
        <v>0</v>
      </c>
      <c r="U233" s="52">
        <v>20</v>
      </c>
      <c r="V233" s="49" t="s">
        <v>820</v>
      </c>
    </row>
    <row r="234" spans="1:22" hidden="1">
      <c r="A234" s="59" t="s">
        <v>1607</v>
      </c>
      <c r="B234" s="59" t="s">
        <v>1606</v>
      </c>
      <c r="C234" s="61" t="s">
        <v>10</v>
      </c>
      <c r="D234" s="61" t="s">
        <v>817</v>
      </c>
      <c r="E234" s="60" t="s">
        <v>10</v>
      </c>
      <c r="F234" s="50" t="s">
        <v>821</v>
      </c>
      <c r="G234" s="50" t="b">
        <v>0</v>
      </c>
      <c r="H234" s="58">
        <v>0</v>
      </c>
      <c r="I234" s="58">
        <v>29.94</v>
      </c>
      <c r="J234" s="58">
        <v>25.56</v>
      </c>
      <c r="K234" s="58">
        <v>33.380000000000003</v>
      </c>
      <c r="L234" s="58">
        <v>27.63</v>
      </c>
      <c r="M234" s="58">
        <v>31.78</v>
      </c>
      <c r="N234" s="58">
        <v>38.83</v>
      </c>
      <c r="O234" s="58">
        <v>40.130000000000003</v>
      </c>
      <c r="P234" s="58">
        <v>37.840000000000003</v>
      </c>
      <c r="Q234" s="58">
        <v>27.15</v>
      </c>
      <c r="R234" s="58">
        <v>28.6</v>
      </c>
      <c r="S234" s="58">
        <v>22.11</v>
      </c>
      <c r="T234" s="58">
        <v>29.78</v>
      </c>
      <c r="U234" s="52">
        <v>63.75</v>
      </c>
      <c r="V234" s="49" t="s">
        <v>820</v>
      </c>
    </row>
    <row r="235" spans="1:22" hidden="1">
      <c r="A235" s="59" t="s">
        <v>1605</v>
      </c>
      <c r="B235" s="59" t="s">
        <v>1604</v>
      </c>
      <c r="C235" s="61" t="s">
        <v>10</v>
      </c>
      <c r="D235" s="61" t="s">
        <v>817</v>
      </c>
      <c r="E235" s="60" t="s">
        <v>10</v>
      </c>
      <c r="F235" s="50" t="s">
        <v>821</v>
      </c>
      <c r="G235" s="50" t="b">
        <v>0</v>
      </c>
      <c r="H235" s="58">
        <v>0</v>
      </c>
      <c r="I235" s="58">
        <v>29.03</v>
      </c>
      <c r="J235" s="58">
        <v>30</v>
      </c>
      <c r="K235" s="58">
        <v>24.97</v>
      </c>
      <c r="L235" s="58">
        <v>24.72</v>
      </c>
      <c r="M235" s="58">
        <v>29.9</v>
      </c>
      <c r="N235" s="58">
        <v>36.81</v>
      </c>
      <c r="O235" s="58">
        <v>38.479999999999997</v>
      </c>
      <c r="P235" s="58">
        <v>35.29</v>
      </c>
      <c r="Q235" s="58">
        <v>30.84</v>
      </c>
      <c r="R235" s="58">
        <v>33.47</v>
      </c>
      <c r="S235" s="58">
        <v>27.53</v>
      </c>
      <c r="T235" s="58">
        <v>26.85</v>
      </c>
      <c r="U235" s="52">
        <v>63.75</v>
      </c>
      <c r="V235" s="49" t="s">
        <v>820</v>
      </c>
    </row>
    <row r="236" spans="1:22" hidden="1">
      <c r="A236" s="59" t="s">
        <v>1603</v>
      </c>
      <c r="B236" s="59" t="s">
        <v>1602</v>
      </c>
      <c r="C236" s="61" t="s">
        <v>10</v>
      </c>
      <c r="D236" s="61" t="s">
        <v>88</v>
      </c>
      <c r="E236" s="60" t="s">
        <v>10</v>
      </c>
      <c r="F236" s="50" t="s">
        <v>894</v>
      </c>
      <c r="G236" s="50" t="b">
        <v>0</v>
      </c>
      <c r="H236" s="58">
        <v>3.04</v>
      </c>
      <c r="I236" s="58">
        <v>0</v>
      </c>
      <c r="J236" s="58">
        <v>0</v>
      </c>
      <c r="K236" s="58">
        <v>0</v>
      </c>
      <c r="L236" s="58">
        <v>0</v>
      </c>
      <c r="M236" s="58">
        <v>0</v>
      </c>
      <c r="N236" s="58">
        <v>0</v>
      </c>
      <c r="O236" s="58">
        <v>0</v>
      </c>
      <c r="P236" s="58">
        <v>0</v>
      </c>
      <c r="Q236" s="58">
        <v>0</v>
      </c>
      <c r="R236" s="58">
        <v>0</v>
      </c>
      <c r="S236" s="58">
        <v>0</v>
      </c>
      <c r="T236" s="58">
        <v>0</v>
      </c>
      <c r="U236" s="52">
        <v>3.04</v>
      </c>
      <c r="V236" s="49" t="s">
        <v>948</v>
      </c>
    </row>
    <row r="237" spans="1:22" hidden="1">
      <c r="A237" s="59" t="s">
        <v>1601</v>
      </c>
      <c r="B237" s="59" t="s">
        <v>1600</v>
      </c>
      <c r="C237" s="61" t="s">
        <v>10</v>
      </c>
      <c r="D237" s="61" t="s">
        <v>32</v>
      </c>
      <c r="E237" s="60" t="s">
        <v>10</v>
      </c>
      <c r="F237" s="50" t="s">
        <v>821</v>
      </c>
      <c r="G237" s="50" t="b">
        <v>0</v>
      </c>
      <c r="H237" s="58">
        <v>0</v>
      </c>
      <c r="I237" s="58">
        <v>24.59</v>
      </c>
      <c r="J237" s="58">
        <v>24.22</v>
      </c>
      <c r="K237" s="58">
        <v>23.89</v>
      </c>
      <c r="L237" s="58">
        <v>20.170000000000002</v>
      </c>
      <c r="M237" s="58">
        <v>24.66</v>
      </c>
      <c r="N237" s="58">
        <v>25.19</v>
      </c>
      <c r="O237" s="58">
        <v>23.91</v>
      </c>
      <c r="P237" s="58">
        <v>24.96</v>
      </c>
      <c r="Q237" s="58">
        <v>23.39</v>
      </c>
      <c r="R237" s="58">
        <v>23.63</v>
      </c>
      <c r="S237" s="58">
        <v>17.829999999999998</v>
      </c>
      <c r="T237" s="58">
        <v>23.37</v>
      </c>
      <c r="U237" s="52">
        <v>32.5</v>
      </c>
      <c r="V237" s="49" t="s">
        <v>820</v>
      </c>
    </row>
    <row r="238" spans="1:22" hidden="1">
      <c r="A238" s="59" t="s">
        <v>1599</v>
      </c>
      <c r="B238" s="59" t="s">
        <v>1598</v>
      </c>
      <c r="C238" s="61" t="s">
        <v>10</v>
      </c>
      <c r="D238" s="61" t="s">
        <v>32</v>
      </c>
      <c r="E238" s="60" t="s">
        <v>10</v>
      </c>
      <c r="F238" s="50" t="s">
        <v>821</v>
      </c>
      <c r="G238" s="50" t="b">
        <v>0</v>
      </c>
      <c r="H238" s="58">
        <v>0</v>
      </c>
      <c r="I238" s="58">
        <v>19.350000000000001</v>
      </c>
      <c r="J238" s="58">
        <v>16.77</v>
      </c>
      <c r="K238" s="58">
        <v>17.43</v>
      </c>
      <c r="L238" s="58">
        <v>18.93</v>
      </c>
      <c r="M238" s="58">
        <v>17.72</v>
      </c>
      <c r="N238" s="58">
        <v>17.79</v>
      </c>
      <c r="O238" s="58">
        <v>18.309999999999999</v>
      </c>
      <c r="P238" s="58">
        <v>18.010000000000002</v>
      </c>
      <c r="Q238" s="58">
        <v>16.78</v>
      </c>
      <c r="R238" s="58">
        <v>12.17</v>
      </c>
      <c r="S238" s="58">
        <v>19.13</v>
      </c>
      <c r="T238" s="58">
        <v>19.170000000000002</v>
      </c>
      <c r="U238" s="52">
        <v>22.8</v>
      </c>
      <c r="V238" s="49" t="s">
        <v>820</v>
      </c>
    </row>
    <row r="239" spans="1:22" hidden="1">
      <c r="A239" s="59" t="s">
        <v>1597</v>
      </c>
      <c r="B239" s="59" t="s">
        <v>1596</v>
      </c>
      <c r="C239" s="61" t="s">
        <v>10</v>
      </c>
      <c r="D239" s="61" t="s">
        <v>32</v>
      </c>
      <c r="E239" s="60" t="s">
        <v>10</v>
      </c>
      <c r="F239" s="50" t="s">
        <v>821</v>
      </c>
      <c r="G239" s="50" t="b">
        <v>0</v>
      </c>
      <c r="H239" s="58">
        <v>0</v>
      </c>
      <c r="I239" s="58">
        <v>18.690000000000001</v>
      </c>
      <c r="J239" s="58">
        <v>18.13</v>
      </c>
      <c r="K239" s="58">
        <v>16.579999999999998</v>
      </c>
      <c r="L239" s="58">
        <v>18.260000000000002</v>
      </c>
      <c r="M239" s="58">
        <v>17.100000000000001</v>
      </c>
      <c r="N239" s="58">
        <v>17.77</v>
      </c>
      <c r="O239" s="58">
        <v>17.829999999999998</v>
      </c>
      <c r="P239" s="58">
        <v>18</v>
      </c>
      <c r="Q239" s="58">
        <v>18.2</v>
      </c>
      <c r="R239" s="58">
        <v>16.670000000000002</v>
      </c>
      <c r="S239" s="58">
        <v>18.87</v>
      </c>
      <c r="T239" s="58">
        <v>16.47</v>
      </c>
      <c r="U239" s="52">
        <v>22.8</v>
      </c>
      <c r="V239" s="49" t="s">
        <v>820</v>
      </c>
    </row>
    <row r="240" spans="1:22" hidden="1">
      <c r="A240" s="59" t="s">
        <v>1595</v>
      </c>
      <c r="B240" s="59" t="s">
        <v>1594</v>
      </c>
      <c r="C240" s="61" t="s">
        <v>10</v>
      </c>
      <c r="D240" s="61" t="s">
        <v>32</v>
      </c>
      <c r="E240" s="60" t="s">
        <v>10</v>
      </c>
      <c r="F240" s="50" t="s">
        <v>821</v>
      </c>
      <c r="G240" s="50" t="b">
        <v>0</v>
      </c>
      <c r="H240" s="58">
        <v>0</v>
      </c>
      <c r="I240" s="58">
        <v>18.239999999999998</v>
      </c>
      <c r="J240" s="58">
        <v>18.350000000000001</v>
      </c>
      <c r="K240" s="58">
        <v>18.86</v>
      </c>
      <c r="L240" s="58">
        <v>16.350000000000001</v>
      </c>
      <c r="M240" s="58">
        <v>17.28</v>
      </c>
      <c r="N240" s="58">
        <v>18.809999999999999</v>
      </c>
      <c r="O240" s="58">
        <v>18.07</v>
      </c>
      <c r="P240" s="58">
        <v>16.940000000000001</v>
      </c>
      <c r="Q240" s="58">
        <v>18.45</v>
      </c>
      <c r="R240" s="58">
        <v>15.14</v>
      </c>
      <c r="S240" s="58">
        <v>17.71</v>
      </c>
      <c r="T240" s="58">
        <v>18.96</v>
      </c>
      <c r="U240" s="52">
        <v>22.8</v>
      </c>
      <c r="V240" s="49" t="s">
        <v>820</v>
      </c>
    </row>
    <row r="241" spans="1:22" hidden="1">
      <c r="A241" s="59" t="s">
        <v>1593</v>
      </c>
      <c r="B241" s="59" t="s">
        <v>1592</v>
      </c>
      <c r="C241" s="61" t="s">
        <v>10</v>
      </c>
      <c r="D241" s="61" t="s">
        <v>32</v>
      </c>
      <c r="E241" s="60" t="s">
        <v>10</v>
      </c>
      <c r="F241" s="50" t="s">
        <v>821</v>
      </c>
      <c r="G241" s="50" t="b">
        <v>0</v>
      </c>
      <c r="H241" s="58">
        <v>0</v>
      </c>
      <c r="I241" s="58">
        <v>18.690000000000001</v>
      </c>
      <c r="J241" s="58">
        <v>16.079999999999998</v>
      </c>
      <c r="K241" s="58">
        <v>17.09</v>
      </c>
      <c r="L241" s="58">
        <v>17.97</v>
      </c>
      <c r="M241" s="58">
        <v>16.37</v>
      </c>
      <c r="N241" s="58">
        <v>18.04</v>
      </c>
      <c r="O241" s="58">
        <v>17.95</v>
      </c>
      <c r="P241" s="58">
        <v>16.77</v>
      </c>
      <c r="Q241" s="58">
        <v>18.03</v>
      </c>
      <c r="R241" s="58">
        <v>16.72</v>
      </c>
      <c r="S241" s="58">
        <v>18.37</v>
      </c>
      <c r="T241" s="58">
        <v>18.36</v>
      </c>
      <c r="U241" s="52">
        <v>22.8</v>
      </c>
      <c r="V241" s="49" t="s">
        <v>820</v>
      </c>
    </row>
    <row r="242" spans="1:22" hidden="1">
      <c r="A242" s="59" t="s">
        <v>1591</v>
      </c>
      <c r="B242" s="59" t="s">
        <v>1590</v>
      </c>
      <c r="C242" s="61" t="s">
        <v>10</v>
      </c>
      <c r="D242" s="61" t="s">
        <v>32</v>
      </c>
      <c r="E242" s="60" t="s">
        <v>10</v>
      </c>
      <c r="F242" s="50" t="s">
        <v>821</v>
      </c>
      <c r="G242" s="50" t="b">
        <v>0</v>
      </c>
      <c r="H242" s="58">
        <v>0</v>
      </c>
      <c r="I242" s="58">
        <v>17.03</v>
      </c>
      <c r="J242" s="58">
        <v>17.73</v>
      </c>
      <c r="K242" s="58">
        <v>18.170000000000002</v>
      </c>
      <c r="L242" s="58">
        <v>18.11</v>
      </c>
      <c r="M242" s="58">
        <v>13.92</v>
      </c>
      <c r="N242" s="58">
        <v>18.52</v>
      </c>
      <c r="O242" s="58">
        <v>18.350000000000001</v>
      </c>
      <c r="P242" s="58">
        <v>17.72</v>
      </c>
      <c r="Q242" s="58">
        <v>18.2</v>
      </c>
      <c r="R242" s="58">
        <v>18.57</v>
      </c>
      <c r="S242" s="58">
        <v>18.649999999999999</v>
      </c>
      <c r="T242" s="58">
        <v>18.53</v>
      </c>
      <c r="U242" s="52">
        <v>22.8</v>
      </c>
      <c r="V242" s="49" t="s">
        <v>820</v>
      </c>
    </row>
    <row r="243" spans="1:22" hidden="1">
      <c r="A243" s="59" t="s">
        <v>1589</v>
      </c>
      <c r="B243" s="59" t="s">
        <v>1588</v>
      </c>
      <c r="C243" s="61" t="s">
        <v>10</v>
      </c>
      <c r="D243" s="61" t="s">
        <v>828</v>
      </c>
      <c r="E243" s="60" t="s">
        <v>10</v>
      </c>
      <c r="F243" s="50" t="s">
        <v>816</v>
      </c>
      <c r="G243" s="50" t="b">
        <v>0</v>
      </c>
      <c r="H243" s="58">
        <v>84.4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58">
        <v>0</v>
      </c>
      <c r="P243" s="58">
        <v>0</v>
      </c>
      <c r="Q243" s="58">
        <v>0</v>
      </c>
      <c r="R243" s="58">
        <v>0</v>
      </c>
      <c r="S243" s="58">
        <v>0</v>
      </c>
      <c r="T243" s="58">
        <v>0</v>
      </c>
      <c r="U243" s="52">
        <v>98.46</v>
      </c>
      <c r="V243" s="49" t="s">
        <v>815</v>
      </c>
    </row>
    <row r="244" spans="1:22" hidden="1">
      <c r="A244" s="59" t="s">
        <v>1587</v>
      </c>
      <c r="B244" s="59" t="s">
        <v>1586</v>
      </c>
      <c r="C244" s="61" t="s">
        <v>10</v>
      </c>
      <c r="D244" s="61" t="s">
        <v>828</v>
      </c>
      <c r="E244" s="60" t="s">
        <v>10</v>
      </c>
      <c r="F244" s="50" t="s">
        <v>821</v>
      </c>
      <c r="G244" s="50" t="b">
        <v>0</v>
      </c>
      <c r="H244" s="58">
        <v>0</v>
      </c>
      <c r="I244" s="58">
        <v>24.09</v>
      </c>
      <c r="J244" s="58">
        <v>23.85</v>
      </c>
      <c r="K244" s="58">
        <v>20.51</v>
      </c>
      <c r="L244" s="58">
        <v>23.92</v>
      </c>
      <c r="M244" s="58">
        <v>24.08</v>
      </c>
      <c r="N244" s="58">
        <v>23.23</v>
      </c>
      <c r="O244" s="58">
        <v>24.46</v>
      </c>
      <c r="P244" s="58">
        <v>24.03</v>
      </c>
      <c r="Q244" s="58">
        <v>23.44</v>
      </c>
      <c r="R244" s="58">
        <v>22.95</v>
      </c>
      <c r="S244" s="58">
        <v>23.95</v>
      </c>
      <c r="T244" s="58">
        <v>24.12</v>
      </c>
      <c r="U244" s="52">
        <v>29.4</v>
      </c>
      <c r="V244" s="49" t="s">
        <v>820</v>
      </c>
    </row>
    <row r="245" spans="1:22" hidden="1">
      <c r="A245" s="59" t="s">
        <v>1585</v>
      </c>
      <c r="B245" s="59" t="s">
        <v>1584</v>
      </c>
      <c r="C245" s="61" t="s">
        <v>10</v>
      </c>
      <c r="D245" s="61" t="s">
        <v>852</v>
      </c>
      <c r="E245" s="60" t="s">
        <v>10</v>
      </c>
      <c r="F245" s="50" t="s">
        <v>851</v>
      </c>
      <c r="G245" s="50" t="b">
        <v>0</v>
      </c>
      <c r="H245" s="58">
        <v>80</v>
      </c>
      <c r="I245" s="58">
        <v>0</v>
      </c>
      <c r="J245" s="58">
        <v>0</v>
      </c>
      <c r="K245" s="58">
        <v>0</v>
      </c>
      <c r="L245" s="58">
        <v>0</v>
      </c>
      <c r="M245" s="58">
        <v>0</v>
      </c>
      <c r="N245" s="58">
        <v>0</v>
      </c>
      <c r="O245" s="58">
        <v>0</v>
      </c>
      <c r="P245" s="58">
        <v>0</v>
      </c>
      <c r="Q245" s="58">
        <v>0</v>
      </c>
      <c r="R245" s="58">
        <v>0</v>
      </c>
      <c r="S245" s="58">
        <v>0</v>
      </c>
      <c r="T245" s="58">
        <v>0</v>
      </c>
      <c r="U245" s="52">
        <v>85</v>
      </c>
      <c r="V245" s="49" t="s">
        <v>815</v>
      </c>
    </row>
    <row r="246" spans="1:22" hidden="1">
      <c r="A246" s="59" t="s">
        <v>1583</v>
      </c>
      <c r="B246" s="59" t="s">
        <v>1582</v>
      </c>
      <c r="C246" s="61" t="s">
        <v>10</v>
      </c>
      <c r="D246" s="61" t="s">
        <v>852</v>
      </c>
      <c r="E246" s="60" t="s">
        <v>10</v>
      </c>
      <c r="F246" s="50" t="s">
        <v>851</v>
      </c>
      <c r="G246" s="50" t="b">
        <v>0</v>
      </c>
      <c r="H246" s="58">
        <v>76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58">
        <v>0</v>
      </c>
      <c r="P246" s="58">
        <v>0</v>
      </c>
      <c r="Q246" s="58">
        <v>0</v>
      </c>
      <c r="R246" s="58">
        <v>0</v>
      </c>
      <c r="S246" s="58">
        <v>0</v>
      </c>
      <c r="T246" s="58">
        <v>0</v>
      </c>
      <c r="U246" s="52">
        <v>82</v>
      </c>
      <c r="V246" s="49" t="s">
        <v>815</v>
      </c>
    </row>
    <row r="247" spans="1:22" hidden="1">
      <c r="A247" s="59" t="s">
        <v>1581</v>
      </c>
      <c r="B247" s="59" t="s">
        <v>1580</v>
      </c>
      <c r="C247" s="61" t="s">
        <v>10</v>
      </c>
      <c r="D247" s="61" t="s">
        <v>852</v>
      </c>
      <c r="E247" s="60" t="s">
        <v>10</v>
      </c>
      <c r="F247" s="50" t="s">
        <v>827</v>
      </c>
      <c r="G247" s="50" t="b">
        <v>0</v>
      </c>
      <c r="H247" s="58">
        <v>0</v>
      </c>
      <c r="I247" s="58">
        <v>1.33</v>
      </c>
      <c r="J247" s="58">
        <v>2.35</v>
      </c>
      <c r="K247" s="58">
        <v>2.33</v>
      </c>
      <c r="L247" s="58">
        <v>1.68</v>
      </c>
      <c r="M247" s="58">
        <v>0.88</v>
      </c>
      <c r="N247" s="58">
        <v>1.68</v>
      </c>
      <c r="O247" s="58">
        <v>1.76</v>
      </c>
      <c r="P247" s="58">
        <v>1.68</v>
      </c>
      <c r="Q247" s="58">
        <v>0.94</v>
      </c>
      <c r="R247" s="58">
        <v>1.42</v>
      </c>
      <c r="S247" s="58">
        <v>1.44</v>
      </c>
      <c r="T247" s="58">
        <v>1.43</v>
      </c>
      <c r="U247" s="52">
        <v>3.75</v>
      </c>
      <c r="V247" s="49" t="s">
        <v>820</v>
      </c>
    </row>
    <row r="248" spans="1:22" hidden="1">
      <c r="A248" s="59" t="s">
        <v>1579</v>
      </c>
      <c r="B248" s="59" t="s">
        <v>1578</v>
      </c>
      <c r="C248" s="61" t="s">
        <v>10</v>
      </c>
      <c r="D248" s="61" t="s">
        <v>828</v>
      </c>
      <c r="E248" s="60" t="s">
        <v>10</v>
      </c>
      <c r="F248" s="50" t="s">
        <v>827</v>
      </c>
      <c r="G248" s="50" t="b">
        <v>0</v>
      </c>
      <c r="H248" s="58">
        <v>0</v>
      </c>
      <c r="I248" s="58">
        <v>136.31</v>
      </c>
      <c r="J248" s="58">
        <v>136.05000000000001</v>
      </c>
      <c r="K248" s="58">
        <v>136.38999999999999</v>
      </c>
      <c r="L248" s="58">
        <v>136.44</v>
      </c>
      <c r="M248" s="58">
        <v>136.88</v>
      </c>
      <c r="N248" s="58">
        <v>139.81</v>
      </c>
      <c r="O248" s="58">
        <v>138.59</v>
      </c>
      <c r="P248" s="58">
        <v>136.30000000000001</v>
      </c>
      <c r="Q248" s="58">
        <v>138.81</v>
      </c>
      <c r="R248" s="58">
        <v>142.9</v>
      </c>
      <c r="S248" s="58">
        <v>140.74</v>
      </c>
      <c r="T248" s="58">
        <v>136.54</v>
      </c>
      <c r="U248" s="52">
        <v>144</v>
      </c>
      <c r="V248" s="49" t="s">
        <v>820</v>
      </c>
    </row>
    <row r="249" spans="1:22" hidden="1">
      <c r="A249" s="59" t="s">
        <v>1577</v>
      </c>
      <c r="B249" s="59" t="s">
        <v>1576</v>
      </c>
      <c r="C249" s="61" t="s">
        <v>10</v>
      </c>
      <c r="D249" s="61" t="s">
        <v>817</v>
      </c>
      <c r="E249" s="60" t="s">
        <v>10</v>
      </c>
      <c r="F249" s="50" t="s">
        <v>827</v>
      </c>
      <c r="G249" s="50" t="b">
        <v>0</v>
      </c>
      <c r="H249" s="58">
        <v>0</v>
      </c>
      <c r="I249" s="58">
        <v>2.93</v>
      </c>
      <c r="J249" s="58">
        <v>4.71</v>
      </c>
      <c r="K249" s="58">
        <v>7.05</v>
      </c>
      <c r="L249" s="58">
        <v>7.18</v>
      </c>
      <c r="M249" s="58">
        <v>7.5</v>
      </c>
      <c r="N249" s="58">
        <v>7.18</v>
      </c>
      <c r="O249" s="58">
        <v>6.06</v>
      </c>
      <c r="P249" s="58">
        <v>6.71</v>
      </c>
      <c r="Q249" s="58">
        <v>7.12</v>
      </c>
      <c r="R249" s="58">
        <v>2.95</v>
      </c>
      <c r="S249" s="58">
        <v>2.2000000000000002</v>
      </c>
      <c r="T249" s="58">
        <v>3.77</v>
      </c>
      <c r="U249" s="52">
        <v>13.5</v>
      </c>
      <c r="V249" s="49" t="s">
        <v>820</v>
      </c>
    </row>
    <row r="250" spans="1:22" hidden="1">
      <c r="A250" s="59" t="s">
        <v>1575</v>
      </c>
      <c r="B250" s="59" t="s">
        <v>1574</v>
      </c>
      <c r="C250" s="61" t="s">
        <v>12</v>
      </c>
      <c r="D250" s="61" t="s">
        <v>47</v>
      </c>
      <c r="E250" s="60" t="s">
        <v>12</v>
      </c>
      <c r="F250" s="50" t="s">
        <v>894</v>
      </c>
      <c r="G250" s="50" t="b">
        <v>0</v>
      </c>
      <c r="H250" s="58">
        <v>100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58">
        <v>0</v>
      </c>
      <c r="P250" s="58">
        <v>0</v>
      </c>
      <c r="Q250" s="58">
        <v>0</v>
      </c>
      <c r="R250" s="58">
        <v>0</v>
      </c>
      <c r="S250" s="58">
        <v>0</v>
      </c>
      <c r="T250" s="58">
        <v>0</v>
      </c>
      <c r="U250" s="52">
        <v>109.01</v>
      </c>
      <c r="V250" s="49" t="s">
        <v>815</v>
      </c>
    </row>
    <row r="251" spans="1:22" hidden="1">
      <c r="A251" s="59" t="s">
        <v>1573</v>
      </c>
      <c r="B251" s="59" t="s">
        <v>1572</v>
      </c>
      <c r="C251" s="61" t="s">
        <v>10</v>
      </c>
      <c r="D251" s="61" t="s">
        <v>88</v>
      </c>
      <c r="E251" s="60" t="s">
        <v>10</v>
      </c>
      <c r="F251" s="50" t="s">
        <v>827</v>
      </c>
      <c r="G251" s="50" t="b">
        <v>0</v>
      </c>
      <c r="H251" s="58">
        <v>0</v>
      </c>
      <c r="I251" s="58">
        <v>4.68</v>
      </c>
      <c r="J251" s="58">
        <v>4.62</v>
      </c>
      <c r="K251" s="58">
        <v>4.43</v>
      </c>
      <c r="L251" s="58">
        <v>3.44</v>
      </c>
      <c r="M251" s="58">
        <v>3.54</v>
      </c>
      <c r="N251" s="58">
        <v>3.49</v>
      </c>
      <c r="O251" s="58">
        <v>3.04</v>
      </c>
      <c r="P251" s="58">
        <v>3</v>
      </c>
      <c r="Q251" s="58">
        <v>2.94</v>
      </c>
      <c r="R251" s="58">
        <v>3.58</v>
      </c>
      <c r="S251" s="58">
        <v>4.29</v>
      </c>
      <c r="T251" s="58">
        <v>4.3</v>
      </c>
      <c r="U251" s="52">
        <v>8.5</v>
      </c>
      <c r="V251" s="49" t="s">
        <v>820</v>
      </c>
    </row>
    <row r="252" spans="1:22" hidden="1">
      <c r="A252" s="59" t="s">
        <v>1571</v>
      </c>
      <c r="B252" s="59" t="s">
        <v>1570</v>
      </c>
      <c r="C252" s="61" t="s">
        <v>10</v>
      </c>
      <c r="D252" s="61" t="s">
        <v>88</v>
      </c>
      <c r="E252" s="60" t="s">
        <v>10</v>
      </c>
      <c r="F252" s="50" t="s">
        <v>827</v>
      </c>
      <c r="G252" s="50" t="b">
        <v>0</v>
      </c>
      <c r="H252" s="58">
        <v>0</v>
      </c>
      <c r="I252" s="58">
        <v>6.18</v>
      </c>
      <c r="J252" s="58">
        <v>6.13</v>
      </c>
      <c r="K252" s="58">
        <v>5.95</v>
      </c>
      <c r="L252" s="58">
        <v>4.9800000000000004</v>
      </c>
      <c r="M252" s="58">
        <v>5.07</v>
      </c>
      <c r="N252" s="58">
        <v>5.01</v>
      </c>
      <c r="O252" s="58">
        <v>4.57</v>
      </c>
      <c r="P252" s="58">
        <v>4.45</v>
      </c>
      <c r="Q252" s="58">
        <v>3.92</v>
      </c>
      <c r="R252" s="58">
        <v>5.01</v>
      </c>
      <c r="S252" s="58">
        <v>5.76</v>
      </c>
      <c r="T252" s="58">
        <v>5.67</v>
      </c>
      <c r="U252" s="52">
        <v>8.5</v>
      </c>
      <c r="V252" s="49" t="s">
        <v>820</v>
      </c>
    </row>
    <row r="253" spans="1:22" hidden="1">
      <c r="A253" s="59" t="s">
        <v>1569</v>
      </c>
      <c r="B253" s="59" t="s">
        <v>1568</v>
      </c>
      <c r="C253" s="61" t="s">
        <v>10</v>
      </c>
      <c r="D253" s="61" t="s">
        <v>88</v>
      </c>
      <c r="E253" s="60" t="s">
        <v>10</v>
      </c>
      <c r="F253" s="50" t="s">
        <v>827</v>
      </c>
      <c r="G253" s="50" t="b">
        <v>0</v>
      </c>
      <c r="H253" s="58">
        <v>0</v>
      </c>
      <c r="I253" s="58">
        <v>2.4900000000000002</v>
      </c>
      <c r="J253" s="58">
        <v>2.5</v>
      </c>
      <c r="K253" s="58">
        <v>2.5</v>
      </c>
      <c r="L253" s="58">
        <v>2.4500000000000002</v>
      </c>
      <c r="M253" s="58">
        <v>2.35</v>
      </c>
      <c r="N253" s="58">
        <v>2.33</v>
      </c>
      <c r="O253" s="58">
        <v>2.31</v>
      </c>
      <c r="P253" s="58">
        <v>2.2799999999999998</v>
      </c>
      <c r="Q253" s="58">
        <v>2.29</v>
      </c>
      <c r="R253" s="58">
        <v>2.3199999999999998</v>
      </c>
      <c r="S253" s="58">
        <v>2.39</v>
      </c>
      <c r="T253" s="58">
        <v>2.38</v>
      </c>
      <c r="U253" s="52">
        <v>7.5</v>
      </c>
      <c r="V253" s="49" t="s">
        <v>820</v>
      </c>
    </row>
    <row r="254" spans="1:22" hidden="1">
      <c r="A254" s="59" t="s">
        <v>1567</v>
      </c>
      <c r="B254" s="59" t="s">
        <v>1566</v>
      </c>
      <c r="C254" s="61" t="s">
        <v>10</v>
      </c>
      <c r="D254" s="61" t="s">
        <v>817</v>
      </c>
      <c r="E254" s="60" t="s">
        <v>10</v>
      </c>
      <c r="F254" s="50" t="s">
        <v>827</v>
      </c>
      <c r="G254" s="50" t="b">
        <v>0</v>
      </c>
      <c r="H254" s="58">
        <v>0</v>
      </c>
      <c r="I254" s="58">
        <v>0</v>
      </c>
      <c r="J254" s="58">
        <v>0.28999999999999998</v>
      </c>
      <c r="K254" s="58">
        <v>1.28</v>
      </c>
      <c r="L254" s="58">
        <v>4.29</v>
      </c>
      <c r="M254" s="58">
        <v>9.11</v>
      </c>
      <c r="N254" s="58">
        <v>1.34</v>
      </c>
      <c r="O254" s="58">
        <v>0</v>
      </c>
      <c r="P254" s="58">
        <v>0</v>
      </c>
      <c r="Q254" s="58">
        <v>0</v>
      </c>
      <c r="R254" s="58">
        <v>0</v>
      </c>
      <c r="S254" s="58">
        <v>0</v>
      </c>
      <c r="T254" s="58">
        <v>0</v>
      </c>
      <c r="U254" s="52">
        <v>18.75</v>
      </c>
      <c r="V254" s="49" t="s">
        <v>820</v>
      </c>
    </row>
    <row r="255" spans="1:22" hidden="1">
      <c r="A255" s="59" t="s">
        <v>1565</v>
      </c>
      <c r="B255" s="59" t="s">
        <v>1564</v>
      </c>
      <c r="C255" s="61" t="s">
        <v>10</v>
      </c>
      <c r="D255" s="61" t="s">
        <v>828</v>
      </c>
      <c r="E255" s="60" t="s">
        <v>10</v>
      </c>
      <c r="F255" s="50" t="s">
        <v>827</v>
      </c>
      <c r="G255" s="50" t="b">
        <v>0</v>
      </c>
      <c r="H255" s="58">
        <v>0</v>
      </c>
      <c r="I255" s="58">
        <v>404</v>
      </c>
      <c r="J255" s="58">
        <v>404</v>
      </c>
      <c r="K255" s="58">
        <v>404</v>
      </c>
      <c r="L255" s="58">
        <v>404</v>
      </c>
      <c r="M255" s="58">
        <v>404</v>
      </c>
      <c r="N255" s="58">
        <v>404</v>
      </c>
      <c r="O255" s="58">
        <v>404</v>
      </c>
      <c r="P255" s="58">
        <v>404</v>
      </c>
      <c r="Q255" s="58">
        <v>404</v>
      </c>
      <c r="R255" s="58">
        <v>404</v>
      </c>
      <c r="S255" s="58">
        <v>404</v>
      </c>
      <c r="T255" s="58">
        <v>404</v>
      </c>
      <c r="U255" s="52">
        <v>407</v>
      </c>
      <c r="V255" s="49" t="s">
        <v>820</v>
      </c>
    </row>
    <row r="256" spans="1:22" hidden="1">
      <c r="A256" s="59" t="s">
        <v>1563</v>
      </c>
      <c r="B256" s="59" t="s">
        <v>1562</v>
      </c>
      <c r="C256" s="61" t="s">
        <v>10</v>
      </c>
      <c r="D256" s="61" t="s">
        <v>828</v>
      </c>
      <c r="E256" s="60" t="s">
        <v>10</v>
      </c>
      <c r="F256" s="50" t="s">
        <v>827</v>
      </c>
      <c r="G256" s="50" t="b">
        <v>0</v>
      </c>
      <c r="H256" s="58">
        <v>0</v>
      </c>
      <c r="I256" s="58">
        <v>404</v>
      </c>
      <c r="J256" s="58">
        <v>404</v>
      </c>
      <c r="K256" s="58">
        <v>404</v>
      </c>
      <c r="L256" s="58">
        <v>404</v>
      </c>
      <c r="M256" s="58">
        <v>404</v>
      </c>
      <c r="N256" s="58">
        <v>404</v>
      </c>
      <c r="O256" s="58">
        <v>404</v>
      </c>
      <c r="P256" s="58">
        <v>404</v>
      </c>
      <c r="Q256" s="58">
        <v>404</v>
      </c>
      <c r="R256" s="58">
        <v>404</v>
      </c>
      <c r="S256" s="58">
        <v>404</v>
      </c>
      <c r="T256" s="58">
        <v>404</v>
      </c>
      <c r="U256" s="52">
        <v>407</v>
      </c>
      <c r="V256" s="49" t="s">
        <v>820</v>
      </c>
    </row>
    <row r="257" spans="1:22" hidden="1">
      <c r="A257" s="59" t="s">
        <v>1561</v>
      </c>
      <c r="B257" s="59" t="s">
        <v>1560</v>
      </c>
      <c r="C257" s="61" t="s">
        <v>10</v>
      </c>
      <c r="D257" s="61" t="s">
        <v>828</v>
      </c>
      <c r="E257" s="60" t="s">
        <v>10</v>
      </c>
      <c r="F257" s="50" t="s">
        <v>827</v>
      </c>
      <c r="G257" s="50" t="b">
        <v>0</v>
      </c>
      <c r="H257" s="58">
        <v>0</v>
      </c>
      <c r="I257" s="58">
        <v>404</v>
      </c>
      <c r="J257" s="58">
        <v>404</v>
      </c>
      <c r="K257" s="58">
        <v>404</v>
      </c>
      <c r="L257" s="58">
        <v>404</v>
      </c>
      <c r="M257" s="58">
        <v>404</v>
      </c>
      <c r="N257" s="58">
        <v>404</v>
      </c>
      <c r="O257" s="58">
        <v>404</v>
      </c>
      <c r="P257" s="58">
        <v>404</v>
      </c>
      <c r="Q257" s="58">
        <v>404</v>
      </c>
      <c r="R257" s="58">
        <v>404</v>
      </c>
      <c r="S257" s="58">
        <v>404</v>
      </c>
      <c r="T257" s="58">
        <v>404</v>
      </c>
      <c r="U257" s="52">
        <v>404</v>
      </c>
      <c r="V257" s="49" t="s">
        <v>820</v>
      </c>
    </row>
    <row r="258" spans="1:22" hidden="1">
      <c r="A258" s="59" t="s">
        <v>1559</v>
      </c>
      <c r="B258" s="59" t="s">
        <v>1558</v>
      </c>
      <c r="C258" s="61" t="s">
        <v>10</v>
      </c>
      <c r="D258" s="61" t="s">
        <v>828</v>
      </c>
      <c r="E258" s="60" t="s">
        <v>10</v>
      </c>
      <c r="F258" s="50" t="s">
        <v>816</v>
      </c>
      <c r="G258" s="50" t="b">
        <v>0</v>
      </c>
      <c r="H258" s="58">
        <v>45.33</v>
      </c>
      <c r="I258" s="58">
        <v>0</v>
      </c>
      <c r="J258" s="58">
        <v>0</v>
      </c>
      <c r="K258" s="58">
        <v>0</v>
      </c>
      <c r="L258" s="58">
        <v>0</v>
      </c>
      <c r="M258" s="58">
        <v>0</v>
      </c>
      <c r="N258" s="58">
        <v>0</v>
      </c>
      <c r="O258" s="58">
        <v>0</v>
      </c>
      <c r="P258" s="58">
        <v>0</v>
      </c>
      <c r="Q258" s="58">
        <v>0</v>
      </c>
      <c r="R258" s="58">
        <v>0</v>
      </c>
      <c r="S258" s="58">
        <v>0</v>
      </c>
      <c r="T258" s="58">
        <v>0</v>
      </c>
      <c r="U258" s="52">
        <v>49.98</v>
      </c>
      <c r="V258" s="49" t="s">
        <v>815</v>
      </c>
    </row>
    <row r="259" spans="1:22" hidden="1">
      <c r="A259" s="59" t="s">
        <v>1557</v>
      </c>
      <c r="B259" s="59" t="s">
        <v>1556</v>
      </c>
      <c r="C259" s="61" t="s">
        <v>10</v>
      </c>
      <c r="D259" s="61" t="s">
        <v>828</v>
      </c>
      <c r="E259" s="60" t="s">
        <v>10</v>
      </c>
      <c r="F259" s="50" t="s">
        <v>816</v>
      </c>
      <c r="G259" s="50" t="b">
        <v>0</v>
      </c>
      <c r="H259" s="58">
        <v>45.23</v>
      </c>
      <c r="I259" s="58">
        <v>0</v>
      </c>
      <c r="J259" s="58">
        <v>0</v>
      </c>
      <c r="K259" s="58">
        <v>0</v>
      </c>
      <c r="L259" s="58">
        <v>0</v>
      </c>
      <c r="M259" s="58">
        <v>0</v>
      </c>
      <c r="N259" s="58">
        <v>0</v>
      </c>
      <c r="O259" s="58">
        <v>0</v>
      </c>
      <c r="P259" s="58">
        <v>0</v>
      </c>
      <c r="Q259" s="58">
        <v>0</v>
      </c>
      <c r="R259" s="58">
        <v>0</v>
      </c>
      <c r="S259" s="58">
        <v>0</v>
      </c>
      <c r="T259" s="58">
        <v>0</v>
      </c>
      <c r="U259" s="52">
        <v>49.42</v>
      </c>
      <c r="V259" s="49" t="s">
        <v>815</v>
      </c>
    </row>
    <row r="260" spans="1:22" hidden="1">
      <c r="A260" s="59" t="s">
        <v>1555</v>
      </c>
      <c r="B260" s="59" t="s">
        <v>1554</v>
      </c>
      <c r="C260" s="61" t="s">
        <v>10</v>
      </c>
      <c r="D260" s="61" t="s">
        <v>32</v>
      </c>
      <c r="E260" s="60" t="s">
        <v>10</v>
      </c>
      <c r="F260" s="50" t="s">
        <v>824</v>
      </c>
      <c r="G260" s="50" t="b">
        <v>0</v>
      </c>
      <c r="H260" s="58">
        <v>0</v>
      </c>
      <c r="I260" s="58">
        <v>2.09</v>
      </c>
      <c r="J260" s="58">
        <v>2.1</v>
      </c>
      <c r="K260" s="58">
        <v>2.17</v>
      </c>
      <c r="L260" s="58">
        <v>2.04</v>
      </c>
      <c r="M260" s="58">
        <v>2.04</v>
      </c>
      <c r="N260" s="58">
        <v>2.04</v>
      </c>
      <c r="O260" s="58">
        <v>1.9</v>
      </c>
      <c r="P260" s="58">
        <v>2.0699999999999998</v>
      </c>
      <c r="Q260" s="58">
        <v>2.04</v>
      </c>
      <c r="R260" s="58">
        <v>1.74</v>
      </c>
      <c r="S260" s="58">
        <v>2.02</v>
      </c>
      <c r="T260" s="58">
        <v>2.1</v>
      </c>
      <c r="U260" s="52">
        <v>3.7</v>
      </c>
      <c r="V260" s="49" t="s">
        <v>820</v>
      </c>
    </row>
    <row r="261" spans="1:22" hidden="1">
      <c r="A261" s="59" t="s">
        <v>1553</v>
      </c>
      <c r="B261" s="59" t="s">
        <v>1552</v>
      </c>
      <c r="C261" s="61" t="s">
        <v>12</v>
      </c>
      <c r="D261" s="61" t="s">
        <v>88</v>
      </c>
      <c r="E261" s="60" t="s">
        <v>12</v>
      </c>
      <c r="F261" s="50" t="s">
        <v>894</v>
      </c>
      <c r="G261" s="50" t="b">
        <v>0</v>
      </c>
      <c r="H261" s="58">
        <v>746</v>
      </c>
      <c r="I261" s="58">
        <v>0</v>
      </c>
      <c r="J261" s="58">
        <v>0</v>
      </c>
      <c r="K261" s="58">
        <v>0</v>
      </c>
      <c r="L261" s="58">
        <v>0</v>
      </c>
      <c r="M261" s="58">
        <v>0</v>
      </c>
      <c r="N261" s="58">
        <v>0</v>
      </c>
      <c r="O261" s="58">
        <v>0</v>
      </c>
      <c r="P261" s="58">
        <v>0</v>
      </c>
      <c r="Q261" s="58">
        <v>0</v>
      </c>
      <c r="R261" s="58">
        <v>0</v>
      </c>
      <c r="S261" s="58">
        <v>0</v>
      </c>
      <c r="T261" s="58">
        <v>0</v>
      </c>
      <c r="U261" s="52">
        <v>830</v>
      </c>
      <c r="V261" s="49" t="s">
        <v>815</v>
      </c>
    </row>
    <row r="262" spans="1:22">
      <c r="A262" s="59" t="s">
        <v>1551</v>
      </c>
      <c r="B262" s="59" t="s">
        <v>1551</v>
      </c>
      <c r="C262" s="61" t="s">
        <v>10</v>
      </c>
      <c r="D262" s="61" t="s">
        <v>817</v>
      </c>
      <c r="E262" s="60" t="s">
        <v>10</v>
      </c>
      <c r="F262" s="50" t="s">
        <v>872</v>
      </c>
      <c r="G262" s="50" t="b">
        <v>0</v>
      </c>
      <c r="H262" s="58">
        <v>0</v>
      </c>
      <c r="I262" s="58">
        <v>0.27</v>
      </c>
      <c r="J262" s="58">
        <v>1.1000000000000001</v>
      </c>
      <c r="K262" s="58">
        <v>1.03</v>
      </c>
      <c r="L262" s="58">
        <v>0.93</v>
      </c>
      <c r="M262" s="58">
        <v>0.88</v>
      </c>
      <c r="N262" s="58">
        <v>0.34</v>
      </c>
      <c r="O262" s="58">
        <v>0.04</v>
      </c>
      <c r="P262" s="58">
        <v>0.04</v>
      </c>
      <c r="Q262" s="58">
        <v>0.03</v>
      </c>
      <c r="R262" s="58">
        <v>7.0000000000000007E-2</v>
      </c>
      <c r="S262" s="58">
        <v>0.3</v>
      </c>
      <c r="T262" s="58">
        <v>0.38</v>
      </c>
      <c r="U262" s="52">
        <v>2</v>
      </c>
      <c r="V262" s="49" t="s">
        <v>820</v>
      </c>
    </row>
    <row r="263" spans="1:22" hidden="1">
      <c r="A263" s="59" t="s">
        <v>1550</v>
      </c>
      <c r="B263" s="59" t="s">
        <v>1549</v>
      </c>
      <c r="C263" s="61" t="s">
        <v>12</v>
      </c>
      <c r="D263" s="61" t="s">
        <v>47</v>
      </c>
      <c r="E263" s="60" t="s">
        <v>12</v>
      </c>
      <c r="F263" s="50" t="s">
        <v>821</v>
      </c>
      <c r="G263" s="50" t="b">
        <v>0</v>
      </c>
      <c r="H263" s="58">
        <v>0</v>
      </c>
      <c r="I263" s="58">
        <v>26.39</v>
      </c>
      <c r="J263" s="58">
        <v>26.42</v>
      </c>
      <c r="K263" s="58">
        <v>28.29</v>
      </c>
      <c r="L263" s="58">
        <v>27.82</v>
      </c>
      <c r="M263" s="58">
        <v>27.88</v>
      </c>
      <c r="N263" s="58">
        <v>27.87</v>
      </c>
      <c r="O263" s="58">
        <v>27.55</v>
      </c>
      <c r="P263" s="58">
        <v>22.67</v>
      </c>
      <c r="Q263" s="58">
        <v>12.78</v>
      </c>
      <c r="R263" s="58">
        <v>15.76</v>
      </c>
      <c r="S263" s="58">
        <v>28.68</v>
      </c>
      <c r="T263" s="58">
        <v>22.97</v>
      </c>
      <c r="U263" s="52">
        <v>29</v>
      </c>
      <c r="V263" s="49" t="s">
        <v>820</v>
      </c>
    </row>
    <row r="264" spans="1:22" hidden="1">
      <c r="A264" s="59" t="s">
        <v>1548</v>
      </c>
      <c r="B264" s="59" t="s">
        <v>1548</v>
      </c>
      <c r="C264" s="61" t="s">
        <v>12</v>
      </c>
      <c r="D264" s="61" t="s">
        <v>47</v>
      </c>
      <c r="E264" s="60" t="s">
        <v>12</v>
      </c>
      <c r="F264" s="50" t="s">
        <v>816</v>
      </c>
      <c r="G264" s="50" t="b">
        <v>0</v>
      </c>
      <c r="H264" s="58">
        <v>65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58">
        <v>0</v>
      </c>
      <c r="P264" s="58">
        <v>0</v>
      </c>
      <c r="Q264" s="58">
        <v>0</v>
      </c>
      <c r="R264" s="58">
        <v>0</v>
      </c>
      <c r="S264" s="58">
        <v>0</v>
      </c>
      <c r="T264" s="58">
        <v>0</v>
      </c>
      <c r="U264" s="52">
        <v>65</v>
      </c>
      <c r="V264" s="49" t="s">
        <v>815</v>
      </c>
    </row>
    <row r="265" spans="1:22" hidden="1">
      <c r="A265" s="59" t="s">
        <v>1547</v>
      </c>
      <c r="B265" s="59" t="s">
        <v>1547</v>
      </c>
      <c r="C265" s="61" t="s">
        <v>12</v>
      </c>
      <c r="D265" s="61" t="s">
        <v>47</v>
      </c>
      <c r="E265" s="60" t="s">
        <v>12</v>
      </c>
      <c r="F265" s="50" t="s">
        <v>816</v>
      </c>
      <c r="G265" s="50" t="b">
        <v>0</v>
      </c>
      <c r="H265" s="58">
        <v>65</v>
      </c>
      <c r="I265" s="58">
        <v>0</v>
      </c>
      <c r="J265" s="58">
        <v>0</v>
      </c>
      <c r="K265" s="58">
        <v>0</v>
      </c>
      <c r="L265" s="58">
        <v>0</v>
      </c>
      <c r="M265" s="58">
        <v>0</v>
      </c>
      <c r="N265" s="58">
        <v>0</v>
      </c>
      <c r="O265" s="58">
        <v>0</v>
      </c>
      <c r="P265" s="58">
        <v>0</v>
      </c>
      <c r="Q265" s="58">
        <v>0</v>
      </c>
      <c r="R265" s="58">
        <v>0</v>
      </c>
      <c r="S265" s="58">
        <v>0</v>
      </c>
      <c r="T265" s="58">
        <v>0</v>
      </c>
      <c r="U265" s="52">
        <v>65</v>
      </c>
      <c r="V265" s="49" t="s">
        <v>815</v>
      </c>
    </row>
    <row r="266" spans="1:22" hidden="1">
      <c r="A266" s="59" t="s">
        <v>1546</v>
      </c>
      <c r="B266" s="59" t="s">
        <v>1546</v>
      </c>
      <c r="C266" s="61" t="s">
        <v>12</v>
      </c>
      <c r="D266" s="61" t="s">
        <v>47</v>
      </c>
      <c r="E266" s="60" t="s">
        <v>12</v>
      </c>
      <c r="F266" s="50" t="s">
        <v>816</v>
      </c>
      <c r="G266" s="50" t="b">
        <v>0</v>
      </c>
      <c r="H266" s="58">
        <v>65</v>
      </c>
      <c r="I266" s="58">
        <v>0</v>
      </c>
      <c r="J266" s="58">
        <v>0</v>
      </c>
      <c r="K266" s="58">
        <v>0</v>
      </c>
      <c r="L266" s="58">
        <v>0</v>
      </c>
      <c r="M266" s="58">
        <v>0</v>
      </c>
      <c r="N266" s="58">
        <v>0</v>
      </c>
      <c r="O266" s="58">
        <v>0</v>
      </c>
      <c r="P266" s="58">
        <v>0</v>
      </c>
      <c r="Q266" s="58">
        <v>0</v>
      </c>
      <c r="R266" s="58">
        <v>0</v>
      </c>
      <c r="S266" s="58">
        <v>0</v>
      </c>
      <c r="T266" s="58">
        <v>0</v>
      </c>
      <c r="U266" s="52">
        <v>65</v>
      </c>
      <c r="V266" s="49" t="s">
        <v>815</v>
      </c>
    </row>
    <row r="267" spans="1:22" hidden="1">
      <c r="A267" s="59" t="s">
        <v>1545</v>
      </c>
      <c r="B267" s="59" t="s">
        <v>1545</v>
      </c>
      <c r="C267" s="61" t="s">
        <v>12</v>
      </c>
      <c r="D267" s="61" t="s">
        <v>47</v>
      </c>
      <c r="E267" s="60" t="s">
        <v>12</v>
      </c>
      <c r="F267" s="50" t="s">
        <v>816</v>
      </c>
      <c r="G267" s="50" t="b">
        <v>0</v>
      </c>
      <c r="H267" s="58">
        <v>65</v>
      </c>
      <c r="I267" s="58">
        <v>0</v>
      </c>
      <c r="J267" s="58">
        <v>0</v>
      </c>
      <c r="K267" s="58">
        <v>0</v>
      </c>
      <c r="L267" s="58">
        <v>0</v>
      </c>
      <c r="M267" s="58">
        <v>0</v>
      </c>
      <c r="N267" s="58">
        <v>0</v>
      </c>
      <c r="O267" s="58">
        <v>0</v>
      </c>
      <c r="P267" s="58">
        <v>0</v>
      </c>
      <c r="Q267" s="58">
        <v>0</v>
      </c>
      <c r="R267" s="58">
        <v>0</v>
      </c>
      <c r="S267" s="58">
        <v>0</v>
      </c>
      <c r="T267" s="58">
        <v>0</v>
      </c>
      <c r="U267" s="52">
        <v>65</v>
      </c>
      <c r="V267" s="49" t="s">
        <v>815</v>
      </c>
    </row>
    <row r="268" spans="1:22" hidden="1">
      <c r="A268" s="59" t="s">
        <v>1544</v>
      </c>
      <c r="B268" s="59" t="s">
        <v>1543</v>
      </c>
      <c r="C268" s="61" t="s">
        <v>12</v>
      </c>
      <c r="D268" s="61" t="s">
        <v>47</v>
      </c>
      <c r="E268" s="60" t="s">
        <v>12</v>
      </c>
      <c r="F268" s="50" t="s">
        <v>824</v>
      </c>
      <c r="G268" s="50" t="b">
        <v>0</v>
      </c>
      <c r="H268" s="58">
        <v>0</v>
      </c>
      <c r="I268" s="58">
        <v>26.81</v>
      </c>
      <c r="J268" s="58">
        <v>25.81</v>
      </c>
      <c r="K268" s="58">
        <v>27.82</v>
      </c>
      <c r="L268" s="58">
        <v>25.19</v>
      </c>
      <c r="M268" s="58">
        <v>22.18</v>
      </c>
      <c r="N268" s="58">
        <v>27.15</v>
      </c>
      <c r="O268" s="58">
        <v>29.37</v>
      </c>
      <c r="P268" s="58">
        <v>27.67</v>
      </c>
      <c r="Q268" s="58">
        <v>28.71</v>
      </c>
      <c r="R268" s="58">
        <v>26.94</v>
      </c>
      <c r="S268" s="58">
        <v>25.58</v>
      </c>
      <c r="T268" s="58">
        <v>25.79</v>
      </c>
      <c r="U268" s="52">
        <v>38.909999999999997</v>
      </c>
      <c r="V268" s="49" t="s">
        <v>820</v>
      </c>
    </row>
    <row r="269" spans="1:22" hidden="1">
      <c r="A269" s="59" t="s">
        <v>1542</v>
      </c>
      <c r="B269" s="59" t="s">
        <v>1541</v>
      </c>
      <c r="C269" s="61" t="s">
        <v>10</v>
      </c>
      <c r="D269" s="61" t="s">
        <v>852</v>
      </c>
      <c r="E269" s="60" t="s">
        <v>10</v>
      </c>
      <c r="F269" s="50" t="s">
        <v>824</v>
      </c>
      <c r="G269" s="50" t="b">
        <v>0</v>
      </c>
      <c r="H269" s="58">
        <v>0</v>
      </c>
      <c r="I269" s="58">
        <v>0.95</v>
      </c>
      <c r="J269" s="58">
        <v>0.83</v>
      </c>
      <c r="K269" s="58">
        <v>0.99</v>
      </c>
      <c r="L269" s="58">
        <v>0.91</v>
      </c>
      <c r="M269" s="58">
        <v>0.89</v>
      </c>
      <c r="N269" s="58">
        <v>1.04</v>
      </c>
      <c r="O269" s="58">
        <v>1.07</v>
      </c>
      <c r="P269" s="58">
        <v>1.04</v>
      </c>
      <c r="Q269" s="58">
        <v>0.97</v>
      </c>
      <c r="R269" s="58">
        <v>0.81</v>
      </c>
      <c r="S269" s="58">
        <v>0.76</v>
      </c>
      <c r="T269" s="58">
        <v>0.82</v>
      </c>
      <c r="U269" s="52">
        <v>2.5</v>
      </c>
      <c r="V269" s="49" t="s">
        <v>820</v>
      </c>
    </row>
    <row r="270" spans="1:22" hidden="1">
      <c r="A270" s="59" t="s">
        <v>1540</v>
      </c>
      <c r="B270" s="59" t="s">
        <v>1539</v>
      </c>
      <c r="C270" s="61" t="s">
        <v>10</v>
      </c>
      <c r="D270" s="61" t="s">
        <v>88</v>
      </c>
      <c r="E270" s="60" t="s">
        <v>10</v>
      </c>
      <c r="F270" s="50" t="s">
        <v>827</v>
      </c>
      <c r="G270" s="50" t="b">
        <v>0</v>
      </c>
      <c r="H270" s="58">
        <v>0</v>
      </c>
      <c r="I270" s="58">
        <v>0.73</v>
      </c>
      <c r="J270" s="58">
        <v>0.95</v>
      </c>
      <c r="K270" s="58">
        <v>1.01</v>
      </c>
      <c r="L270" s="58">
        <v>2.1</v>
      </c>
      <c r="M270" s="58">
        <v>1.06</v>
      </c>
      <c r="N270" s="58">
        <v>1.08</v>
      </c>
      <c r="O270" s="58">
        <v>4.9000000000000004</v>
      </c>
      <c r="P270" s="58">
        <v>4.9000000000000004</v>
      </c>
      <c r="Q270" s="58">
        <v>0.54</v>
      </c>
      <c r="R270" s="58">
        <v>0.67</v>
      </c>
      <c r="S270" s="58">
        <v>0.73</v>
      </c>
      <c r="T270" s="58">
        <v>0.7</v>
      </c>
      <c r="U270" s="52">
        <v>4.9000000000000004</v>
      </c>
      <c r="V270" s="49" t="s">
        <v>820</v>
      </c>
    </row>
    <row r="271" spans="1:22" hidden="1">
      <c r="A271" s="59" t="s">
        <v>1538</v>
      </c>
      <c r="B271" s="59" t="s">
        <v>63</v>
      </c>
      <c r="C271" s="61" t="s">
        <v>12</v>
      </c>
      <c r="D271" s="61" t="s">
        <v>47</v>
      </c>
      <c r="E271" s="60" t="s">
        <v>12</v>
      </c>
      <c r="F271" s="50" t="s">
        <v>894</v>
      </c>
      <c r="G271" s="50" t="b">
        <v>1</v>
      </c>
      <c r="H271" s="58">
        <v>225.75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58">
        <v>0</v>
      </c>
      <c r="P271" s="58">
        <v>0</v>
      </c>
      <c r="Q271" s="58">
        <v>0</v>
      </c>
      <c r="R271" s="58">
        <v>0</v>
      </c>
      <c r="S271" s="58">
        <v>0</v>
      </c>
      <c r="T271" s="58">
        <v>0</v>
      </c>
      <c r="U271" s="52">
        <v>225.75</v>
      </c>
      <c r="V271" s="49" t="s">
        <v>815</v>
      </c>
    </row>
    <row r="272" spans="1:22" hidden="1">
      <c r="A272" s="59" t="s">
        <v>1537</v>
      </c>
      <c r="B272" s="59" t="s">
        <v>64</v>
      </c>
      <c r="C272" s="61" t="s">
        <v>12</v>
      </c>
      <c r="D272" s="61" t="s">
        <v>47</v>
      </c>
      <c r="E272" s="60" t="s">
        <v>12</v>
      </c>
      <c r="F272" s="50" t="s">
        <v>894</v>
      </c>
      <c r="G272" s="50" t="b">
        <v>1</v>
      </c>
      <c r="H272" s="58">
        <v>225.8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58">
        <v>0</v>
      </c>
      <c r="P272" s="58">
        <v>0</v>
      </c>
      <c r="Q272" s="58">
        <v>0</v>
      </c>
      <c r="R272" s="58">
        <v>0</v>
      </c>
      <c r="S272" s="58">
        <v>0</v>
      </c>
      <c r="T272" s="58">
        <v>0</v>
      </c>
      <c r="U272" s="52">
        <v>225.8</v>
      </c>
      <c r="V272" s="49" t="s">
        <v>815</v>
      </c>
    </row>
    <row r="273" spans="1:22" hidden="1">
      <c r="A273" s="59" t="s">
        <v>1536</v>
      </c>
      <c r="B273" s="59" t="s">
        <v>46</v>
      </c>
      <c r="C273" s="61" t="s">
        <v>12</v>
      </c>
      <c r="D273" s="61" t="s">
        <v>47</v>
      </c>
      <c r="E273" s="60" t="s">
        <v>12</v>
      </c>
      <c r="F273" s="50" t="s">
        <v>894</v>
      </c>
      <c r="G273" s="50" t="b">
        <v>1</v>
      </c>
      <c r="H273" s="58">
        <v>225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58">
        <v>0</v>
      </c>
      <c r="P273" s="58">
        <v>0</v>
      </c>
      <c r="Q273" s="58">
        <v>0</v>
      </c>
      <c r="R273" s="58">
        <v>0</v>
      </c>
      <c r="S273" s="58">
        <v>0</v>
      </c>
      <c r="T273" s="58">
        <v>0</v>
      </c>
      <c r="U273" s="52">
        <v>225</v>
      </c>
      <c r="V273" s="49" t="s">
        <v>815</v>
      </c>
    </row>
    <row r="274" spans="1:22" hidden="1">
      <c r="A274" s="59" t="s">
        <v>1535</v>
      </c>
      <c r="B274" s="59" t="s">
        <v>48</v>
      </c>
      <c r="C274" s="61" t="s">
        <v>12</v>
      </c>
      <c r="D274" s="61" t="s">
        <v>47</v>
      </c>
      <c r="E274" s="60" t="s">
        <v>12</v>
      </c>
      <c r="F274" s="50" t="s">
        <v>894</v>
      </c>
      <c r="G274" s="50" t="b">
        <v>1</v>
      </c>
      <c r="H274" s="58">
        <v>227</v>
      </c>
      <c r="I274" s="58">
        <v>0</v>
      </c>
      <c r="J274" s="58">
        <v>0</v>
      </c>
      <c r="K274" s="58">
        <v>0</v>
      </c>
      <c r="L274" s="58">
        <v>0</v>
      </c>
      <c r="M274" s="58">
        <v>0</v>
      </c>
      <c r="N274" s="58">
        <v>0</v>
      </c>
      <c r="O274" s="58">
        <v>0</v>
      </c>
      <c r="P274" s="58">
        <v>0</v>
      </c>
      <c r="Q274" s="58">
        <v>0</v>
      </c>
      <c r="R274" s="58">
        <v>0</v>
      </c>
      <c r="S274" s="58">
        <v>0</v>
      </c>
      <c r="T274" s="58">
        <v>0</v>
      </c>
      <c r="U274" s="52">
        <v>227</v>
      </c>
      <c r="V274" s="49" t="s">
        <v>815</v>
      </c>
    </row>
    <row r="275" spans="1:22" hidden="1">
      <c r="A275" s="59" t="s">
        <v>1534</v>
      </c>
      <c r="B275" s="59" t="s">
        <v>1533</v>
      </c>
      <c r="C275" s="61" t="s">
        <v>12</v>
      </c>
      <c r="D275" s="61" t="s">
        <v>88</v>
      </c>
      <c r="E275" s="60" t="s">
        <v>12</v>
      </c>
      <c r="F275" s="50" t="s">
        <v>821</v>
      </c>
      <c r="G275" s="50" t="b">
        <v>0</v>
      </c>
      <c r="H275" s="58">
        <v>0</v>
      </c>
      <c r="I275" s="58">
        <v>24.26</v>
      </c>
      <c r="J275" s="58">
        <v>24.06</v>
      </c>
      <c r="K275" s="58">
        <v>21.37</v>
      </c>
      <c r="L275" s="58">
        <v>23.89</v>
      </c>
      <c r="M275" s="58">
        <v>23.67</v>
      </c>
      <c r="N275" s="58">
        <v>23.3</v>
      </c>
      <c r="O275" s="58">
        <v>20.34</v>
      </c>
      <c r="P275" s="58">
        <v>20.81</v>
      </c>
      <c r="Q275" s="58">
        <v>20.79</v>
      </c>
      <c r="R275" s="58">
        <v>17.059999999999999</v>
      </c>
      <c r="S275" s="58">
        <v>17.329999999999998</v>
      </c>
      <c r="T275" s="58">
        <v>25.52</v>
      </c>
      <c r="U275" s="52">
        <v>48.2</v>
      </c>
      <c r="V275" s="49" t="s">
        <v>820</v>
      </c>
    </row>
    <row r="276" spans="1:22" hidden="1">
      <c r="A276" s="59" t="s">
        <v>1532</v>
      </c>
      <c r="B276" s="59" t="s">
        <v>1531</v>
      </c>
      <c r="C276" s="61" t="s">
        <v>12</v>
      </c>
      <c r="D276" s="61" t="s">
        <v>88</v>
      </c>
      <c r="E276" s="60" t="s">
        <v>12</v>
      </c>
      <c r="F276" s="50" t="s">
        <v>821</v>
      </c>
      <c r="G276" s="50" t="b">
        <v>0</v>
      </c>
      <c r="H276" s="58">
        <v>0</v>
      </c>
      <c r="I276" s="58">
        <v>47.11</v>
      </c>
      <c r="J276" s="58">
        <v>47.46</v>
      </c>
      <c r="K276" s="58">
        <v>45.15</v>
      </c>
      <c r="L276" s="58">
        <v>36.71</v>
      </c>
      <c r="M276" s="58">
        <v>40.54</v>
      </c>
      <c r="N276" s="58">
        <v>51.29</v>
      </c>
      <c r="O276" s="58">
        <v>49.89</v>
      </c>
      <c r="P276" s="58">
        <v>49.27</v>
      </c>
      <c r="Q276" s="58">
        <v>50.07</v>
      </c>
      <c r="R276" s="58">
        <v>44.02</v>
      </c>
      <c r="S276" s="58">
        <v>35.700000000000003</v>
      </c>
      <c r="T276" s="58">
        <v>34.79</v>
      </c>
      <c r="U276" s="52">
        <v>62.54</v>
      </c>
      <c r="V276" s="49" t="s">
        <v>820</v>
      </c>
    </row>
    <row r="277" spans="1:22" hidden="1">
      <c r="A277" s="59" t="s">
        <v>1530</v>
      </c>
      <c r="B277" s="59" t="s">
        <v>1529</v>
      </c>
      <c r="C277" s="61" t="s">
        <v>10</v>
      </c>
      <c r="D277" s="61" t="s">
        <v>33</v>
      </c>
      <c r="E277" s="60" t="s">
        <v>10</v>
      </c>
      <c r="F277" s="50" t="s">
        <v>816</v>
      </c>
      <c r="G277" s="50" t="b">
        <v>0</v>
      </c>
      <c r="H277" s="58">
        <v>15</v>
      </c>
      <c r="I277" s="58">
        <v>0</v>
      </c>
      <c r="J277" s="58">
        <v>0</v>
      </c>
      <c r="K277" s="58">
        <v>0</v>
      </c>
      <c r="L277" s="58">
        <v>0</v>
      </c>
      <c r="M277" s="58">
        <v>0</v>
      </c>
      <c r="N277" s="58">
        <v>0</v>
      </c>
      <c r="O277" s="58">
        <v>0</v>
      </c>
      <c r="P277" s="58">
        <v>0</v>
      </c>
      <c r="Q277" s="58">
        <v>0</v>
      </c>
      <c r="R277" s="58">
        <v>0</v>
      </c>
      <c r="S277" s="58">
        <v>0</v>
      </c>
      <c r="T277" s="58">
        <v>0</v>
      </c>
      <c r="U277" s="52">
        <v>15</v>
      </c>
      <c r="V277" s="49" t="s">
        <v>815</v>
      </c>
    </row>
    <row r="278" spans="1:22" hidden="1">
      <c r="A278" s="59" t="s">
        <v>1528</v>
      </c>
      <c r="B278" s="59" t="s">
        <v>1527</v>
      </c>
      <c r="C278" s="61" t="s">
        <v>10</v>
      </c>
      <c r="D278" s="61" t="s">
        <v>33</v>
      </c>
      <c r="E278" s="60" t="s">
        <v>10</v>
      </c>
      <c r="F278" s="50" t="s">
        <v>816</v>
      </c>
      <c r="G278" s="50" t="b">
        <v>0</v>
      </c>
      <c r="H278" s="58">
        <v>15</v>
      </c>
      <c r="I278" s="58">
        <v>0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0</v>
      </c>
      <c r="P278" s="58">
        <v>0</v>
      </c>
      <c r="Q278" s="58">
        <v>0</v>
      </c>
      <c r="R278" s="58">
        <v>0</v>
      </c>
      <c r="S278" s="58">
        <v>0</v>
      </c>
      <c r="T278" s="58">
        <v>0</v>
      </c>
      <c r="U278" s="52">
        <v>15</v>
      </c>
      <c r="V278" s="49" t="s">
        <v>815</v>
      </c>
    </row>
    <row r="279" spans="1:22" hidden="1">
      <c r="A279" s="59" t="s">
        <v>1526</v>
      </c>
      <c r="B279" s="59" t="s">
        <v>1525</v>
      </c>
      <c r="C279" s="61" t="s">
        <v>10</v>
      </c>
      <c r="D279" s="61" t="s">
        <v>33</v>
      </c>
      <c r="E279" s="60" t="s">
        <v>10</v>
      </c>
      <c r="F279" s="50" t="s">
        <v>894</v>
      </c>
      <c r="G279" s="50" t="b">
        <v>0</v>
      </c>
      <c r="H279" s="58">
        <v>52</v>
      </c>
      <c r="I279" s="58">
        <v>0</v>
      </c>
      <c r="J279" s="58">
        <v>0</v>
      </c>
      <c r="K279" s="58">
        <v>0</v>
      </c>
      <c r="L279" s="58">
        <v>0</v>
      </c>
      <c r="M279" s="58">
        <v>0</v>
      </c>
      <c r="N279" s="58">
        <v>0</v>
      </c>
      <c r="O279" s="58">
        <v>0</v>
      </c>
      <c r="P279" s="58">
        <v>0</v>
      </c>
      <c r="Q279" s="58">
        <v>0</v>
      </c>
      <c r="R279" s="58">
        <v>0</v>
      </c>
      <c r="S279" s="58">
        <v>0</v>
      </c>
      <c r="T279" s="58">
        <v>0</v>
      </c>
      <c r="U279" s="52">
        <v>52</v>
      </c>
      <c r="V279" s="49" t="s">
        <v>815</v>
      </c>
    </row>
    <row r="280" spans="1:22" hidden="1">
      <c r="A280" s="59" t="s">
        <v>1524</v>
      </c>
      <c r="B280" s="59" t="s">
        <v>1523</v>
      </c>
      <c r="C280" s="61" t="s">
        <v>10</v>
      </c>
      <c r="D280" s="61" t="s">
        <v>33</v>
      </c>
      <c r="E280" s="60" t="s">
        <v>10</v>
      </c>
      <c r="F280" s="50" t="s">
        <v>894</v>
      </c>
      <c r="G280" s="50" t="b">
        <v>0</v>
      </c>
      <c r="H280" s="58">
        <v>53</v>
      </c>
      <c r="I280" s="58">
        <v>0</v>
      </c>
      <c r="J280" s="58">
        <v>0</v>
      </c>
      <c r="K280" s="58">
        <v>0</v>
      </c>
      <c r="L280" s="58">
        <v>0</v>
      </c>
      <c r="M280" s="58">
        <v>0</v>
      </c>
      <c r="N280" s="58">
        <v>0</v>
      </c>
      <c r="O280" s="58">
        <v>0</v>
      </c>
      <c r="P280" s="58">
        <v>0</v>
      </c>
      <c r="Q280" s="58">
        <v>0</v>
      </c>
      <c r="R280" s="58">
        <v>0</v>
      </c>
      <c r="S280" s="58">
        <v>0</v>
      </c>
      <c r="T280" s="58">
        <v>0</v>
      </c>
      <c r="U280" s="52">
        <v>53</v>
      </c>
      <c r="V280" s="49" t="s">
        <v>815</v>
      </c>
    </row>
    <row r="281" spans="1:22" hidden="1">
      <c r="A281" s="59" t="s">
        <v>1522</v>
      </c>
      <c r="B281" s="59" t="s">
        <v>1521</v>
      </c>
      <c r="C281" s="61" t="s">
        <v>10</v>
      </c>
      <c r="D281" s="61" t="s">
        <v>33</v>
      </c>
      <c r="E281" s="60" t="s">
        <v>10</v>
      </c>
      <c r="F281" s="50" t="s">
        <v>827</v>
      </c>
      <c r="G281" s="50" t="b">
        <v>0</v>
      </c>
      <c r="H281" s="58">
        <v>0</v>
      </c>
      <c r="I281" s="58">
        <v>0</v>
      </c>
      <c r="J281" s="58">
        <v>0</v>
      </c>
      <c r="K281" s="58">
        <v>0</v>
      </c>
      <c r="L281" s="58">
        <v>0</v>
      </c>
      <c r="M281" s="58">
        <v>0</v>
      </c>
      <c r="N281" s="58">
        <v>0</v>
      </c>
      <c r="O281" s="58">
        <v>0</v>
      </c>
      <c r="P281" s="58">
        <v>0</v>
      </c>
      <c r="Q281" s="58">
        <v>0</v>
      </c>
      <c r="R281" s="58">
        <v>0</v>
      </c>
      <c r="S281" s="58">
        <v>0</v>
      </c>
      <c r="T281" s="58">
        <v>0</v>
      </c>
      <c r="U281" s="52">
        <v>1.25</v>
      </c>
      <c r="V281" s="49" t="s">
        <v>820</v>
      </c>
    </row>
    <row r="282" spans="1:22" hidden="1">
      <c r="A282" s="59" t="s">
        <v>1520</v>
      </c>
      <c r="B282" s="59" t="s">
        <v>1519</v>
      </c>
      <c r="C282" s="61" t="s">
        <v>10</v>
      </c>
      <c r="D282" s="61" t="s">
        <v>88</v>
      </c>
      <c r="E282" s="60" t="s">
        <v>10</v>
      </c>
      <c r="F282" s="50" t="s">
        <v>827</v>
      </c>
      <c r="G282" s="50" t="b">
        <v>0</v>
      </c>
      <c r="H282" s="58">
        <v>899.98</v>
      </c>
      <c r="I282" s="58">
        <v>0</v>
      </c>
      <c r="J282" s="58">
        <v>0</v>
      </c>
      <c r="K282" s="58">
        <v>0</v>
      </c>
      <c r="L282" s="58">
        <v>0</v>
      </c>
      <c r="M282" s="58">
        <v>0</v>
      </c>
      <c r="N282" s="58">
        <v>0</v>
      </c>
      <c r="O282" s="58">
        <v>0</v>
      </c>
      <c r="P282" s="58">
        <v>0</v>
      </c>
      <c r="Q282" s="58">
        <v>0</v>
      </c>
      <c r="R282" s="58">
        <v>0</v>
      </c>
      <c r="S282" s="58">
        <v>0</v>
      </c>
      <c r="T282" s="58">
        <v>0</v>
      </c>
      <c r="U282" s="52">
        <v>933.1</v>
      </c>
      <c r="V282" s="49" t="s">
        <v>855</v>
      </c>
    </row>
    <row r="283" spans="1:22">
      <c r="A283" s="59" t="s">
        <v>1518</v>
      </c>
      <c r="B283" s="59" t="s">
        <v>1517</v>
      </c>
      <c r="C283" s="61" t="s">
        <v>10</v>
      </c>
      <c r="D283" s="61" t="s">
        <v>852</v>
      </c>
      <c r="E283" s="60" t="s">
        <v>10</v>
      </c>
      <c r="F283" s="50" t="s">
        <v>872</v>
      </c>
      <c r="G283" s="50" t="b">
        <v>0</v>
      </c>
      <c r="H283" s="58">
        <v>0</v>
      </c>
      <c r="I283" s="58">
        <v>0.08</v>
      </c>
      <c r="J283" s="58">
        <v>0.15</v>
      </c>
      <c r="K283" s="58">
        <v>0.01</v>
      </c>
      <c r="L283" s="58">
        <v>0.01</v>
      </c>
      <c r="M283" s="58">
        <v>0</v>
      </c>
      <c r="N283" s="58">
        <v>0</v>
      </c>
      <c r="O283" s="58">
        <v>0</v>
      </c>
      <c r="P283" s="58">
        <v>0</v>
      </c>
      <c r="Q283" s="58">
        <v>0</v>
      </c>
      <c r="R283" s="58">
        <v>0</v>
      </c>
      <c r="S283" s="58">
        <v>0.01</v>
      </c>
      <c r="T283" s="58">
        <v>0</v>
      </c>
      <c r="U283" s="52">
        <v>1</v>
      </c>
      <c r="V283" s="49" t="s">
        <v>820</v>
      </c>
    </row>
    <row r="284" spans="1:22" hidden="1">
      <c r="A284" s="59" t="s">
        <v>1516</v>
      </c>
      <c r="B284" s="59" t="s">
        <v>1515</v>
      </c>
      <c r="C284" s="61" t="s">
        <v>12</v>
      </c>
      <c r="D284" s="61" t="s">
        <v>47</v>
      </c>
      <c r="E284" s="60" t="s">
        <v>12</v>
      </c>
      <c r="F284" s="50" t="s">
        <v>816</v>
      </c>
      <c r="G284" s="50" t="b">
        <v>0</v>
      </c>
      <c r="H284" s="58">
        <v>42</v>
      </c>
      <c r="I284" s="58">
        <v>0</v>
      </c>
      <c r="J284" s="58">
        <v>0</v>
      </c>
      <c r="K284" s="58">
        <v>0</v>
      </c>
      <c r="L284" s="58">
        <v>0</v>
      </c>
      <c r="M284" s="58">
        <v>0</v>
      </c>
      <c r="N284" s="58">
        <v>0</v>
      </c>
      <c r="O284" s="58">
        <v>0</v>
      </c>
      <c r="P284" s="58">
        <v>0</v>
      </c>
      <c r="Q284" s="58">
        <v>0</v>
      </c>
      <c r="R284" s="58">
        <v>0</v>
      </c>
      <c r="S284" s="58">
        <v>0</v>
      </c>
      <c r="T284" s="58">
        <v>0</v>
      </c>
      <c r="U284" s="52">
        <v>44</v>
      </c>
      <c r="V284" s="49" t="s">
        <v>815</v>
      </c>
    </row>
    <row r="285" spans="1:22" hidden="1">
      <c r="A285" s="59" t="s">
        <v>1514</v>
      </c>
      <c r="B285" s="59" t="s">
        <v>1513</v>
      </c>
      <c r="C285" s="61" t="s">
        <v>12</v>
      </c>
      <c r="D285" s="61" t="s">
        <v>47</v>
      </c>
      <c r="E285" s="60" t="s">
        <v>12</v>
      </c>
      <c r="F285" s="50" t="s">
        <v>816</v>
      </c>
      <c r="G285" s="50" t="b">
        <v>0</v>
      </c>
      <c r="H285" s="58">
        <v>42</v>
      </c>
      <c r="I285" s="58">
        <v>0</v>
      </c>
      <c r="J285" s="58">
        <v>0</v>
      </c>
      <c r="K285" s="58">
        <v>0</v>
      </c>
      <c r="L285" s="58">
        <v>0</v>
      </c>
      <c r="M285" s="58">
        <v>0</v>
      </c>
      <c r="N285" s="58">
        <v>0</v>
      </c>
      <c r="O285" s="58">
        <v>0</v>
      </c>
      <c r="P285" s="58">
        <v>0</v>
      </c>
      <c r="Q285" s="58">
        <v>0</v>
      </c>
      <c r="R285" s="58">
        <v>0</v>
      </c>
      <c r="S285" s="58">
        <v>0</v>
      </c>
      <c r="T285" s="58">
        <v>0</v>
      </c>
      <c r="U285" s="52">
        <v>44.53</v>
      </c>
      <c r="V285" s="49" t="s">
        <v>815</v>
      </c>
    </row>
    <row r="286" spans="1:22" hidden="1">
      <c r="A286" s="59" t="s">
        <v>1512</v>
      </c>
      <c r="B286" s="59" t="s">
        <v>1511</v>
      </c>
      <c r="C286" s="61" t="s">
        <v>12</v>
      </c>
      <c r="D286" s="61" t="s">
        <v>47</v>
      </c>
      <c r="E286" s="60" t="s">
        <v>12</v>
      </c>
      <c r="F286" s="50" t="s">
        <v>816</v>
      </c>
      <c r="G286" s="50" t="b">
        <v>0</v>
      </c>
      <c r="H286" s="58">
        <v>42</v>
      </c>
      <c r="I286" s="58">
        <v>0</v>
      </c>
      <c r="J286" s="58">
        <v>0</v>
      </c>
      <c r="K286" s="58">
        <v>0</v>
      </c>
      <c r="L286" s="58">
        <v>0</v>
      </c>
      <c r="M286" s="58">
        <v>0</v>
      </c>
      <c r="N286" s="58">
        <v>0</v>
      </c>
      <c r="O286" s="58">
        <v>0</v>
      </c>
      <c r="P286" s="58">
        <v>0</v>
      </c>
      <c r="Q286" s="58">
        <v>0</v>
      </c>
      <c r="R286" s="58">
        <v>0</v>
      </c>
      <c r="S286" s="58">
        <v>0</v>
      </c>
      <c r="T286" s="58">
        <v>0</v>
      </c>
      <c r="U286" s="52">
        <v>42.8</v>
      </c>
      <c r="V286" s="49" t="s">
        <v>815</v>
      </c>
    </row>
    <row r="287" spans="1:22" hidden="1">
      <c r="A287" s="59" t="s">
        <v>1510</v>
      </c>
      <c r="B287" s="59" t="s">
        <v>1509</v>
      </c>
      <c r="C287" s="61" t="s">
        <v>10</v>
      </c>
      <c r="D287" s="61" t="s">
        <v>852</v>
      </c>
      <c r="E287" s="60" t="s">
        <v>10</v>
      </c>
      <c r="F287" s="50" t="s">
        <v>827</v>
      </c>
      <c r="G287" s="50" t="b">
        <v>0</v>
      </c>
      <c r="H287" s="58">
        <v>0</v>
      </c>
      <c r="I287" s="58">
        <v>0.01</v>
      </c>
      <c r="J287" s="58">
        <v>0</v>
      </c>
      <c r="K287" s="58">
        <v>0.53</v>
      </c>
      <c r="L287" s="58">
        <v>1.42</v>
      </c>
      <c r="M287" s="58">
        <v>1.36</v>
      </c>
      <c r="N287" s="58">
        <v>1.37</v>
      </c>
      <c r="O287" s="58">
        <v>1.1100000000000001</v>
      </c>
      <c r="P287" s="58">
        <v>0.81</v>
      </c>
      <c r="Q287" s="58">
        <v>0.61</v>
      </c>
      <c r="R287" s="58">
        <v>0.2</v>
      </c>
      <c r="S287" s="58">
        <v>0</v>
      </c>
      <c r="T287" s="58">
        <v>0</v>
      </c>
      <c r="U287" s="52">
        <v>5</v>
      </c>
      <c r="V287" s="49" t="s">
        <v>820</v>
      </c>
    </row>
    <row r="288" spans="1:22" hidden="1">
      <c r="A288" s="59" t="s">
        <v>1508</v>
      </c>
      <c r="B288" s="59" t="s">
        <v>1507</v>
      </c>
      <c r="C288" s="61" t="s">
        <v>12</v>
      </c>
      <c r="D288" s="61" t="s">
        <v>47</v>
      </c>
      <c r="E288" s="60" t="s">
        <v>12</v>
      </c>
      <c r="F288" s="50" t="s">
        <v>894</v>
      </c>
      <c r="G288" s="50" t="b">
        <v>0</v>
      </c>
      <c r="H288" s="58">
        <v>0</v>
      </c>
      <c r="I288" s="58">
        <v>365</v>
      </c>
      <c r="J288" s="58">
        <v>365</v>
      </c>
      <c r="K288" s="58">
        <v>365</v>
      </c>
      <c r="L288" s="58">
        <v>360</v>
      </c>
      <c r="M288" s="58">
        <v>350</v>
      </c>
      <c r="N288" s="58">
        <v>340</v>
      </c>
      <c r="O288" s="58">
        <v>335</v>
      </c>
      <c r="P288" s="58">
        <v>335</v>
      </c>
      <c r="Q288" s="58">
        <v>340</v>
      </c>
      <c r="R288" s="58">
        <v>350</v>
      </c>
      <c r="S288" s="58">
        <v>360</v>
      </c>
      <c r="T288" s="58">
        <v>365</v>
      </c>
      <c r="U288" s="52">
        <v>395.8</v>
      </c>
      <c r="V288" s="49" t="s">
        <v>815</v>
      </c>
    </row>
    <row r="289" spans="1:22" hidden="1">
      <c r="A289" s="59" t="s">
        <v>1506</v>
      </c>
      <c r="B289" s="59" t="s">
        <v>1505</v>
      </c>
      <c r="C289" s="61" t="s">
        <v>12</v>
      </c>
      <c r="D289" s="61" t="s">
        <v>47</v>
      </c>
      <c r="E289" s="60" t="s">
        <v>12</v>
      </c>
      <c r="F289" s="50" t="s">
        <v>894</v>
      </c>
      <c r="G289" s="50" t="b">
        <v>0</v>
      </c>
      <c r="H289" s="58">
        <v>0</v>
      </c>
      <c r="I289" s="58">
        <v>365</v>
      </c>
      <c r="J289" s="58">
        <v>365</v>
      </c>
      <c r="K289" s="58">
        <v>365</v>
      </c>
      <c r="L289" s="58">
        <v>360</v>
      </c>
      <c r="M289" s="58">
        <v>350</v>
      </c>
      <c r="N289" s="58">
        <v>340</v>
      </c>
      <c r="O289" s="58">
        <v>335</v>
      </c>
      <c r="P289" s="58">
        <v>335</v>
      </c>
      <c r="Q289" s="58">
        <v>340</v>
      </c>
      <c r="R289" s="58">
        <v>350</v>
      </c>
      <c r="S289" s="58">
        <v>360</v>
      </c>
      <c r="T289" s="58">
        <v>365</v>
      </c>
      <c r="U289" s="52">
        <v>395.8</v>
      </c>
      <c r="V289" s="49" t="s">
        <v>815</v>
      </c>
    </row>
    <row r="290" spans="1:22" hidden="1">
      <c r="A290" s="59" t="s">
        <v>1504</v>
      </c>
      <c r="B290" s="59" t="s">
        <v>1503</v>
      </c>
      <c r="C290" s="61" t="s">
        <v>10</v>
      </c>
      <c r="D290" s="61" t="s">
        <v>88</v>
      </c>
      <c r="E290" s="60" t="s">
        <v>10</v>
      </c>
      <c r="F290" s="50" t="s">
        <v>827</v>
      </c>
      <c r="G290" s="50" t="b">
        <v>0</v>
      </c>
      <c r="H290" s="58">
        <v>0</v>
      </c>
      <c r="I290" s="58">
        <v>4.0999999999999996</v>
      </c>
      <c r="J290" s="58">
        <v>5.31</v>
      </c>
      <c r="K290" s="58">
        <v>6.28</v>
      </c>
      <c r="L290" s="58">
        <v>6.18</v>
      </c>
      <c r="M290" s="58">
        <v>6.47</v>
      </c>
      <c r="N290" s="58">
        <v>5.39</v>
      </c>
      <c r="O290" s="58">
        <v>3.7</v>
      </c>
      <c r="P290" s="58">
        <v>3.01</v>
      </c>
      <c r="Q290" s="58">
        <v>3.07</v>
      </c>
      <c r="R290" s="58">
        <v>3.51</v>
      </c>
      <c r="S290" s="58">
        <v>3.58</v>
      </c>
      <c r="T290" s="58">
        <v>3.61</v>
      </c>
      <c r="U290" s="52">
        <v>8</v>
      </c>
      <c r="V290" s="49" t="s">
        <v>820</v>
      </c>
    </row>
    <row r="291" spans="1:22" hidden="1">
      <c r="A291" s="59" t="s">
        <v>1502</v>
      </c>
      <c r="B291" s="59" t="s">
        <v>1501</v>
      </c>
      <c r="C291" s="61" t="s">
        <v>10</v>
      </c>
      <c r="D291" s="61" t="s">
        <v>828</v>
      </c>
      <c r="E291" s="60" t="s">
        <v>10</v>
      </c>
      <c r="F291" s="50" t="s">
        <v>812</v>
      </c>
      <c r="G291" s="50" t="b">
        <v>0</v>
      </c>
      <c r="H291" s="58">
        <v>0</v>
      </c>
      <c r="I291" s="58">
        <v>0.13</v>
      </c>
      <c r="J291" s="58">
        <v>0.5</v>
      </c>
      <c r="K291" s="58">
        <v>0.74</v>
      </c>
      <c r="L291" s="58">
        <v>0.85</v>
      </c>
      <c r="M291" s="58">
        <v>4.07</v>
      </c>
      <c r="N291" s="58">
        <v>2.71</v>
      </c>
      <c r="O291" s="58">
        <v>3.78</v>
      </c>
      <c r="P291" s="58">
        <v>1.63</v>
      </c>
      <c r="Q291" s="58">
        <v>0.56000000000000005</v>
      </c>
      <c r="R291" s="58">
        <v>0.4</v>
      </c>
      <c r="S291" s="58">
        <v>0.14000000000000001</v>
      </c>
      <c r="T291" s="58">
        <v>0.16</v>
      </c>
      <c r="U291" s="52">
        <v>21.25</v>
      </c>
      <c r="V291" s="49" t="s">
        <v>820</v>
      </c>
    </row>
    <row r="292" spans="1:22" hidden="1">
      <c r="A292" s="59" t="s">
        <v>1500</v>
      </c>
      <c r="B292" s="59" t="s">
        <v>1499</v>
      </c>
      <c r="C292" s="61" t="s">
        <v>10</v>
      </c>
      <c r="D292" s="61" t="s">
        <v>88</v>
      </c>
      <c r="E292" s="60" t="s">
        <v>10</v>
      </c>
      <c r="F292" s="50" t="s">
        <v>821</v>
      </c>
      <c r="G292" s="50" t="b">
        <v>0</v>
      </c>
      <c r="H292" s="58">
        <v>0</v>
      </c>
      <c r="I292" s="58">
        <v>0</v>
      </c>
      <c r="J292" s="58">
        <v>0</v>
      </c>
      <c r="K292" s="58">
        <v>0</v>
      </c>
      <c r="L292" s="58">
        <v>0</v>
      </c>
      <c r="M292" s="58">
        <v>0</v>
      </c>
      <c r="N292" s="58">
        <v>0</v>
      </c>
      <c r="O292" s="58">
        <v>0</v>
      </c>
      <c r="P292" s="58">
        <v>0</v>
      </c>
      <c r="Q292" s="58">
        <v>0</v>
      </c>
      <c r="R292" s="58">
        <v>0</v>
      </c>
      <c r="S292" s="58">
        <v>0</v>
      </c>
      <c r="T292" s="58">
        <v>0</v>
      </c>
      <c r="U292" s="52">
        <v>20.7</v>
      </c>
      <c r="V292" s="49" t="s">
        <v>820</v>
      </c>
    </row>
    <row r="293" spans="1:22">
      <c r="A293" s="59" t="s">
        <v>1498</v>
      </c>
      <c r="B293" s="59" t="s">
        <v>1497</v>
      </c>
      <c r="C293" s="61" t="s">
        <v>12</v>
      </c>
      <c r="D293" s="61" t="s">
        <v>47</v>
      </c>
      <c r="E293" s="60" t="s">
        <v>12</v>
      </c>
      <c r="F293" s="50" t="s">
        <v>872</v>
      </c>
      <c r="G293" s="50" t="b">
        <v>0</v>
      </c>
      <c r="H293" s="58">
        <v>0</v>
      </c>
      <c r="I293" s="58">
        <v>0.03</v>
      </c>
      <c r="J293" s="58">
        <v>0.06</v>
      </c>
      <c r="K293" s="58">
        <v>0.08</v>
      </c>
      <c r="L293" s="58">
        <v>7.0000000000000007E-2</v>
      </c>
      <c r="M293" s="58">
        <v>0</v>
      </c>
      <c r="N293" s="58">
        <v>0</v>
      </c>
      <c r="O293" s="58">
        <v>0</v>
      </c>
      <c r="P293" s="58">
        <v>0</v>
      </c>
      <c r="Q293" s="58">
        <v>0</v>
      </c>
      <c r="R293" s="58">
        <v>0</v>
      </c>
      <c r="S293" s="58">
        <v>0</v>
      </c>
      <c r="T293" s="58">
        <v>0</v>
      </c>
      <c r="U293" s="52">
        <v>0.3</v>
      </c>
      <c r="V293" s="49" t="s">
        <v>815</v>
      </c>
    </row>
    <row r="294" spans="1:22" hidden="1">
      <c r="A294" s="59" t="s">
        <v>1496</v>
      </c>
      <c r="B294" s="59" t="s">
        <v>1495</v>
      </c>
      <c r="C294" s="61" t="s">
        <v>10</v>
      </c>
      <c r="D294" s="61" t="s">
        <v>828</v>
      </c>
      <c r="E294" s="60" t="s">
        <v>10</v>
      </c>
      <c r="F294" s="50" t="s">
        <v>821</v>
      </c>
      <c r="G294" s="50" t="b">
        <v>0</v>
      </c>
      <c r="H294" s="58">
        <v>0</v>
      </c>
      <c r="I294" s="58">
        <v>0</v>
      </c>
      <c r="J294" s="58">
        <v>0</v>
      </c>
      <c r="K294" s="58">
        <v>0</v>
      </c>
      <c r="L294" s="58">
        <v>0</v>
      </c>
      <c r="M294" s="58">
        <v>2.2599999999999998</v>
      </c>
      <c r="N294" s="58">
        <v>3.65</v>
      </c>
      <c r="O294" s="58">
        <v>3.2</v>
      </c>
      <c r="P294" s="58">
        <v>3.68</v>
      </c>
      <c r="Q294" s="58">
        <v>3.16</v>
      </c>
      <c r="R294" s="58">
        <v>1.65</v>
      </c>
      <c r="S294" s="58">
        <v>0</v>
      </c>
      <c r="T294" s="58">
        <v>0</v>
      </c>
      <c r="U294" s="52">
        <v>12.4</v>
      </c>
      <c r="V294" s="49" t="s">
        <v>820</v>
      </c>
    </row>
    <row r="295" spans="1:22" hidden="1">
      <c r="A295" s="59" t="s">
        <v>1494</v>
      </c>
      <c r="B295" s="59" t="s">
        <v>1493</v>
      </c>
      <c r="C295" s="61" t="s">
        <v>10</v>
      </c>
      <c r="D295" s="61" t="s">
        <v>88</v>
      </c>
      <c r="E295" s="60" t="s">
        <v>10</v>
      </c>
      <c r="F295" s="50" t="s">
        <v>812</v>
      </c>
      <c r="G295" s="50" t="b">
        <v>0</v>
      </c>
      <c r="H295" s="58">
        <v>0</v>
      </c>
      <c r="I295" s="58">
        <v>0.19</v>
      </c>
      <c r="J295" s="58">
        <v>0.34</v>
      </c>
      <c r="K295" s="58">
        <v>0.94</v>
      </c>
      <c r="L295" s="58">
        <v>0.87</v>
      </c>
      <c r="M295" s="58">
        <v>3.06</v>
      </c>
      <c r="N295" s="58">
        <v>0.99</v>
      </c>
      <c r="O295" s="58">
        <v>1.0900000000000001</v>
      </c>
      <c r="P295" s="58">
        <v>0.78</v>
      </c>
      <c r="Q295" s="58">
        <v>0.52</v>
      </c>
      <c r="R295" s="58">
        <v>0.32</v>
      </c>
      <c r="S295" s="58">
        <v>0.13</v>
      </c>
      <c r="T295" s="58">
        <v>0.04</v>
      </c>
      <c r="U295" s="52">
        <v>69.099999999999994</v>
      </c>
      <c r="V295" s="49" t="s">
        <v>820</v>
      </c>
    </row>
    <row r="296" spans="1:22" hidden="1">
      <c r="A296" s="59" t="s">
        <v>1492</v>
      </c>
      <c r="B296" s="59" t="s">
        <v>1491</v>
      </c>
      <c r="C296" s="61" t="s">
        <v>10</v>
      </c>
      <c r="D296" s="61" t="s">
        <v>88</v>
      </c>
      <c r="E296" s="60" t="s">
        <v>10</v>
      </c>
      <c r="F296" s="50" t="s">
        <v>821</v>
      </c>
      <c r="G296" s="50" t="b">
        <v>0</v>
      </c>
      <c r="H296" s="58">
        <v>0</v>
      </c>
      <c r="I296" s="58">
        <v>0.17</v>
      </c>
      <c r="J296" s="58">
        <v>0</v>
      </c>
      <c r="K296" s="58">
        <v>0</v>
      </c>
      <c r="L296" s="58">
        <v>0</v>
      </c>
      <c r="M296" s="58">
        <v>1.48</v>
      </c>
      <c r="N296" s="58">
        <v>2.14</v>
      </c>
      <c r="O296" s="58">
        <v>2.4</v>
      </c>
      <c r="P296" s="58">
        <v>2.4300000000000002</v>
      </c>
      <c r="Q296" s="58">
        <v>2.09</v>
      </c>
      <c r="R296" s="58">
        <v>1.1599999999999999</v>
      </c>
      <c r="S296" s="58">
        <v>1.02</v>
      </c>
      <c r="T296" s="58">
        <v>1</v>
      </c>
      <c r="U296" s="52">
        <v>7.48</v>
      </c>
      <c r="V296" s="49" t="s">
        <v>820</v>
      </c>
    </row>
    <row r="297" spans="1:22" hidden="1">
      <c r="A297" s="59" t="s">
        <v>1490</v>
      </c>
      <c r="B297" s="59" t="s">
        <v>1489</v>
      </c>
      <c r="C297" s="61" t="s">
        <v>10</v>
      </c>
      <c r="D297" s="61" t="s">
        <v>817</v>
      </c>
      <c r="E297" s="60" t="s">
        <v>10</v>
      </c>
      <c r="F297" s="50" t="s">
        <v>827</v>
      </c>
      <c r="G297" s="50" t="b">
        <v>0</v>
      </c>
      <c r="H297" s="58">
        <v>0</v>
      </c>
      <c r="I297" s="58">
        <v>0.16</v>
      </c>
      <c r="J297" s="58">
        <v>0.35</v>
      </c>
      <c r="K297" s="58">
        <v>0.19</v>
      </c>
      <c r="L297" s="58">
        <v>0.03</v>
      </c>
      <c r="M297" s="58">
        <v>0.1</v>
      </c>
      <c r="N297" s="58">
        <v>0</v>
      </c>
      <c r="O297" s="58">
        <v>0</v>
      </c>
      <c r="P297" s="58">
        <v>0</v>
      </c>
      <c r="Q297" s="58">
        <v>0</v>
      </c>
      <c r="R297" s="58">
        <v>0</v>
      </c>
      <c r="S297" s="58">
        <v>0</v>
      </c>
      <c r="T297" s="58">
        <v>0.04</v>
      </c>
      <c r="U297" s="52">
        <v>2.5</v>
      </c>
      <c r="V297" s="49" t="s">
        <v>820</v>
      </c>
    </row>
    <row r="298" spans="1:22" hidden="1">
      <c r="A298" s="59" t="s">
        <v>1488</v>
      </c>
      <c r="B298" s="59" t="s">
        <v>1487</v>
      </c>
      <c r="C298" s="61" t="s">
        <v>12</v>
      </c>
      <c r="D298" s="61" t="s">
        <v>11</v>
      </c>
      <c r="E298" s="60" t="s">
        <v>11</v>
      </c>
      <c r="F298" s="50" t="s">
        <v>816</v>
      </c>
      <c r="G298" s="50" t="b">
        <v>0</v>
      </c>
      <c r="H298" s="58">
        <v>16</v>
      </c>
      <c r="I298" s="58">
        <v>0</v>
      </c>
      <c r="J298" s="58">
        <v>0</v>
      </c>
      <c r="K298" s="58">
        <v>0</v>
      </c>
      <c r="L298" s="58">
        <v>0</v>
      </c>
      <c r="M298" s="58">
        <v>0</v>
      </c>
      <c r="N298" s="58">
        <v>0</v>
      </c>
      <c r="O298" s="58">
        <v>0</v>
      </c>
      <c r="P298" s="58">
        <v>0</v>
      </c>
      <c r="Q298" s="58">
        <v>0</v>
      </c>
      <c r="R298" s="58">
        <v>0</v>
      </c>
      <c r="S298" s="58">
        <v>0</v>
      </c>
      <c r="T298" s="58">
        <v>0</v>
      </c>
      <c r="U298" s="52">
        <v>16.670000000000002</v>
      </c>
      <c r="V298" s="49" t="s">
        <v>815</v>
      </c>
    </row>
    <row r="299" spans="1:22" hidden="1">
      <c r="A299" s="59" t="s">
        <v>1486</v>
      </c>
      <c r="B299" s="59" t="s">
        <v>1485</v>
      </c>
      <c r="C299" s="61" t="s">
        <v>12</v>
      </c>
      <c r="D299" s="61" t="s">
        <v>11</v>
      </c>
      <c r="E299" s="60" t="s">
        <v>11</v>
      </c>
      <c r="F299" s="50" t="s">
        <v>816</v>
      </c>
      <c r="G299" s="50" t="b">
        <v>0</v>
      </c>
      <c r="H299" s="58">
        <v>59</v>
      </c>
      <c r="I299" s="58">
        <v>0</v>
      </c>
      <c r="J299" s="58">
        <v>0</v>
      </c>
      <c r="K299" s="58">
        <v>0</v>
      </c>
      <c r="L299" s="58">
        <v>0</v>
      </c>
      <c r="M299" s="58">
        <v>0</v>
      </c>
      <c r="N299" s="58">
        <v>0</v>
      </c>
      <c r="O299" s="58">
        <v>0</v>
      </c>
      <c r="P299" s="58">
        <v>0</v>
      </c>
      <c r="Q299" s="58">
        <v>0</v>
      </c>
      <c r="R299" s="58">
        <v>0</v>
      </c>
      <c r="S299" s="58">
        <v>0</v>
      </c>
      <c r="T299" s="58">
        <v>0</v>
      </c>
      <c r="U299" s="52">
        <v>59</v>
      </c>
      <c r="V299" s="49" t="s">
        <v>815</v>
      </c>
    </row>
    <row r="300" spans="1:22" hidden="1">
      <c r="A300" s="59" t="s">
        <v>1484</v>
      </c>
      <c r="B300" s="59" t="s">
        <v>1483</v>
      </c>
      <c r="C300" s="61" t="s">
        <v>12</v>
      </c>
      <c r="D300" s="61" t="s">
        <v>11</v>
      </c>
      <c r="E300" s="60" t="s">
        <v>11</v>
      </c>
      <c r="F300" s="50" t="s">
        <v>816</v>
      </c>
      <c r="G300" s="50" t="b">
        <v>0</v>
      </c>
      <c r="H300" s="58">
        <v>61</v>
      </c>
      <c r="I300" s="58">
        <v>0</v>
      </c>
      <c r="J300" s="58">
        <v>0</v>
      </c>
      <c r="K300" s="58">
        <v>0</v>
      </c>
      <c r="L300" s="58">
        <v>0</v>
      </c>
      <c r="M300" s="58">
        <v>0</v>
      </c>
      <c r="N300" s="58">
        <v>0</v>
      </c>
      <c r="O300" s="58">
        <v>0</v>
      </c>
      <c r="P300" s="58">
        <v>0</v>
      </c>
      <c r="Q300" s="58">
        <v>0</v>
      </c>
      <c r="R300" s="58">
        <v>0</v>
      </c>
      <c r="S300" s="58">
        <v>0</v>
      </c>
      <c r="T300" s="58">
        <v>0</v>
      </c>
      <c r="U300" s="52">
        <v>61</v>
      </c>
      <c r="V300" s="49" t="s">
        <v>815</v>
      </c>
    </row>
    <row r="301" spans="1:22" hidden="1">
      <c r="A301" s="59" t="s">
        <v>1482</v>
      </c>
      <c r="B301" s="59" t="s">
        <v>1481</v>
      </c>
      <c r="C301" s="61" t="s">
        <v>10</v>
      </c>
      <c r="D301" s="61" t="s">
        <v>33</v>
      </c>
      <c r="E301" s="60" t="s">
        <v>10</v>
      </c>
      <c r="F301" s="50" t="s">
        <v>827</v>
      </c>
      <c r="G301" s="50" t="b">
        <v>0</v>
      </c>
      <c r="H301" s="58">
        <v>0</v>
      </c>
      <c r="I301" s="58">
        <v>1</v>
      </c>
      <c r="J301" s="58">
        <v>2.86</v>
      </c>
      <c r="K301" s="58">
        <v>2.2000000000000002</v>
      </c>
      <c r="L301" s="58">
        <v>0.28999999999999998</v>
      </c>
      <c r="M301" s="58">
        <v>0.31</v>
      </c>
      <c r="N301" s="58">
        <v>0</v>
      </c>
      <c r="O301" s="58">
        <v>0</v>
      </c>
      <c r="P301" s="58">
        <v>0</v>
      </c>
      <c r="Q301" s="58">
        <v>0</v>
      </c>
      <c r="R301" s="58">
        <v>0</v>
      </c>
      <c r="S301" s="58">
        <v>0</v>
      </c>
      <c r="T301" s="58">
        <v>0.96</v>
      </c>
      <c r="U301" s="52">
        <v>6</v>
      </c>
      <c r="V301" s="49" t="s">
        <v>820</v>
      </c>
    </row>
    <row r="302" spans="1:22" hidden="1">
      <c r="A302" s="59" t="s">
        <v>1480</v>
      </c>
      <c r="B302" s="59" t="s">
        <v>1479</v>
      </c>
      <c r="C302" s="61" t="s">
        <v>10</v>
      </c>
      <c r="D302" s="61" t="s">
        <v>817</v>
      </c>
      <c r="E302" s="60" t="s">
        <v>10</v>
      </c>
      <c r="F302" s="50" t="s">
        <v>827</v>
      </c>
      <c r="G302" s="50" t="b">
        <v>0</v>
      </c>
      <c r="H302" s="58">
        <v>0</v>
      </c>
      <c r="I302" s="58">
        <v>10</v>
      </c>
      <c r="J302" s="58">
        <v>10</v>
      </c>
      <c r="K302" s="58">
        <v>10</v>
      </c>
      <c r="L302" s="58">
        <v>10</v>
      </c>
      <c r="M302" s="58">
        <v>10</v>
      </c>
      <c r="N302" s="58">
        <v>10</v>
      </c>
      <c r="O302" s="58">
        <v>10</v>
      </c>
      <c r="P302" s="58">
        <v>10</v>
      </c>
      <c r="Q302" s="58">
        <v>10</v>
      </c>
      <c r="R302" s="58">
        <v>10</v>
      </c>
      <c r="S302" s="58">
        <v>10</v>
      </c>
      <c r="T302" s="58">
        <v>10</v>
      </c>
      <c r="U302" s="52">
        <v>11</v>
      </c>
      <c r="V302" s="49" t="s">
        <v>820</v>
      </c>
    </row>
    <row r="303" spans="1:22" hidden="1">
      <c r="A303" s="59" t="s">
        <v>1478</v>
      </c>
      <c r="B303" s="59" t="s">
        <v>1477</v>
      </c>
      <c r="C303" s="61" t="s">
        <v>10</v>
      </c>
      <c r="D303" s="61" t="s">
        <v>828</v>
      </c>
      <c r="E303" s="60" t="s">
        <v>10</v>
      </c>
      <c r="F303" s="50" t="s">
        <v>827</v>
      </c>
      <c r="G303" s="50" t="b">
        <v>0</v>
      </c>
      <c r="H303" s="58">
        <v>0</v>
      </c>
      <c r="I303" s="58">
        <v>13</v>
      </c>
      <c r="J303" s="58">
        <v>13</v>
      </c>
      <c r="K303" s="58">
        <v>13</v>
      </c>
      <c r="L303" s="58">
        <v>13</v>
      </c>
      <c r="M303" s="58">
        <v>13</v>
      </c>
      <c r="N303" s="58">
        <v>13</v>
      </c>
      <c r="O303" s="58">
        <v>13</v>
      </c>
      <c r="P303" s="58">
        <v>13</v>
      </c>
      <c r="Q303" s="58">
        <v>13</v>
      </c>
      <c r="R303" s="58">
        <v>13</v>
      </c>
      <c r="S303" s="58">
        <v>13</v>
      </c>
      <c r="T303" s="58">
        <v>13</v>
      </c>
      <c r="U303" s="52">
        <v>13</v>
      </c>
      <c r="V303" s="49" t="s">
        <v>820</v>
      </c>
    </row>
    <row r="304" spans="1:22" hidden="1">
      <c r="A304" s="59" t="s">
        <v>1476</v>
      </c>
      <c r="B304" s="59" t="s">
        <v>1475</v>
      </c>
      <c r="C304" s="61" t="s">
        <v>10</v>
      </c>
      <c r="D304" s="61" t="s">
        <v>828</v>
      </c>
      <c r="E304" s="60" t="s">
        <v>10</v>
      </c>
      <c r="F304" s="50" t="s">
        <v>827</v>
      </c>
      <c r="G304" s="50" t="b">
        <v>0</v>
      </c>
      <c r="H304" s="58">
        <v>0</v>
      </c>
      <c r="I304" s="58">
        <v>8.5</v>
      </c>
      <c r="J304" s="58">
        <v>8.5</v>
      </c>
      <c r="K304" s="58">
        <v>8.5</v>
      </c>
      <c r="L304" s="58">
        <v>8.5</v>
      </c>
      <c r="M304" s="58">
        <v>8.5</v>
      </c>
      <c r="N304" s="58">
        <v>8.5</v>
      </c>
      <c r="O304" s="58">
        <v>8.5</v>
      </c>
      <c r="P304" s="58">
        <v>8.5</v>
      </c>
      <c r="Q304" s="58">
        <v>8.5</v>
      </c>
      <c r="R304" s="58">
        <v>8.5</v>
      </c>
      <c r="S304" s="58">
        <v>8.5</v>
      </c>
      <c r="T304" s="58">
        <v>8.5</v>
      </c>
      <c r="U304" s="52">
        <v>12.8</v>
      </c>
      <c r="V304" s="49" t="s">
        <v>820</v>
      </c>
    </row>
    <row r="305" spans="1:22" hidden="1">
      <c r="A305" s="59" t="s">
        <v>1474</v>
      </c>
      <c r="B305" s="59" t="s">
        <v>1473</v>
      </c>
      <c r="C305" s="61" t="s">
        <v>10</v>
      </c>
      <c r="D305" s="61" t="s">
        <v>828</v>
      </c>
      <c r="E305" s="60" t="s">
        <v>10</v>
      </c>
      <c r="F305" s="50" t="s">
        <v>827</v>
      </c>
      <c r="G305" s="50" t="b">
        <v>0</v>
      </c>
      <c r="H305" s="58">
        <v>0</v>
      </c>
      <c r="I305" s="58">
        <v>12.8</v>
      </c>
      <c r="J305" s="58">
        <v>12.8</v>
      </c>
      <c r="K305" s="58">
        <v>12.8</v>
      </c>
      <c r="L305" s="58">
        <v>12.8</v>
      </c>
      <c r="M305" s="58">
        <v>12.8</v>
      </c>
      <c r="N305" s="58">
        <v>12.8</v>
      </c>
      <c r="O305" s="58">
        <v>12.8</v>
      </c>
      <c r="P305" s="58">
        <v>12.8</v>
      </c>
      <c r="Q305" s="58">
        <v>12.8</v>
      </c>
      <c r="R305" s="58">
        <v>12.8</v>
      </c>
      <c r="S305" s="58">
        <v>12.8</v>
      </c>
      <c r="T305" s="58">
        <v>12.8</v>
      </c>
      <c r="U305" s="52">
        <v>12.8</v>
      </c>
      <c r="V305" s="49" t="s">
        <v>820</v>
      </c>
    </row>
    <row r="306" spans="1:22" hidden="1">
      <c r="A306" s="59" t="s">
        <v>1472</v>
      </c>
      <c r="B306" s="59" t="s">
        <v>1471</v>
      </c>
      <c r="C306" s="61" t="s">
        <v>10</v>
      </c>
      <c r="D306" s="61" t="s">
        <v>828</v>
      </c>
      <c r="E306" s="60" t="s">
        <v>10</v>
      </c>
      <c r="F306" s="50" t="s">
        <v>827</v>
      </c>
      <c r="G306" s="50" t="b">
        <v>0</v>
      </c>
      <c r="H306" s="58">
        <v>0</v>
      </c>
      <c r="I306" s="58">
        <v>153.9</v>
      </c>
      <c r="J306" s="58">
        <v>153.9</v>
      </c>
      <c r="K306" s="58">
        <v>153.9</v>
      </c>
      <c r="L306" s="58">
        <v>153.9</v>
      </c>
      <c r="M306" s="58">
        <v>153.9</v>
      </c>
      <c r="N306" s="58">
        <v>153.9</v>
      </c>
      <c r="O306" s="58">
        <v>153.9</v>
      </c>
      <c r="P306" s="58">
        <v>153.9</v>
      </c>
      <c r="Q306" s="58">
        <v>153.9</v>
      </c>
      <c r="R306" s="58">
        <v>153.9</v>
      </c>
      <c r="S306" s="58">
        <v>153.9</v>
      </c>
      <c r="T306" s="58">
        <v>153.9</v>
      </c>
      <c r="U306" s="52">
        <v>153.9</v>
      </c>
      <c r="V306" s="49" t="s">
        <v>820</v>
      </c>
    </row>
    <row r="307" spans="1:22" hidden="1">
      <c r="A307" s="59" t="s">
        <v>1470</v>
      </c>
      <c r="B307" s="59" t="s">
        <v>1469</v>
      </c>
      <c r="C307" s="61" t="s">
        <v>10</v>
      </c>
      <c r="D307" s="61" t="s">
        <v>901</v>
      </c>
      <c r="E307" s="60" t="s">
        <v>10</v>
      </c>
      <c r="F307" s="50" t="s">
        <v>821</v>
      </c>
      <c r="G307" s="50" t="b">
        <v>0</v>
      </c>
      <c r="H307" s="58">
        <v>0</v>
      </c>
      <c r="I307" s="58">
        <v>47.96</v>
      </c>
      <c r="J307" s="58">
        <v>45.47</v>
      </c>
      <c r="K307" s="58">
        <v>46.54</v>
      </c>
      <c r="L307" s="58">
        <v>47.13</v>
      </c>
      <c r="M307" s="58">
        <v>28.13</v>
      </c>
      <c r="N307" s="58">
        <v>35.78</v>
      </c>
      <c r="O307" s="58">
        <v>36.99</v>
      </c>
      <c r="P307" s="58">
        <v>37.6</v>
      </c>
      <c r="Q307" s="58">
        <v>37.61</v>
      </c>
      <c r="R307" s="58">
        <v>40.39</v>
      </c>
      <c r="S307" s="58">
        <v>35.93</v>
      </c>
      <c r="T307" s="58">
        <v>31.54</v>
      </c>
      <c r="U307" s="52">
        <v>60</v>
      </c>
      <c r="V307" s="49" t="s">
        <v>820</v>
      </c>
    </row>
    <row r="308" spans="1:22" hidden="1">
      <c r="A308" s="59" t="s">
        <v>1468</v>
      </c>
      <c r="B308" s="59" t="s">
        <v>1467</v>
      </c>
      <c r="C308" s="61" t="s">
        <v>10</v>
      </c>
      <c r="D308" s="61" t="s">
        <v>901</v>
      </c>
      <c r="E308" s="60" t="s">
        <v>10</v>
      </c>
      <c r="F308" s="50" t="s">
        <v>821</v>
      </c>
      <c r="G308" s="50" t="b">
        <v>0</v>
      </c>
      <c r="H308" s="58">
        <v>0</v>
      </c>
      <c r="I308" s="58">
        <v>0.94</v>
      </c>
      <c r="J308" s="58">
        <v>0.66</v>
      </c>
      <c r="K308" s="58">
        <v>0.68</v>
      </c>
      <c r="L308" s="58">
        <v>0.64</v>
      </c>
      <c r="M308" s="58">
        <v>0.79</v>
      </c>
      <c r="N308" s="58">
        <v>1.01</v>
      </c>
      <c r="O308" s="58">
        <v>1.04</v>
      </c>
      <c r="P308" s="58">
        <v>1.02</v>
      </c>
      <c r="Q308" s="58">
        <v>1.23</v>
      </c>
      <c r="R308" s="58">
        <v>1.61</v>
      </c>
      <c r="S308" s="58">
        <v>1.3</v>
      </c>
      <c r="T308" s="58">
        <v>1.59</v>
      </c>
      <c r="U308" s="52">
        <v>55.2</v>
      </c>
      <c r="V308" s="49" t="s">
        <v>820</v>
      </c>
    </row>
    <row r="309" spans="1:22" hidden="1">
      <c r="A309" s="59" t="s">
        <v>1466</v>
      </c>
      <c r="B309" s="59" t="s">
        <v>1465</v>
      </c>
      <c r="C309" s="61" t="s">
        <v>12</v>
      </c>
      <c r="D309" s="61" t="s">
        <v>52</v>
      </c>
      <c r="E309" s="60" t="s">
        <v>12</v>
      </c>
      <c r="F309" s="50" t="s">
        <v>827</v>
      </c>
      <c r="G309" s="50" t="b">
        <v>0</v>
      </c>
      <c r="H309" s="58">
        <v>0</v>
      </c>
      <c r="I309" s="58">
        <v>5.94</v>
      </c>
      <c r="J309" s="58">
        <v>7.7</v>
      </c>
      <c r="K309" s="58">
        <v>6.24</v>
      </c>
      <c r="L309" s="58">
        <v>10.38</v>
      </c>
      <c r="M309" s="58">
        <v>10.45</v>
      </c>
      <c r="N309" s="58">
        <v>13.43</v>
      </c>
      <c r="O309" s="58">
        <v>13.24</v>
      </c>
      <c r="P309" s="58">
        <v>11.75</v>
      </c>
      <c r="Q309" s="58">
        <v>4.17</v>
      </c>
      <c r="R309" s="58">
        <v>3.06</v>
      </c>
      <c r="S309" s="58">
        <v>2.63</v>
      </c>
      <c r="T309" s="58">
        <v>1.44</v>
      </c>
      <c r="U309" s="52">
        <v>25.6</v>
      </c>
      <c r="V309" s="49" t="s">
        <v>820</v>
      </c>
    </row>
    <row r="310" spans="1:22" hidden="1">
      <c r="A310" s="59" t="s">
        <v>1464</v>
      </c>
      <c r="B310" s="59" t="s">
        <v>1463</v>
      </c>
      <c r="C310" s="61" t="s">
        <v>10</v>
      </c>
      <c r="D310" s="61" t="s">
        <v>88</v>
      </c>
      <c r="E310" s="60" t="s">
        <v>10</v>
      </c>
      <c r="F310" s="50" t="s">
        <v>827</v>
      </c>
      <c r="G310" s="50" t="b">
        <v>0</v>
      </c>
      <c r="H310" s="58">
        <v>0</v>
      </c>
      <c r="I310" s="58">
        <v>1.22</v>
      </c>
      <c r="J310" s="58">
        <v>1.59</v>
      </c>
      <c r="K310" s="58">
        <v>1.85</v>
      </c>
      <c r="L310" s="58">
        <v>2.72</v>
      </c>
      <c r="M310" s="58">
        <v>2.77</v>
      </c>
      <c r="N310" s="58">
        <v>1.74</v>
      </c>
      <c r="O310" s="58">
        <v>1.23</v>
      </c>
      <c r="P310" s="58">
        <v>1.08</v>
      </c>
      <c r="Q310" s="58">
        <v>1.07</v>
      </c>
      <c r="R310" s="58">
        <v>1.1100000000000001</v>
      </c>
      <c r="S310" s="58">
        <v>1.1399999999999999</v>
      </c>
      <c r="T310" s="58">
        <v>1.08</v>
      </c>
      <c r="U310" s="52">
        <v>3.2</v>
      </c>
      <c r="V310" s="49" t="s">
        <v>820</v>
      </c>
    </row>
    <row r="311" spans="1:22" hidden="1">
      <c r="A311" s="59" t="s">
        <v>1462</v>
      </c>
      <c r="B311" s="59" t="s">
        <v>1461</v>
      </c>
      <c r="C311" s="61" t="s">
        <v>10</v>
      </c>
      <c r="D311" s="61" t="s">
        <v>828</v>
      </c>
      <c r="E311" s="60" t="s">
        <v>10</v>
      </c>
      <c r="F311" s="50" t="s">
        <v>821</v>
      </c>
      <c r="G311" s="50" t="b">
        <v>0</v>
      </c>
      <c r="H311" s="58">
        <v>0</v>
      </c>
      <c r="I311" s="58">
        <v>13.81</v>
      </c>
      <c r="J311" s="58">
        <v>18.010000000000002</v>
      </c>
      <c r="K311" s="58">
        <v>19.79</v>
      </c>
      <c r="L311" s="58">
        <v>13.42</v>
      </c>
      <c r="M311" s="58">
        <v>19.59</v>
      </c>
      <c r="N311" s="58">
        <v>25.08</v>
      </c>
      <c r="O311" s="58">
        <v>25.38</v>
      </c>
      <c r="P311" s="58">
        <v>23.31</v>
      </c>
      <c r="Q311" s="58">
        <v>20</v>
      </c>
      <c r="R311" s="58">
        <v>18.66</v>
      </c>
      <c r="S311" s="58">
        <v>17.489999999999998</v>
      </c>
      <c r="T311" s="58">
        <v>13.97</v>
      </c>
      <c r="U311" s="52">
        <v>40</v>
      </c>
      <c r="V311" s="49" t="s">
        <v>820</v>
      </c>
    </row>
    <row r="312" spans="1:22" hidden="1">
      <c r="A312" s="59" t="s">
        <v>1460</v>
      </c>
      <c r="B312" s="59" t="s">
        <v>1459</v>
      </c>
      <c r="C312" s="61" t="s">
        <v>10</v>
      </c>
      <c r="D312" s="61" t="s">
        <v>828</v>
      </c>
      <c r="E312" s="60" t="s">
        <v>10</v>
      </c>
      <c r="F312" s="50" t="s">
        <v>827</v>
      </c>
      <c r="G312" s="50" t="b">
        <v>0</v>
      </c>
      <c r="H312" s="58">
        <v>0</v>
      </c>
      <c r="I312" s="58">
        <v>51.2</v>
      </c>
      <c r="J312" s="58">
        <v>51.2</v>
      </c>
      <c r="K312" s="58">
        <v>51.2</v>
      </c>
      <c r="L312" s="58">
        <v>51.2</v>
      </c>
      <c r="M312" s="58">
        <v>51.2</v>
      </c>
      <c r="N312" s="58">
        <v>51.2</v>
      </c>
      <c r="O312" s="58">
        <v>51.2</v>
      </c>
      <c r="P312" s="58">
        <v>51.2</v>
      </c>
      <c r="Q312" s="58">
        <v>51.2</v>
      </c>
      <c r="R312" s="58">
        <v>51.2</v>
      </c>
      <c r="S312" s="58">
        <v>51.2</v>
      </c>
      <c r="T312" s="58">
        <v>51.2</v>
      </c>
      <c r="U312" s="52">
        <v>51.2</v>
      </c>
      <c r="V312" s="49" t="s">
        <v>820</v>
      </c>
    </row>
    <row r="313" spans="1:22" hidden="1">
      <c r="A313" s="59" t="s">
        <v>1458</v>
      </c>
      <c r="B313" s="59" t="s">
        <v>1457</v>
      </c>
      <c r="C313" s="61" t="s">
        <v>10</v>
      </c>
      <c r="D313" s="61" t="s">
        <v>32</v>
      </c>
      <c r="E313" s="60" t="s">
        <v>10</v>
      </c>
      <c r="F313" s="50" t="s">
        <v>824</v>
      </c>
      <c r="G313" s="50" t="b">
        <v>0</v>
      </c>
      <c r="H313" s="58">
        <v>3.21</v>
      </c>
      <c r="I313" s="58">
        <v>0</v>
      </c>
      <c r="J313" s="58">
        <v>0</v>
      </c>
      <c r="K313" s="58">
        <v>0</v>
      </c>
      <c r="L313" s="58">
        <v>0</v>
      </c>
      <c r="M313" s="58">
        <v>0</v>
      </c>
      <c r="N313" s="58">
        <v>0</v>
      </c>
      <c r="O313" s="58">
        <v>0</v>
      </c>
      <c r="P313" s="58">
        <v>0</v>
      </c>
      <c r="Q313" s="58">
        <v>0</v>
      </c>
      <c r="R313" s="58">
        <v>0</v>
      </c>
      <c r="S313" s="58">
        <v>0</v>
      </c>
      <c r="T313" s="58">
        <v>0</v>
      </c>
      <c r="U313" s="52">
        <v>3.56</v>
      </c>
      <c r="V313" s="49" t="s">
        <v>948</v>
      </c>
    </row>
    <row r="314" spans="1:22" hidden="1">
      <c r="A314" s="59" t="s">
        <v>1456</v>
      </c>
      <c r="B314" s="59" t="s">
        <v>1455</v>
      </c>
      <c r="C314" s="61" t="s">
        <v>10</v>
      </c>
      <c r="D314" s="61" t="s">
        <v>88</v>
      </c>
      <c r="E314" s="60" t="s">
        <v>10</v>
      </c>
      <c r="F314" s="50" t="s">
        <v>816</v>
      </c>
      <c r="G314" s="50" t="b">
        <v>0</v>
      </c>
      <c r="H314" s="58">
        <v>0</v>
      </c>
      <c r="I314" s="58">
        <v>44.6</v>
      </c>
      <c r="J314" s="58">
        <v>44.6</v>
      </c>
      <c r="K314" s="58">
        <v>44.6</v>
      </c>
      <c r="L314" s="58">
        <v>44.6</v>
      </c>
      <c r="M314" s="58">
        <v>44.6</v>
      </c>
      <c r="N314" s="58">
        <v>44.6</v>
      </c>
      <c r="O314" s="58">
        <v>44.6</v>
      </c>
      <c r="P314" s="58">
        <v>44.6</v>
      </c>
      <c r="Q314" s="58">
        <v>44.6</v>
      </c>
      <c r="R314" s="58">
        <v>44.6</v>
      </c>
      <c r="S314" s="58">
        <v>44.6</v>
      </c>
      <c r="T314" s="58">
        <v>44.6</v>
      </c>
      <c r="U314" s="52">
        <v>44.6</v>
      </c>
      <c r="V314" s="49" t="s">
        <v>815</v>
      </c>
    </row>
    <row r="315" spans="1:22" hidden="1">
      <c r="A315" s="59" t="s">
        <v>1454</v>
      </c>
      <c r="B315" s="59" t="s">
        <v>1453</v>
      </c>
      <c r="C315" s="61" t="s">
        <v>12</v>
      </c>
      <c r="D315" s="61" t="s">
        <v>88</v>
      </c>
      <c r="E315" s="60" t="s">
        <v>12</v>
      </c>
      <c r="F315" s="50" t="s">
        <v>913</v>
      </c>
      <c r="G315" s="50" t="b">
        <v>0</v>
      </c>
      <c r="H315" s="58">
        <v>0</v>
      </c>
      <c r="I315" s="58">
        <v>0.74</v>
      </c>
      <c r="J315" s="58">
        <v>11.42</v>
      </c>
      <c r="K315" s="58">
        <v>16.68</v>
      </c>
      <c r="L315" s="58">
        <v>120.48</v>
      </c>
      <c r="M315" s="58">
        <v>145.83000000000001</v>
      </c>
      <c r="N315" s="58">
        <v>174.99</v>
      </c>
      <c r="O315" s="58">
        <v>175</v>
      </c>
      <c r="P315" s="58">
        <v>169.07</v>
      </c>
      <c r="Q315" s="58">
        <v>162.56</v>
      </c>
      <c r="R315" s="58">
        <v>76.2</v>
      </c>
      <c r="S315" s="58">
        <v>3.22</v>
      </c>
      <c r="T315" s="58">
        <v>2.4900000000000002</v>
      </c>
      <c r="U315" s="52">
        <v>175</v>
      </c>
      <c r="V315" s="49" t="s">
        <v>820</v>
      </c>
    </row>
    <row r="316" spans="1:22" hidden="1">
      <c r="A316" s="59" t="s">
        <v>1452</v>
      </c>
      <c r="B316" s="59" t="s">
        <v>1451</v>
      </c>
      <c r="C316" s="61" t="s">
        <v>12</v>
      </c>
      <c r="D316" s="61" t="s">
        <v>88</v>
      </c>
      <c r="E316" s="60" t="s">
        <v>12</v>
      </c>
      <c r="F316" s="50" t="s">
        <v>913</v>
      </c>
      <c r="G316" s="50" t="b">
        <v>0</v>
      </c>
      <c r="H316" s="58">
        <v>0</v>
      </c>
      <c r="I316" s="58">
        <v>0.55000000000000004</v>
      </c>
      <c r="J316" s="58">
        <v>12.93</v>
      </c>
      <c r="K316" s="58">
        <v>16.309999999999999</v>
      </c>
      <c r="L316" s="58">
        <v>103.07</v>
      </c>
      <c r="M316" s="58">
        <v>130.43</v>
      </c>
      <c r="N316" s="58">
        <v>167.32</v>
      </c>
      <c r="O316" s="58">
        <v>163.9</v>
      </c>
      <c r="P316" s="58">
        <v>161.76</v>
      </c>
      <c r="Q316" s="58">
        <v>142.75</v>
      </c>
      <c r="R316" s="58">
        <v>69.83</v>
      </c>
      <c r="S316" s="58">
        <v>1.57</v>
      </c>
      <c r="T316" s="58">
        <v>0.9</v>
      </c>
      <c r="U316" s="52">
        <v>184</v>
      </c>
      <c r="V316" s="49" t="s">
        <v>820</v>
      </c>
    </row>
    <row r="317" spans="1:22" hidden="1">
      <c r="A317" s="59" t="s">
        <v>1450</v>
      </c>
      <c r="B317" s="59" t="s">
        <v>1449</v>
      </c>
      <c r="C317" s="61" t="s">
        <v>10</v>
      </c>
      <c r="D317" s="61" t="s">
        <v>901</v>
      </c>
      <c r="E317" s="60" t="s">
        <v>10</v>
      </c>
      <c r="F317" s="50" t="s">
        <v>827</v>
      </c>
      <c r="G317" s="50" t="b">
        <v>0</v>
      </c>
      <c r="H317" s="58">
        <v>0</v>
      </c>
      <c r="I317" s="58">
        <v>1.43</v>
      </c>
      <c r="J317" s="58">
        <v>2.88</v>
      </c>
      <c r="K317" s="58">
        <v>4.4800000000000004</v>
      </c>
      <c r="L317" s="58">
        <v>7.93</v>
      </c>
      <c r="M317" s="58">
        <v>6.32</v>
      </c>
      <c r="N317" s="58">
        <v>8.6300000000000008</v>
      </c>
      <c r="O317" s="58">
        <v>9.25</v>
      </c>
      <c r="P317" s="58">
        <v>9.3800000000000008</v>
      </c>
      <c r="Q317" s="58">
        <v>5.97</v>
      </c>
      <c r="R317" s="58">
        <v>2.31</v>
      </c>
      <c r="S317" s="58">
        <v>1.57</v>
      </c>
      <c r="T317" s="58">
        <v>0.85</v>
      </c>
      <c r="U317" s="52">
        <v>11.5</v>
      </c>
      <c r="V317" s="49" t="s">
        <v>820</v>
      </c>
    </row>
    <row r="318" spans="1:22" hidden="1">
      <c r="A318" s="59" t="s">
        <v>1448</v>
      </c>
      <c r="B318" s="59" t="s">
        <v>1447</v>
      </c>
      <c r="C318" s="61" t="s">
        <v>10</v>
      </c>
      <c r="D318" s="61" t="s">
        <v>901</v>
      </c>
      <c r="E318" s="60" t="s">
        <v>10</v>
      </c>
      <c r="F318" s="50" t="s">
        <v>821</v>
      </c>
      <c r="G318" s="50" t="b">
        <v>0</v>
      </c>
      <c r="H318" s="58">
        <v>0</v>
      </c>
      <c r="I318" s="58">
        <v>4.8</v>
      </c>
      <c r="J318" s="58">
        <v>7.09</v>
      </c>
      <c r="K318" s="58">
        <v>7.08</v>
      </c>
      <c r="L318" s="58">
        <v>7.77</v>
      </c>
      <c r="M318" s="58">
        <v>7.55</v>
      </c>
      <c r="N318" s="58">
        <v>6.9</v>
      </c>
      <c r="O318" s="58">
        <v>7.28</v>
      </c>
      <c r="P318" s="58">
        <v>6.11</v>
      </c>
      <c r="Q318" s="58">
        <v>6.6</v>
      </c>
      <c r="R318" s="58">
        <v>6.65</v>
      </c>
      <c r="S318" s="58">
        <v>6.04</v>
      </c>
      <c r="T318" s="58">
        <v>4.42</v>
      </c>
      <c r="U318" s="52">
        <v>19.100000000000001</v>
      </c>
      <c r="V318" s="49" t="s">
        <v>820</v>
      </c>
    </row>
    <row r="319" spans="1:22" hidden="1">
      <c r="A319" s="59" t="s">
        <v>1446</v>
      </c>
      <c r="B319" s="59" t="s">
        <v>1445</v>
      </c>
      <c r="C319" s="61" t="s">
        <v>12</v>
      </c>
      <c r="D319" s="61" t="s">
        <v>47</v>
      </c>
      <c r="E319" s="60" t="s">
        <v>12</v>
      </c>
      <c r="F319" s="50" t="s">
        <v>827</v>
      </c>
      <c r="G319" s="50" t="b">
        <v>0</v>
      </c>
      <c r="H319" s="58">
        <v>0</v>
      </c>
      <c r="I319" s="58">
        <v>0</v>
      </c>
      <c r="J319" s="58">
        <v>0</v>
      </c>
      <c r="K319" s="58">
        <v>0</v>
      </c>
      <c r="L319" s="58">
        <v>0</v>
      </c>
      <c r="M319" s="58">
        <v>0</v>
      </c>
      <c r="N319" s="58">
        <v>1.05</v>
      </c>
      <c r="O319" s="58">
        <v>4.66</v>
      </c>
      <c r="P319" s="58">
        <v>4.3899999999999997</v>
      </c>
      <c r="Q319" s="58">
        <v>4.2</v>
      </c>
      <c r="R319" s="58">
        <v>0</v>
      </c>
      <c r="S319" s="58">
        <v>0</v>
      </c>
      <c r="T319" s="58">
        <v>0</v>
      </c>
      <c r="U319" s="52">
        <v>10.119999999999999</v>
      </c>
      <c r="V319" s="49" t="s">
        <v>820</v>
      </c>
    </row>
    <row r="320" spans="1:22">
      <c r="A320" s="59" t="s">
        <v>1444</v>
      </c>
      <c r="B320" s="59" t="s">
        <v>1443</v>
      </c>
      <c r="C320" s="61" t="s">
        <v>12</v>
      </c>
      <c r="D320" s="61" t="s">
        <v>47</v>
      </c>
      <c r="E320" s="60" t="s">
        <v>12</v>
      </c>
      <c r="F320" s="50" t="s">
        <v>872</v>
      </c>
      <c r="G320" s="50" t="b">
        <v>0</v>
      </c>
      <c r="H320" s="58">
        <v>0</v>
      </c>
      <c r="I320" s="58">
        <v>2.92</v>
      </c>
      <c r="J320" s="58">
        <v>2.99</v>
      </c>
      <c r="K320" s="58">
        <v>2.88</v>
      </c>
      <c r="L320" s="58">
        <v>3.02</v>
      </c>
      <c r="M320" s="58">
        <v>3.03</v>
      </c>
      <c r="N320" s="58">
        <v>3</v>
      </c>
      <c r="O320" s="58">
        <v>2.95</v>
      </c>
      <c r="P320" s="58">
        <v>2.89</v>
      </c>
      <c r="Q320" s="58">
        <v>2.91</v>
      </c>
      <c r="R320" s="58">
        <v>2.46</v>
      </c>
      <c r="S320" s="58">
        <v>2.8</v>
      </c>
      <c r="T320" s="58">
        <v>2.66</v>
      </c>
      <c r="U320" s="52">
        <v>14.64</v>
      </c>
      <c r="V320" s="49" t="s">
        <v>820</v>
      </c>
    </row>
    <row r="321" spans="1:22">
      <c r="A321" s="59" t="s">
        <v>1442</v>
      </c>
      <c r="B321" s="59" t="s">
        <v>1441</v>
      </c>
      <c r="C321" s="61" t="s">
        <v>12</v>
      </c>
      <c r="D321" s="61" t="s">
        <v>47</v>
      </c>
      <c r="E321" s="60" t="s">
        <v>12</v>
      </c>
      <c r="F321" s="50" t="s">
        <v>872</v>
      </c>
      <c r="G321" s="50" t="b">
        <v>0</v>
      </c>
      <c r="H321" s="58">
        <v>0</v>
      </c>
      <c r="I321" s="58">
        <v>10.039999999999999</v>
      </c>
      <c r="J321" s="58">
        <v>9.5399999999999991</v>
      </c>
      <c r="K321" s="58">
        <v>9.02</v>
      </c>
      <c r="L321" s="58">
        <v>6.1</v>
      </c>
      <c r="M321" s="58">
        <v>8.2799999999999994</v>
      </c>
      <c r="N321" s="58">
        <v>10.99</v>
      </c>
      <c r="O321" s="58">
        <v>10.4</v>
      </c>
      <c r="P321" s="58">
        <v>10.9</v>
      </c>
      <c r="Q321" s="58">
        <v>10.14</v>
      </c>
      <c r="R321" s="58">
        <v>9.58</v>
      </c>
      <c r="S321" s="58">
        <v>10.1</v>
      </c>
      <c r="T321" s="58">
        <v>9.49</v>
      </c>
      <c r="U321" s="52">
        <v>17.5</v>
      </c>
      <c r="V321" s="49" t="s">
        <v>820</v>
      </c>
    </row>
    <row r="322" spans="1:22" hidden="1">
      <c r="A322" s="59" t="s">
        <v>1440</v>
      </c>
      <c r="B322" s="59" t="s">
        <v>1439</v>
      </c>
      <c r="C322" s="61" t="s">
        <v>10</v>
      </c>
      <c r="D322" s="61" t="s">
        <v>33</v>
      </c>
      <c r="E322" s="60" t="s">
        <v>10</v>
      </c>
      <c r="F322" s="50" t="s">
        <v>894</v>
      </c>
      <c r="G322" s="50" t="b">
        <v>0</v>
      </c>
      <c r="H322" s="58">
        <v>20</v>
      </c>
      <c r="I322" s="58">
        <v>0</v>
      </c>
      <c r="J322" s="58">
        <v>0</v>
      </c>
      <c r="K322" s="58">
        <v>0</v>
      </c>
      <c r="L322" s="58">
        <v>0</v>
      </c>
      <c r="M322" s="58">
        <v>0</v>
      </c>
      <c r="N322" s="58">
        <v>0</v>
      </c>
      <c r="O322" s="58">
        <v>0</v>
      </c>
      <c r="P322" s="58">
        <v>0</v>
      </c>
      <c r="Q322" s="58">
        <v>0</v>
      </c>
      <c r="R322" s="58">
        <v>0</v>
      </c>
      <c r="S322" s="58">
        <v>0</v>
      </c>
      <c r="T322" s="58">
        <v>0</v>
      </c>
      <c r="U322" s="52">
        <v>20</v>
      </c>
      <c r="V322" s="49" t="s">
        <v>820</v>
      </c>
    </row>
    <row r="323" spans="1:22" hidden="1">
      <c r="A323" s="59" t="s">
        <v>1438</v>
      </c>
      <c r="B323" s="59" t="s">
        <v>1437</v>
      </c>
      <c r="C323" s="61" t="s">
        <v>10</v>
      </c>
      <c r="D323" s="61" t="s">
        <v>88</v>
      </c>
      <c r="E323" s="60" t="s">
        <v>10</v>
      </c>
      <c r="F323" s="50" t="s">
        <v>894</v>
      </c>
      <c r="G323" s="50" t="b">
        <v>0</v>
      </c>
      <c r="H323" s="58">
        <v>259.8</v>
      </c>
      <c r="I323" s="58">
        <v>0</v>
      </c>
      <c r="J323" s="58">
        <v>0</v>
      </c>
      <c r="K323" s="58">
        <v>0</v>
      </c>
      <c r="L323" s="58">
        <v>0</v>
      </c>
      <c r="M323" s="58">
        <v>0</v>
      </c>
      <c r="N323" s="58">
        <v>0</v>
      </c>
      <c r="O323" s="58">
        <v>0</v>
      </c>
      <c r="P323" s="58">
        <v>0</v>
      </c>
      <c r="Q323" s="58">
        <v>0</v>
      </c>
      <c r="R323" s="58">
        <v>0</v>
      </c>
      <c r="S323" s="58">
        <v>0</v>
      </c>
      <c r="T323" s="58">
        <v>0</v>
      </c>
      <c r="U323" s="52">
        <v>259.8</v>
      </c>
      <c r="V323" s="49" t="s">
        <v>815</v>
      </c>
    </row>
    <row r="324" spans="1:22" hidden="1">
      <c r="A324" s="59" t="s">
        <v>1436</v>
      </c>
      <c r="B324" s="59" t="s">
        <v>1435</v>
      </c>
      <c r="C324" s="61" t="s">
        <v>10</v>
      </c>
      <c r="D324" s="61" t="s">
        <v>88</v>
      </c>
      <c r="E324" s="60" t="s">
        <v>10</v>
      </c>
      <c r="F324" s="50" t="s">
        <v>894</v>
      </c>
      <c r="G324" s="50" t="b">
        <v>0</v>
      </c>
      <c r="H324" s="58">
        <v>260.2</v>
      </c>
      <c r="I324" s="58">
        <v>0</v>
      </c>
      <c r="J324" s="58">
        <v>0</v>
      </c>
      <c r="K324" s="58">
        <v>0</v>
      </c>
      <c r="L324" s="58">
        <v>0</v>
      </c>
      <c r="M324" s="58">
        <v>0</v>
      </c>
      <c r="N324" s="58">
        <v>0</v>
      </c>
      <c r="O324" s="58">
        <v>0</v>
      </c>
      <c r="P324" s="58">
        <v>0</v>
      </c>
      <c r="Q324" s="58">
        <v>0</v>
      </c>
      <c r="R324" s="58">
        <v>0</v>
      </c>
      <c r="S324" s="58">
        <v>0</v>
      </c>
      <c r="T324" s="58">
        <v>0</v>
      </c>
      <c r="U324" s="52">
        <v>260.2</v>
      </c>
      <c r="V324" s="49" t="s">
        <v>815</v>
      </c>
    </row>
    <row r="325" spans="1:22" hidden="1">
      <c r="A325" s="59" t="s">
        <v>1434</v>
      </c>
      <c r="B325" s="59" t="s">
        <v>1433</v>
      </c>
      <c r="C325" s="61" t="s">
        <v>10</v>
      </c>
      <c r="D325" s="61" t="s">
        <v>88</v>
      </c>
      <c r="E325" s="60" t="s">
        <v>10</v>
      </c>
      <c r="F325" s="50" t="s">
        <v>894</v>
      </c>
      <c r="G325" s="50" t="b">
        <v>0</v>
      </c>
      <c r="H325" s="58">
        <v>256.14999999999998</v>
      </c>
      <c r="I325" s="58">
        <v>0</v>
      </c>
      <c r="J325" s="58">
        <v>0</v>
      </c>
      <c r="K325" s="58">
        <v>0</v>
      </c>
      <c r="L325" s="58">
        <v>0</v>
      </c>
      <c r="M325" s="58">
        <v>0</v>
      </c>
      <c r="N325" s="58">
        <v>0</v>
      </c>
      <c r="O325" s="58">
        <v>0</v>
      </c>
      <c r="P325" s="58">
        <v>0</v>
      </c>
      <c r="Q325" s="58">
        <v>0</v>
      </c>
      <c r="R325" s="58">
        <v>0</v>
      </c>
      <c r="S325" s="58">
        <v>0</v>
      </c>
      <c r="T325" s="58">
        <v>0</v>
      </c>
      <c r="U325" s="52">
        <v>256.14999999999998</v>
      </c>
      <c r="V325" s="49" t="s">
        <v>815</v>
      </c>
    </row>
    <row r="326" spans="1:22" hidden="1">
      <c r="A326" s="59" t="s">
        <v>1432</v>
      </c>
      <c r="B326" s="59" t="s">
        <v>1431</v>
      </c>
      <c r="C326" s="61" t="s">
        <v>10</v>
      </c>
      <c r="D326" s="61" t="s">
        <v>88</v>
      </c>
      <c r="E326" s="60" t="s">
        <v>10</v>
      </c>
      <c r="F326" s="50" t="s">
        <v>894</v>
      </c>
      <c r="G326" s="50" t="b">
        <v>0</v>
      </c>
      <c r="H326" s="58">
        <v>259.54000000000002</v>
      </c>
      <c r="I326" s="58">
        <v>0</v>
      </c>
      <c r="J326" s="58">
        <v>0</v>
      </c>
      <c r="K326" s="58">
        <v>0</v>
      </c>
      <c r="L326" s="58">
        <v>0</v>
      </c>
      <c r="M326" s="58">
        <v>0</v>
      </c>
      <c r="N326" s="58">
        <v>0</v>
      </c>
      <c r="O326" s="58">
        <v>0</v>
      </c>
      <c r="P326" s="58">
        <v>0</v>
      </c>
      <c r="Q326" s="58">
        <v>0</v>
      </c>
      <c r="R326" s="58">
        <v>0</v>
      </c>
      <c r="S326" s="58">
        <v>0</v>
      </c>
      <c r="T326" s="58">
        <v>0</v>
      </c>
      <c r="U326" s="52">
        <v>259.54000000000002</v>
      </c>
      <c r="V326" s="49" t="s">
        <v>815</v>
      </c>
    </row>
    <row r="327" spans="1:22" hidden="1">
      <c r="A327" s="59" t="s">
        <v>1430</v>
      </c>
      <c r="B327" s="59" t="s">
        <v>1429</v>
      </c>
      <c r="C327" s="61" t="s">
        <v>12</v>
      </c>
      <c r="D327" s="61" t="s">
        <v>11</v>
      </c>
      <c r="E327" s="60" t="s">
        <v>11</v>
      </c>
      <c r="F327" s="50" t="s">
        <v>816</v>
      </c>
      <c r="G327" s="50" t="b">
        <v>0</v>
      </c>
      <c r="H327" s="58">
        <v>46</v>
      </c>
      <c r="I327" s="58">
        <v>0</v>
      </c>
      <c r="J327" s="58">
        <v>0</v>
      </c>
      <c r="K327" s="58">
        <v>0</v>
      </c>
      <c r="L327" s="58">
        <v>0</v>
      </c>
      <c r="M327" s="58">
        <v>0</v>
      </c>
      <c r="N327" s="58">
        <v>0</v>
      </c>
      <c r="O327" s="58">
        <v>0</v>
      </c>
      <c r="P327" s="58">
        <v>0</v>
      </c>
      <c r="Q327" s="58">
        <v>0</v>
      </c>
      <c r="R327" s="58">
        <v>0</v>
      </c>
      <c r="S327" s="58">
        <v>0</v>
      </c>
      <c r="T327" s="58">
        <v>0</v>
      </c>
      <c r="U327" s="52">
        <v>46.1</v>
      </c>
      <c r="V327" s="49" t="s">
        <v>815</v>
      </c>
    </row>
    <row r="328" spans="1:22" hidden="1">
      <c r="A328" s="59" t="s">
        <v>1428</v>
      </c>
      <c r="B328" s="59" t="s">
        <v>1427</v>
      </c>
      <c r="C328" s="61" t="s">
        <v>12</v>
      </c>
      <c r="D328" s="61" t="s">
        <v>11</v>
      </c>
      <c r="E328" s="60" t="s">
        <v>11</v>
      </c>
      <c r="F328" s="50" t="s">
        <v>816</v>
      </c>
      <c r="G328" s="50" t="b">
        <v>0</v>
      </c>
      <c r="H328" s="58">
        <v>46</v>
      </c>
      <c r="I328" s="58">
        <v>0</v>
      </c>
      <c r="J328" s="58">
        <v>0</v>
      </c>
      <c r="K328" s="58">
        <v>0</v>
      </c>
      <c r="L328" s="58">
        <v>0</v>
      </c>
      <c r="M328" s="58">
        <v>0</v>
      </c>
      <c r="N328" s="58">
        <v>0</v>
      </c>
      <c r="O328" s="58">
        <v>0</v>
      </c>
      <c r="P328" s="58">
        <v>0</v>
      </c>
      <c r="Q328" s="58">
        <v>0</v>
      </c>
      <c r="R328" s="58">
        <v>0</v>
      </c>
      <c r="S328" s="58">
        <v>0</v>
      </c>
      <c r="T328" s="58">
        <v>0</v>
      </c>
      <c r="U328" s="52">
        <v>47.98</v>
      </c>
      <c r="V328" s="49" t="s">
        <v>815</v>
      </c>
    </row>
    <row r="329" spans="1:22" hidden="1">
      <c r="A329" s="59" t="s">
        <v>1426</v>
      </c>
      <c r="B329" s="59" t="s">
        <v>1425</v>
      </c>
      <c r="C329" s="61" t="s">
        <v>12</v>
      </c>
      <c r="D329" s="61" t="s">
        <v>11</v>
      </c>
      <c r="E329" s="60" t="s">
        <v>11</v>
      </c>
      <c r="F329" s="50" t="s">
        <v>894</v>
      </c>
      <c r="G329" s="50" t="b">
        <v>0</v>
      </c>
      <c r="H329" s="58">
        <v>165</v>
      </c>
      <c r="I329" s="58">
        <v>0</v>
      </c>
      <c r="J329" s="58">
        <v>0</v>
      </c>
      <c r="K329" s="58">
        <v>0</v>
      </c>
      <c r="L329" s="58">
        <v>0</v>
      </c>
      <c r="M329" s="58">
        <v>0</v>
      </c>
      <c r="N329" s="58">
        <v>0</v>
      </c>
      <c r="O329" s="58">
        <v>0</v>
      </c>
      <c r="P329" s="58">
        <v>0</v>
      </c>
      <c r="Q329" s="58">
        <v>0</v>
      </c>
      <c r="R329" s="58">
        <v>0</v>
      </c>
      <c r="S329" s="58">
        <v>0</v>
      </c>
      <c r="T329" s="58">
        <v>0</v>
      </c>
      <c r="U329" s="52">
        <v>180</v>
      </c>
      <c r="V329" s="49" t="s">
        <v>815</v>
      </c>
    </row>
    <row r="330" spans="1:22" hidden="1">
      <c r="A330" s="59" t="s">
        <v>1424</v>
      </c>
      <c r="B330" s="59" t="s">
        <v>1423</v>
      </c>
      <c r="C330" s="61" t="s">
        <v>12</v>
      </c>
      <c r="D330" s="61" t="s">
        <v>11</v>
      </c>
      <c r="E330" s="60" t="s">
        <v>11</v>
      </c>
      <c r="F330" s="50" t="s">
        <v>894</v>
      </c>
      <c r="G330" s="50" t="b">
        <v>0</v>
      </c>
      <c r="H330" s="58">
        <v>322</v>
      </c>
      <c r="I330" s="58">
        <v>0</v>
      </c>
      <c r="J330" s="58">
        <v>0</v>
      </c>
      <c r="K330" s="58">
        <v>0</v>
      </c>
      <c r="L330" s="58">
        <v>0</v>
      </c>
      <c r="M330" s="58">
        <v>0</v>
      </c>
      <c r="N330" s="58">
        <v>0</v>
      </c>
      <c r="O330" s="58">
        <v>0</v>
      </c>
      <c r="P330" s="58">
        <v>0</v>
      </c>
      <c r="Q330" s="58">
        <v>0</v>
      </c>
      <c r="R330" s="58">
        <v>0</v>
      </c>
      <c r="S330" s="58">
        <v>0</v>
      </c>
      <c r="T330" s="58">
        <v>0</v>
      </c>
      <c r="U330" s="52">
        <v>322</v>
      </c>
      <c r="V330" s="49" t="s">
        <v>815</v>
      </c>
    </row>
    <row r="331" spans="1:22" hidden="1">
      <c r="A331" s="59" t="s">
        <v>1422</v>
      </c>
      <c r="B331" s="59" t="s">
        <v>1421</v>
      </c>
      <c r="C331" s="61" t="s">
        <v>10</v>
      </c>
      <c r="D331" s="61" t="s">
        <v>88</v>
      </c>
      <c r="E331" s="60" t="s">
        <v>10</v>
      </c>
      <c r="F331" s="50" t="s">
        <v>894</v>
      </c>
      <c r="G331" s="50" t="b">
        <v>0</v>
      </c>
      <c r="H331" s="58">
        <v>0</v>
      </c>
      <c r="I331" s="58">
        <v>22.86</v>
      </c>
      <c r="J331" s="58">
        <v>24.43</v>
      </c>
      <c r="K331" s="58">
        <v>10.69</v>
      </c>
      <c r="L331" s="58">
        <v>6.18</v>
      </c>
      <c r="M331" s="58">
        <v>19.77</v>
      </c>
      <c r="N331" s="58">
        <v>21.77</v>
      </c>
      <c r="O331" s="58">
        <v>22.72</v>
      </c>
      <c r="P331" s="58">
        <v>23.28</v>
      </c>
      <c r="Q331" s="58">
        <v>19.97</v>
      </c>
      <c r="R331" s="58">
        <v>18.440000000000001</v>
      </c>
      <c r="S331" s="58">
        <v>23.83</v>
      </c>
      <c r="T331" s="58">
        <v>24.87</v>
      </c>
      <c r="U331" s="52">
        <v>40.65</v>
      </c>
      <c r="V331" s="49" t="s">
        <v>820</v>
      </c>
    </row>
    <row r="332" spans="1:22" hidden="1">
      <c r="A332" s="59" t="s">
        <v>1420</v>
      </c>
      <c r="B332" s="59" t="s">
        <v>1419</v>
      </c>
      <c r="C332" s="61" t="s">
        <v>10</v>
      </c>
      <c r="D332" s="61" t="s">
        <v>32</v>
      </c>
      <c r="E332" s="60" t="s">
        <v>10</v>
      </c>
      <c r="F332" s="50" t="s">
        <v>824</v>
      </c>
      <c r="G332" s="50" t="b">
        <v>0</v>
      </c>
      <c r="H332" s="58">
        <v>0</v>
      </c>
      <c r="I332" s="58">
        <v>0.13</v>
      </c>
      <c r="J332" s="58">
        <v>0.14000000000000001</v>
      </c>
      <c r="K332" s="58">
        <v>0.14000000000000001</v>
      </c>
      <c r="L332" s="58">
        <v>0.1</v>
      </c>
      <c r="M332" s="58">
        <v>0.12</v>
      </c>
      <c r="N332" s="58">
        <v>0.15</v>
      </c>
      <c r="O332" s="58">
        <v>0.14000000000000001</v>
      </c>
      <c r="P332" s="58">
        <v>0.12</v>
      </c>
      <c r="Q332" s="58">
        <v>0.18</v>
      </c>
      <c r="R332" s="58">
        <v>0.18</v>
      </c>
      <c r="S332" s="58">
        <v>0.14000000000000001</v>
      </c>
      <c r="T332" s="58">
        <v>0.14000000000000001</v>
      </c>
      <c r="U332" s="52">
        <v>0.3</v>
      </c>
      <c r="V332" s="49" t="s">
        <v>820</v>
      </c>
    </row>
    <row r="333" spans="1:22" hidden="1">
      <c r="A333" s="59" t="s">
        <v>1418</v>
      </c>
      <c r="B333" s="59" t="s">
        <v>1417</v>
      </c>
      <c r="C333" s="61" t="s">
        <v>12</v>
      </c>
      <c r="D333" s="61" t="s">
        <v>52</v>
      </c>
      <c r="E333" s="60" t="s">
        <v>12</v>
      </c>
      <c r="F333" s="50" t="s">
        <v>894</v>
      </c>
      <c r="G333" s="50" t="b">
        <v>0</v>
      </c>
      <c r="H333" s="58">
        <v>0</v>
      </c>
      <c r="I333" s="58">
        <v>750.66</v>
      </c>
      <c r="J333" s="58">
        <v>750.66</v>
      </c>
      <c r="K333" s="58">
        <v>740</v>
      </c>
      <c r="L333" s="58">
        <v>725</v>
      </c>
      <c r="M333" s="58">
        <v>715</v>
      </c>
      <c r="N333" s="58">
        <v>715</v>
      </c>
      <c r="O333" s="58">
        <v>715</v>
      </c>
      <c r="P333" s="58">
        <v>715</v>
      </c>
      <c r="Q333" s="58">
        <v>715</v>
      </c>
      <c r="R333" s="58">
        <v>720</v>
      </c>
      <c r="S333" s="58">
        <v>735</v>
      </c>
      <c r="T333" s="58">
        <v>750.66</v>
      </c>
      <c r="U333" s="52">
        <v>750.66</v>
      </c>
      <c r="V333" s="49" t="s">
        <v>815</v>
      </c>
    </row>
    <row r="334" spans="1:22" hidden="1">
      <c r="A334" s="59" t="s">
        <v>1416</v>
      </c>
      <c r="B334" s="59" t="s">
        <v>1415</v>
      </c>
      <c r="C334" s="61" t="s">
        <v>10</v>
      </c>
      <c r="D334" s="61" t="s">
        <v>32</v>
      </c>
      <c r="E334" s="60" t="s">
        <v>10</v>
      </c>
      <c r="F334" s="50" t="s">
        <v>816</v>
      </c>
      <c r="G334" s="50" t="b">
        <v>0</v>
      </c>
      <c r="H334" s="58">
        <v>0</v>
      </c>
      <c r="I334" s="58">
        <v>188</v>
      </c>
      <c r="J334" s="58">
        <v>188</v>
      </c>
      <c r="K334" s="58">
        <v>188</v>
      </c>
      <c r="L334" s="58">
        <v>188</v>
      </c>
      <c r="M334" s="58">
        <v>188</v>
      </c>
      <c r="N334" s="58">
        <v>188</v>
      </c>
      <c r="O334" s="58">
        <v>187</v>
      </c>
      <c r="P334" s="58">
        <v>186</v>
      </c>
      <c r="Q334" s="58">
        <v>187</v>
      </c>
      <c r="R334" s="58">
        <v>188</v>
      </c>
      <c r="S334" s="58">
        <v>188</v>
      </c>
      <c r="T334" s="58">
        <v>188</v>
      </c>
      <c r="U334" s="52">
        <v>188</v>
      </c>
      <c r="V334" s="49" t="s">
        <v>815</v>
      </c>
    </row>
    <row r="335" spans="1:22" hidden="1">
      <c r="A335" s="59" t="s">
        <v>1414</v>
      </c>
      <c r="B335" s="59" t="s">
        <v>1413</v>
      </c>
      <c r="C335" s="61" t="s">
        <v>10</v>
      </c>
      <c r="D335" s="61" t="s">
        <v>88</v>
      </c>
      <c r="E335" s="60" t="s">
        <v>10</v>
      </c>
      <c r="F335" s="50" t="s">
        <v>827</v>
      </c>
      <c r="G335" s="50" t="b">
        <v>0</v>
      </c>
      <c r="H335" s="58">
        <v>0</v>
      </c>
      <c r="I335" s="58">
        <v>0</v>
      </c>
      <c r="J335" s="58">
        <v>0</v>
      </c>
      <c r="K335" s="58">
        <v>0</v>
      </c>
      <c r="L335" s="58">
        <v>0</v>
      </c>
      <c r="M335" s="58">
        <v>0</v>
      </c>
      <c r="N335" s="58">
        <v>0</v>
      </c>
      <c r="O335" s="58">
        <v>0</v>
      </c>
      <c r="P335" s="58">
        <v>0</v>
      </c>
      <c r="Q335" s="58">
        <v>0</v>
      </c>
      <c r="R335" s="58">
        <v>0</v>
      </c>
      <c r="S335" s="58">
        <v>0</v>
      </c>
      <c r="T335" s="58">
        <v>0</v>
      </c>
      <c r="U335" s="52">
        <v>2.5</v>
      </c>
      <c r="V335" s="49" t="s">
        <v>820</v>
      </c>
    </row>
    <row r="336" spans="1:22" hidden="1">
      <c r="A336" s="59" t="s">
        <v>1412</v>
      </c>
      <c r="B336" s="59" t="s">
        <v>1411</v>
      </c>
      <c r="C336" s="61" t="s">
        <v>10</v>
      </c>
      <c r="D336" s="61" t="s">
        <v>32</v>
      </c>
      <c r="E336" s="60" t="s">
        <v>10</v>
      </c>
      <c r="F336" s="50" t="s">
        <v>812</v>
      </c>
      <c r="G336" s="50" t="b">
        <v>0</v>
      </c>
      <c r="H336" s="58">
        <v>0</v>
      </c>
      <c r="I336" s="58">
        <v>0.11</v>
      </c>
      <c r="J336" s="58">
        <v>0.45</v>
      </c>
      <c r="K336" s="58">
        <v>1.87</v>
      </c>
      <c r="L336" s="58">
        <v>1.1399999999999999</v>
      </c>
      <c r="M336" s="58">
        <v>3.02</v>
      </c>
      <c r="N336" s="58">
        <v>3.01</v>
      </c>
      <c r="O336" s="58">
        <v>4.21</v>
      </c>
      <c r="P336" s="58">
        <v>2.0499999999999998</v>
      </c>
      <c r="Q336" s="58">
        <v>0.72</v>
      </c>
      <c r="R336" s="58">
        <v>0.44</v>
      </c>
      <c r="S336" s="58">
        <v>0.16</v>
      </c>
      <c r="T336" s="58">
        <v>0</v>
      </c>
      <c r="U336" s="52">
        <v>30.9</v>
      </c>
      <c r="V336" s="49" t="s">
        <v>820</v>
      </c>
    </row>
    <row r="337" spans="1:22" hidden="1">
      <c r="A337" s="59" t="s">
        <v>1410</v>
      </c>
      <c r="B337" s="59" t="s">
        <v>1409</v>
      </c>
      <c r="C337" s="61" t="s">
        <v>12</v>
      </c>
      <c r="D337" s="61" t="s">
        <v>47</v>
      </c>
      <c r="E337" s="60" t="s">
        <v>12</v>
      </c>
      <c r="F337" s="50" t="s">
        <v>821</v>
      </c>
      <c r="G337" s="50" t="b">
        <v>0</v>
      </c>
      <c r="H337" s="58">
        <v>0</v>
      </c>
      <c r="I337" s="58">
        <v>49.45</v>
      </c>
      <c r="J337" s="58">
        <v>50.46</v>
      </c>
      <c r="K337" s="58">
        <v>48.96</v>
      </c>
      <c r="L337" s="58">
        <v>43.84</v>
      </c>
      <c r="M337" s="58">
        <v>48.01</v>
      </c>
      <c r="N337" s="58">
        <v>48.09</v>
      </c>
      <c r="O337" s="58">
        <v>40.78</v>
      </c>
      <c r="P337" s="58">
        <v>45.72</v>
      </c>
      <c r="Q337" s="58">
        <v>47.24</v>
      </c>
      <c r="R337" s="58">
        <v>39.200000000000003</v>
      </c>
      <c r="S337" s="58">
        <v>31.12</v>
      </c>
      <c r="T337" s="58">
        <v>39.619999999999997</v>
      </c>
      <c r="U337" s="52">
        <v>56.06</v>
      </c>
      <c r="V337" s="49" t="s">
        <v>820</v>
      </c>
    </row>
    <row r="338" spans="1:22">
      <c r="A338" s="59" t="s">
        <v>1408</v>
      </c>
      <c r="B338" s="59" t="s">
        <v>1407</v>
      </c>
      <c r="C338" s="61" t="s">
        <v>12</v>
      </c>
      <c r="D338" s="61" t="s">
        <v>47</v>
      </c>
      <c r="E338" s="60" t="s">
        <v>12</v>
      </c>
      <c r="F338" s="50" t="s">
        <v>872</v>
      </c>
      <c r="G338" s="50" t="b">
        <v>0</v>
      </c>
      <c r="H338" s="58">
        <v>0</v>
      </c>
      <c r="I338" s="58">
        <v>0.77</v>
      </c>
      <c r="J338" s="58">
        <v>0.62</v>
      </c>
      <c r="K338" s="58">
        <v>0.67</v>
      </c>
      <c r="L338" s="58">
        <v>0.82</v>
      </c>
      <c r="M338" s="58">
        <v>1.01</v>
      </c>
      <c r="N338" s="58">
        <v>1.08</v>
      </c>
      <c r="O338" s="58">
        <v>0.8</v>
      </c>
      <c r="P338" s="58">
        <v>0.95</v>
      </c>
      <c r="Q338" s="58">
        <v>0.93</v>
      </c>
      <c r="R338" s="58">
        <v>0.83</v>
      </c>
      <c r="S338" s="58">
        <v>1.1000000000000001</v>
      </c>
      <c r="T338" s="58">
        <v>0.67</v>
      </c>
      <c r="U338" s="52">
        <v>5</v>
      </c>
      <c r="V338" s="49" t="s">
        <v>820</v>
      </c>
    </row>
    <row r="339" spans="1:22" hidden="1">
      <c r="A339" s="59" t="s">
        <v>1406</v>
      </c>
      <c r="B339" s="59" t="s">
        <v>1405</v>
      </c>
      <c r="C339" s="61" t="s">
        <v>10</v>
      </c>
      <c r="D339" s="61" t="s">
        <v>901</v>
      </c>
      <c r="E339" s="60" t="s">
        <v>10</v>
      </c>
      <c r="F339" s="50" t="s">
        <v>821</v>
      </c>
      <c r="G339" s="50" t="b">
        <v>0</v>
      </c>
      <c r="H339" s="58">
        <v>0</v>
      </c>
      <c r="I339" s="58">
        <v>45.33</v>
      </c>
      <c r="J339" s="58">
        <v>46.66</v>
      </c>
      <c r="K339" s="58">
        <v>47.38</v>
      </c>
      <c r="L339" s="58">
        <v>47.48</v>
      </c>
      <c r="M339" s="58">
        <v>33.92</v>
      </c>
      <c r="N339" s="58">
        <v>45.23</v>
      </c>
      <c r="O339" s="58">
        <v>44.98</v>
      </c>
      <c r="P339" s="58">
        <v>44.4</v>
      </c>
      <c r="Q339" s="58">
        <v>41.5</v>
      </c>
      <c r="R339" s="58">
        <v>41.26</v>
      </c>
      <c r="S339" s="58">
        <v>46.87</v>
      </c>
      <c r="T339" s="58">
        <v>46.3</v>
      </c>
      <c r="U339" s="52">
        <v>55.3</v>
      </c>
      <c r="V339" s="49" t="s">
        <v>820</v>
      </c>
    </row>
    <row r="340" spans="1:22" hidden="1">
      <c r="A340" s="59" t="s">
        <v>1404</v>
      </c>
      <c r="B340" s="59" t="s">
        <v>1403</v>
      </c>
      <c r="C340" s="61" t="s">
        <v>10</v>
      </c>
      <c r="D340" s="61" t="s">
        <v>32</v>
      </c>
      <c r="E340" s="60" t="s">
        <v>10</v>
      </c>
      <c r="F340" s="50" t="s">
        <v>816</v>
      </c>
      <c r="G340" s="50" t="b">
        <v>0</v>
      </c>
      <c r="H340" s="58">
        <v>0</v>
      </c>
      <c r="I340" s="58">
        <v>48</v>
      </c>
      <c r="J340" s="58">
        <v>48</v>
      </c>
      <c r="K340" s="58">
        <v>48</v>
      </c>
      <c r="L340" s="58">
        <v>48</v>
      </c>
      <c r="M340" s="58">
        <v>47</v>
      </c>
      <c r="N340" s="58">
        <v>47</v>
      </c>
      <c r="O340" s="58">
        <v>47</v>
      </c>
      <c r="P340" s="58">
        <v>47</v>
      </c>
      <c r="Q340" s="58">
        <v>47</v>
      </c>
      <c r="R340" s="58">
        <v>48</v>
      </c>
      <c r="S340" s="58">
        <v>48</v>
      </c>
      <c r="T340" s="58">
        <v>48</v>
      </c>
      <c r="U340" s="52">
        <v>48</v>
      </c>
      <c r="V340" s="49" t="s">
        <v>815</v>
      </c>
    </row>
    <row r="341" spans="1:22" hidden="1">
      <c r="A341" s="59" t="s">
        <v>1402</v>
      </c>
      <c r="B341" s="59" t="s">
        <v>1401</v>
      </c>
      <c r="C341" s="61" t="s">
        <v>10</v>
      </c>
      <c r="D341" s="61" t="s">
        <v>32</v>
      </c>
      <c r="E341" s="60" t="s">
        <v>10</v>
      </c>
      <c r="F341" s="50" t="s">
        <v>816</v>
      </c>
      <c r="G341" s="50" t="b">
        <v>0</v>
      </c>
      <c r="H341" s="58">
        <v>0</v>
      </c>
      <c r="I341" s="58">
        <v>48</v>
      </c>
      <c r="J341" s="58">
        <v>48</v>
      </c>
      <c r="K341" s="58">
        <v>48</v>
      </c>
      <c r="L341" s="58">
        <v>48</v>
      </c>
      <c r="M341" s="58">
        <v>47</v>
      </c>
      <c r="N341" s="58">
        <v>47</v>
      </c>
      <c r="O341" s="58">
        <v>46</v>
      </c>
      <c r="P341" s="58">
        <v>46</v>
      </c>
      <c r="Q341" s="58">
        <v>46</v>
      </c>
      <c r="R341" s="58">
        <v>48</v>
      </c>
      <c r="S341" s="58">
        <v>48</v>
      </c>
      <c r="T341" s="58">
        <v>48</v>
      </c>
      <c r="U341" s="52">
        <v>48</v>
      </c>
      <c r="V341" s="49" t="s">
        <v>815</v>
      </c>
    </row>
    <row r="342" spans="1:22" hidden="1">
      <c r="A342" s="59" t="s">
        <v>1400</v>
      </c>
      <c r="B342" s="59" t="s">
        <v>1399</v>
      </c>
      <c r="C342" s="61" t="s">
        <v>10</v>
      </c>
      <c r="D342" s="61" t="s">
        <v>32</v>
      </c>
      <c r="E342" s="60" t="s">
        <v>10</v>
      </c>
      <c r="F342" s="50" t="s">
        <v>816</v>
      </c>
      <c r="G342" s="50" t="b">
        <v>0</v>
      </c>
      <c r="H342" s="58">
        <v>0</v>
      </c>
      <c r="I342" s="58">
        <v>48</v>
      </c>
      <c r="J342" s="58">
        <v>48</v>
      </c>
      <c r="K342" s="58">
        <v>48</v>
      </c>
      <c r="L342" s="58">
        <v>48</v>
      </c>
      <c r="M342" s="58">
        <v>47</v>
      </c>
      <c r="N342" s="58">
        <v>47</v>
      </c>
      <c r="O342" s="58">
        <v>47</v>
      </c>
      <c r="P342" s="58">
        <v>47</v>
      </c>
      <c r="Q342" s="58">
        <v>47</v>
      </c>
      <c r="R342" s="58">
        <v>48</v>
      </c>
      <c r="S342" s="58">
        <v>48</v>
      </c>
      <c r="T342" s="58">
        <v>48</v>
      </c>
      <c r="U342" s="52">
        <v>48</v>
      </c>
      <c r="V342" s="49" t="s">
        <v>815</v>
      </c>
    </row>
    <row r="343" spans="1:22" hidden="1">
      <c r="A343" s="59" t="s">
        <v>1398</v>
      </c>
      <c r="B343" s="59" t="s">
        <v>1397</v>
      </c>
      <c r="C343" s="61" t="s">
        <v>10</v>
      </c>
      <c r="D343" s="61" t="s">
        <v>32</v>
      </c>
      <c r="E343" s="60" t="s">
        <v>10</v>
      </c>
      <c r="F343" s="50" t="s">
        <v>894</v>
      </c>
      <c r="G343" s="50" t="b">
        <v>0</v>
      </c>
      <c r="H343" s="58">
        <v>0</v>
      </c>
      <c r="I343" s="58">
        <v>561.29</v>
      </c>
      <c r="J343" s="58">
        <v>561.29</v>
      </c>
      <c r="K343" s="58">
        <v>561.29</v>
      </c>
      <c r="L343" s="58">
        <v>561.29</v>
      </c>
      <c r="M343" s="58">
        <v>556</v>
      </c>
      <c r="N343" s="58">
        <v>556</v>
      </c>
      <c r="O343" s="58">
        <v>556</v>
      </c>
      <c r="P343" s="58">
        <v>556</v>
      </c>
      <c r="Q343" s="58">
        <v>556</v>
      </c>
      <c r="R343" s="58">
        <v>561.29</v>
      </c>
      <c r="S343" s="58">
        <v>561.29</v>
      </c>
      <c r="T343" s="58">
        <v>561.29</v>
      </c>
      <c r="U343" s="52">
        <v>561.29</v>
      </c>
      <c r="V343" s="49" t="s">
        <v>815</v>
      </c>
    </row>
    <row r="344" spans="1:22" hidden="1">
      <c r="A344" s="59" t="s">
        <v>1396</v>
      </c>
      <c r="B344" s="59" t="s">
        <v>1395</v>
      </c>
      <c r="C344" s="61" t="s">
        <v>10</v>
      </c>
      <c r="D344" s="61" t="s">
        <v>869</v>
      </c>
      <c r="E344" s="60" t="s">
        <v>10</v>
      </c>
      <c r="F344" s="50" t="s">
        <v>816</v>
      </c>
      <c r="G344" s="50" t="b">
        <v>0</v>
      </c>
      <c r="H344" s="58">
        <v>22.7</v>
      </c>
      <c r="I344" s="58">
        <v>0</v>
      </c>
      <c r="J344" s="58">
        <v>0</v>
      </c>
      <c r="K344" s="58">
        <v>0</v>
      </c>
      <c r="L344" s="58">
        <v>0</v>
      </c>
      <c r="M344" s="58">
        <v>0</v>
      </c>
      <c r="N344" s="58">
        <v>0</v>
      </c>
      <c r="O344" s="58">
        <v>0</v>
      </c>
      <c r="P344" s="58">
        <v>0</v>
      </c>
      <c r="Q344" s="58">
        <v>0</v>
      </c>
      <c r="R344" s="58">
        <v>0</v>
      </c>
      <c r="S344" s="58">
        <v>0</v>
      </c>
      <c r="T344" s="58">
        <v>0</v>
      </c>
      <c r="U344" s="52">
        <v>25.3</v>
      </c>
      <c r="V344" s="49" t="s">
        <v>948</v>
      </c>
    </row>
    <row r="345" spans="1:22" hidden="1">
      <c r="A345" s="59" t="s">
        <v>1394</v>
      </c>
      <c r="B345" s="59" t="s">
        <v>1394</v>
      </c>
      <c r="C345" s="61" t="s">
        <v>10</v>
      </c>
      <c r="D345" s="61" t="s">
        <v>88</v>
      </c>
      <c r="E345" s="60" t="s">
        <v>10</v>
      </c>
      <c r="F345" s="50" t="s">
        <v>827</v>
      </c>
      <c r="G345" s="50" t="b">
        <v>0</v>
      </c>
      <c r="H345" s="58">
        <v>0</v>
      </c>
      <c r="I345" s="58">
        <v>0.96</v>
      </c>
      <c r="J345" s="58">
        <v>1.34</v>
      </c>
      <c r="K345" s="58">
        <v>1.96</v>
      </c>
      <c r="L345" s="58">
        <v>0.94</v>
      </c>
      <c r="M345" s="58">
        <v>0.62</v>
      </c>
      <c r="N345" s="58">
        <v>0.27</v>
      </c>
      <c r="O345" s="58">
        <v>0.26</v>
      </c>
      <c r="P345" s="58">
        <v>0.32</v>
      </c>
      <c r="Q345" s="58">
        <v>0.4</v>
      </c>
      <c r="R345" s="58">
        <v>0.38</v>
      </c>
      <c r="S345" s="58">
        <v>0.35</v>
      </c>
      <c r="T345" s="58">
        <v>0.49</v>
      </c>
      <c r="U345" s="52">
        <v>3.2</v>
      </c>
      <c r="V345" s="49" t="s">
        <v>820</v>
      </c>
    </row>
    <row r="346" spans="1:22" hidden="1">
      <c r="A346" s="59" t="s">
        <v>1393</v>
      </c>
      <c r="B346" s="59" t="s">
        <v>1392</v>
      </c>
      <c r="C346" s="61" t="s">
        <v>10</v>
      </c>
      <c r="D346" s="61" t="s">
        <v>828</v>
      </c>
      <c r="E346" s="60" t="s">
        <v>10</v>
      </c>
      <c r="F346" s="50" t="s">
        <v>816</v>
      </c>
      <c r="G346" s="50" t="b">
        <v>0</v>
      </c>
      <c r="H346" s="58">
        <v>96</v>
      </c>
      <c r="I346" s="58">
        <v>0</v>
      </c>
      <c r="J346" s="58">
        <v>0</v>
      </c>
      <c r="K346" s="58">
        <v>0</v>
      </c>
      <c r="L346" s="58">
        <v>0</v>
      </c>
      <c r="M346" s="58">
        <v>0</v>
      </c>
      <c r="N346" s="58">
        <v>0</v>
      </c>
      <c r="O346" s="58">
        <v>0</v>
      </c>
      <c r="P346" s="58">
        <v>0</v>
      </c>
      <c r="Q346" s="58">
        <v>0</v>
      </c>
      <c r="R346" s="58">
        <v>0</v>
      </c>
      <c r="S346" s="58">
        <v>0</v>
      </c>
      <c r="T346" s="58">
        <v>0</v>
      </c>
      <c r="U346" s="52">
        <v>96</v>
      </c>
      <c r="V346" s="49" t="s">
        <v>815</v>
      </c>
    </row>
    <row r="347" spans="1:22" hidden="1">
      <c r="A347" s="59" t="s">
        <v>1391</v>
      </c>
      <c r="B347" s="59" t="s">
        <v>1390</v>
      </c>
      <c r="C347" s="61" t="s">
        <v>10</v>
      </c>
      <c r="D347" s="61" t="s">
        <v>88</v>
      </c>
      <c r="E347" s="60" t="s">
        <v>10</v>
      </c>
      <c r="F347" s="50" t="s">
        <v>827</v>
      </c>
      <c r="G347" s="50" t="b">
        <v>0</v>
      </c>
      <c r="H347" s="58">
        <v>0</v>
      </c>
      <c r="I347" s="58">
        <v>8</v>
      </c>
      <c r="J347" s="58">
        <v>13.59</v>
      </c>
      <c r="K347" s="58">
        <v>23.73</v>
      </c>
      <c r="L347" s="58">
        <v>3.86</v>
      </c>
      <c r="M347" s="58">
        <v>15.96</v>
      </c>
      <c r="N347" s="58">
        <v>10.18</v>
      </c>
      <c r="O347" s="58">
        <v>6.35</v>
      </c>
      <c r="P347" s="58">
        <v>0.16</v>
      </c>
      <c r="Q347" s="58">
        <v>0</v>
      </c>
      <c r="R347" s="58">
        <v>0.72</v>
      </c>
      <c r="S347" s="58">
        <v>1.67</v>
      </c>
      <c r="T347" s="58">
        <v>2.0099999999999998</v>
      </c>
      <c r="U347" s="52">
        <v>32.5</v>
      </c>
      <c r="V347" s="49" t="s">
        <v>820</v>
      </c>
    </row>
    <row r="348" spans="1:22" hidden="1">
      <c r="A348" s="59" t="s">
        <v>1389</v>
      </c>
      <c r="B348" s="59" t="s">
        <v>1388</v>
      </c>
      <c r="C348" s="61" t="s">
        <v>10</v>
      </c>
      <c r="D348" s="61" t="s">
        <v>32</v>
      </c>
      <c r="E348" s="60" t="s">
        <v>10</v>
      </c>
      <c r="F348" s="50" t="s">
        <v>821</v>
      </c>
      <c r="G348" s="50" t="b">
        <v>0</v>
      </c>
      <c r="H348" s="58">
        <v>0</v>
      </c>
      <c r="I348" s="58">
        <v>0</v>
      </c>
      <c r="J348" s="58">
        <v>0</v>
      </c>
      <c r="K348" s="58">
        <v>0</v>
      </c>
      <c r="L348" s="58">
        <v>0</v>
      </c>
      <c r="M348" s="58">
        <v>0</v>
      </c>
      <c r="N348" s="58">
        <v>0</v>
      </c>
      <c r="O348" s="58">
        <v>0</v>
      </c>
      <c r="P348" s="58">
        <v>0</v>
      </c>
      <c r="Q348" s="58">
        <v>0</v>
      </c>
      <c r="R348" s="58">
        <v>0</v>
      </c>
      <c r="S348" s="58">
        <v>0</v>
      </c>
      <c r="T348" s="58">
        <v>0.02</v>
      </c>
      <c r="U348" s="52">
        <v>6.9</v>
      </c>
      <c r="V348" s="49" t="s">
        <v>820</v>
      </c>
    </row>
    <row r="349" spans="1:22" hidden="1">
      <c r="A349" s="59" t="s">
        <v>1387</v>
      </c>
      <c r="B349" s="59" t="s">
        <v>1386</v>
      </c>
      <c r="C349" s="61" t="s">
        <v>10</v>
      </c>
      <c r="D349" s="61" t="s">
        <v>88</v>
      </c>
      <c r="E349" s="60" t="s">
        <v>10</v>
      </c>
      <c r="F349" s="50" t="s">
        <v>824</v>
      </c>
      <c r="G349" s="50" t="b">
        <v>0</v>
      </c>
      <c r="H349" s="58">
        <v>0</v>
      </c>
      <c r="I349" s="58">
        <v>2.99</v>
      </c>
      <c r="J349" s="58">
        <v>2.84</v>
      </c>
      <c r="K349" s="58">
        <v>3.18</v>
      </c>
      <c r="L349" s="58">
        <v>3.14</v>
      </c>
      <c r="M349" s="58">
        <v>3.42</v>
      </c>
      <c r="N349" s="58">
        <v>3.12</v>
      </c>
      <c r="O349" s="58">
        <v>2.29</v>
      </c>
      <c r="P349" s="58">
        <v>2.72</v>
      </c>
      <c r="Q349" s="58">
        <v>2.56</v>
      </c>
      <c r="R349" s="58">
        <v>2.4300000000000002</v>
      </c>
      <c r="S349" s="58">
        <v>1.83</v>
      </c>
      <c r="T349" s="58">
        <v>2.34</v>
      </c>
      <c r="U349" s="52">
        <v>8.6</v>
      </c>
      <c r="V349" s="49" t="s">
        <v>820</v>
      </c>
    </row>
    <row r="350" spans="1:22" hidden="1">
      <c r="A350" s="59" t="s">
        <v>1385</v>
      </c>
      <c r="B350" s="59" t="s">
        <v>1384</v>
      </c>
      <c r="C350" s="61" t="s">
        <v>10</v>
      </c>
      <c r="D350" s="61" t="s">
        <v>828</v>
      </c>
      <c r="E350" s="60" t="s">
        <v>10</v>
      </c>
      <c r="F350" s="50" t="s">
        <v>827</v>
      </c>
      <c r="G350" s="50" t="b">
        <v>0</v>
      </c>
      <c r="H350" s="58">
        <v>0</v>
      </c>
      <c r="I350" s="58">
        <v>0.38</v>
      </c>
      <c r="J350" s="58">
        <v>0.5</v>
      </c>
      <c r="K350" s="58">
        <v>0.47</v>
      </c>
      <c r="L350" s="58">
        <v>0.62</v>
      </c>
      <c r="M350" s="58">
        <v>0.68</v>
      </c>
      <c r="N350" s="58">
        <v>0.73</v>
      </c>
      <c r="O350" s="58">
        <v>0.68</v>
      </c>
      <c r="P350" s="58">
        <v>0.72</v>
      </c>
      <c r="Q350" s="58">
        <v>0.64</v>
      </c>
      <c r="R350" s="58">
        <v>0.53</v>
      </c>
      <c r="S350" s="58">
        <v>0.38</v>
      </c>
      <c r="T350" s="58">
        <v>0.28000000000000003</v>
      </c>
      <c r="U350" s="52">
        <v>2.5</v>
      </c>
      <c r="V350" s="49" t="s">
        <v>820</v>
      </c>
    </row>
    <row r="351" spans="1:22" hidden="1">
      <c r="A351" s="59" t="s">
        <v>1383</v>
      </c>
      <c r="B351" s="59" t="s">
        <v>1382</v>
      </c>
      <c r="C351" s="61" t="s">
        <v>12</v>
      </c>
      <c r="D351" s="61" t="s">
        <v>88</v>
      </c>
      <c r="E351" s="60" t="s">
        <v>12</v>
      </c>
      <c r="F351" s="50" t="s">
        <v>821</v>
      </c>
      <c r="G351" s="50" t="b">
        <v>0</v>
      </c>
      <c r="H351" s="58">
        <v>0</v>
      </c>
      <c r="I351" s="58">
        <v>94.64</v>
      </c>
      <c r="J351" s="58">
        <v>97.37</v>
      </c>
      <c r="K351" s="58">
        <v>36.21</v>
      </c>
      <c r="L351" s="58">
        <v>95.48</v>
      </c>
      <c r="M351" s="58">
        <v>91.28</v>
      </c>
      <c r="N351" s="58">
        <v>96.56</v>
      </c>
      <c r="O351" s="58">
        <v>89.82</v>
      </c>
      <c r="P351" s="58">
        <v>102.64</v>
      </c>
      <c r="Q351" s="58">
        <v>101.21</v>
      </c>
      <c r="R351" s="58">
        <v>88.6</v>
      </c>
      <c r="S351" s="58">
        <v>91.55</v>
      </c>
      <c r="T351" s="58">
        <v>96.34</v>
      </c>
      <c r="U351" s="52">
        <v>118.32</v>
      </c>
      <c r="V351" s="49" t="s">
        <v>820</v>
      </c>
    </row>
    <row r="352" spans="1:22" hidden="1">
      <c r="A352" s="59" t="s">
        <v>1381</v>
      </c>
      <c r="B352" s="59" t="s">
        <v>1380</v>
      </c>
      <c r="C352" s="61" t="s">
        <v>10</v>
      </c>
      <c r="D352" s="61" t="s">
        <v>828</v>
      </c>
      <c r="E352" s="60" t="s">
        <v>10</v>
      </c>
      <c r="F352" s="50" t="s">
        <v>827</v>
      </c>
      <c r="G352" s="50" t="b">
        <v>0</v>
      </c>
      <c r="H352" s="58">
        <v>0</v>
      </c>
      <c r="I352" s="58">
        <v>0</v>
      </c>
      <c r="J352" s="58">
        <v>0</v>
      </c>
      <c r="K352" s="58">
        <v>1.92</v>
      </c>
      <c r="L352" s="58">
        <v>4.2300000000000004</v>
      </c>
      <c r="M352" s="58">
        <v>6.06</v>
      </c>
      <c r="N352" s="58">
        <v>5.87</v>
      </c>
      <c r="O352" s="58">
        <v>6.02</v>
      </c>
      <c r="P352" s="58">
        <v>4.57</v>
      </c>
      <c r="Q352" s="58">
        <v>2.86</v>
      </c>
      <c r="R352" s="58">
        <v>1.04</v>
      </c>
      <c r="S352" s="58">
        <v>0.31</v>
      </c>
      <c r="T352" s="58">
        <v>0</v>
      </c>
      <c r="U352" s="52">
        <v>10</v>
      </c>
      <c r="V352" s="49" t="s">
        <v>820</v>
      </c>
    </row>
    <row r="353" spans="1:22" hidden="1">
      <c r="A353" s="59" t="s">
        <v>1379</v>
      </c>
      <c r="B353" s="59" t="s">
        <v>1378</v>
      </c>
      <c r="C353" s="61" t="s">
        <v>10</v>
      </c>
      <c r="D353" s="61" t="s">
        <v>817</v>
      </c>
      <c r="E353" s="60" t="s">
        <v>10</v>
      </c>
      <c r="F353" s="50" t="s">
        <v>827</v>
      </c>
      <c r="G353" s="50" t="b">
        <v>0</v>
      </c>
      <c r="H353" s="58">
        <v>0</v>
      </c>
      <c r="I353" s="58">
        <v>204.57</v>
      </c>
      <c r="J353" s="58">
        <v>204.66</v>
      </c>
      <c r="K353" s="58">
        <v>206.91</v>
      </c>
      <c r="L353" s="58">
        <v>209.44</v>
      </c>
      <c r="M353" s="58">
        <v>212.55</v>
      </c>
      <c r="N353" s="58">
        <v>212.94</v>
      </c>
      <c r="O353" s="58">
        <v>210.97</v>
      </c>
      <c r="P353" s="58">
        <v>208.68</v>
      </c>
      <c r="Q353" s="58">
        <v>206.55</v>
      </c>
      <c r="R353" s="58">
        <v>205.97</v>
      </c>
      <c r="S353" s="58">
        <v>203.1</v>
      </c>
      <c r="T353" s="58">
        <v>201.8</v>
      </c>
      <c r="U353" s="52">
        <v>218.39</v>
      </c>
      <c r="V353" s="49" t="s">
        <v>820</v>
      </c>
    </row>
    <row r="354" spans="1:22" hidden="1">
      <c r="A354" s="59" t="s">
        <v>1377</v>
      </c>
      <c r="B354" s="59" t="s">
        <v>1376</v>
      </c>
      <c r="C354" s="61" t="s">
        <v>10</v>
      </c>
      <c r="D354" s="61" t="s">
        <v>32</v>
      </c>
      <c r="E354" s="60" t="s">
        <v>10</v>
      </c>
      <c r="F354" s="50" t="s">
        <v>821</v>
      </c>
      <c r="G354" s="50" t="b">
        <v>0</v>
      </c>
      <c r="H354" s="58">
        <v>0</v>
      </c>
      <c r="I354" s="58">
        <v>0.4</v>
      </c>
      <c r="J354" s="58">
        <v>0.41</v>
      </c>
      <c r="K354" s="58">
        <v>0.46</v>
      </c>
      <c r="L354" s="58">
        <v>0.6</v>
      </c>
      <c r="M354" s="58">
        <v>0.7</v>
      </c>
      <c r="N354" s="58">
        <v>0.65</v>
      </c>
      <c r="O354" s="58">
        <v>0.72</v>
      </c>
      <c r="P354" s="58">
        <v>0.81</v>
      </c>
      <c r="Q354" s="58">
        <v>0.64</v>
      </c>
      <c r="R354" s="58">
        <v>0.67</v>
      </c>
      <c r="S354" s="58">
        <v>0.48</v>
      </c>
      <c r="T354" s="58">
        <v>0.41</v>
      </c>
      <c r="U354" s="52">
        <v>3.5</v>
      </c>
      <c r="V354" s="49" t="s">
        <v>820</v>
      </c>
    </row>
    <row r="355" spans="1:22" hidden="1">
      <c r="A355" s="59" t="s">
        <v>1375</v>
      </c>
      <c r="B355" s="59" t="s">
        <v>1374</v>
      </c>
      <c r="C355" s="61" t="s">
        <v>10</v>
      </c>
      <c r="D355" s="61" t="s">
        <v>828</v>
      </c>
      <c r="E355" s="60" t="s">
        <v>10</v>
      </c>
      <c r="F355" s="50" t="s">
        <v>824</v>
      </c>
      <c r="G355" s="50" t="b">
        <v>0</v>
      </c>
      <c r="H355" s="58">
        <v>0</v>
      </c>
      <c r="I355" s="58">
        <v>21.88</v>
      </c>
      <c r="J355" s="58">
        <v>22.19</v>
      </c>
      <c r="K355" s="58">
        <v>21.95</v>
      </c>
      <c r="L355" s="58">
        <v>20.91</v>
      </c>
      <c r="M355" s="58">
        <v>12.58</v>
      </c>
      <c r="N355" s="58">
        <v>22.36</v>
      </c>
      <c r="O355" s="58">
        <v>22.32</v>
      </c>
      <c r="P355" s="58">
        <v>21.61</v>
      </c>
      <c r="Q355" s="58">
        <v>21.31</v>
      </c>
      <c r="R355" s="58">
        <v>20.94</v>
      </c>
      <c r="S355" s="58">
        <v>13.83</v>
      </c>
      <c r="T355" s="58">
        <v>23.08</v>
      </c>
      <c r="U355" s="52">
        <v>33</v>
      </c>
      <c r="V355" s="49" t="s">
        <v>820</v>
      </c>
    </row>
    <row r="356" spans="1:22" hidden="1">
      <c r="A356" s="59" t="s">
        <v>1373</v>
      </c>
      <c r="B356" s="59" t="s">
        <v>1372</v>
      </c>
      <c r="C356" s="61" t="s">
        <v>10</v>
      </c>
      <c r="D356" s="61" t="s">
        <v>828</v>
      </c>
      <c r="E356" s="60" t="s">
        <v>10</v>
      </c>
      <c r="F356" s="50" t="s">
        <v>827</v>
      </c>
      <c r="G356" s="50" t="b">
        <v>0</v>
      </c>
      <c r="H356" s="58">
        <v>0</v>
      </c>
      <c r="I356" s="58">
        <v>0</v>
      </c>
      <c r="J356" s="58">
        <v>0</v>
      </c>
      <c r="K356" s="58">
        <v>0.81</v>
      </c>
      <c r="L356" s="58">
        <v>1.87</v>
      </c>
      <c r="M356" s="58">
        <v>2.59</v>
      </c>
      <c r="N356" s="58">
        <v>2.54</v>
      </c>
      <c r="O356" s="58">
        <v>2.63</v>
      </c>
      <c r="P356" s="58">
        <v>2.0299999999999998</v>
      </c>
      <c r="Q356" s="58">
        <v>1.31</v>
      </c>
      <c r="R356" s="58">
        <v>0.34</v>
      </c>
      <c r="S356" s="58">
        <v>0.09</v>
      </c>
      <c r="T356" s="58">
        <v>0</v>
      </c>
      <c r="U356" s="52">
        <v>3.5</v>
      </c>
      <c r="V356" s="49" t="s">
        <v>820</v>
      </c>
    </row>
    <row r="357" spans="1:22" hidden="1">
      <c r="A357" s="59" t="s">
        <v>1371</v>
      </c>
      <c r="B357" s="59" t="s">
        <v>1370</v>
      </c>
      <c r="C357" s="61" t="s">
        <v>10</v>
      </c>
      <c r="D357" s="61" t="s">
        <v>88</v>
      </c>
      <c r="E357" s="60" t="s">
        <v>10</v>
      </c>
      <c r="F357" s="50" t="s">
        <v>827</v>
      </c>
      <c r="G357" s="50" t="b">
        <v>0</v>
      </c>
      <c r="H357" s="58">
        <v>0</v>
      </c>
      <c r="I357" s="58">
        <v>0</v>
      </c>
      <c r="J357" s="58">
        <v>0</v>
      </c>
      <c r="K357" s="58">
        <v>0</v>
      </c>
      <c r="L357" s="58">
        <v>0</v>
      </c>
      <c r="M357" s="58">
        <v>0</v>
      </c>
      <c r="N357" s="58">
        <v>0</v>
      </c>
      <c r="O357" s="58">
        <v>0</v>
      </c>
      <c r="P357" s="58">
        <v>0</v>
      </c>
      <c r="Q357" s="58">
        <v>0</v>
      </c>
      <c r="R357" s="58">
        <v>0</v>
      </c>
      <c r="S357" s="58">
        <v>0</v>
      </c>
      <c r="T357" s="58">
        <v>0</v>
      </c>
      <c r="U357" s="52">
        <v>1</v>
      </c>
      <c r="V357" s="49" t="s">
        <v>820</v>
      </c>
    </row>
    <row r="358" spans="1:22">
      <c r="A358" s="59" t="s">
        <v>1369</v>
      </c>
      <c r="B358" s="59" t="s">
        <v>1368</v>
      </c>
      <c r="C358" s="61" t="s">
        <v>12</v>
      </c>
      <c r="D358" s="61" t="s">
        <v>47</v>
      </c>
      <c r="E358" s="60" t="s">
        <v>12</v>
      </c>
      <c r="F358" s="50" t="s">
        <v>872</v>
      </c>
      <c r="G358" s="50" t="b">
        <v>0</v>
      </c>
      <c r="H358" s="58">
        <v>0</v>
      </c>
      <c r="I358" s="58">
        <v>0.75</v>
      </c>
      <c r="J358" s="58">
        <v>0.73</v>
      </c>
      <c r="K358" s="58">
        <v>0.88</v>
      </c>
      <c r="L358" s="58">
        <v>0.81</v>
      </c>
      <c r="M358" s="58">
        <v>0.9</v>
      </c>
      <c r="N358" s="58">
        <v>0.91</v>
      </c>
      <c r="O358" s="58">
        <v>1.1100000000000001</v>
      </c>
      <c r="P358" s="58">
        <v>1.1499999999999999</v>
      </c>
      <c r="Q358" s="58">
        <v>1.07</v>
      </c>
      <c r="R358" s="58">
        <v>1</v>
      </c>
      <c r="S358" s="58">
        <v>0.78</v>
      </c>
      <c r="T358" s="58">
        <v>0.79</v>
      </c>
      <c r="U358" s="52">
        <v>2.9</v>
      </c>
      <c r="V358" s="49" t="s">
        <v>820</v>
      </c>
    </row>
    <row r="359" spans="1:22" hidden="1">
      <c r="A359" s="59" t="s">
        <v>1367</v>
      </c>
      <c r="B359" s="59" t="s">
        <v>1366</v>
      </c>
      <c r="C359" s="61" t="s">
        <v>10</v>
      </c>
      <c r="D359" s="61" t="s">
        <v>32</v>
      </c>
      <c r="E359" s="60" t="s">
        <v>10</v>
      </c>
      <c r="F359" s="50" t="s">
        <v>827</v>
      </c>
      <c r="G359" s="50" t="b">
        <v>0</v>
      </c>
      <c r="H359" s="58">
        <v>0</v>
      </c>
      <c r="I359" s="58">
        <v>0.06</v>
      </c>
      <c r="J359" s="58">
        <v>0</v>
      </c>
      <c r="K359" s="58">
        <v>0.03</v>
      </c>
      <c r="L359" s="58">
        <v>0.03</v>
      </c>
      <c r="M359" s="58">
        <v>0</v>
      </c>
      <c r="N359" s="58">
        <v>0</v>
      </c>
      <c r="O359" s="58">
        <v>0.05</v>
      </c>
      <c r="P359" s="58">
        <v>0.08</v>
      </c>
      <c r="Q359" s="58">
        <v>0.1</v>
      </c>
      <c r="R359" s="58">
        <v>0.12</v>
      </c>
      <c r="S359" s="58">
        <v>0.03</v>
      </c>
      <c r="T359" s="58">
        <v>0.06</v>
      </c>
      <c r="U359" s="52">
        <v>1.25</v>
      </c>
      <c r="V359" s="49" t="s">
        <v>820</v>
      </c>
    </row>
    <row r="360" spans="1:22" hidden="1">
      <c r="A360" s="59" t="s">
        <v>1365</v>
      </c>
      <c r="B360" s="59" t="s">
        <v>1364</v>
      </c>
      <c r="C360" s="61" t="s">
        <v>10</v>
      </c>
      <c r="D360" s="61" t="s">
        <v>32</v>
      </c>
      <c r="E360" s="60" t="s">
        <v>10</v>
      </c>
      <c r="F360" s="50" t="s">
        <v>894</v>
      </c>
      <c r="G360" s="50" t="b">
        <v>0</v>
      </c>
      <c r="H360" s="58">
        <v>0</v>
      </c>
      <c r="I360" s="58">
        <v>593.16</v>
      </c>
      <c r="J360" s="58">
        <v>593.16</v>
      </c>
      <c r="K360" s="58">
        <v>593.16</v>
      </c>
      <c r="L360" s="58">
        <v>593.16</v>
      </c>
      <c r="M360" s="58">
        <v>585</v>
      </c>
      <c r="N360" s="58">
        <v>575</v>
      </c>
      <c r="O360" s="58">
        <v>570</v>
      </c>
      <c r="P360" s="58">
        <v>570</v>
      </c>
      <c r="Q360" s="58">
        <v>580</v>
      </c>
      <c r="R360" s="58">
        <v>593.16</v>
      </c>
      <c r="S360" s="58">
        <v>593.16</v>
      </c>
      <c r="T360" s="58">
        <v>593.16</v>
      </c>
      <c r="U360" s="52">
        <v>593.16</v>
      </c>
      <c r="V360" s="49" t="s">
        <v>815</v>
      </c>
    </row>
    <row r="361" spans="1:22" hidden="1">
      <c r="A361" s="59" t="s">
        <v>1363</v>
      </c>
      <c r="B361" s="59" t="s">
        <v>1362</v>
      </c>
      <c r="C361" s="61" t="s">
        <v>10</v>
      </c>
      <c r="D361" s="61" t="s">
        <v>901</v>
      </c>
      <c r="E361" s="60" t="s">
        <v>10</v>
      </c>
      <c r="F361" s="50" t="s">
        <v>821</v>
      </c>
      <c r="G361" s="50" t="b">
        <v>0</v>
      </c>
      <c r="H361" s="58">
        <v>0</v>
      </c>
      <c r="I361" s="58">
        <v>36.04</v>
      </c>
      <c r="J361" s="58">
        <v>37.01</v>
      </c>
      <c r="K361" s="58">
        <v>35.56</v>
      </c>
      <c r="L361" s="58">
        <v>35.549999999999997</v>
      </c>
      <c r="M361" s="58">
        <v>33.159999999999997</v>
      </c>
      <c r="N361" s="58">
        <v>33.619999999999997</v>
      </c>
      <c r="O361" s="58">
        <v>33.33</v>
      </c>
      <c r="P361" s="58">
        <v>33.56</v>
      </c>
      <c r="Q361" s="58">
        <v>32.869999999999997</v>
      </c>
      <c r="R361" s="58">
        <v>34.47</v>
      </c>
      <c r="S361" s="58">
        <v>33.770000000000003</v>
      </c>
      <c r="T361" s="58">
        <v>36.28</v>
      </c>
      <c r="U361" s="52">
        <v>52.9</v>
      </c>
      <c r="V361" s="49" t="s">
        <v>820</v>
      </c>
    </row>
    <row r="362" spans="1:22" hidden="1">
      <c r="A362" s="59" t="s">
        <v>1361</v>
      </c>
      <c r="B362" s="59" t="s">
        <v>1360</v>
      </c>
      <c r="C362" s="61" t="s">
        <v>10</v>
      </c>
      <c r="D362" s="61" t="s">
        <v>901</v>
      </c>
      <c r="E362" s="60" t="s">
        <v>10</v>
      </c>
      <c r="F362" s="50" t="s">
        <v>824</v>
      </c>
      <c r="G362" s="50" t="b">
        <v>0</v>
      </c>
      <c r="H362" s="58">
        <v>0</v>
      </c>
      <c r="I362" s="58">
        <v>0.01</v>
      </c>
      <c r="J362" s="58">
        <v>0.02</v>
      </c>
      <c r="K362" s="58">
        <v>0.03</v>
      </c>
      <c r="L362" s="58">
        <v>0.02</v>
      </c>
      <c r="M362" s="58">
        <v>0.02</v>
      </c>
      <c r="N362" s="58">
        <v>0.01</v>
      </c>
      <c r="O362" s="58">
        <v>0.01</v>
      </c>
      <c r="P362" s="58">
        <v>0.03</v>
      </c>
      <c r="Q362" s="58">
        <v>0.02</v>
      </c>
      <c r="R362" s="58">
        <v>0.02</v>
      </c>
      <c r="S362" s="58">
        <v>0.02</v>
      </c>
      <c r="T362" s="58">
        <v>0.01</v>
      </c>
      <c r="U362" s="52">
        <v>1.2</v>
      </c>
      <c r="V362" s="49" t="s">
        <v>820</v>
      </c>
    </row>
    <row r="363" spans="1:22" hidden="1">
      <c r="A363" s="59" t="s">
        <v>1359</v>
      </c>
      <c r="B363" s="59" t="s">
        <v>1358</v>
      </c>
      <c r="C363" s="61" t="s">
        <v>10</v>
      </c>
      <c r="D363" s="61" t="s">
        <v>32</v>
      </c>
      <c r="E363" s="60" t="s">
        <v>10</v>
      </c>
      <c r="F363" s="50" t="s">
        <v>821</v>
      </c>
      <c r="G363" s="50" t="b">
        <v>0</v>
      </c>
      <c r="H363" s="58">
        <v>0</v>
      </c>
      <c r="I363" s="58">
        <v>0</v>
      </c>
      <c r="J363" s="58">
        <v>0</v>
      </c>
      <c r="K363" s="58">
        <v>0</v>
      </c>
      <c r="L363" s="58">
        <v>0</v>
      </c>
      <c r="M363" s="58">
        <v>0</v>
      </c>
      <c r="N363" s="58">
        <v>0</v>
      </c>
      <c r="O363" s="58">
        <v>0</v>
      </c>
      <c r="P363" s="58">
        <v>0</v>
      </c>
      <c r="Q363" s="58">
        <v>0</v>
      </c>
      <c r="R363" s="58">
        <v>0</v>
      </c>
      <c r="S363" s="58">
        <v>0</v>
      </c>
      <c r="T363" s="58">
        <v>0</v>
      </c>
      <c r="U363" s="52">
        <v>1.25</v>
      </c>
      <c r="V363" s="49" t="s">
        <v>820</v>
      </c>
    </row>
    <row r="364" spans="1:22" hidden="1">
      <c r="A364" s="59" t="s">
        <v>1357</v>
      </c>
      <c r="B364" s="59" t="s">
        <v>1356</v>
      </c>
      <c r="C364" s="61" t="s">
        <v>12</v>
      </c>
      <c r="D364" s="61" t="s">
        <v>47</v>
      </c>
      <c r="E364" s="60" t="s">
        <v>12</v>
      </c>
      <c r="F364" s="50" t="s">
        <v>827</v>
      </c>
      <c r="G364" s="50" t="b">
        <v>0</v>
      </c>
      <c r="H364" s="58">
        <v>0</v>
      </c>
      <c r="I364" s="58">
        <v>2.2000000000000002</v>
      </c>
      <c r="J364" s="58">
        <v>1.74</v>
      </c>
      <c r="K364" s="58">
        <v>2.15</v>
      </c>
      <c r="L364" s="58">
        <v>1.98</v>
      </c>
      <c r="M364" s="58">
        <v>1.97</v>
      </c>
      <c r="N364" s="58">
        <v>2.23</v>
      </c>
      <c r="O364" s="58">
        <v>1.87</v>
      </c>
      <c r="P364" s="58">
        <v>2.12</v>
      </c>
      <c r="Q364" s="58">
        <v>1.95</v>
      </c>
      <c r="R364" s="58">
        <v>2.48</v>
      </c>
      <c r="S364" s="58">
        <v>2.39</v>
      </c>
      <c r="T364" s="58">
        <v>2.12</v>
      </c>
      <c r="U364" s="52">
        <v>2.85</v>
      </c>
      <c r="V364" s="49" t="s">
        <v>820</v>
      </c>
    </row>
    <row r="365" spans="1:22" hidden="1">
      <c r="A365" s="59" t="s">
        <v>1355</v>
      </c>
      <c r="B365" s="59" t="s">
        <v>1354</v>
      </c>
      <c r="C365" s="61" t="s">
        <v>12</v>
      </c>
      <c r="D365" s="61" t="s">
        <v>47</v>
      </c>
      <c r="E365" s="60" t="s">
        <v>12</v>
      </c>
      <c r="F365" s="50" t="s">
        <v>827</v>
      </c>
      <c r="G365" s="50" t="b">
        <v>0</v>
      </c>
      <c r="H365" s="58">
        <v>0</v>
      </c>
      <c r="I365" s="58">
        <v>2.29</v>
      </c>
      <c r="J365" s="58">
        <v>1.39</v>
      </c>
      <c r="K365" s="58">
        <v>1.99</v>
      </c>
      <c r="L365" s="58">
        <v>1.8</v>
      </c>
      <c r="M365" s="58">
        <v>2.04</v>
      </c>
      <c r="N365" s="58">
        <v>2.14</v>
      </c>
      <c r="O365" s="58">
        <v>1.7</v>
      </c>
      <c r="P365" s="58">
        <v>2.41</v>
      </c>
      <c r="Q365" s="58">
        <v>2</v>
      </c>
      <c r="R365" s="58">
        <v>2.5299999999999998</v>
      </c>
      <c r="S365" s="58">
        <v>2.44</v>
      </c>
      <c r="T365" s="58">
        <v>2.17</v>
      </c>
      <c r="U365" s="52">
        <v>2.85</v>
      </c>
      <c r="V365" s="49" t="s">
        <v>820</v>
      </c>
    </row>
    <row r="366" spans="1:22" hidden="1">
      <c r="A366" s="59" t="s">
        <v>1353</v>
      </c>
      <c r="B366" s="59" t="s">
        <v>1352</v>
      </c>
      <c r="C366" s="61" t="s">
        <v>12</v>
      </c>
      <c r="D366" s="61" t="s">
        <v>47</v>
      </c>
      <c r="E366" s="60" t="s">
        <v>12</v>
      </c>
      <c r="F366" s="50" t="s">
        <v>821</v>
      </c>
      <c r="G366" s="50" t="b">
        <v>0</v>
      </c>
      <c r="H366" s="58">
        <v>0</v>
      </c>
      <c r="I366" s="58">
        <v>36.68</v>
      </c>
      <c r="J366" s="58">
        <v>36.159999999999997</v>
      </c>
      <c r="K366" s="58">
        <v>33.99</v>
      </c>
      <c r="L366" s="58">
        <v>31.78</v>
      </c>
      <c r="M366" s="58">
        <v>26.83</v>
      </c>
      <c r="N366" s="58">
        <v>35.07</v>
      </c>
      <c r="O366" s="58">
        <v>35.24</v>
      </c>
      <c r="P366" s="58">
        <v>32.04</v>
      </c>
      <c r="Q366" s="58">
        <v>35.159999999999997</v>
      </c>
      <c r="R366" s="58">
        <v>30.54</v>
      </c>
      <c r="S366" s="58">
        <v>31.54</v>
      </c>
      <c r="T366" s="58">
        <v>39.729999999999997</v>
      </c>
      <c r="U366" s="52">
        <v>50.05</v>
      </c>
      <c r="V366" s="49" t="s">
        <v>820</v>
      </c>
    </row>
    <row r="367" spans="1:22" hidden="1">
      <c r="A367" s="59" t="s">
        <v>1351</v>
      </c>
      <c r="B367" s="59" t="s">
        <v>1351</v>
      </c>
      <c r="C367" s="61" t="s">
        <v>12</v>
      </c>
      <c r="D367" s="61" t="s">
        <v>47</v>
      </c>
      <c r="E367" s="60" t="s">
        <v>12</v>
      </c>
      <c r="F367" s="50" t="s">
        <v>816</v>
      </c>
      <c r="G367" s="50" t="b">
        <v>0</v>
      </c>
      <c r="H367" s="58">
        <v>43.18</v>
      </c>
      <c r="I367" s="58">
        <v>0</v>
      </c>
      <c r="J367" s="58">
        <v>0</v>
      </c>
      <c r="K367" s="58">
        <v>0</v>
      </c>
      <c r="L367" s="58">
        <v>0</v>
      </c>
      <c r="M367" s="58">
        <v>0</v>
      </c>
      <c r="N367" s="58">
        <v>0</v>
      </c>
      <c r="O367" s="58">
        <v>0</v>
      </c>
      <c r="P367" s="58">
        <v>0</v>
      </c>
      <c r="Q367" s="58">
        <v>0</v>
      </c>
      <c r="R367" s="58">
        <v>0</v>
      </c>
      <c r="S367" s="58">
        <v>0</v>
      </c>
      <c r="T367" s="58">
        <v>0</v>
      </c>
      <c r="U367" s="52">
        <v>46</v>
      </c>
      <c r="V367" s="49" t="s">
        <v>815</v>
      </c>
    </row>
    <row r="368" spans="1:22" hidden="1">
      <c r="A368" s="59" t="s">
        <v>1350</v>
      </c>
      <c r="B368" s="59" t="s">
        <v>1349</v>
      </c>
      <c r="C368" s="61" t="s">
        <v>12</v>
      </c>
      <c r="D368" s="61" t="s">
        <v>47</v>
      </c>
      <c r="E368" s="60" t="s">
        <v>12</v>
      </c>
      <c r="F368" s="50" t="s">
        <v>827</v>
      </c>
      <c r="G368" s="50" t="b">
        <v>0</v>
      </c>
      <c r="H368" s="58">
        <v>0</v>
      </c>
      <c r="I368" s="58">
        <v>2.09</v>
      </c>
      <c r="J368" s="58">
        <v>2.8</v>
      </c>
      <c r="K368" s="58">
        <v>3.3</v>
      </c>
      <c r="L368" s="58">
        <v>3.59</v>
      </c>
      <c r="M368" s="58">
        <v>3.2</v>
      </c>
      <c r="N368" s="58">
        <v>3.8</v>
      </c>
      <c r="O368" s="58">
        <v>3.7</v>
      </c>
      <c r="P368" s="58">
        <v>4.3</v>
      </c>
      <c r="Q368" s="58">
        <v>4.32</v>
      </c>
      <c r="R368" s="58">
        <v>3.83</v>
      </c>
      <c r="S368" s="58">
        <v>3.51</v>
      </c>
      <c r="T368" s="58">
        <v>2.2400000000000002</v>
      </c>
      <c r="U368" s="52">
        <v>5</v>
      </c>
      <c r="V368" s="49" t="s">
        <v>855</v>
      </c>
    </row>
    <row r="369" spans="1:22" hidden="1">
      <c r="A369" s="59" t="s">
        <v>1348</v>
      </c>
      <c r="B369" s="59" t="s">
        <v>1347</v>
      </c>
      <c r="C369" s="61" t="s">
        <v>10</v>
      </c>
      <c r="D369" s="61" t="s">
        <v>32</v>
      </c>
      <c r="E369" s="60" t="s">
        <v>10</v>
      </c>
      <c r="F369" s="50" t="s">
        <v>821</v>
      </c>
      <c r="G369" s="50" t="b">
        <v>0</v>
      </c>
      <c r="H369" s="58">
        <v>0</v>
      </c>
      <c r="I369" s="58">
        <v>0.4</v>
      </c>
      <c r="J369" s="58">
        <v>0.39</v>
      </c>
      <c r="K369" s="58">
        <v>0.26</v>
      </c>
      <c r="L369" s="58">
        <v>0.06</v>
      </c>
      <c r="M369" s="58">
        <v>0.11</v>
      </c>
      <c r="N369" s="58">
        <v>0.08</v>
      </c>
      <c r="O369" s="58">
        <v>0.05</v>
      </c>
      <c r="P369" s="58">
        <v>0.09</v>
      </c>
      <c r="Q369" s="58">
        <v>7.0000000000000007E-2</v>
      </c>
      <c r="R369" s="58">
        <v>0.1</v>
      </c>
      <c r="S369" s="58">
        <v>0.32</v>
      </c>
      <c r="T369" s="58">
        <v>0.74</v>
      </c>
      <c r="U369" s="52">
        <v>13</v>
      </c>
      <c r="V369" s="49" t="s">
        <v>820</v>
      </c>
    </row>
    <row r="370" spans="1:22" hidden="1">
      <c r="A370" s="59" t="s">
        <v>1346</v>
      </c>
      <c r="B370" s="59" t="s">
        <v>1345</v>
      </c>
      <c r="C370" s="61" t="s">
        <v>10</v>
      </c>
      <c r="D370" s="61" t="s">
        <v>901</v>
      </c>
      <c r="E370" s="60" t="s">
        <v>10</v>
      </c>
      <c r="F370" s="50" t="s">
        <v>821</v>
      </c>
      <c r="G370" s="50" t="b">
        <v>0</v>
      </c>
      <c r="H370" s="58">
        <v>0</v>
      </c>
      <c r="I370" s="58">
        <v>46.17</v>
      </c>
      <c r="J370" s="58">
        <v>45.76</v>
      </c>
      <c r="K370" s="58">
        <v>45.21</v>
      </c>
      <c r="L370" s="58">
        <v>45.93</v>
      </c>
      <c r="M370" s="58">
        <v>35.29</v>
      </c>
      <c r="N370" s="58">
        <v>44.98</v>
      </c>
      <c r="O370" s="58">
        <v>43.63</v>
      </c>
      <c r="P370" s="58">
        <v>43.07</v>
      </c>
      <c r="Q370" s="58">
        <v>42.64</v>
      </c>
      <c r="R370" s="58">
        <v>38.26</v>
      </c>
      <c r="S370" s="58">
        <v>46.08</v>
      </c>
      <c r="T370" s="58">
        <v>45.56</v>
      </c>
      <c r="U370" s="52">
        <v>57.9</v>
      </c>
      <c r="V370" s="49" t="s">
        <v>820</v>
      </c>
    </row>
    <row r="371" spans="1:22" hidden="1">
      <c r="A371" s="59" t="s">
        <v>1344</v>
      </c>
      <c r="B371" s="59" t="s">
        <v>1344</v>
      </c>
      <c r="C371" s="61" t="s">
        <v>10</v>
      </c>
      <c r="D371" s="61" t="s">
        <v>32</v>
      </c>
      <c r="E371" s="60" t="s">
        <v>10</v>
      </c>
      <c r="F371" s="50" t="s">
        <v>894</v>
      </c>
      <c r="G371" s="50" t="b">
        <v>0</v>
      </c>
      <c r="H371" s="58">
        <v>0</v>
      </c>
      <c r="I371" s="58">
        <v>0.01</v>
      </c>
      <c r="J371" s="58">
        <v>0.01</v>
      </c>
      <c r="K371" s="58">
        <v>0.01</v>
      </c>
      <c r="L371" s="58">
        <v>0.02</v>
      </c>
      <c r="M371" s="58">
        <v>0.02</v>
      </c>
      <c r="N371" s="58">
        <v>0.01</v>
      </c>
      <c r="O371" s="58">
        <v>0.01</v>
      </c>
      <c r="P371" s="58">
        <v>0.01</v>
      </c>
      <c r="Q371" s="58">
        <v>0.02</v>
      </c>
      <c r="R371" s="58">
        <v>0.03</v>
      </c>
      <c r="S371" s="58">
        <v>0.02</v>
      </c>
      <c r="T371" s="58">
        <v>0.01</v>
      </c>
      <c r="U371" s="52">
        <v>2.2999999999999998</v>
      </c>
      <c r="V371" s="49" t="s">
        <v>820</v>
      </c>
    </row>
    <row r="372" spans="1:22" hidden="1">
      <c r="A372" s="59" t="s">
        <v>1343</v>
      </c>
      <c r="B372" s="59" t="s">
        <v>51</v>
      </c>
      <c r="C372" s="61" t="s">
        <v>12</v>
      </c>
      <c r="D372" s="61" t="s">
        <v>52</v>
      </c>
      <c r="E372" s="60" t="s">
        <v>12</v>
      </c>
      <c r="F372" s="50" t="s">
        <v>894</v>
      </c>
      <c r="G372" s="50" t="b">
        <v>1</v>
      </c>
      <c r="H372" s="58">
        <v>215</v>
      </c>
      <c r="I372" s="58">
        <v>0</v>
      </c>
      <c r="J372" s="58">
        <v>0</v>
      </c>
      <c r="K372" s="58">
        <v>0</v>
      </c>
      <c r="L372" s="58">
        <v>0</v>
      </c>
      <c r="M372" s="58">
        <v>0</v>
      </c>
      <c r="N372" s="58">
        <v>0</v>
      </c>
      <c r="O372" s="58">
        <v>0</v>
      </c>
      <c r="P372" s="58">
        <v>0</v>
      </c>
      <c r="Q372" s="58">
        <v>0</v>
      </c>
      <c r="R372" s="58">
        <v>0</v>
      </c>
      <c r="S372" s="58">
        <v>0</v>
      </c>
      <c r="T372" s="58">
        <v>0</v>
      </c>
      <c r="U372" s="52">
        <v>215</v>
      </c>
      <c r="V372" s="49" t="s">
        <v>815</v>
      </c>
    </row>
    <row r="373" spans="1:22" hidden="1">
      <c r="A373" s="59" t="s">
        <v>1342</v>
      </c>
      <c r="B373" s="59" t="s">
        <v>53</v>
      </c>
      <c r="C373" s="61" t="s">
        <v>12</v>
      </c>
      <c r="D373" s="61" t="s">
        <v>52</v>
      </c>
      <c r="E373" s="60" t="s">
        <v>12</v>
      </c>
      <c r="F373" s="50" t="s">
        <v>894</v>
      </c>
      <c r="G373" s="50" t="b">
        <v>1</v>
      </c>
      <c r="H373" s="58">
        <v>215.29</v>
      </c>
      <c r="I373" s="58">
        <v>0</v>
      </c>
      <c r="J373" s="58">
        <v>0</v>
      </c>
      <c r="K373" s="58">
        <v>0</v>
      </c>
      <c r="L373" s="58">
        <v>0</v>
      </c>
      <c r="M373" s="58">
        <v>0</v>
      </c>
      <c r="N373" s="58">
        <v>0</v>
      </c>
      <c r="O373" s="58">
        <v>0</v>
      </c>
      <c r="P373" s="58">
        <v>0</v>
      </c>
      <c r="Q373" s="58">
        <v>0</v>
      </c>
      <c r="R373" s="58">
        <v>0</v>
      </c>
      <c r="S373" s="58">
        <v>0</v>
      </c>
      <c r="T373" s="58">
        <v>0</v>
      </c>
      <c r="U373" s="52">
        <v>215.29</v>
      </c>
      <c r="V373" s="49" t="s">
        <v>815</v>
      </c>
    </row>
    <row r="374" spans="1:22" hidden="1">
      <c r="A374" s="59" t="s">
        <v>1341</v>
      </c>
      <c r="B374" s="59" t="s">
        <v>54</v>
      </c>
      <c r="C374" s="61" t="s">
        <v>12</v>
      </c>
      <c r="D374" s="61" t="s">
        <v>52</v>
      </c>
      <c r="E374" s="60" t="s">
        <v>12</v>
      </c>
      <c r="F374" s="50" t="s">
        <v>816</v>
      </c>
      <c r="G374" s="50" t="b">
        <v>1</v>
      </c>
      <c r="H374" s="58">
        <v>130</v>
      </c>
      <c r="I374" s="58">
        <v>0</v>
      </c>
      <c r="J374" s="58">
        <v>0</v>
      </c>
      <c r="K374" s="58">
        <v>0</v>
      </c>
      <c r="L374" s="58">
        <v>0</v>
      </c>
      <c r="M374" s="58">
        <v>0</v>
      </c>
      <c r="N374" s="58">
        <v>0</v>
      </c>
      <c r="O374" s="58">
        <v>0</v>
      </c>
      <c r="P374" s="58">
        <v>0</v>
      </c>
      <c r="Q374" s="58">
        <v>0</v>
      </c>
      <c r="R374" s="58">
        <v>0</v>
      </c>
      <c r="S374" s="58">
        <v>0</v>
      </c>
      <c r="T374" s="58">
        <v>0</v>
      </c>
      <c r="U374" s="52">
        <v>130</v>
      </c>
      <c r="V374" s="49" t="s">
        <v>815</v>
      </c>
    </row>
    <row r="375" spans="1:22" hidden="1">
      <c r="A375" s="59" t="s">
        <v>1340</v>
      </c>
      <c r="B375" s="59" t="s">
        <v>1339</v>
      </c>
      <c r="C375" s="61" t="s">
        <v>10</v>
      </c>
      <c r="D375" s="61" t="s">
        <v>32</v>
      </c>
      <c r="E375" s="60" t="s">
        <v>10</v>
      </c>
      <c r="F375" s="50" t="s">
        <v>824</v>
      </c>
      <c r="G375" s="50" t="b">
        <v>0</v>
      </c>
      <c r="H375" s="58">
        <v>0</v>
      </c>
      <c r="I375" s="58">
        <v>3.85</v>
      </c>
      <c r="J375" s="58">
        <v>3.61</v>
      </c>
      <c r="K375" s="58">
        <v>3.72</v>
      </c>
      <c r="L375" s="58">
        <v>3.8</v>
      </c>
      <c r="M375" s="58">
        <v>3.54</v>
      </c>
      <c r="N375" s="58">
        <v>4.1500000000000004</v>
      </c>
      <c r="O375" s="58">
        <v>3.61</v>
      </c>
      <c r="P375" s="58">
        <v>3.56</v>
      </c>
      <c r="Q375" s="58">
        <v>3.37</v>
      </c>
      <c r="R375" s="58">
        <v>3.44</v>
      </c>
      <c r="S375" s="58">
        <v>3.6</v>
      </c>
      <c r="T375" s="58">
        <v>3.81</v>
      </c>
      <c r="U375" s="52">
        <v>4.8</v>
      </c>
      <c r="V375" s="49" t="s">
        <v>820</v>
      </c>
    </row>
    <row r="376" spans="1:22" hidden="1">
      <c r="A376" s="59" t="s">
        <v>1338</v>
      </c>
      <c r="B376" s="59" t="s">
        <v>1337</v>
      </c>
      <c r="C376" s="61" t="s">
        <v>12</v>
      </c>
      <c r="D376" s="61" t="s">
        <v>47</v>
      </c>
      <c r="E376" s="60" t="s">
        <v>12</v>
      </c>
      <c r="F376" s="50" t="s">
        <v>827</v>
      </c>
      <c r="G376" s="50" t="b">
        <v>0</v>
      </c>
      <c r="H376" s="58">
        <v>0</v>
      </c>
      <c r="I376" s="58">
        <v>14</v>
      </c>
      <c r="J376" s="58">
        <v>14</v>
      </c>
      <c r="K376" s="58">
        <v>14</v>
      </c>
      <c r="L376" s="58">
        <v>14</v>
      </c>
      <c r="M376" s="58">
        <v>14</v>
      </c>
      <c r="N376" s="58">
        <v>14</v>
      </c>
      <c r="O376" s="58">
        <v>14</v>
      </c>
      <c r="P376" s="58">
        <v>14</v>
      </c>
      <c r="Q376" s="58">
        <v>14</v>
      </c>
      <c r="R376" s="58">
        <v>14</v>
      </c>
      <c r="S376" s="58">
        <v>14</v>
      </c>
      <c r="T376" s="58">
        <v>14</v>
      </c>
      <c r="U376" s="52">
        <v>14</v>
      </c>
      <c r="V376" s="49" t="s">
        <v>855</v>
      </c>
    </row>
    <row r="377" spans="1:22" hidden="1">
      <c r="A377" s="59" t="s">
        <v>1336</v>
      </c>
      <c r="B377" s="59" t="s">
        <v>1335</v>
      </c>
      <c r="C377" s="61" t="s">
        <v>12</v>
      </c>
      <c r="D377" s="61" t="s">
        <v>52</v>
      </c>
      <c r="E377" s="60" t="s">
        <v>12</v>
      </c>
      <c r="F377" s="50" t="s">
        <v>827</v>
      </c>
      <c r="G377" s="50" t="b">
        <v>0</v>
      </c>
      <c r="H377" s="58">
        <v>0</v>
      </c>
      <c r="I377" s="58">
        <v>2.75</v>
      </c>
      <c r="J377" s="58">
        <v>2.84</v>
      </c>
      <c r="K377" s="58">
        <v>3.02</v>
      </c>
      <c r="L377" s="58">
        <v>5.92</v>
      </c>
      <c r="M377" s="58">
        <v>9.5299999999999994</v>
      </c>
      <c r="N377" s="58">
        <v>9.16</v>
      </c>
      <c r="O377" s="58">
        <v>7.32</v>
      </c>
      <c r="P377" s="58">
        <v>8.75</v>
      </c>
      <c r="Q377" s="58">
        <v>6.65</v>
      </c>
      <c r="R377" s="58">
        <v>4.1500000000000004</v>
      </c>
      <c r="S377" s="58">
        <v>2.57</v>
      </c>
      <c r="T377" s="58">
        <v>1.68</v>
      </c>
      <c r="U377" s="52">
        <v>11</v>
      </c>
      <c r="V377" s="49" t="s">
        <v>820</v>
      </c>
    </row>
    <row r="378" spans="1:22" hidden="1">
      <c r="A378" s="59" t="s">
        <v>1334</v>
      </c>
      <c r="B378" s="59" t="s">
        <v>1333</v>
      </c>
      <c r="C378" s="61" t="s">
        <v>10</v>
      </c>
      <c r="D378" s="61" t="s">
        <v>852</v>
      </c>
      <c r="E378" s="60" t="s">
        <v>10</v>
      </c>
      <c r="F378" s="50" t="s">
        <v>827</v>
      </c>
      <c r="G378" s="50" t="b">
        <v>0</v>
      </c>
      <c r="H378" s="58">
        <v>0</v>
      </c>
      <c r="I378" s="58">
        <v>0.89</v>
      </c>
      <c r="J378" s="58">
        <v>0.41</v>
      </c>
      <c r="K378" s="58">
        <v>1.4</v>
      </c>
      <c r="L378" s="58">
        <v>6.43</v>
      </c>
      <c r="M378" s="58">
        <v>8.3800000000000008</v>
      </c>
      <c r="N378" s="58">
        <v>10.15</v>
      </c>
      <c r="O378" s="58">
        <v>10.41</v>
      </c>
      <c r="P378" s="58">
        <v>8.73</v>
      </c>
      <c r="Q378" s="58">
        <v>6.14</v>
      </c>
      <c r="R378" s="58">
        <v>2.12</v>
      </c>
      <c r="S378" s="58">
        <v>0.8</v>
      </c>
      <c r="T378" s="58">
        <v>1.35</v>
      </c>
      <c r="U378" s="52">
        <v>12.5</v>
      </c>
      <c r="V378" s="49" t="s">
        <v>820</v>
      </c>
    </row>
    <row r="379" spans="1:22">
      <c r="A379" s="59" t="s">
        <v>1332</v>
      </c>
      <c r="B379" s="59" t="s">
        <v>1331</v>
      </c>
      <c r="C379" s="61" t="s">
        <v>12</v>
      </c>
      <c r="D379" s="61" t="s">
        <v>52</v>
      </c>
      <c r="E379" s="60" t="s">
        <v>12</v>
      </c>
      <c r="F379" s="50" t="s">
        <v>872</v>
      </c>
      <c r="G379" s="50" t="b">
        <v>0</v>
      </c>
      <c r="H379" s="58">
        <v>0</v>
      </c>
      <c r="I379" s="58">
        <v>26.65</v>
      </c>
      <c r="J379" s="58">
        <v>27.14</v>
      </c>
      <c r="K379" s="58">
        <v>26.89</v>
      </c>
      <c r="L379" s="58">
        <v>24.83</v>
      </c>
      <c r="M379" s="58">
        <v>23.84</v>
      </c>
      <c r="N379" s="58">
        <v>27.07</v>
      </c>
      <c r="O379" s="58">
        <v>26.7</v>
      </c>
      <c r="P379" s="58">
        <v>26.61</v>
      </c>
      <c r="Q379" s="58">
        <v>27.35</v>
      </c>
      <c r="R379" s="58">
        <v>23.08</v>
      </c>
      <c r="S379" s="58">
        <v>23.32</v>
      </c>
      <c r="T379" s="58">
        <v>26.23</v>
      </c>
      <c r="U379" s="52">
        <v>34.79</v>
      </c>
      <c r="V379" s="49" t="s">
        <v>820</v>
      </c>
    </row>
    <row r="380" spans="1:22" hidden="1">
      <c r="A380" s="59" t="s">
        <v>1330</v>
      </c>
      <c r="B380" s="59" t="s">
        <v>1329</v>
      </c>
      <c r="C380" s="61" t="s">
        <v>12</v>
      </c>
      <c r="D380" s="61" t="s">
        <v>52</v>
      </c>
      <c r="E380" s="60" t="s">
        <v>12</v>
      </c>
      <c r="F380" s="50" t="s">
        <v>824</v>
      </c>
      <c r="G380" s="50" t="b">
        <v>0</v>
      </c>
      <c r="H380" s="58">
        <v>0</v>
      </c>
      <c r="I380" s="58">
        <v>1.1299999999999999</v>
      </c>
      <c r="J380" s="58">
        <v>1.27</v>
      </c>
      <c r="K380" s="58">
        <v>1.34</v>
      </c>
      <c r="L380" s="58">
        <v>1.1000000000000001</v>
      </c>
      <c r="M380" s="58">
        <v>1.3</v>
      </c>
      <c r="N380" s="58">
        <v>1.04</v>
      </c>
      <c r="O380" s="58">
        <v>1.1299999999999999</v>
      </c>
      <c r="P380" s="58">
        <v>1.1000000000000001</v>
      </c>
      <c r="Q380" s="58">
        <v>1.1299999999999999</v>
      </c>
      <c r="R380" s="58">
        <v>1.44</v>
      </c>
      <c r="S380" s="58">
        <v>1.75</v>
      </c>
      <c r="T380" s="58">
        <v>1.49</v>
      </c>
      <c r="U380" s="52">
        <v>2.4900000000000002</v>
      </c>
      <c r="V380" s="49" t="s">
        <v>820</v>
      </c>
    </row>
    <row r="381" spans="1:22" hidden="1">
      <c r="A381" s="59" t="s">
        <v>1328</v>
      </c>
      <c r="B381" s="59" t="s">
        <v>36</v>
      </c>
      <c r="C381" s="61" t="s">
        <v>10</v>
      </c>
      <c r="D381" s="61" t="s">
        <v>88</v>
      </c>
      <c r="E381" s="60" t="s">
        <v>10</v>
      </c>
      <c r="F381" s="50" t="s">
        <v>894</v>
      </c>
      <c r="G381" s="50" t="b">
        <v>1</v>
      </c>
      <c r="H381" s="58">
        <v>325</v>
      </c>
      <c r="I381" s="58">
        <v>0</v>
      </c>
      <c r="J381" s="58">
        <v>0</v>
      </c>
      <c r="K381" s="58">
        <v>0</v>
      </c>
      <c r="L381" s="58">
        <v>0</v>
      </c>
      <c r="M381" s="58">
        <v>0</v>
      </c>
      <c r="N381" s="58">
        <v>0</v>
      </c>
      <c r="O381" s="58">
        <v>0</v>
      </c>
      <c r="P381" s="58">
        <v>0</v>
      </c>
      <c r="Q381" s="58">
        <v>0</v>
      </c>
      <c r="R381" s="58">
        <v>0</v>
      </c>
      <c r="S381" s="58">
        <v>0</v>
      </c>
      <c r="T381" s="58">
        <v>0</v>
      </c>
      <c r="U381" s="52">
        <v>325</v>
      </c>
      <c r="V381" s="49" t="s">
        <v>815</v>
      </c>
    </row>
    <row r="382" spans="1:22" hidden="1">
      <c r="A382" s="59" t="s">
        <v>1327</v>
      </c>
      <c r="B382" s="59" t="s">
        <v>37</v>
      </c>
      <c r="C382" s="61" t="s">
        <v>10</v>
      </c>
      <c r="D382" s="61" t="s">
        <v>88</v>
      </c>
      <c r="E382" s="60" t="s">
        <v>10</v>
      </c>
      <c r="F382" s="50" t="s">
        <v>894</v>
      </c>
      <c r="G382" s="50" t="b">
        <v>1</v>
      </c>
      <c r="H382" s="58">
        <v>325</v>
      </c>
      <c r="I382" s="58">
        <v>0</v>
      </c>
      <c r="J382" s="58">
        <v>0</v>
      </c>
      <c r="K382" s="58">
        <v>0</v>
      </c>
      <c r="L382" s="58">
        <v>0</v>
      </c>
      <c r="M382" s="58">
        <v>0</v>
      </c>
      <c r="N382" s="58">
        <v>0</v>
      </c>
      <c r="O382" s="58">
        <v>0</v>
      </c>
      <c r="P382" s="58">
        <v>0</v>
      </c>
      <c r="Q382" s="58">
        <v>0</v>
      </c>
      <c r="R382" s="58">
        <v>0</v>
      </c>
      <c r="S382" s="58">
        <v>0</v>
      </c>
      <c r="T382" s="58">
        <v>0</v>
      </c>
      <c r="U382" s="52">
        <v>325</v>
      </c>
      <c r="V382" s="49" t="s">
        <v>815</v>
      </c>
    </row>
    <row r="383" spans="1:22" hidden="1">
      <c r="A383" s="59" t="s">
        <v>1326</v>
      </c>
      <c r="B383" s="59" t="s">
        <v>1325</v>
      </c>
      <c r="C383" s="61" t="s">
        <v>10</v>
      </c>
      <c r="D383" s="61" t="s">
        <v>88</v>
      </c>
      <c r="E383" s="60" t="s">
        <v>10</v>
      </c>
      <c r="F383" s="50" t="s">
        <v>894</v>
      </c>
      <c r="G383" s="50" t="b">
        <v>0</v>
      </c>
      <c r="H383" s="58">
        <v>0</v>
      </c>
      <c r="I383" s="58">
        <v>0.78</v>
      </c>
      <c r="J383" s="58">
        <v>0.3</v>
      </c>
      <c r="K383" s="58">
        <v>0.03</v>
      </c>
      <c r="L383" s="58">
        <v>0.04</v>
      </c>
      <c r="M383" s="58">
        <v>0.01</v>
      </c>
      <c r="N383" s="58">
        <v>0.02</v>
      </c>
      <c r="O383" s="58">
        <v>0.04</v>
      </c>
      <c r="P383" s="58">
        <v>0.01</v>
      </c>
      <c r="Q383" s="58">
        <v>0.02</v>
      </c>
      <c r="R383" s="58">
        <v>0.04</v>
      </c>
      <c r="S383" s="58">
        <v>0.03</v>
      </c>
      <c r="T383" s="58">
        <v>0.03</v>
      </c>
      <c r="U383" s="52">
        <v>1</v>
      </c>
      <c r="V383" s="49" t="s">
        <v>820</v>
      </c>
    </row>
    <row r="384" spans="1:22" hidden="1">
      <c r="A384" s="59" t="s">
        <v>1324</v>
      </c>
      <c r="B384" s="59" t="s">
        <v>44</v>
      </c>
      <c r="C384" s="61" t="s">
        <v>10</v>
      </c>
      <c r="D384" s="61" t="s">
        <v>88</v>
      </c>
      <c r="E384" s="60" t="s">
        <v>10</v>
      </c>
      <c r="F384" s="50" t="s">
        <v>894</v>
      </c>
      <c r="G384" s="50" t="b">
        <v>1</v>
      </c>
      <c r="H384" s="58">
        <v>510</v>
      </c>
      <c r="I384" s="58">
        <v>0</v>
      </c>
      <c r="J384" s="58">
        <v>0</v>
      </c>
      <c r="K384" s="58">
        <v>0</v>
      </c>
      <c r="L384" s="58">
        <v>0</v>
      </c>
      <c r="M384" s="58">
        <v>0</v>
      </c>
      <c r="N384" s="58">
        <v>0</v>
      </c>
      <c r="O384" s="58">
        <v>0</v>
      </c>
      <c r="P384" s="58">
        <v>0</v>
      </c>
      <c r="Q384" s="58">
        <v>0</v>
      </c>
      <c r="R384" s="58">
        <v>0</v>
      </c>
      <c r="S384" s="58">
        <v>0</v>
      </c>
      <c r="T384" s="58">
        <v>0</v>
      </c>
      <c r="U384" s="52">
        <v>510</v>
      </c>
      <c r="V384" s="49" t="s">
        <v>815</v>
      </c>
    </row>
    <row r="385" spans="1:36" hidden="1">
      <c r="A385" s="59" t="s">
        <v>1323</v>
      </c>
      <c r="B385" s="59" t="s">
        <v>45</v>
      </c>
      <c r="C385" s="61" t="s">
        <v>10</v>
      </c>
      <c r="D385" s="61" t="s">
        <v>88</v>
      </c>
      <c r="E385" s="60" t="s">
        <v>10</v>
      </c>
      <c r="F385" s="50" t="s">
        <v>894</v>
      </c>
      <c r="G385" s="50" t="b">
        <v>1</v>
      </c>
      <c r="H385" s="58">
        <v>510</v>
      </c>
      <c r="I385" s="58">
        <v>0</v>
      </c>
      <c r="J385" s="58">
        <v>0</v>
      </c>
      <c r="K385" s="58">
        <v>0</v>
      </c>
      <c r="L385" s="58">
        <v>0</v>
      </c>
      <c r="M385" s="58">
        <v>0</v>
      </c>
      <c r="N385" s="58">
        <v>0</v>
      </c>
      <c r="O385" s="58">
        <v>0</v>
      </c>
      <c r="P385" s="58">
        <v>0</v>
      </c>
      <c r="Q385" s="58">
        <v>0</v>
      </c>
      <c r="R385" s="58">
        <v>0</v>
      </c>
      <c r="S385" s="58">
        <v>0</v>
      </c>
      <c r="T385" s="58">
        <v>0</v>
      </c>
      <c r="U385" s="52">
        <v>510</v>
      </c>
      <c r="V385" s="49" t="s">
        <v>815</v>
      </c>
    </row>
    <row r="386" spans="1:36" hidden="1">
      <c r="A386" s="59" t="s">
        <v>1322</v>
      </c>
      <c r="B386" s="59" t="s">
        <v>40</v>
      </c>
      <c r="C386" s="61" t="s">
        <v>10</v>
      </c>
      <c r="D386" s="61" t="s">
        <v>88</v>
      </c>
      <c r="E386" s="60" t="s">
        <v>10</v>
      </c>
      <c r="F386" s="50" t="s">
        <v>894</v>
      </c>
      <c r="G386" s="50" t="b">
        <v>1</v>
      </c>
      <c r="H386" s="58">
        <v>754.33</v>
      </c>
      <c r="I386" s="58">
        <v>0</v>
      </c>
      <c r="J386" s="58">
        <v>0</v>
      </c>
      <c r="K386" s="58">
        <v>0</v>
      </c>
      <c r="L386" s="58">
        <v>0</v>
      </c>
      <c r="M386" s="58">
        <v>0</v>
      </c>
      <c r="N386" s="58">
        <v>0</v>
      </c>
      <c r="O386" s="58">
        <v>0</v>
      </c>
      <c r="P386" s="58">
        <v>0</v>
      </c>
      <c r="Q386" s="58">
        <v>0</v>
      </c>
      <c r="R386" s="58">
        <v>0</v>
      </c>
      <c r="S386" s="58">
        <v>0</v>
      </c>
      <c r="T386" s="58">
        <v>0</v>
      </c>
      <c r="U386" s="52">
        <v>754.33</v>
      </c>
      <c r="V386" s="49" t="s">
        <v>815</v>
      </c>
    </row>
    <row r="387" spans="1:36" hidden="1">
      <c r="A387" s="59" t="s">
        <v>1321</v>
      </c>
      <c r="B387" s="59" t="s">
        <v>41</v>
      </c>
      <c r="C387" s="61" t="s">
        <v>10</v>
      </c>
      <c r="D387" s="61" t="s">
        <v>88</v>
      </c>
      <c r="E387" s="60" t="s">
        <v>10</v>
      </c>
      <c r="F387" s="50" t="s">
        <v>894</v>
      </c>
      <c r="G387" s="50" t="b">
        <v>1</v>
      </c>
      <c r="H387" s="58">
        <v>755.7</v>
      </c>
      <c r="I387" s="58">
        <v>0</v>
      </c>
      <c r="J387" s="58">
        <v>0</v>
      </c>
      <c r="K387" s="58">
        <v>0</v>
      </c>
      <c r="L387" s="58">
        <v>0</v>
      </c>
      <c r="M387" s="58">
        <v>0</v>
      </c>
      <c r="N387" s="58">
        <v>0</v>
      </c>
      <c r="O387" s="58">
        <v>0</v>
      </c>
      <c r="P387" s="58">
        <v>0</v>
      </c>
      <c r="Q387" s="58">
        <v>0</v>
      </c>
      <c r="R387" s="58">
        <v>0</v>
      </c>
      <c r="S387" s="58">
        <v>0</v>
      </c>
      <c r="T387" s="58">
        <v>0</v>
      </c>
      <c r="U387" s="52">
        <v>755.7</v>
      </c>
      <c r="V387" s="49" t="s">
        <v>815</v>
      </c>
    </row>
    <row r="388" spans="1:36">
      <c r="A388" s="59" t="s">
        <v>1320</v>
      </c>
      <c r="B388" s="59" t="s">
        <v>1320</v>
      </c>
      <c r="C388" s="61" t="s">
        <v>12</v>
      </c>
      <c r="D388" s="61" t="s">
        <v>982</v>
      </c>
      <c r="E388" s="60" t="s">
        <v>12</v>
      </c>
      <c r="F388" s="50" t="s">
        <v>872</v>
      </c>
      <c r="G388" s="50" t="b">
        <v>0</v>
      </c>
      <c r="H388" s="88"/>
      <c r="I388" s="88"/>
      <c r="J388" s="88"/>
      <c r="K388" s="88"/>
      <c r="L388" s="88"/>
      <c r="M388" s="88"/>
      <c r="N388" s="88"/>
      <c r="O388" s="88"/>
      <c r="P388" s="88"/>
      <c r="Q388" s="88"/>
      <c r="R388" s="88"/>
      <c r="S388" s="88"/>
      <c r="T388" s="88"/>
      <c r="U388" s="52">
        <v>494.58</v>
      </c>
      <c r="V388" s="49" t="s">
        <v>815</v>
      </c>
      <c r="X388" s="50">
        <v>483</v>
      </c>
      <c r="Y388" s="50">
        <v>479</v>
      </c>
      <c r="Z388" s="50">
        <v>474</v>
      </c>
      <c r="AA388" s="50">
        <v>466</v>
      </c>
      <c r="AB388" s="50">
        <v>460</v>
      </c>
      <c r="AC388" s="50">
        <v>442</v>
      </c>
      <c r="AD388" s="50">
        <v>436</v>
      </c>
      <c r="AE388" s="50">
        <v>439</v>
      </c>
      <c r="AF388" s="50">
        <v>451</v>
      </c>
      <c r="AG388" s="50">
        <v>464</v>
      </c>
      <c r="AH388" s="50">
        <v>475</v>
      </c>
      <c r="AI388" s="50">
        <v>483</v>
      </c>
      <c r="AJ388" s="50" t="s">
        <v>2098</v>
      </c>
    </row>
    <row r="389" spans="1:36" hidden="1">
      <c r="A389" s="59" t="s">
        <v>1319</v>
      </c>
      <c r="B389" s="59" t="s">
        <v>1318</v>
      </c>
      <c r="C389" s="61" t="s">
        <v>12</v>
      </c>
      <c r="D389" s="61" t="s">
        <v>11</v>
      </c>
      <c r="E389" s="60" t="s">
        <v>11</v>
      </c>
      <c r="F389" s="50" t="s">
        <v>816</v>
      </c>
      <c r="G389" s="50" t="b">
        <v>0</v>
      </c>
      <c r="H389" s="58">
        <v>47.9</v>
      </c>
      <c r="I389" s="58">
        <v>0</v>
      </c>
      <c r="J389" s="58">
        <v>0</v>
      </c>
      <c r="K389" s="58">
        <v>0</v>
      </c>
      <c r="L389" s="58">
        <v>0</v>
      </c>
      <c r="M389" s="58">
        <v>0</v>
      </c>
      <c r="N389" s="58">
        <v>0</v>
      </c>
      <c r="O389" s="58">
        <v>0</v>
      </c>
      <c r="P389" s="58">
        <v>0</v>
      </c>
      <c r="Q389" s="58">
        <v>0</v>
      </c>
      <c r="R389" s="58">
        <v>0</v>
      </c>
      <c r="S389" s="58">
        <v>0</v>
      </c>
      <c r="T389" s="58">
        <v>0</v>
      </c>
      <c r="U389" s="52">
        <v>47.96</v>
      </c>
      <c r="V389" s="49" t="s">
        <v>815</v>
      </c>
    </row>
    <row r="390" spans="1:36" hidden="1">
      <c r="A390" s="59" t="s">
        <v>1317</v>
      </c>
      <c r="B390" s="59" t="s">
        <v>1316</v>
      </c>
      <c r="C390" s="61" t="s">
        <v>12</v>
      </c>
      <c r="D390" s="61" t="s">
        <v>11</v>
      </c>
      <c r="E390" s="60" t="s">
        <v>11</v>
      </c>
      <c r="F390" s="50" t="s">
        <v>894</v>
      </c>
      <c r="G390" s="50" t="b">
        <v>0</v>
      </c>
      <c r="H390" s="58">
        <v>46.6</v>
      </c>
      <c r="I390" s="58">
        <v>0</v>
      </c>
      <c r="J390" s="58">
        <v>0</v>
      </c>
      <c r="K390" s="58">
        <v>0</v>
      </c>
      <c r="L390" s="58">
        <v>0</v>
      </c>
      <c r="M390" s="58">
        <v>0</v>
      </c>
      <c r="N390" s="58">
        <v>0</v>
      </c>
      <c r="O390" s="58">
        <v>0</v>
      </c>
      <c r="P390" s="58">
        <v>0</v>
      </c>
      <c r="Q390" s="58">
        <v>0</v>
      </c>
      <c r="R390" s="58">
        <v>0</v>
      </c>
      <c r="S390" s="58">
        <v>0</v>
      </c>
      <c r="T390" s="58">
        <v>0</v>
      </c>
      <c r="U390" s="52">
        <v>48</v>
      </c>
      <c r="V390" s="49" t="s">
        <v>815</v>
      </c>
    </row>
    <row r="391" spans="1:36" hidden="1">
      <c r="A391" s="59" t="s">
        <v>1315</v>
      </c>
      <c r="B391" s="59" t="s">
        <v>1314</v>
      </c>
      <c r="C391" s="61" t="s">
        <v>12</v>
      </c>
      <c r="D391" s="61" t="s">
        <v>11</v>
      </c>
      <c r="E391" s="60" t="s">
        <v>11</v>
      </c>
      <c r="F391" s="50" t="s">
        <v>816</v>
      </c>
      <c r="G391" s="50" t="b">
        <v>0</v>
      </c>
      <c r="H391" s="58">
        <v>36</v>
      </c>
      <c r="I391" s="58">
        <v>0</v>
      </c>
      <c r="J391" s="58">
        <v>0</v>
      </c>
      <c r="K391" s="58">
        <v>0</v>
      </c>
      <c r="L391" s="58">
        <v>0</v>
      </c>
      <c r="M391" s="58">
        <v>0</v>
      </c>
      <c r="N391" s="58">
        <v>0</v>
      </c>
      <c r="O391" s="58">
        <v>0</v>
      </c>
      <c r="P391" s="58">
        <v>0</v>
      </c>
      <c r="Q391" s="58">
        <v>0</v>
      </c>
      <c r="R391" s="58">
        <v>0</v>
      </c>
      <c r="S391" s="58">
        <v>0</v>
      </c>
      <c r="T391" s="58">
        <v>0</v>
      </c>
      <c r="U391" s="52">
        <v>36</v>
      </c>
      <c r="V391" s="49" t="s">
        <v>815</v>
      </c>
    </row>
    <row r="392" spans="1:36" hidden="1">
      <c r="A392" s="59" t="s">
        <v>1313</v>
      </c>
      <c r="B392" s="59" t="s">
        <v>1312</v>
      </c>
      <c r="C392" s="61" t="s">
        <v>12</v>
      </c>
      <c r="D392" s="61" t="s">
        <v>11</v>
      </c>
      <c r="E392" s="60" t="s">
        <v>11</v>
      </c>
      <c r="F392" s="50" t="s">
        <v>824</v>
      </c>
      <c r="G392" s="50" t="b">
        <v>0</v>
      </c>
      <c r="H392" s="58">
        <v>0</v>
      </c>
      <c r="I392" s="58">
        <v>3</v>
      </c>
      <c r="J392" s="58">
        <v>3</v>
      </c>
      <c r="K392" s="58">
        <v>2.94</v>
      </c>
      <c r="L392" s="58">
        <v>2.2599999999999998</v>
      </c>
      <c r="M392" s="58">
        <v>3</v>
      </c>
      <c r="N392" s="58">
        <v>3</v>
      </c>
      <c r="O392" s="58">
        <v>3</v>
      </c>
      <c r="P392" s="58">
        <v>2.94</v>
      </c>
      <c r="Q392" s="58">
        <v>3</v>
      </c>
      <c r="R392" s="58">
        <v>3</v>
      </c>
      <c r="S392" s="58">
        <v>3</v>
      </c>
      <c r="T392" s="58">
        <v>3</v>
      </c>
      <c r="U392" s="52">
        <v>3</v>
      </c>
      <c r="V392" s="49" t="s">
        <v>820</v>
      </c>
    </row>
    <row r="393" spans="1:36">
      <c r="A393" s="59" t="s">
        <v>1311</v>
      </c>
      <c r="B393" s="59" t="s">
        <v>1311</v>
      </c>
      <c r="C393" s="61" t="s">
        <v>12</v>
      </c>
      <c r="D393" s="61" t="s">
        <v>982</v>
      </c>
      <c r="E393" s="60" t="s">
        <v>12</v>
      </c>
      <c r="F393" s="50" t="s">
        <v>872</v>
      </c>
      <c r="G393" s="50" t="b">
        <v>0</v>
      </c>
      <c r="H393" s="88"/>
      <c r="I393" s="88"/>
      <c r="J393" s="88"/>
      <c r="K393" s="88"/>
      <c r="L393" s="88"/>
      <c r="M393" s="88"/>
      <c r="N393" s="88"/>
      <c r="O393" s="88"/>
      <c r="P393" s="88"/>
      <c r="Q393" s="88"/>
      <c r="R393" s="88"/>
      <c r="S393" s="88"/>
      <c r="T393" s="88"/>
      <c r="U393" s="52">
        <v>1213.8699999999999</v>
      </c>
      <c r="V393" s="49" t="s">
        <v>815</v>
      </c>
      <c r="X393" s="50">
        <v>1213</v>
      </c>
      <c r="Y393" s="50">
        <v>1213</v>
      </c>
      <c r="Z393" s="50">
        <v>1213</v>
      </c>
      <c r="AA393" s="50">
        <v>1213</v>
      </c>
      <c r="AB393" s="50">
        <v>1206</v>
      </c>
      <c r="AC393" s="50">
        <v>1182</v>
      </c>
      <c r="AD393" s="50">
        <v>1175</v>
      </c>
      <c r="AE393" s="50">
        <v>1182</v>
      </c>
      <c r="AF393" s="50">
        <v>1198</v>
      </c>
      <c r="AG393" s="50">
        <v>1212</v>
      </c>
      <c r="AH393" s="50">
        <v>1213</v>
      </c>
      <c r="AI393" s="50">
        <v>1213</v>
      </c>
      <c r="AJ393" s="50" t="s">
        <v>2098</v>
      </c>
    </row>
    <row r="394" spans="1:36">
      <c r="A394" s="59" t="s">
        <v>1310</v>
      </c>
      <c r="B394" s="59" t="s">
        <v>1309</v>
      </c>
      <c r="C394" s="61" t="s">
        <v>12</v>
      </c>
      <c r="D394" s="61" t="s">
        <v>11</v>
      </c>
      <c r="E394" s="60" t="s">
        <v>11</v>
      </c>
      <c r="F394" s="50" t="s">
        <v>872</v>
      </c>
      <c r="G394" s="50" t="b">
        <v>0</v>
      </c>
      <c r="H394" s="58">
        <v>0</v>
      </c>
      <c r="I394" s="58">
        <v>0.45</v>
      </c>
      <c r="J394" s="58">
        <v>0.49</v>
      </c>
      <c r="K394" s="58">
        <v>0.57999999999999996</v>
      </c>
      <c r="L394" s="58">
        <v>0.7</v>
      </c>
      <c r="M394" s="58">
        <v>0.84</v>
      </c>
      <c r="N394" s="58">
        <v>0.79</v>
      </c>
      <c r="O394" s="58">
        <v>0.75</v>
      </c>
      <c r="P394" s="58">
        <v>0.8</v>
      </c>
      <c r="Q394" s="58">
        <v>0.81</v>
      </c>
      <c r="R394" s="58">
        <v>0.93</v>
      </c>
      <c r="S394" s="58">
        <v>0.57999999999999996</v>
      </c>
      <c r="T394" s="58">
        <v>0.51</v>
      </c>
      <c r="U394" s="52">
        <v>50</v>
      </c>
      <c r="V394" s="49" t="s">
        <v>820</v>
      </c>
    </row>
    <row r="395" spans="1:36" hidden="1">
      <c r="A395" s="59" t="s">
        <v>1308</v>
      </c>
      <c r="B395" s="59" t="s">
        <v>1307</v>
      </c>
      <c r="C395" s="61" t="s">
        <v>10</v>
      </c>
      <c r="D395" s="61" t="s">
        <v>88</v>
      </c>
      <c r="E395" s="60" t="s">
        <v>10</v>
      </c>
      <c r="F395" s="50" t="s">
        <v>824</v>
      </c>
      <c r="G395" s="50" t="b">
        <v>0</v>
      </c>
      <c r="H395" s="58">
        <v>0</v>
      </c>
      <c r="I395" s="58">
        <v>10.11</v>
      </c>
      <c r="J395" s="58">
        <v>8.98</v>
      </c>
      <c r="K395" s="58">
        <v>8.44</v>
      </c>
      <c r="L395" s="58">
        <v>8.36</v>
      </c>
      <c r="M395" s="58">
        <v>4.13</v>
      </c>
      <c r="N395" s="58">
        <v>8.6</v>
      </c>
      <c r="O395" s="58">
        <v>8.93</v>
      </c>
      <c r="P395" s="58">
        <v>9.4499999999999993</v>
      </c>
      <c r="Q395" s="58">
        <v>7.54</v>
      </c>
      <c r="R395" s="58">
        <v>4.18</v>
      </c>
      <c r="S395" s="58">
        <v>9.1300000000000008</v>
      </c>
      <c r="T395" s="58">
        <v>9.3800000000000008</v>
      </c>
      <c r="U395" s="52">
        <v>13.1</v>
      </c>
      <c r="V395" s="49" t="s">
        <v>820</v>
      </c>
    </row>
    <row r="396" spans="1:36" hidden="1">
      <c r="A396" s="59" t="s">
        <v>1306</v>
      </c>
      <c r="B396" s="59" t="s">
        <v>1305</v>
      </c>
      <c r="C396" s="61" t="s">
        <v>10</v>
      </c>
      <c r="D396" s="61" t="s">
        <v>901</v>
      </c>
      <c r="E396" s="60" t="s">
        <v>10</v>
      </c>
      <c r="F396" s="50" t="s">
        <v>821</v>
      </c>
      <c r="G396" s="50" t="b">
        <v>0</v>
      </c>
      <c r="H396" s="58">
        <v>0</v>
      </c>
      <c r="I396" s="58">
        <v>50.72</v>
      </c>
      <c r="J396" s="58">
        <v>51.01</v>
      </c>
      <c r="K396" s="58">
        <v>38.64</v>
      </c>
      <c r="L396" s="58">
        <v>46.38</v>
      </c>
      <c r="M396" s="58">
        <v>30.65</v>
      </c>
      <c r="N396" s="58">
        <v>49.88</v>
      </c>
      <c r="O396" s="58">
        <v>50.04</v>
      </c>
      <c r="P396" s="58">
        <v>43.39</v>
      </c>
      <c r="Q396" s="58">
        <v>46.51</v>
      </c>
      <c r="R396" s="58">
        <v>42.13</v>
      </c>
      <c r="S396" s="58">
        <v>43.29</v>
      </c>
      <c r="T396" s="58">
        <v>46.07</v>
      </c>
      <c r="U396" s="52">
        <v>57</v>
      </c>
      <c r="V396" s="49" t="s">
        <v>820</v>
      </c>
    </row>
    <row r="397" spans="1:36" hidden="1">
      <c r="A397" s="59" t="s">
        <v>1304</v>
      </c>
      <c r="B397" s="59" t="s">
        <v>1303</v>
      </c>
      <c r="C397" s="61" t="s">
        <v>10</v>
      </c>
      <c r="D397" s="61" t="s">
        <v>88</v>
      </c>
      <c r="E397" s="60" t="s">
        <v>10</v>
      </c>
      <c r="F397" s="50" t="s">
        <v>824</v>
      </c>
      <c r="G397" s="50" t="b">
        <v>0</v>
      </c>
      <c r="H397" s="58">
        <v>0</v>
      </c>
      <c r="I397" s="58">
        <v>9.98</v>
      </c>
      <c r="J397" s="58">
        <v>9.4600000000000009</v>
      </c>
      <c r="K397" s="58">
        <v>9.42</v>
      </c>
      <c r="L397" s="58">
        <v>8.43</v>
      </c>
      <c r="M397" s="58">
        <v>5.04</v>
      </c>
      <c r="N397" s="58">
        <v>8.85</v>
      </c>
      <c r="O397" s="58">
        <v>9.3000000000000007</v>
      </c>
      <c r="P397" s="58">
        <v>9.14</v>
      </c>
      <c r="Q397" s="58">
        <v>8.34</v>
      </c>
      <c r="R397" s="58">
        <v>5.93</v>
      </c>
      <c r="S397" s="58">
        <v>9.09</v>
      </c>
      <c r="T397" s="58">
        <v>9.86</v>
      </c>
      <c r="U397" s="52">
        <v>13</v>
      </c>
      <c r="V397" s="49" t="s">
        <v>820</v>
      </c>
    </row>
    <row r="398" spans="1:36" hidden="1">
      <c r="A398" s="59" t="s">
        <v>1302</v>
      </c>
      <c r="B398" s="59" t="s">
        <v>1301</v>
      </c>
      <c r="C398" s="61" t="s">
        <v>12</v>
      </c>
      <c r="D398" s="61" t="s">
        <v>47</v>
      </c>
      <c r="E398" s="60" t="s">
        <v>12</v>
      </c>
      <c r="F398" s="50" t="s">
        <v>812</v>
      </c>
      <c r="G398" s="50" t="b">
        <v>0</v>
      </c>
      <c r="H398" s="58">
        <v>0</v>
      </c>
      <c r="I398" s="58">
        <v>2</v>
      </c>
      <c r="J398" s="58">
        <v>4.1500000000000004</v>
      </c>
      <c r="K398" s="58">
        <v>6.62</v>
      </c>
      <c r="L398" s="58">
        <v>4.99</v>
      </c>
      <c r="M398" s="58">
        <v>8.0500000000000007</v>
      </c>
      <c r="N398" s="58">
        <v>22.94</v>
      </c>
      <c r="O398" s="58">
        <v>8.11</v>
      </c>
      <c r="P398" s="58">
        <v>5.13</v>
      </c>
      <c r="Q398" s="58">
        <v>2.94</v>
      </c>
      <c r="R398" s="58">
        <v>2.88</v>
      </c>
      <c r="S398" s="58">
        <v>1.62</v>
      </c>
      <c r="T398" s="58">
        <v>1.51</v>
      </c>
      <c r="U398" s="52">
        <v>44.4</v>
      </c>
      <c r="V398" s="49" t="s">
        <v>820</v>
      </c>
    </row>
    <row r="399" spans="1:36" hidden="1">
      <c r="A399" s="59" t="s">
        <v>1300</v>
      </c>
      <c r="B399" s="59" t="s">
        <v>1299</v>
      </c>
      <c r="C399" s="61" t="s">
        <v>12</v>
      </c>
      <c r="D399" s="61" t="s">
        <v>47</v>
      </c>
      <c r="E399" s="60" t="s">
        <v>12</v>
      </c>
      <c r="F399" s="50" t="s">
        <v>812</v>
      </c>
      <c r="G399" s="50" t="b">
        <v>0</v>
      </c>
      <c r="H399" s="58">
        <v>0</v>
      </c>
      <c r="I399" s="58">
        <v>0.96</v>
      </c>
      <c r="J399" s="58">
        <v>1.99</v>
      </c>
      <c r="K399" s="58">
        <v>2.94</v>
      </c>
      <c r="L399" s="58">
        <v>2.2999999999999998</v>
      </c>
      <c r="M399" s="58">
        <v>3.57</v>
      </c>
      <c r="N399" s="58">
        <v>10.32</v>
      </c>
      <c r="O399" s="58">
        <v>3.42</v>
      </c>
      <c r="P399" s="58">
        <v>2.1</v>
      </c>
      <c r="Q399" s="58">
        <v>1.43</v>
      </c>
      <c r="R399" s="58">
        <v>1.27</v>
      </c>
      <c r="S399" s="58">
        <v>0.84</v>
      </c>
      <c r="T399" s="58">
        <v>0.74</v>
      </c>
      <c r="U399" s="52">
        <v>22.2</v>
      </c>
      <c r="V399" s="49" t="s">
        <v>820</v>
      </c>
    </row>
    <row r="400" spans="1:36" hidden="1">
      <c r="A400" s="59" t="s">
        <v>1298</v>
      </c>
      <c r="B400" s="59" t="s">
        <v>1297</v>
      </c>
      <c r="C400" s="61" t="s">
        <v>12</v>
      </c>
      <c r="D400" s="61" t="s">
        <v>47</v>
      </c>
      <c r="E400" s="60" t="s">
        <v>12</v>
      </c>
      <c r="F400" s="50" t="s">
        <v>812</v>
      </c>
      <c r="G400" s="50" t="b">
        <v>0</v>
      </c>
      <c r="H400" s="58">
        <v>0</v>
      </c>
      <c r="I400" s="58">
        <v>0.73</v>
      </c>
      <c r="J400" s="58">
        <v>2.16</v>
      </c>
      <c r="K400" s="58">
        <v>3.43</v>
      </c>
      <c r="L400" s="58">
        <v>4.62</v>
      </c>
      <c r="M400" s="58">
        <v>6.43</v>
      </c>
      <c r="N400" s="58">
        <v>11.22</v>
      </c>
      <c r="O400" s="58">
        <v>4.53</v>
      </c>
      <c r="P400" s="58">
        <v>2.0699999999999998</v>
      </c>
      <c r="Q400" s="58">
        <v>2.2999999999999998</v>
      </c>
      <c r="R400" s="58">
        <v>1.49</v>
      </c>
      <c r="S400" s="58">
        <v>0.92</v>
      </c>
      <c r="T400" s="58">
        <v>0.69</v>
      </c>
      <c r="U400" s="52">
        <v>22.44</v>
      </c>
      <c r="V400" s="49" t="s">
        <v>820</v>
      </c>
    </row>
    <row r="401" spans="1:22" hidden="1">
      <c r="A401" s="59" t="s">
        <v>1296</v>
      </c>
      <c r="B401" s="59" t="s">
        <v>1295</v>
      </c>
      <c r="C401" s="61" t="s">
        <v>10</v>
      </c>
      <c r="D401" s="61" t="s">
        <v>852</v>
      </c>
      <c r="E401" s="60" t="s">
        <v>10</v>
      </c>
      <c r="F401" s="50" t="s">
        <v>821</v>
      </c>
      <c r="G401" s="50" t="b">
        <v>0</v>
      </c>
      <c r="H401" s="58">
        <v>0</v>
      </c>
      <c r="I401" s="58">
        <v>0.13</v>
      </c>
      <c r="J401" s="58">
        <v>0.23</v>
      </c>
      <c r="K401" s="58">
        <v>0.28000000000000003</v>
      </c>
      <c r="L401" s="58">
        <v>0.17</v>
      </c>
      <c r="M401" s="58">
        <v>0.11</v>
      </c>
      <c r="N401" s="58">
        <v>0.05</v>
      </c>
      <c r="O401" s="58">
        <v>0.02</v>
      </c>
      <c r="P401" s="58">
        <v>0.02</v>
      </c>
      <c r="Q401" s="58">
        <v>0.03</v>
      </c>
      <c r="R401" s="58">
        <v>0.11</v>
      </c>
      <c r="S401" s="58">
        <v>0.2</v>
      </c>
      <c r="T401" s="58">
        <v>0.18</v>
      </c>
      <c r="U401" s="52">
        <v>2.5</v>
      </c>
      <c r="V401" s="49" t="s">
        <v>820</v>
      </c>
    </row>
    <row r="402" spans="1:22" hidden="1">
      <c r="A402" s="59" t="s">
        <v>1294</v>
      </c>
      <c r="B402" s="59" t="s">
        <v>1293</v>
      </c>
      <c r="C402" s="61" t="s">
        <v>10</v>
      </c>
      <c r="D402" s="61" t="s">
        <v>817</v>
      </c>
      <c r="E402" s="60" t="s">
        <v>10</v>
      </c>
      <c r="F402" s="50" t="s">
        <v>827</v>
      </c>
      <c r="G402" s="50" t="b">
        <v>0</v>
      </c>
      <c r="H402" s="58">
        <v>0</v>
      </c>
      <c r="I402" s="58">
        <v>5.44</v>
      </c>
      <c r="J402" s="58">
        <v>6.59</v>
      </c>
      <c r="K402" s="58">
        <v>7.21</v>
      </c>
      <c r="L402" s="58">
        <v>0.42</v>
      </c>
      <c r="M402" s="58">
        <v>2.94</v>
      </c>
      <c r="N402" s="58">
        <v>3.56</v>
      </c>
      <c r="O402" s="58">
        <v>2.13</v>
      </c>
      <c r="P402" s="58">
        <v>2.98</v>
      </c>
      <c r="Q402" s="58">
        <v>9.92</v>
      </c>
      <c r="R402" s="58">
        <v>7.3</v>
      </c>
      <c r="S402" s="58">
        <v>6.32</v>
      </c>
      <c r="T402" s="58">
        <v>8.36</v>
      </c>
      <c r="U402" s="52">
        <v>12</v>
      </c>
      <c r="V402" s="49" t="s">
        <v>820</v>
      </c>
    </row>
    <row r="403" spans="1:22" hidden="1">
      <c r="A403" s="59" t="s">
        <v>1292</v>
      </c>
      <c r="B403" s="59" t="s">
        <v>1291</v>
      </c>
      <c r="C403" s="61" t="s">
        <v>10</v>
      </c>
      <c r="D403" s="61" t="s">
        <v>817</v>
      </c>
      <c r="E403" s="60" t="s">
        <v>10</v>
      </c>
      <c r="F403" s="50" t="s">
        <v>827</v>
      </c>
      <c r="G403" s="50" t="b">
        <v>0</v>
      </c>
      <c r="H403" s="58">
        <v>0</v>
      </c>
      <c r="I403" s="58">
        <v>10.25</v>
      </c>
      <c r="J403" s="58">
        <v>15.51</v>
      </c>
      <c r="K403" s="58">
        <v>10.41</v>
      </c>
      <c r="L403" s="58">
        <v>18.45</v>
      </c>
      <c r="M403" s="58">
        <v>32.17</v>
      </c>
      <c r="N403" s="58">
        <v>20.329999999999998</v>
      </c>
      <c r="O403" s="58">
        <v>25.18</v>
      </c>
      <c r="P403" s="58">
        <v>20.52</v>
      </c>
      <c r="Q403" s="58">
        <v>0.71</v>
      </c>
      <c r="R403" s="58">
        <v>3.72</v>
      </c>
      <c r="S403" s="58">
        <v>5.09</v>
      </c>
      <c r="T403" s="58">
        <v>2.5099999999999998</v>
      </c>
      <c r="U403" s="52">
        <v>55</v>
      </c>
      <c r="V403" s="49" t="s">
        <v>820</v>
      </c>
    </row>
    <row r="404" spans="1:22" hidden="1">
      <c r="A404" s="59" t="s">
        <v>1290</v>
      </c>
      <c r="B404" s="59" t="s">
        <v>1289</v>
      </c>
      <c r="C404" s="61" t="s">
        <v>10</v>
      </c>
      <c r="D404" s="61" t="s">
        <v>901</v>
      </c>
      <c r="E404" s="60" t="s">
        <v>10</v>
      </c>
      <c r="F404" s="50" t="s">
        <v>821</v>
      </c>
      <c r="G404" s="50" t="b">
        <v>0</v>
      </c>
      <c r="H404" s="58">
        <v>0</v>
      </c>
      <c r="I404" s="58">
        <v>0</v>
      </c>
      <c r="J404" s="58">
        <v>0</v>
      </c>
      <c r="K404" s="58">
        <v>0</v>
      </c>
      <c r="L404" s="58">
        <v>0</v>
      </c>
      <c r="M404" s="58">
        <v>0</v>
      </c>
      <c r="N404" s="58">
        <v>0.01</v>
      </c>
      <c r="O404" s="58">
        <v>0</v>
      </c>
      <c r="P404" s="58">
        <v>0</v>
      </c>
      <c r="Q404" s="58">
        <v>0</v>
      </c>
      <c r="R404" s="58">
        <v>0</v>
      </c>
      <c r="S404" s="58">
        <v>0</v>
      </c>
      <c r="T404" s="58">
        <v>0</v>
      </c>
      <c r="U404" s="52">
        <v>21</v>
      </c>
      <c r="V404" s="49" t="s">
        <v>820</v>
      </c>
    </row>
    <row r="405" spans="1:22" hidden="1">
      <c r="A405" s="59" t="s">
        <v>1288</v>
      </c>
      <c r="B405" s="59" t="s">
        <v>1287</v>
      </c>
      <c r="C405" s="61" t="s">
        <v>12</v>
      </c>
      <c r="D405" s="61" t="s">
        <v>88</v>
      </c>
      <c r="E405" s="60" t="s">
        <v>12</v>
      </c>
      <c r="F405" s="50" t="s">
        <v>851</v>
      </c>
      <c r="G405" s="50" t="b">
        <v>0</v>
      </c>
      <c r="H405" s="58">
        <v>0</v>
      </c>
      <c r="I405" s="58">
        <v>61.81</v>
      </c>
      <c r="J405" s="58">
        <v>61.82</v>
      </c>
      <c r="K405" s="58">
        <v>59.52</v>
      </c>
      <c r="L405" s="58">
        <v>55.42</v>
      </c>
      <c r="M405" s="58">
        <v>60.63</v>
      </c>
      <c r="N405" s="58">
        <v>65.3</v>
      </c>
      <c r="O405" s="58">
        <v>61.59</v>
      </c>
      <c r="P405" s="58">
        <v>61.21</v>
      </c>
      <c r="Q405" s="58">
        <v>63.43</v>
      </c>
      <c r="R405" s="58">
        <v>63.91</v>
      </c>
      <c r="S405" s="58">
        <v>61.38</v>
      </c>
      <c r="T405" s="58">
        <v>62.88</v>
      </c>
      <c r="U405" s="52">
        <v>99</v>
      </c>
      <c r="V405" s="49" t="s">
        <v>820</v>
      </c>
    </row>
    <row r="406" spans="1:22" hidden="1">
      <c r="A406" s="59" t="s">
        <v>1286</v>
      </c>
      <c r="B406" s="59" t="s">
        <v>1285</v>
      </c>
      <c r="C406" s="61" t="s">
        <v>10</v>
      </c>
      <c r="D406" s="61" t="s">
        <v>852</v>
      </c>
      <c r="E406" s="60" t="s">
        <v>10</v>
      </c>
      <c r="F406" s="50" t="s">
        <v>851</v>
      </c>
      <c r="G406" s="50" t="b">
        <v>0</v>
      </c>
      <c r="H406" s="58">
        <v>0</v>
      </c>
      <c r="I406" s="58">
        <v>33.58</v>
      </c>
      <c r="J406" s="58">
        <v>32</v>
      </c>
      <c r="K406" s="58">
        <v>32</v>
      </c>
      <c r="L406" s="58">
        <v>32</v>
      </c>
      <c r="M406" s="58">
        <v>32</v>
      </c>
      <c r="N406" s="58">
        <v>32</v>
      </c>
      <c r="O406" s="58">
        <v>32</v>
      </c>
      <c r="P406" s="58">
        <v>32</v>
      </c>
      <c r="Q406" s="58">
        <v>32</v>
      </c>
      <c r="R406" s="58">
        <v>32</v>
      </c>
      <c r="S406" s="58">
        <v>32</v>
      </c>
      <c r="T406" s="58">
        <v>32</v>
      </c>
      <c r="U406" s="52">
        <v>38.85</v>
      </c>
      <c r="V406" s="49" t="s">
        <v>948</v>
      </c>
    </row>
    <row r="407" spans="1:22" hidden="1">
      <c r="A407" s="59" t="s">
        <v>1284</v>
      </c>
      <c r="B407" s="59" t="s">
        <v>1283</v>
      </c>
      <c r="C407" s="61" t="s">
        <v>10</v>
      </c>
      <c r="D407" s="61" t="s">
        <v>852</v>
      </c>
      <c r="E407" s="60" t="s">
        <v>10</v>
      </c>
      <c r="F407" s="50" t="s">
        <v>851</v>
      </c>
      <c r="G407" s="50" t="b">
        <v>0</v>
      </c>
      <c r="H407" s="58">
        <v>0</v>
      </c>
      <c r="I407" s="58">
        <v>29</v>
      </c>
      <c r="J407" s="58">
        <v>29</v>
      </c>
      <c r="K407" s="58">
        <v>29</v>
      </c>
      <c r="L407" s="58">
        <v>29</v>
      </c>
      <c r="M407" s="58">
        <v>29</v>
      </c>
      <c r="N407" s="58">
        <v>29</v>
      </c>
      <c r="O407" s="58">
        <v>29</v>
      </c>
      <c r="P407" s="58">
        <v>29</v>
      </c>
      <c r="Q407" s="58">
        <v>29</v>
      </c>
      <c r="R407" s="58">
        <v>29</v>
      </c>
      <c r="S407" s="58">
        <v>29</v>
      </c>
      <c r="T407" s="58">
        <v>29</v>
      </c>
      <c r="U407" s="52">
        <v>34</v>
      </c>
      <c r="V407" s="49" t="s">
        <v>948</v>
      </c>
    </row>
    <row r="408" spans="1:22" hidden="1">
      <c r="A408" s="59" t="s">
        <v>1282</v>
      </c>
      <c r="B408" s="59" t="s">
        <v>1281</v>
      </c>
      <c r="C408" s="61" t="s">
        <v>10</v>
      </c>
      <c r="D408" s="61" t="s">
        <v>852</v>
      </c>
      <c r="E408" s="60" t="s">
        <v>10</v>
      </c>
      <c r="F408" s="50" t="s">
        <v>851</v>
      </c>
      <c r="G408" s="50" t="b">
        <v>0</v>
      </c>
      <c r="H408" s="58">
        <v>0</v>
      </c>
      <c r="I408" s="58">
        <v>28</v>
      </c>
      <c r="J408" s="58">
        <v>28.24</v>
      </c>
      <c r="K408" s="58">
        <v>28</v>
      </c>
      <c r="L408" s="58">
        <v>28</v>
      </c>
      <c r="M408" s="58">
        <v>28</v>
      </c>
      <c r="N408" s="58">
        <v>28.04</v>
      </c>
      <c r="O408" s="58">
        <v>28</v>
      </c>
      <c r="P408" s="58">
        <v>28</v>
      </c>
      <c r="Q408" s="58">
        <v>28</v>
      </c>
      <c r="R408" s="58">
        <v>28</v>
      </c>
      <c r="S408" s="58">
        <v>28</v>
      </c>
      <c r="T408" s="58">
        <v>28</v>
      </c>
      <c r="U408" s="52">
        <v>42.42</v>
      </c>
      <c r="V408" s="49" t="s">
        <v>948</v>
      </c>
    </row>
    <row r="409" spans="1:22" hidden="1">
      <c r="A409" s="59" t="s">
        <v>1280</v>
      </c>
      <c r="B409" s="59" t="s">
        <v>1279</v>
      </c>
      <c r="C409" s="61" t="s">
        <v>10</v>
      </c>
      <c r="D409" s="61" t="s">
        <v>852</v>
      </c>
      <c r="E409" s="60" t="s">
        <v>10</v>
      </c>
      <c r="F409" s="50" t="s">
        <v>851</v>
      </c>
      <c r="G409" s="50" t="b">
        <v>0</v>
      </c>
      <c r="H409" s="58">
        <v>0</v>
      </c>
      <c r="I409" s="58">
        <v>27</v>
      </c>
      <c r="J409" s="58">
        <v>27</v>
      </c>
      <c r="K409" s="58">
        <v>27</v>
      </c>
      <c r="L409" s="58">
        <v>27</v>
      </c>
      <c r="M409" s="58">
        <v>27</v>
      </c>
      <c r="N409" s="58">
        <v>27</v>
      </c>
      <c r="O409" s="58">
        <v>27</v>
      </c>
      <c r="P409" s="58">
        <v>27</v>
      </c>
      <c r="Q409" s="58">
        <v>27</v>
      </c>
      <c r="R409" s="58">
        <v>27</v>
      </c>
      <c r="S409" s="58">
        <v>27</v>
      </c>
      <c r="T409" s="58">
        <v>27</v>
      </c>
      <c r="U409" s="52">
        <v>46.03</v>
      </c>
      <c r="V409" s="49" t="s">
        <v>948</v>
      </c>
    </row>
    <row r="410" spans="1:22">
      <c r="A410" s="59" t="s">
        <v>1278</v>
      </c>
      <c r="B410" s="59" t="s">
        <v>1277</v>
      </c>
      <c r="C410" s="61" t="s">
        <v>10</v>
      </c>
      <c r="D410" s="61" t="s">
        <v>32</v>
      </c>
      <c r="E410" s="60" t="s">
        <v>10</v>
      </c>
      <c r="F410" s="50" t="s">
        <v>872</v>
      </c>
      <c r="G410" s="50" t="b">
        <v>0</v>
      </c>
      <c r="H410" s="58">
        <v>0</v>
      </c>
      <c r="I410" s="58">
        <v>0.02</v>
      </c>
      <c r="J410" s="58">
        <v>0.03</v>
      </c>
      <c r="K410" s="58">
        <v>0.02</v>
      </c>
      <c r="L410" s="58">
        <v>0.02</v>
      </c>
      <c r="M410" s="58">
        <v>0.01</v>
      </c>
      <c r="N410" s="58">
        <v>0.01</v>
      </c>
      <c r="O410" s="58">
        <v>0.02</v>
      </c>
      <c r="P410" s="58">
        <v>0.02</v>
      </c>
      <c r="Q410" s="58">
        <v>0.02</v>
      </c>
      <c r="R410" s="58">
        <v>0.01</v>
      </c>
      <c r="S410" s="58">
        <v>0.04</v>
      </c>
      <c r="T410" s="58">
        <v>0.04</v>
      </c>
      <c r="U410" s="52">
        <v>1.1000000000000001</v>
      </c>
      <c r="V410" s="49" t="s">
        <v>820</v>
      </c>
    </row>
    <row r="411" spans="1:22" hidden="1">
      <c r="A411" s="59" t="s">
        <v>1276</v>
      </c>
      <c r="B411" s="59" t="s">
        <v>1275</v>
      </c>
      <c r="C411" s="61" t="s">
        <v>10</v>
      </c>
      <c r="D411" s="61" t="s">
        <v>88</v>
      </c>
      <c r="E411" s="60" t="s">
        <v>10</v>
      </c>
      <c r="F411" s="50" t="s">
        <v>827</v>
      </c>
      <c r="G411" s="50" t="b">
        <v>0</v>
      </c>
      <c r="H411" s="58">
        <v>0</v>
      </c>
      <c r="I411" s="58">
        <v>0.23</v>
      </c>
      <c r="J411" s="58">
        <v>0.28000000000000003</v>
      </c>
      <c r="K411" s="58">
        <v>0.48</v>
      </c>
      <c r="L411" s="58">
        <v>1.46</v>
      </c>
      <c r="M411" s="58">
        <v>1.46</v>
      </c>
      <c r="N411" s="58">
        <v>1.4</v>
      </c>
      <c r="O411" s="58">
        <v>1.49</v>
      </c>
      <c r="P411" s="58">
        <v>1.41</v>
      </c>
      <c r="Q411" s="58">
        <v>0.72</v>
      </c>
      <c r="R411" s="58">
        <v>0.21</v>
      </c>
      <c r="S411" s="58">
        <v>0.2</v>
      </c>
      <c r="T411" s="58">
        <v>0.06</v>
      </c>
      <c r="U411" s="52">
        <v>4</v>
      </c>
      <c r="V411" s="49" t="s">
        <v>820</v>
      </c>
    </row>
    <row r="412" spans="1:22" hidden="1">
      <c r="A412" s="59" t="s">
        <v>1274</v>
      </c>
      <c r="B412" s="59" t="s">
        <v>1273</v>
      </c>
      <c r="C412" s="61" t="s">
        <v>12</v>
      </c>
      <c r="D412" s="61" t="s">
        <v>11</v>
      </c>
      <c r="E412" s="60" t="s">
        <v>11</v>
      </c>
      <c r="F412" s="50" t="s">
        <v>821</v>
      </c>
      <c r="G412" s="50" t="b">
        <v>0</v>
      </c>
      <c r="H412" s="58">
        <v>0</v>
      </c>
      <c r="I412" s="58">
        <v>33.200000000000003</v>
      </c>
      <c r="J412" s="58">
        <v>30.45</v>
      </c>
      <c r="K412" s="58">
        <v>23.73</v>
      </c>
      <c r="L412" s="58">
        <v>22.79</v>
      </c>
      <c r="M412" s="58">
        <v>31.97</v>
      </c>
      <c r="N412" s="58">
        <v>34.380000000000003</v>
      </c>
      <c r="O412" s="58">
        <v>33.82</v>
      </c>
      <c r="P412" s="58">
        <v>34.159999999999997</v>
      </c>
      <c r="Q412" s="58">
        <v>32.39</v>
      </c>
      <c r="R412" s="58">
        <v>28.98</v>
      </c>
      <c r="S412" s="58">
        <v>29.55</v>
      </c>
      <c r="T412" s="58">
        <v>33.67</v>
      </c>
      <c r="U412" s="52">
        <v>37</v>
      </c>
      <c r="V412" s="49" t="s">
        <v>820</v>
      </c>
    </row>
    <row r="413" spans="1:22" hidden="1">
      <c r="A413" s="59" t="s">
        <v>1272</v>
      </c>
      <c r="B413" s="59" t="s">
        <v>1271</v>
      </c>
      <c r="C413" s="61" t="s">
        <v>10</v>
      </c>
      <c r="D413" s="61" t="s">
        <v>817</v>
      </c>
      <c r="E413" s="60" t="s">
        <v>10</v>
      </c>
      <c r="F413" s="50" t="s">
        <v>827</v>
      </c>
      <c r="G413" s="50" t="b">
        <v>0</v>
      </c>
      <c r="H413" s="58">
        <v>0</v>
      </c>
      <c r="I413" s="58">
        <v>4.3099999999999996</v>
      </c>
      <c r="J413" s="58">
        <v>6.05</v>
      </c>
      <c r="K413" s="58">
        <v>6.06</v>
      </c>
      <c r="L413" s="58">
        <v>4.92</v>
      </c>
      <c r="M413" s="58">
        <v>1.86</v>
      </c>
      <c r="N413" s="58">
        <v>0.28999999999999998</v>
      </c>
      <c r="O413" s="58">
        <v>0</v>
      </c>
      <c r="P413" s="58">
        <v>0</v>
      </c>
      <c r="Q413" s="58">
        <v>0.23</v>
      </c>
      <c r="R413" s="58">
        <v>0</v>
      </c>
      <c r="S413" s="58">
        <v>1.65</v>
      </c>
      <c r="T413" s="58">
        <v>4.13</v>
      </c>
      <c r="U413" s="52">
        <v>12</v>
      </c>
      <c r="V413" s="49" t="s">
        <v>820</v>
      </c>
    </row>
    <row r="414" spans="1:22" hidden="1">
      <c r="A414" s="59" t="s">
        <v>1270</v>
      </c>
      <c r="B414" s="59" t="s">
        <v>83</v>
      </c>
      <c r="C414" s="61" t="s">
        <v>10</v>
      </c>
      <c r="D414" s="61" t="s">
        <v>32</v>
      </c>
      <c r="E414" s="60" t="s">
        <v>10</v>
      </c>
      <c r="F414" s="50" t="s">
        <v>816</v>
      </c>
      <c r="G414" s="50" t="b">
        <v>0</v>
      </c>
      <c r="H414" s="58">
        <v>55</v>
      </c>
      <c r="I414" s="58">
        <v>0</v>
      </c>
      <c r="J414" s="58">
        <v>0</v>
      </c>
      <c r="K414" s="58">
        <v>0</v>
      </c>
      <c r="L414" s="58">
        <v>0</v>
      </c>
      <c r="M414" s="58">
        <v>0</v>
      </c>
      <c r="N414" s="58">
        <v>0</v>
      </c>
      <c r="O414" s="58">
        <v>0</v>
      </c>
      <c r="P414" s="58">
        <v>0</v>
      </c>
      <c r="Q414" s="58">
        <v>0</v>
      </c>
      <c r="R414" s="58">
        <v>0</v>
      </c>
      <c r="S414" s="58">
        <v>0</v>
      </c>
      <c r="T414" s="58">
        <v>0</v>
      </c>
      <c r="U414" s="52">
        <v>55</v>
      </c>
      <c r="V414" s="49" t="s">
        <v>815</v>
      </c>
    </row>
    <row r="415" spans="1:22" hidden="1">
      <c r="A415" s="59" t="s">
        <v>1269</v>
      </c>
      <c r="B415" s="59" t="s">
        <v>84</v>
      </c>
      <c r="C415" s="61" t="s">
        <v>10</v>
      </c>
      <c r="D415" s="61" t="s">
        <v>32</v>
      </c>
      <c r="E415" s="60" t="s">
        <v>10</v>
      </c>
      <c r="F415" s="50" t="s">
        <v>816</v>
      </c>
      <c r="G415" s="50" t="b">
        <v>0</v>
      </c>
      <c r="H415" s="58">
        <v>55</v>
      </c>
      <c r="I415" s="58">
        <v>0</v>
      </c>
      <c r="J415" s="58">
        <v>0</v>
      </c>
      <c r="K415" s="58">
        <v>0</v>
      </c>
      <c r="L415" s="58">
        <v>0</v>
      </c>
      <c r="M415" s="58">
        <v>0</v>
      </c>
      <c r="N415" s="58">
        <v>0</v>
      </c>
      <c r="O415" s="58">
        <v>0</v>
      </c>
      <c r="P415" s="58">
        <v>0</v>
      </c>
      <c r="Q415" s="58">
        <v>0</v>
      </c>
      <c r="R415" s="58">
        <v>0</v>
      </c>
      <c r="S415" s="58">
        <v>0</v>
      </c>
      <c r="T415" s="58">
        <v>0</v>
      </c>
      <c r="U415" s="52">
        <v>55</v>
      </c>
      <c r="V415" s="49" t="s">
        <v>815</v>
      </c>
    </row>
    <row r="416" spans="1:22" hidden="1">
      <c r="A416" s="59" t="s">
        <v>1268</v>
      </c>
      <c r="B416" s="59" t="s">
        <v>85</v>
      </c>
      <c r="C416" s="61" t="s">
        <v>10</v>
      </c>
      <c r="D416" s="61" t="s">
        <v>32</v>
      </c>
      <c r="E416" s="60" t="s">
        <v>10</v>
      </c>
      <c r="F416" s="50" t="s">
        <v>816</v>
      </c>
      <c r="G416" s="50" t="b">
        <v>0</v>
      </c>
      <c r="H416" s="58">
        <v>55</v>
      </c>
      <c r="I416" s="58">
        <v>0</v>
      </c>
      <c r="J416" s="58">
        <v>0</v>
      </c>
      <c r="K416" s="58">
        <v>0</v>
      </c>
      <c r="L416" s="58">
        <v>0</v>
      </c>
      <c r="M416" s="58">
        <v>0</v>
      </c>
      <c r="N416" s="58">
        <v>0</v>
      </c>
      <c r="O416" s="58">
        <v>0</v>
      </c>
      <c r="P416" s="58">
        <v>0</v>
      </c>
      <c r="Q416" s="58">
        <v>0</v>
      </c>
      <c r="R416" s="58">
        <v>0</v>
      </c>
      <c r="S416" s="58">
        <v>0</v>
      </c>
      <c r="T416" s="58">
        <v>0</v>
      </c>
      <c r="U416" s="52">
        <v>55</v>
      </c>
      <c r="V416" s="49" t="s">
        <v>815</v>
      </c>
    </row>
    <row r="417" spans="1:24" hidden="1">
      <c r="A417" s="59" t="s">
        <v>1267</v>
      </c>
      <c r="B417" s="59" t="s">
        <v>1266</v>
      </c>
      <c r="C417" s="61" t="s">
        <v>10</v>
      </c>
      <c r="D417" s="61" t="s">
        <v>32</v>
      </c>
      <c r="E417" s="60" t="s">
        <v>10</v>
      </c>
      <c r="F417" s="50" t="s">
        <v>824</v>
      </c>
      <c r="G417" s="50" t="b">
        <v>0</v>
      </c>
      <c r="H417" s="58">
        <v>0</v>
      </c>
      <c r="I417" s="58">
        <v>0.09</v>
      </c>
      <c r="J417" s="58">
        <v>0.02</v>
      </c>
      <c r="K417" s="58">
        <v>0.02</v>
      </c>
      <c r="L417" s="58">
        <v>0.08</v>
      </c>
      <c r="M417" s="58">
        <v>0.4</v>
      </c>
      <c r="N417" s="58">
        <v>0.53</v>
      </c>
      <c r="O417" s="58">
        <v>0.53</v>
      </c>
      <c r="P417" s="58">
        <v>0.48</v>
      </c>
      <c r="Q417" s="58">
        <v>0.27</v>
      </c>
      <c r="R417" s="58">
        <v>0.42</v>
      </c>
      <c r="S417" s="58">
        <v>0.21</v>
      </c>
      <c r="T417" s="58">
        <v>0.05</v>
      </c>
      <c r="U417" s="52">
        <v>4.5999999999999996</v>
      </c>
      <c r="V417" s="49" t="s">
        <v>820</v>
      </c>
    </row>
    <row r="418" spans="1:24" hidden="1">
      <c r="A418" s="59" t="s">
        <v>1265</v>
      </c>
      <c r="B418" s="59" t="s">
        <v>1264</v>
      </c>
      <c r="C418" s="61" t="s">
        <v>12</v>
      </c>
      <c r="D418" s="61" t="s">
        <v>11</v>
      </c>
      <c r="E418" s="60" t="s">
        <v>11</v>
      </c>
      <c r="F418" s="50" t="s">
        <v>816</v>
      </c>
      <c r="G418" s="50" t="b">
        <v>0</v>
      </c>
      <c r="H418" s="58">
        <v>99.9</v>
      </c>
      <c r="I418" s="58">
        <v>0</v>
      </c>
      <c r="J418" s="58">
        <v>0</v>
      </c>
      <c r="K418" s="58">
        <v>0</v>
      </c>
      <c r="L418" s="58">
        <v>0</v>
      </c>
      <c r="M418" s="58">
        <v>0</v>
      </c>
      <c r="N418" s="58">
        <v>0</v>
      </c>
      <c r="O418" s="58">
        <v>0</v>
      </c>
      <c r="P418" s="58">
        <v>0</v>
      </c>
      <c r="Q418" s="58">
        <v>0</v>
      </c>
      <c r="R418" s="58">
        <v>0</v>
      </c>
      <c r="S418" s="58">
        <v>0</v>
      </c>
      <c r="T418" s="58">
        <v>0</v>
      </c>
      <c r="U418" s="52">
        <v>99.9</v>
      </c>
      <c r="V418" s="49" t="s">
        <v>815</v>
      </c>
    </row>
    <row r="419" spans="1:24" hidden="1">
      <c r="A419" s="59" t="s">
        <v>1263</v>
      </c>
      <c r="B419" s="59" t="s">
        <v>1262</v>
      </c>
      <c r="C419" s="61" t="s">
        <v>10</v>
      </c>
      <c r="D419" s="61" t="s">
        <v>901</v>
      </c>
      <c r="E419" s="60" t="s">
        <v>10</v>
      </c>
      <c r="F419" s="50" t="s">
        <v>821</v>
      </c>
      <c r="G419" s="50" t="b">
        <v>0</v>
      </c>
      <c r="H419" s="58">
        <v>0</v>
      </c>
      <c r="I419" s="58">
        <v>37.82</v>
      </c>
      <c r="J419" s="58">
        <v>22.98</v>
      </c>
      <c r="K419" s="58">
        <v>27.68</v>
      </c>
      <c r="L419" s="58">
        <v>39.24</v>
      </c>
      <c r="M419" s="58">
        <v>38.11</v>
      </c>
      <c r="N419" s="58">
        <v>37.67</v>
      </c>
      <c r="O419" s="58">
        <v>38.6</v>
      </c>
      <c r="P419" s="58">
        <v>37.5</v>
      </c>
      <c r="Q419" s="58">
        <v>38.83</v>
      </c>
      <c r="R419" s="58">
        <v>37.94</v>
      </c>
      <c r="S419" s="58">
        <v>39.94</v>
      </c>
      <c r="T419" s="58">
        <v>38.840000000000003</v>
      </c>
      <c r="U419" s="52">
        <v>47.1</v>
      </c>
      <c r="V419" s="49" t="s">
        <v>820</v>
      </c>
    </row>
    <row r="420" spans="1:24">
      <c r="A420" s="59" t="s">
        <v>1261</v>
      </c>
      <c r="B420" s="59" t="s">
        <v>1261</v>
      </c>
      <c r="C420" s="61" t="s">
        <v>10</v>
      </c>
      <c r="D420" s="61" t="s">
        <v>88</v>
      </c>
      <c r="E420" s="60" t="s">
        <v>10</v>
      </c>
      <c r="F420" s="50" t="s">
        <v>872</v>
      </c>
      <c r="G420" s="50" t="b">
        <v>0</v>
      </c>
      <c r="H420" s="58">
        <v>0</v>
      </c>
      <c r="I420" s="58">
        <v>0.35</v>
      </c>
      <c r="J420" s="58">
        <v>0.64</v>
      </c>
      <c r="K420" s="58">
        <v>1.89</v>
      </c>
      <c r="L420" s="58">
        <v>2.16</v>
      </c>
      <c r="M420" s="58">
        <v>2.2799999999999998</v>
      </c>
      <c r="N420" s="58">
        <v>2.67</v>
      </c>
      <c r="O420" s="58">
        <v>2.57</v>
      </c>
      <c r="P420" s="58">
        <v>2.37</v>
      </c>
      <c r="Q420" s="58">
        <v>0.54</v>
      </c>
      <c r="R420" s="58">
        <v>0.43</v>
      </c>
      <c r="S420" s="58">
        <v>1.1100000000000001</v>
      </c>
      <c r="T420" s="58">
        <v>0.45</v>
      </c>
      <c r="U420" s="52">
        <v>3.8</v>
      </c>
      <c r="V420" s="49" t="s">
        <v>820</v>
      </c>
    </row>
    <row r="421" spans="1:24" hidden="1">
      <c r="A421" s="59" t="s">
        <v>1260</v>
      </c>
      <c r="B421" s="59" t="s">
        <v>1259</v>
      </c>
      <c r="C421" s="61" t="s">
        <v>12</v>
      </c>
      <c r="D421" s="61" t="s">
        <v>47</v>
      </c>
      <c r="E421" s="60" t="s">
        <v>12</v>
      </c>
      <c r="F421" s="50" t="s">
        <v>827</v>
      </c>
      <c r="G421" s="50" t="b">
        <v>0</v>
      </c>
      <c r="H421" s="58">
        <v>3.13</v>
      </c>
      <c r="I421" s="58">
        <v>0</v>
      </c>
      <c r="J421" s="58">
        <v>0</v>
      </c>
      <c r="K421" s="58">
        <v>0</v>
      </c>
      <c r="L421" s="58">
        <v>0</v>
      </c>
      <c r="M421" s="58">
        <v>0</v>
      </c>
      <c r="N421" s="58">
        <v>0</v>
      </c>
      <c r="O421" s="58">
        <v>0</v>
      </c>
      <c r="P421" s="58">
        <v>0</v>
      </c>
      <c r="Q421" s="58">
        <v>0</v>
      </c>
      <c r="R421" s="58">
        <v>0</v>
      </c>
      <c r="S421" s="58">
        <v>0</v>
      </c>
      <c r="T421" s="58">
        <v>0</v>
      </c>
      <c r="U421" s="52">
        <v>3.13</v>
      </c>
      <c r="V421" s="49" t="s">
        <v>881</v>
      </c>
    </row>
    <row r="422" spans="1:24">
      <c r="A422" s="59" t="s">
        <v>1258</v>
      </c>
      <c r="B422" s="59" t="s">
        <v>1257</v>
      </c>
      <c r="C422" s="61" t="s">
        <v>12</v>
      </c>
      <c r="D422" s="61" t="s">
        <v>47</v>
      </c>
      <c r="E422" s="60" t="s">
        <v>12</v>
      </c>
      <c r="F422" s="50" t="s">
        <v>872</v>
      </c>
      <c r="G422" s="50" t="b">
        <v>0</v>
      </c>
      <c r="H422" s="58">
        <v>0</v>
      </c>
      <c r="I422" s="58">
        <v>1.93</v>
      </c>
      <c r="J422" s="58">
        <v>2.35</v>
      </c>
      <c r="K422" s="58">
        <v>2.63</v>
      </c>
      <c r="L422" s="58">
        <v>2.44</v>
      </c>
      <c r="M422" s="58">
        <v>1.96</v>
      </c>
      <c r="N422" s="58">
        <v>2.27</v>
      </c>
      <c r="O422" s="58">
        <v>1.2</v>
      </c>
      <c r="P422" s="58">
        <v>1.02</v>
      </c>
      <c r="Q422" s="58">
        <v>1.49</v>
      </c>
      <c r="R422" s="58">
        <v>1.59</v>
      </c>
      <c r="S422" s="58">
        <v>0.86</v>
      </c>
      <c r="T422" s="58">
        <v>0.24</v>
      </c>
      <c r="U422" s="52">
        <v>13.3</v>
      </c>
      <c r="V422" s="49" t="s">
        <v>820</v>
      </c>
    </row>
    <row r="423" spans="1:24" hidden="1">
      <c r="A423" s="59" t="s">
        <v>1256</v>
      </c>
      <c r="B423" s="59" t="s">
        <v>1256</v>
      </c>
      <c r="C423" s="61" t="s">
        <v>12</v>
      </c>
      <c r="D423" s="61" t="s">
        <v>47</v>
      </c>
      <c r="E423" s="60" t="s">
        <v>12</v>
      </c>
      <c r="F423" s="50" t="s">
        <v>824</v>
      </c>
      <c r="G423" s="50" t="b">
        <v>0</v>
      </c>
      <c r="H423" s="58">
        <v>0</v>
      </c>
      <c r="I423" s="58">
        <v>2.4700000000000002</v>
      </c>
      <c r="J423" s="58">
        <v>4.58</v>
      </c>
      <c r="K423" s="58">
        <v>2.87</v>
      </c>
      <c r="L423" s="58">
        <v>3.75</v>
      </c>
      <c r="M423" s="58">
        <v>4.54</v>
      </c>
      <c r="N423" s="58">
        <v>4.41</v>
      </c>
      <c r="O423" s="58">
        <v>4.45</v>
      </c>
      <c r="P423" s="58">
        <v>4.1500000000000004</v>
      </c>
      <c r="Q423" s="58">
        <v>4.37</v>
      </c>
      <c r="R423" s="58">
        <v>4.42</v>
      </c>
      <c r="S423" s="58">
        <v>3.73</v>
      </c>
      <c r="T423" s="58">
        <v>3.03</v>
      </c>
      <c r="U423" s="52">
        <v>5.6</v>
      </c>
      <c r="V423" s="49" t="s">
        <v>820</v>
      </c>
    </row>
    <row r="424" spans="1:24" hidden="1">
      <c r="A424" s="59" t="s">
        <v>1255</v>
      </c>
      <c r="B424" s="59" t="s">
        <v>1254</v>
      </c>
      <c r="C424" s="61" t="s">
        <v>10</v>
      </c>
      <c r="D424" s="61" t="s">
        <v>88</v>
      </c>
      <c r="E424" s="60" t="s">
        <v>10</v>
      </c>
      <c r="F424" s="50" t="s">
        <v>827</v>
      </c>
      <c r="G424" s="50" t="b">
        <v>0</v>
      </c>
      <c r="H424" s="58">
        <v>0</v>
      </c>
      <c r="I424" s="58">
        <v>0.26</v>
      </c>
      <c r="J424" s="58">
        <v>0.74</v>
      </c>
      <c r="K424" s="58">
        <v>1.4</v>
      </c>
      <c r="L424" s="58">
        <v>1.54</v>
      </c>
      <c r="M424" s="58">
        <v>1.66</v>
      </c>
      <c r="N424" s="58">
        <v>0.22</v>
      </c>
      <c r="O424" s="58">
        <v>0</v>
      </c>
      <c r="P424" s="58">
        <v>0</v>
      </c>
      <c r="Q424" s="58">
        <v>0</v>
      </c>
      <c r="R424" s="58">
        <v>0.02</v>
      </c>
      <c r="S424" s="58">
        <v>0.02</v>
      </c>
      <c r="T424" s="58">
        <v>0.03</v>
      </c>
      <c r="U424" s="52">
        <v>5.8</v>
      </c>
      <c r="V424" s="49" t="s">
        <v>820</v>
      </c>
    </row>
    <row r="425" spans="1:24" hidden="1">
      <c r="A425" s="59" t="s">
        <v>1253</v>
      </c>
      <c r="B425" s="59" t="s">
        <v>1249</v>
      </c>
      <c r="C425" s="61" t="s">
        <v>12</v>
      </c>
      <c r="D425" s="61" t="s">
        <v>52</v>
      </c>
      <c r="E425" s="60" t="s">
        <v>12</v>
      </c>
      <c r="F425" s="50" t="s">
        <v>821</v>
      </c>
      <c r="G425" s="50" t="b">
        <v>0</v>
      </c>
      <c r="H425" s="58">
        <v>77.25</v>
      </c>
      <c r="I425" s="58">
        <v>0</v>
      </c>
      <c r="J425" s="58">
        <v>0</v>
      </c>
      <c r="K425" s="58">
        <v>0</v>
      </c>
      <c r="L425" s="58">
        <v>0</v>
      </c>
      <c r="M425" s="58">
        <v>0</v>
      </c>
      <c r="N425" s="58">
        <v>0</v>
      </c>
      <c r="O425" s="58">
        <v>0</v>
      </c>
      <c r="P425" s="58">
        <v>0</v>
      </c>
      <c r="Q425" s="58">
        <v>0</v>
      </c>
      <c r="R425" s="58">
        <v>0</v>
      </c>
      <c r="S425" s="58">
        <v>0</v>
      </c>
      <c r="T425" s="58">
        <v>0</v>
      </c>
      <c r="U425" s="52">
        <v>78</v>
      </c>
      <c r="V425" s="49" t="s">
        <v>815</v>
      </c>
    </row>
    <row r="426" spans="1:24" hidden="1">
      <c r="A426" s="59" t="s">
        <v>1252</v>
      </c>
      <c r="B426" s="59" t="s">
        <v>1249</v>
      </c>
      <c r="C426" s="61" t="s">
        <v>12</v>
      </c>
      <c r="D426" s="61" t="s">
        <v>52</v>
      </c>
      <c r="E426" s="60" t="s">
        <v>12</v>
      </c>
      <c r="F426" s="50" t="s">
        <v>821</v>
      </c>
      <c r="G426" s="50" t="b">
        <v>0</v>
      </c>
      <c r="H426" s="58">
        <v>77.25</v>
      </c>
      <c r="I426" s="58">
        <v>0</v>
      </c>
      <c r="J426" s="58">
        <v>0</v>
      </c>
      <c r="K426" s="58">
        <v>0</v>
      </c>
      <c r="L426" s="58">
        <v>0</v>
      </c>
      <c r="M426" s="58">
        <v>0</v>
      </c>
      <c r="N426" s="58">
        <v>0</v>
      </c>
      <c r="O426" s="58">
        <v>0</v>
      </c>
      <c r="P426" s="58">
        <v>0</v>
      </c>
      <c r="Q426" s="58">
        <v>0</v>
      </c>
      <c r="R426" s="58">
        <v>0</v>
      </c>
      <c r="S426" s="58">
        <v>0</v>
      </c>
      <c r="T426" s="58">
        <v>0</v>
      </c>
      <c r="U426" s="52">
        <v>78</v>
      </c>
      <c r="V426" s="49" t="s">
        <v>815</v>
      </c>
    </row>
    <row r="427" spans="1:24" hidden="1">
      <c r="A427" s="59" t="s">
        <v>1251</v>
      </c>
      <c r="B427" s="59" t="s">
        <v>1249</v>
      </c>
      <c r="C427" s="61" t="s">
        <v>12</v>
      </c>
      <c r="D427" s="61" t="s">
        <v>52</v>
      </c>
      <c r="E427" s="60" t="s">
        <v>12</v>
      </c>
      <c r="F427" s="50" t="s">
        <v>821</v>
      </c>
      <c r="G427" s="50" t="b">
        <v>0</v>
      </c>
      <c r="H427" s="58">
        <v>77.25</v>
      </c>
      <c r="I427" s="58">
        <v>0</v>
      </c>
      <c r="J427" s="58">
        <v>0</v>
      </c>
      <c r="K427" s="58">
        <v>0</v>
      </c>
      <c r="L427" s="58">
        <v>0</v>
      </c>
      <c r="M427" s="58">
        <v>0</v>
      </c>
      <c r="N427" s="58">
        <v>0</v>
      </c>
      <c r="O427" s="58">
        <v>0</v>
      </c>
      <c r="P427" s="58">
        <v>0</v>
      </c>
      <c r="Q427" s="58">
        <v>0</v>
      </c>
      <c r="R427" s="58">
        <v>0</v>
      </c>
      <c r="S427" s="58">
        <v>0</v>
      </c>
      <c r="T427" s="58">
        <v>0</v>
      </c>
      <c r="U427" s="52">
        <v>78</v>
      </c>
      <c r="V427" s="49" t="s">
        <v>815</v>
      </c>
    </row>
    <row r="428" spans="1:24" hidden="1">
      <c r="A428" s="59" t="s">
        <v>1250</v>
      </c>
      <c r="B428" s="59" t="s">
        <v>1249</v>
      </c>
      <c r="C428" s="61" t="s">
        <v>12</v>
      </c>
      <c r="D428" s="61" t="s">
        <v>52</v>
      </c>
      <c r="E428" s="60" t="s">
        <v>12</v>
      </c>
      <c r="F428" s="50" t="s">
        <v>821</v>
      </c>
      <c r="G428" s="50" t="b">
        <v>0</v>
      </c>
      <c r="H428" s="58">
        <v>77.25</v>
      </c>
      <c r="I428" s="58">
        <v>0</v>
      </c>
      <c r="J428" s="58">
        <v>0</v>
      </c>
      <c r="K428" s="58">
        <v>0</v>
      </c>
      <c r="L428" s="58">
        <v>0</v>
      </c>
      <c r="M428" s="58">
        <v>0</v>
      </c>
      <c r="N428" s="58">
        <v>0</v>
      </c>
      <c r="O428" s="58">
        <v>0</v>
      </c>
      <c r="P428" s="58">
        <v>0</v>
      </c>
      <c r="Q428" s="58">
        <v>0</v>
      </c>
      <c r="R428" s="58">
        <v>0</v>
      </c>
      <c r="S428" s="58">
        <v>0</v>
      </c>
      <c r="T428" s="58">
        <v>0</v>
      </c>
      <c r="U428" s="52">
        <v>78</v>
      </c>
      <c r="V428" s="49" t="s">
        <v>815</v>
      </c>
    </row>
    <row r="429" spans="1:24" hidden="1">
      <c r="A429" s="59" t="s">
        <v>1248</v>
      </c>
      <c r="B429" s="59" t="s">
        <v>55</v>
      </c>
      <c r="C429" s="61" t="s">
        <v>12</v>
      </c>
      <c r="D429" s="61" t="s">
        <v>52</v>
      </c>
      <c r="E429" s="60" t="s">
        <v>12</v>
      </c>
      <c r="F429" s="50" t="s">
        <v>894</v>
      </c>
      <c r="G429" s="50" t="b">
        <v>1</v>
      </c>
      <c r="H429" s="58">
        <v>741.27</v>
      </c>
      <c r="I429" s="58">
        <v>0</v>
      </c>
      <c r="J429" s="58">
        <v>0</v>
      </c>
      <c r="K429" s="58">
        <v>0</v>
      </c>
      <c r="L429" s="58">
        <v>0</v>
      </c>
      <c r="M429" s="58">
        <v>0</v>
      </c>
      <c r="N429" s="58">
        <v>0</v>
      </c>
      <c r="O429" s="58">
        <v>0</v>
      </c>
      <c r="P429" s="58">
        <v>0</v>
      </c>
      <c r="Q429" s="58">
        <v>0</v>
      </c>
      <c r="R429" s="58">
        <v>0</v>
      </c>
      <c r="S429" s="58">
        <v>0</v>
      </c>
      <c r="T429" s="58">
        <v>0</v>
      </c>
      <c r="U429" s="52">
        <v>741.27</v>
      </c>
      <c r="V429" s="49" t="s">
        <v>815</v>
      </c>
    </row>
    <row r="430" spans="1:24" hidden="1">
      <c r="A430" s="59" t="s">
        <v>1247</v>
      </c>
      <c r="B430" s="59" t="s">
        <v>56</v>
      </c>
      <c r="C430" s="61" t="s">
        <v>12</v>
      </c>
      <c r="D430" s="61" t="s">
        <v>52</v>
      </c>
      <c r="E430" s="60" t="s">
        <v>12</v>
      </c>
      <c r="F430" s="50" t="s">
        <v>894</v>
      </c>
      <c r="G430" s="50" t="b">
        <v>1</v>
      </c>
      <c r="H430" s="58">
        <v>775</v>
      </c>
      <c r="I430" s="58">
        <v>0</v>
      </c>
      <c r="J430" s="58">
        <v>0</v>
      </c>
      <c r="K430" s="58">
        <v>0</v>
      </c>
      <c r="L430" s="58">
        <v>0</v>
      </c>
      <c r="M430" s="58">
        <v>0</v>
      </c>
      <c r="N430" s="58">
        <v>0</v>
      </c>
      <c r="O430" s="58">
        <v>0</v>
      </c>
      <c r="P430" s="58">
        <v>0</v>
      </c>
      <c r="Q430" s="58">
        <v>0</v>
      </c>
      <c r="R430" s="58">
        <v>0</v>
      </c>
      <c r="S430" s="58">
        <v>0</v>
      </c>
      <c r="T430" s="58">
        <v>0</v>
      </c>
      <c r="U430" s="52">
        <v>775</v>
      </c>
      <c r="V430" s="49" t="s">
        <v>815</v>
      </c>
    </row>
    <row r="431" spans="1:24" hidden="1">
      <c r="A431" s="59" t="s">
        <v>1246</v>
      </c>
      <c r="B431" s="59" t="s">
        <v>1245</v>
      </c>
      <c r="C431" s="61" t="s">
        <v>10</v>
      </c>
      <c r="D431" s="61" t="s">
        <v>817</v>
      </c>
      <c r="E431" s="60" t="s">
        <v>10</v>
      </c>
      <c r="F431" s="50" t="s">
        <v>821</v>
      </c>
      <c r="G431" s="50" t="b">
        <v>0</v>
      </c>
      <c r="H431" s="58">
        <v>0</v>
      </c>
      <c r="I431" s="58">
        <v>0</v>
      </c>
      <c r="J431" s="58">
        <v>0</v>
      </c>
      <c r="K431" s="58">
        <v>0</v>
      </c>
      <c r="L431" s="58">
        <v>3.84</v>
      </c>
      <c r="M431" s="58">
        <v>3.57</v>
      </c>
      <c r="N431" s="58">
        <v>4.83</v>
      </c>
      <c r="O431" s="58">
        <v>5.08</v>
      </c>
      <c r="P431" s="58">
        <v>4.71</v>
      </c>
      <c r="Q431" s="58">
        <v>3.47</v>
      </c>
      <c r="R431" s="58">
        <v>3.78</v>
      </c>
      <c r="S431" s="58">
        <v>0</v>
      </c>
      <c r="T431" s="58">
        <v>0</v>
      </c>
      <c r="U431" s="52">
        <v>9.8000000000000007</v>
      </c>
      <c r="V431" s="49" t="s">
        <v>820</v>
      </c>
    </row>
    <row r="432" spans="1:24">
      <c r="A432" s="59" t="s">
        <v>1244</v>
      </c>
      <c r="B432" s="59" t="s">
        <v>1244</v>
      </c>
      <c r="C432" s="61" t="s">
        <v>12</v>
      </c>
      <c r="D432" s="61" t="s">
        <v>52</v>
      </c>
      <c r="E432" s="60" t="s">
        <v>12</v>
      </c>
      <c r="F432" s="50" t="s">
        <v>872</v>
      </c>
      <c r="G432" s="50" t="b">
        <v>0</v>
      </c>
      <c r="H432" s="58">
        <v>14</v>
      </c>
      <c r="I432" s="58">
        <v>0</v>
      </c>
      <c r="J432" s="58">
        <v>0</v>
      </c>
      <c r="K432" s="58">
        <v>0</v>
      </c>
      <c r="L432" s="58">
        <v>0</v>
      </c>
      <c r="M432" s="58">
        <v>0</v>
      </c>
      <c r="N432" s="58">
        <v>0</v>
      </c>
      <c r="O432" s="58">
        <v>0</v>
      </c>
      <c r="P432" s="58">
        <v>0</v>
      </c>
      <c r="Q432" s="58">
        <v>0</v>
      </c>
      <c r="R432" s="58">
        <v>0</v>
      </c>
      <c r="S432" s="58">
        <v>0</v>
      </c>
      <c r="T432" s="58">
        <v>0</v>
      </c>
      <c r="U432" s="52">
        <v>70.8</v>
      </c>
      <c r="V432" s="49" t="s">
        <v>855</v>
      </c>
      <c r="X432" s="58"/>
    </row>
    <row r="433" spans="1:24" hidden="1">
      <c r="A433" s="59" t="s">
        <v>1243</v>
      </c>
      <c r="B433" s="59" t="s">
        <v>1242</v>
      </c>
      <c r="C433" s="61" t="s">
        <v>12</v>
      </c>
      <c r="D433" s="61" t="s">
        <v>11</v>
      </c>
      <c r="E433" s="60" t="s">
        <v>11</v>
      </c>
      <c r="F433" s="50" t="s">
        <v>816</v>
      </c>
      <c r="G433" s="50" t="b">
        <v>0</v>
      </c>
      <c r="H433" s="58">
        <v>35.5</v>
      </c>
      <c r="I433" s="58">
        <v>0</v>
      </c>
      <c r="J433" s="58">
        <v>0</v>
      </c>
      <c r="K433" s="58">
        <v>0</v>
      </c>
      <c r="L433" s="58">
        <v>0</v>
      </c>
      <c r="M433" s="58">
        <v>0</v>
      </c>
      <c r="N433" s="58">
        <v>0</v>
      </c>
      <c r="O433" s="58">
        <v>0</v>
      </c>
      <c r="P433" s="58">
        <v>0</v>
      </c>
      <c r="Q433" s="58">
        <v>0</v>
      </c>
      <c r="R433" s="58">
        <v>0</v>
      </c>
      <c r="S433" s="58">
        <v>0</v>
      </c>
      <c r="T433" s="58">
        <v>0</v>
      </c>
      <c r="U433" s="52">
        <v>35.5</v>
      </c>
      <c r="V433" s="49" t="s">
        <v>815</v>
      </c>
    </row>
    <row r="434" spans="1:24" hidden="1">
      <c r="A434" s="59" t="s">
        <v>1241</v>
      </c>
      <c r="B434" s="59" t="s">
        <v>1240</v>
      </c>
      <c r="C434" s="61" t="s">
        <v>12</v>
      </c>
      <c r="D434" s="61" t="s">
        <v>11</v>
      </c>
      <c r="E434" s="60" t="s">
        <v>11</v>
      </c>
      <c r="F434" s="50" t="s">
        <v>824</v>
      </c>
      <c r="G434" s="50" t="b">
        <v>0</v>
      </c>
      <c r="H434" s="58">
        <v>0</v>
      </c>
      <c r="I434" s="58">
        <v>1.93</v>
      </c>
      <c r="J434" s="58">
        <v>2.89</v>
      </c>
      <c r="K434" s="58">
        <v>3.01</v>
      </c>
      <c r="L434" s="58">
        <v>2.94</v>
      </c>
      <c r="M434" s="58">
        <v>2.93</v>
      </c>
      <c r="N434" s="58">
        <v>2.73</v>
      </c>
      <c r="O434" s="58">
        <v>2.83</v>
      </c>
      <c r="P434" s="58">
        <v>2.9</v>
      </c>
      <c r="Q434" s="58">
        <v>2.77</v>
      </c>
      <c r="R434" s="58">
        <v>2.75</v>
      </c>
      <c r="S434" s="58">
        <v>2.78</v>
      </c>
      <c r="T434" s="58">
        <v>2.66</v>
      </c>
      <c r="U434" s="52">
        <v>5</v>
      </c>
      <c r="V434" s="49" t="s">
        <v>820</v>
      </c>
    </row>
    <row r="435" spans="1:24" hidden="1">
      <c r="A435" s="59" t="s">
        <v>1239</v>
      </c>
      <c r="B435" s="59" t="s">
        <v>1238</v>
      </c>
      <c r="C435" s="61" t="s">
        <v>12</v>
      </c>
      <c r="D435" s="61" t="s">
        <v>11</v>
      </c>
      <c r="E435" s="60" t="s">
        <v>11</v>
      </c>
      <c r="F435" s="50" t="s">
        <v>824</v>
      </c>
      <c r="G435" s="50" t="b">
        <v>0</v>
      </c>
      <c r="H435" s="58">
        <v>0</v>
      </c>
      <c r="I435" s="58">
        <v>2.08</v>
      </c>
      <c r="J435" s="58">
        <v>1.62</v>
      </c>
      <c r="K435" s="58">
        <v>2.88</v>
      </c>
      <c r="L435" s="58">
        <v>2.78</v>
      </c>
      <c r="M435" s="58">
        <v>2.92</v>
      </c>
      <c r="N435" s="58">
        <v>2.98</v>
      </c>
      <c r="O435" s="58">
        <v>2.97</v>
      </c>
      <c r="P435" s="58">
        <v>2.7</v>
      </c>
      <c r="Q435" s="58">
        <v>2.86</v>
      </c>
      <c r="R435" s="58">
        <v>2.88</v>
      </c>
      <c r="S435" s="58">
        <v>2.99</v>
      </c>
      <c r="T435" s="58">
        <v>2.82</v>
      </c>
      <c r="U435" s="52">
        <v>3.75</v>
      </c>
      <c r="V435" s="49" t="s">
        <v>820</v>
      </c>
    </row>
    <row r="436" spans="1:24" hidden="1">
      <c r="A436" s="59" t="s">
        <v>1237</v>
      </c>
      <c r="B436" s="59" t="s">
        <v>1236</v>
      </c>
      <c r="C436" s="61" t="s">
        <v>12</v>
      </c>
      <c r="D436" s="61" t="s">
        <v>11</v>
      </c>
      <c r="E436" s="60" t="s">
        <v>11</v>
      </c>
      <c r="F436" s="50" t="s">
        <v>894</v>
      </c>
      <c r="G436" s="50" t="b">
        <v>0</v>
      </c>
      <c r="H436" s="58">
        <v>603.6</v>
      </c>
      <c r="I436" s="58">
        <v>0</v>
      </c>
      <c r="J436" s="58">
        <v>0</v>
      </c>
      <c r="K436" s="58">
        <v>0</v>
      </c>
      <c r="L436" s="58">
        <v>0</v>
      </c>
      <c r="M436" s="58">
        <v>0</v>
      </c>
      <c r="N436" s="58">
        <v>0</v>
      </c>
      <c r="O436" s="58">
        <v>0</v>
      </c>
      <c r="P436" s="58">
        <v>0</v>
      </c>
      <c r="Q436" s="58">
        <v>0</v>
      </c>
      <c r="R436" s="58">
        <v>0</v>
      </c>
      <c r="S436" s="58">
        <v>0</v>
      </c>
      <c r="T436" s="58">
        <v>0</v>
      </c>
      <c r="U436" s="52">
        <v>603.86</v>
      </c>
      <c r="V436" s="49" t="s">
        <v>815</v>
      </c>
    </row>
    <row r="437" spans="1:24" hidden="1">
      <c r="A437" s="59" t="s">
        <v>1235</v>
      </c>
      <c r="B437" s="59" t="s">
        <v>1234</v>
      </c>
      <c r="C437" s="61" t="s">
        <v>10</v>
      </c>
      <c r="D437" s="61" t="s">
        <v>817</v>
      </c>
      <c r="E437" s="60" t="s">
        <v>10</v>
      </c>
      <c r="F437" s="50" t="s">
        <v>827</v>
      </c>
      <c r="G437" s="50" t="b">
        <v>0</v>
      </c>
      <c r="H437" s="58">
        <v>0</v>
      </c>
      <c r="I437" s="58">
        <v>6</v>
      </c>
      <c r="J437" s="58">
        <v>6</v>
      </c>
      <c r="K437" s="58">
        <v>6</v>
      </c>
      <c r="L437" s="58">
        <v>6</v>
      </c>
      <c r="M437" s="58">
        <v>6</v>
      </c>
      <c r="N437" s="58">
        <v>6</v>
      </c>
      <c r="O437" s="58">
        <v>6</v>
      </c>
      <c r="P437" s="58">
        <v>6</v>
      </c>
      <c r="Q437" s="58">
        <v>6</v>
      </c>
      <c r="R437" s="58">
        <v>6</v>
      </c>
      <c r="S437" s="58">
        <v>6</v>
      </c>
      <c r="T437" s="58">
        <v>6</v>
      </c>
      <c r="U437" s="52">
        <v>6</v>
      </c>
      <c r="V437" s="49" t="s">
        <v>820</v>
      </c>
    </row>
    <row r="438" spans="1:24" hidden="1">
      <c r="A438" s="59" t="s">
        <v>1233</v>
      </c>
      <c r="B438" s="59" t="s">
        <v>1232</v>
      </c>
      <c r="C438" s="61" t="s">
        <v>10</v>
      </c>
      <c r="D438" s="61" t="s">
        <v>32</v>
      </c>
      <c r="E438" s="60" t="s">
        <v>10</v>
      </c>
      <c r="F438" s="50" t="s">
        <v>824</v>
      </c>
      <c r="G438" s="50" t="b">
        <v>0</v>
      </c>
      <c r="H438" s="58">
        <v>10.14</v>
      </c>
      <c r="I438" s="58">
        <v>0</v>
      </c>
      <c r="J438" s="58">
        <v>0</v>
      </c>
      <c r="K438" s="58">
        <v>0</v>
      </c>
      <c r="L438" s="58">
        <v>0</v>
      </c>
      <c r="M438" s="58">
        <v>0</v>
      </c>
      <c r="N438" s="58">
        <v>0</v>
      </c>
      <c r="O438" s="58">
        <v>0</v>
      </c>
      <c r="P438" s="58">
        <v>0</v>
      </c>
      <c r="Q438" s="58">
        <v>0</v>
      </c>
      <c r="R438" s="58">
        <v>0</v>
      </c>
      <c r="S438" s="58">
        <v>0</v>
      </c>
      <c r="T438" s="58">
        <v>0</v>
      </c>
      <c r="U438" s="52">
        <v>10.62</v>
      </c>
      <c r="V438" s="49" t="s">
        <v>948</v>
      </c>
    </row>
    <row r="439" spans="1:24" hidden="1">
      <c r="A439" s="59" t="s">
        <v>1231</v>
      </c>
      <c r="B439" s="59" t="s">
        <v>1230</v>
      </c>
      <c r="C439" s="61" t="s">
        <v>10</v>
      </c>
      <c r="D439" s="61" t="s">
        <v>33</v>
      </c>
      <c r="E439" s="60" t="s">
        <v>10</v>
      </c>
      <c r="F439" s="50" t="s">
        <v>824</v>
      </c>
      <c r="G439" s="50" t="b">
        <v>0</v>
      </c>
      <c r="H439" s="58">
        <v>0</v>
      </c>
      <c r="I439" s="58">
        <v>9.44</v>
      </c>
      <c r="J439" s="58">
        <v>9.6</v>
      </c>
      <c r="K439" s="58">
        <v>6.13</v>
      </c>
      <c r="L439" s="58">
        <v>6.3</v>
      </c>
      <c r="M439" s="58">
        <v>8.5299999999999994</v>
      </c>
      <c r="N439" s="58">
        <v>17.010000000000002</v>
      </c>
      <c r="O439" s="58">
        <v>18.66</v>
      </c>
      <c r="P439" s="58">
        <v>19.28</v>
      </c>
      <c r="Q439" s="58">
        <v>18.63</v>
      </c>
      <c r="R439" s="58">
        <v>14.1</v>
      </c>
      <c r="S439" s="58">
        <v>12.06</v>
      </c>
      <c r="T439" s="58">
        <v>7.07</v>
      </c>
      <c r="U439" s="52">
        <v>26.25</v>
      </c>
      <c r="V439" s="49" t="s">
        <v>820</v>
      </c>
    </row>
    <row r="440" spans="1:24" hidden="1">
      <c r="A440" s="59" t="s">
        <v>1229</v>
      </c>
      <c r="B440" s="59" t="s">
        <v>1228</v>
      </c>
      <c r="C440" s="61" t="s">
        <v>10</v>
      </c>
      <c r="D440" s="61" t="s">
        <v>817</v>
      </c>
      <c r="E440" s="60" t="s">
        <v>10</v>
      </c>
      <c r="F440" s="50" t="s">
        <v>824</v>
      </c>
      <c r="G440" s="50" t="b">
        <v>0</v>
      </c>
      <c r="H440" s="58">
        <v>0</v>
      </c>
      <c r="I440" s="58">
        <v>15.09</v>
      </c>
      <c r="J440" s="58">
        <v>15.65</v>
      </c>
      <c r="K440" s="58">
        <v>11.27</v>
      </c>
      <c r="L440" s="58">
        <v>11.45</v>
      </c>
      <c r="M440" s="58">
        <v>13.01</v>
      </c>
      <c r="N440" s="58">
        <v>15.16</v>
      </c>
      <c r="O440" s="58">
        <v>16.02</v>
      </c>
      <c r="P440" s="58">
        <v>15.94</v>
      </c>
      <c r="Q440" s="58">
        <v>16.48</v>
      </c>
      <c r="R440" s="58">
        <v>11.26</v>
      </c>
      <c r="S440" s="58">
        <v>15.67</v>
      </c>
      <c r="T440" s="58">
        <v>15.08</v>
      </c>
      <c r="U440" s="52">
        <v>23.8</v>
      </c>
      <c r="V440" s="49" t="s">
        <v>820</v>
      </c>
    </row>
    <row r="441" spans="1:24" hidden="1">
      <c r="A441" s="59" t="s">
        <v>1227</v>
      </c>
      <c r="B441" s="59" t="s">
        <v>1226</v>
      </c>
      <c r="C441" s="61" t="s">
        <v>12</v>
      </c>
      <c r="D441" s="61" t="s">
        <v>47</v>
      </c>
      <c r="E441" s="60" t="s">
        <v>12</v>
      </c>
      <c r="F441" s="50" t="s">
        <v>827</v>
      </c>
      <c r="G441" s="50" t="b">
        <v>0</v>
      </c>
      <c r="H441" s="58">
        <v>0</v>
      </c>
      <c r="I441" s="58">
        <v>0.66</v>
      </c>
      <c r="J441" s="58">
        <v>1.06</v>
      </c>
      <c r="K441" s="58">
        <v>1.01</v>
      </c>
      <c r="L441" s="58">
        <v>1.28</v>
      </c>
      <c r="M441" s="58">
        <v>1.19</v>
      </c>
      <c r="N441" s="58">
        <v>0.9</v>
      </c>
      <c r="O441" s="58">
        <v>0.71</v>
      </c>
      <c r="P441" s="58">
        <v>0.63</v>
      </c>
      <c r="Q441" s="58">
        <v>0.48</v>
      </c>
      <c r="R441" s="58">
        <v>0.51</v>
      </c>
      <c r="S441" s="58">
        <v>0.45</v>
      </c>
      <c r="T441" s="58">
        <v>0.56999999999999995</v>
      </c>
      <c r="U441" s="52">
        <v>1.55</v>
      </c>
      <c r="V441" s="49" t="s">
        <v>820</v>
      </c>
    </row>
    <row r="442" spans="1:24" hidden="1">
      <c r="A442" s="59" t="s">
        <v>1225</v>
      </c>
      <c r="B442" s="59" t="s">
        <v>1224</v>
      </c>
      <c r="C442" s="61" t="s">
        <v>12</v>
      </c>
      <c r="D442" s="61" t="s">
        <v>47</v>
      </c>
      <c r="E442" s="60" t="s">
        <v>12</v>
      </c>
      <c r="F442" s="50" t="s">
        <v>827</v>
      </c>
      <c r="G442" s="50" t="b">
        <v>0</v>
      </c>
      <c r="H442" s="58">
        <v>0</v>
      </c>
      <c r="I442" s="58">
        <v>2.81</v>
      </c>
      <c r="J442" s="58">
        <v>1.18</v>
      </c>
      <c r="K442" s="58">
        <v>2.5</v>
      </c>
      <c r="L442" s="58">
        <v>2.69</v>
      </c>
      <c r="M442" s="58">
        <v>3.52</v>
      </c>
      <c r="N442" s="58">
        <v>5.9</v>
      </c>
      <c r="O442" s="58">
        <v>5.0999999999999996</v>
      </c>
      <c r="P442" s="58">
        <v>5.7</v>
      </c>
      <c r="Q442" s="58">
        <v>6.5</v>
      </c>
      <c r="R442" s="58">
        <v>4.2</v>
      </c>
      <c r="S442" s="58">
        <v>5.2</v>
      </c>
      <c r="T442" s="58">
        <v>4.2</v>
      </c>
      <c r="U442" s="52">
        <v>9.9</v>
      </c>
      <c r="V442" s="49" t="s">
        <v>855</v>
      </c>
    </row>
    <row r="443" spans="1:24">
      <c r="A443" s="59" t="s">
        <v>1223</v>
      </c>
      <c r="B443" s="59" t="s">
        <v>1222</v>
      </c>
      <c r="C443" s="61" t="s">
        <v>12</v>
      </c>
      <c r="D443" s="61" t="s">
        <v>47</v>
      </c>
      <c r="E443" s="60" t="s">
        <v>12</v>
      </c>
      <c r="F443" s="50" t="s">
        <v>872</v>
      </c>
      <c r="G443" s="50" t="b">
        <v>0</v>
      </c>
      <c r="H443" s="58">
        <v>0</v>
      </c>
      <c r="I443" s="58">
        <v>0.96</v>
      </c>
      <c r="J443" s="58">
        <v>1.02</v>
      </c>
      <c r="K443" s="58">
        <v>1.17</v>
      </c>
      <c r="L443" s="58">
        <v>1.05</v>
      </c>
      <c r="M443" s="58">
        <v>0.96</v>
      </c>
      <c r="N443" s="58">
        <v>1.97</v>
      </c>
      <c r="O443" s="58">
        <v>2</v>
      </c>
      <c r="P443" s="58">
        <v>2.1800000000000002</v>
      </c>
      <c r="Q443" s="58">
        <v>1.92</v>
      </c>
      <c r="R443" s="58">
        <v>1.39</v>
      </c>
      <c r="S443" s="58">
        <v>1.34</v>
      </c>
      <c r="T443" s="58">
        <v>0.56000000000000005</v>
      </c>
      <c r="U443" s="52">
        <v>30.1</v>
      </c>
      <c r="V443" s="49" t="s">
        <v>820</v>
      </c>
    </row>
    <row r="444" spans="1:24" hidden="1">
      <c r="A444" s="59" t="s">
        <v>1221</v>
      </c>
      <c r="B444" s="59" t="s">
        <v>1220</v>
      </c>
      <c r="C444" s="61" t="s">
        <v>12</v>
      </c>
      <c r="D444" s="61" t="s">
        <v>47</v>
      </c>
      <c r="E444" s="60" t="s">
        <v>12</v>
      </c>
      <c r="F444" s="50" t="s">
        <v>827</v>
      </c>
      <c r="G444" s="50" t="b">
        <v>0</v>
      </c>
      <c r="H444" s="58">
        <v>0</v>
      </c>
      <c r="I444" s="58">
        <v>0</v>
      </c>
      <c r="J444" s="58">
        <v>0</v>
      </c>
      <c r="K444" s="58">
        <v>0</v>
      </c>
      <c r="L444" s="58">
        <v>0</v>
      </c>
      <c r="M444" s="58">
        <v>1.05</v>
      </c>
      <c r="N444" s="58">
        <v>1.05</v>
      </c>
      <c r="O444" s="58">
        <v>1.05</v>
      </c>
      <c r="P444" s="58">
        <v>1.05</v>
      </c>
      <c r="Q444" s="58">
        <v>1.05</v>
      </c>
      <c r="R444" s="58">
        <v>0</v>
      </c>
      <c r="S444" s="58">
        <v>0</v>
      </c>
      <c r="T444" s="58">
        <v>0</v>
      </c>
      <c r="U444" s="52">
        <v>1.05</v>
      </c>
      <c r="V444" s="49" t="s">
        <v>820</v>
      </c>
    </row>
    <row r="445" spans="1:24" hidden="1">
      <c r="A445" s="59" t="s">
        <v>1219</v>
      </c>
      <c r="B445" s="59" t="s">
        <v>1218</v>
      </c>
      <c r="C445" s="61" t="s">
        <v>10</v>
      </c>
      <c r="D445" s="61" t="s">
        <v>32</v>
      </c>
      <c r="E445" s="60" t="s">
        <v>10</v>
      </c>
      <c r="F445" s="50" t="s">
        <v>816</v>
      </c>
      <c r="G445" s="50" t="b">
        <v>0</v>
      </c>
      <c r="H445" s="58">
        <v>4.5</v>
      </c>
      <c r="I445" s="58">
        <v>0</v>
      </c>
      <c r="J445" s="58">
        <v>0</v>
      </c>
      <c r="K445" s="58">
        <v>0</v>
      </c>
      <c r="L445" s="58">
        <v>0</v>
      </c>
      <c r="M445" s="58">
        <v>0</v>
      </c>
      <c r="N445" s="58">
        <v>0</v>
      </c>
      <c r="O445" s="58">
        <v>0</v>
      </c>
      <c r="P445" s="58">
        <v>0</v>
      </c>
      <c r="Q445" s="58">
        <v>0</v>
      </c>
      <c r="R445" s="58">
        <v>0</v>
      </c>
      <c r="S445" s="58">
        <v>0</v>
      </c>
      <c r="T445" s="58">
        <v>0</v>
      </c>
      <c r="U445" s="52">
        <v>4.5</v>
      </c>
      <c r="V445" s="49" t="s">
        <v>948</v>
      </c>
    </row>
    <row r="446" spans="1:24" hidden="1">
      <c r="A446" s="59" t="s">
        <v>1217</v>
      </c>
      <c r="B446" s="59" t="s">
        <v>1216</v>
      </c>
      <c r="C446" s="61" t="s">
        <v>12</v>
      </c>
      <c r="D446" s="61" t="s">
        <v>11</v>
      </c>
      <c r="E446" s="60" t="s">
        <v>11</v>
      </c>
      <c r="F446" s="50" t="s">
        <v>894</v>
      </c>
      <c r="G446" s="50" t="b">
        <v>0</v>
      </c>
      <c r="H446" s="58">
        <v>565</v>
      </c>
      <c r="I446" s="58">
        <v>0</v>
      </c>
      <c r="J446" s="58">
        <v>0</v>
      </c>
      <c r="K446" s="58">
        <v>0</v>
      </c>
      <c r="L446" s="58">
        <v>0</v>
      </c>
      <c r="M446" s="58">
        <v>0</v>
      </c>
      <c r="N446" s="58">
        <v>0</v>
      </c>
      <c r="O446" s="58">
        <v>0</v>
      </c>
      <c r="P446" s="58">
        <v>0</v>
      </c>
      <c r="Q446" s="58">
        <v>0</v>
      </c>
      <c r="R446" s="58">
        <v>0</v>
      </c>
      <c r="S446" s="58">
        <v>0</v>
      </c>
      <c r="T446" s="58">
        <v>0</v>
      </c>
      <c r="U446" s="52">
        <v>565.61</v>
      </c>
      <c r="V446" s="49" t="s">
        <v>815</v>
      </c>
    </row>
    <row r="447" spans="1:24" hidden="1">
      <c r="A447" s="59" t="s">
        <v>1215</v>
      </c>
      <c r="B447" s="59" t="s">
        <v>1214</v>
      </c>
      <c r="C447" s="61" t="s">
        <v>12</v>
      </c>
      <c r="D447" s="61" t="s">
        <v>52</v>
      </c>
      <c r="E447" s="60" t="s">
        <v>12</v>
      </c>
      <c r="F447" s="50" t="s">
        <v>824</v>
      </c>
      <c r="G447" s="50" t="b">
        <v>0</v>
      </c>
      <c r="H447" s="58">
        <v>0</v>
      </c>
      <c r="I447" s="58">
        <v>30.32</v>
      </c>
      <c r="J447" s="58">
        <v>34.36</v>
      </c>
      <c r="K447" s="58">
        <v>32.26</v>
      </c>
      <c r="L447" s="58">
        <v>30.52</v>
      </c>
      <c r="M447" s="58">
        <v>27.62</v>
      </c>
      <c r="N447" s="58">
        <v>27.72</v>
      </c>
      <c r="O447" s="58">
        <v>38.61</v>
      </c>
      <c r="P447" s="58">
        <v>39.22</v>
      </c>
      <c r="Q447" s="58">
        <v>39.409999999999997</v>
      </c>
      <c r="R447" s="58">
        <v>34.4</v>
      </c>
      <c r="S447" s="58">
        <v>35.54</v>
      </c>
      <c r="T447" s="58">
        <v>28.72</v>
      </c>
      <c r="U447" s="52">
        <v>49</v>
      </c>
      <c r="V447" s="49" t="s">
        <v>820</v>
      </c>
    </row>
    <row r="448" spans="1:24">
      <c r="A448" s="59" t="s">
        <v>1213</v>
      </c>
      <c r="B448" s="59" t="s">
        <v>1213</v>
      </c>
      <c r="C448" s="61" t="s">
        <v>12</v>
      </c>
      <c r="D448" s="61" t="s">
        <v>88</v>
      </c>
      <c r="E448" s="60" t="s">
        <v>12</v>
      </c>
      <c r="F448" s="50" t="s">
        <v>872</v>
      </c>
      <c r="G448" s="50" t="b">
        <v>0</v>
      </c>
      <c r="H448" s="58">
        <v>137</v>
      </c>
      <c r="I448" s="58">
        <v>0</v>
      </c>
      <c r="J448" s="58">
        <v>0</v>
      </c>
      <c r="K448" s="58">
        <v>0</v>
      </c>
      <c r="L448" s="58">
        <v>0</v>
      </c>
      <c r="M448" s="58">
        <v>0</v>
      </c>
      <c r="N448" s="58">
        <v>0</v>
      </c>
      <c r="O448" s="58">
        <v>0</v>
      </c>
      <c r="P448" s="58">
        <v>0</v>
      </c>
      <c r="Q448" s="58">
        <v>0</v>
      </c>
      <c r="R448" s="58">
        <v>0</v>
      </c>
      <c r="S448" s="58">
        <v>0</v>
      </c>
      <c r="T448" s="58">
        <v>0</v>
      </c>
      <c r="U448" s="52">
        <v>151.19999999999999</v>
      </c>
      <c r="V448" s="49" t="s">
        <v>855</v>
      </c>
      <c r="X448" s="58"/>
    </row>
    <row r="449" spans="1:22" hidden="1">
      <c r="A449" s="59" t="s">
        <v>1212</v>
      </c>
      <c r="B449" s="59" t="s">
        <v>1211</v>
      </c>
      <c r="C449" s="61" t="s">
        <v>10</v>
      </c>
      <c r="D449" s="61" t="s">
        <v>869</v>
      </c>
      <c r="E449" s="60" t="s">
        <v>10</v>
      </c>
      <c r="F449" s="50" t="s">
        <v>827</v>
      </c>
      <c r="G449" s="50" t="b">
        <v>0</v>
      </c>
      <c r="H449" s="58">
        <v>0</v>
      </c>
      <c r="I449" s="58">
        <v>0.49</v>
      </c>
      <c r="J449" s="58">
        <v>0.74</v>
      </c>
      <c r="K449" s="58">
        <v>1.07</v>
      </c>
      <c r="L449" s="58">
        <v>1.56</v>
      </c>
      <c r="M449" s="58">
        <v>1.45</v>
      </c>
      <c r="N449" s="58">
        <v>1.3</v>
      </c>
      <c r="O449" s="58">
        <v>1.32</v>
      </c>
      <c r="P449" s="58">
        <v>1.46</v>
      </c>
      <c r="Q449" s="58">
        <v>1.28</v>
      </c>
      <c r="R449" s="58">
        <v>0.38</v>
      </c>
      <c r="S449" s="58">
        <v>0.25</v>
      </c>
      <c r="T449" s="58">
        <v>0.53</v>
      </c>
      <c r="U449" s="52">
        <v>2</v>
      </c>
      <c r="V449" s="49" t="s">
        <v>820</v>
      </c>
    </row>
    <row r="450" spans="1:22" hidden="1">
      <c r="A450" s="59" t="s">
        <v>1210</v>
      </c>
      <c r="B450" s="59" t="s">
        <v>1209</v>
      </c>
      <c r="C450" s="61" t="s">
        <v>10</v>
      </c>
      <c r="D450" s="61" t="s">
        <v>828</v>
      </c>
      <c r="E450" s="60" t="s">
        <v>10</v>
      </c>
      <c r="F450" s="50" t="s">
        <v>827</v>
      </c>
      <c r="G450" s="50" t="b">
        <v>0</v>
      </c>
      <c r="H450" s="58">
        <v>210</v>
      </c>
      <c r="I450" s="58">
        <v>0</v>
      </c>
      <c r="J450" s="58">
        <v>0</v>
      </c>
      <c r="K450" s="58">
        <v>0</v>
      </c>
      <c r="L450" s="58">
        <v>0</v>
      </c>
      <c r="M450" s="58">
        <v>0</v>
      </c>
      <c r="N450" s="58">
        <v>0</v>
      </c>
      <c r="O450" s="58">
        <v>0</v>
      </c>
      <c r="P450" s="58">
        <v>0</v>
      </c>
      <c r="Q450" s="58">
        <v>0</v>
      </c>
      <c r="R450" s="58">
        <v>0</v>
      </c>
      <c r="S450" s="58">
        <v>0</v>
      </c>
      <c r="T450" s="58">
        <v>0</v>
      </c>
      <c r="U450" s="52">
        <v>210</v>
      </c>
      <c r="V450" s="49" t="s">
        <v>855</v>
      </c>
    </row>
    <row r="451" spans="1:22" hidden="1">
      <c r="A451" s="59" t="s">
        <v>1208</v>
      </c>
      <c r="B451" s="59" t="s">
        <v>1207</v>
      </c>
      <c r="C451" s="61" t="s">
        <v>10</v>
      </c>
      <c r="D451" s="61" t="s">
        <v>88</v>
      </c>
      <c r="E451" s="60" t="s">
        <v>10</v>
      </c>
      <c r="F451" s="50" t="s">
        <v>827</v>
      </c>
      <c r="G451" s="50" t="b">
        <v>0</v>
      </c>
      <c r="H451" s="58">
        <v>0</v>
      </c>
      <c r="I451" s="58">
        <v>30.5</v>
      </c>
      <c r="J451" s="58">
        <v>30.5</v>
      </c>
      <c r="K451" s="58">
        <v>30.5</v>
      </c>
      <c r="L451" s="58">
        <v>30.5</v>
      </c>
      <c r="M451" s="58">
        <v>30.5</v>
      </c>
      <c r="N451" s="58">
        <v>30.5</v>
      </c>
      <c r="O451" s="58">
        <v>30.5</v>
      </c>
      <c r="P451" s="58">
        <v>30.5</v>
      </c>
      <c r="Q451" s="58">
        <v>30.5</v>
      </c>
      <c r="R451" s="58">
        <v>30.5</v>
      </c>
      <c r="S451" s="58">
        <v>30.5</v>
      </c>
      <c r="T451" s="58">
        <v>30.5</v>
      </c>
      <c r="U451" s="52">
        <v>32</v>
      </c>
      <c r="V451" s="49" t="s">
        <v>820</v>
      </c>
    </row>
    <row r="452" spans="1:22" hidden="1">
      <c r="A452" s="59" t="s">
        <v>1206</v>
      </c>
      <c r="B452" s="59" t="s">
        <v>1205</v>
      </c>
      <c r="C452" s="61" t="s">
        <v>10</v>
      </c>
      <c r="D452" s="61" t="s">
        <v>88</v>
      </c>
      <c r="E452" s="60" t="s">
        <v>10</v>
      </c>
      <c r="F452" s="50" t="s">
        <v>827</v>
      </c>
      <c r="G452" s="50" t="b">
        <v>0</v>
      </c>
      <c r="H452" s="58">
        <v>0</v>
      </c>
      <c r="I452" s="58">
        <v>30.5</v>
      </c>
      <c r="J452" s="58">
        <v>30.5</v>
      </c>
      <c r="K452" s="58">
        <v>30.5</v>
      </c>
      <c r="L452" s="58">
        <v>30.5</v>
      </c>
      <c r="M452" s="58">
        <v>30.5</v>
      </c>
      <c r="N452" s="58">
        <v>30.5</v>
      </c>
      <c r="O452" s="58">
        <v>30.5</v>
      </c>
      <c r="P452" s="58">
        <v>30.5</v>
      </c>
      <c r="Q452" s="58">
        <v>30.5</v>
      </c>
      <c r="R452" s="58">
        <v>30.5</v>
      </c>
      <c r="S452" s="58">
        <v>30.5</v>
      </c>
      <c r="T452" s="58">
        <v>30.5</v>
      </c>
      <c r="U452" s="52">
        <v>32</v>
      </c>
      <c r="V452" s="49" t="s">
        <v>820</v>
      </c>
    </row>
    <row r="453" spans="1:22" hidden="1">
      <c r="A453" s="59" t="s">
        <v>1204</v>
      </c>
      <c r="B453" s="59" t="s">
        <v>1203</v>
      </c>
      <c r="C453" s="61" t="s">
        <v>10</v>
      </c>
      <c r="D453" s="61" t="s">
        <v>88</v>
      </c>
      <c r="E453" s="60" t="s">
        <v>10</v>
      </c>
      <c r="F453" s="50" t="s">
        <v>827</v>
      </c>
      <c r="G453" s="50" t="b">
        <v>0</v>
      </c>
      <c r="H453" s="58">
        <v>0</v>
      </c>
      <c r="I453" s="58">
        <v>70.599999999999994</v>
      </c>
      <c r="J453" s="58">
        <v>70.599999999999994</v>
      </c>
      <c r="K453" s="58">
        <v>70.599999999999994</v>
      </c>
      <c r="L453" s="58">
        <v>70.599999999999994</v>
      </c>
      <c r="M453" s="58">
        <v>70.599999999999994</v>
      </c>
      <c r="N453" s="58">
        <v>70.599999999999994</v>
      </c>
      <c r="O453" s="58">
        <v>70.599999999999994</v>
      </c>
      <c r="P453" s="58">
        <v>70.599999999999994</v>
      </c>
      <c r="Q453" s="58">
        <v>70.599999999999994</v>
      </c>
      <c r="R453" s="58">
        <v>70.599999999999994</v>
      </c>
      <c r="S453" s="58">
        <v>70.599999999999994</v>
      </c>
      <c r="T453" s="58">
        <v>70.599999999999994</v>
      </c>
      <c r="U453" s="52">
        <v>70.599999999999994</v>
      </c>
      <c r="V453" s="49" t="s">
        <v>820</v>
      </c>
    </row>
    <row r="454" spans="1:22" hidden="1">
      <c r="A454" s="59" t="s">
        <v>1202</v>
      </c>
      <c r="B454" s="59" t="s">
        <v>1201</v>
      </c>
      <c r="C454" s="61" t="s">
        <v>10</v>
      </c>
      <c r="D454" s="61" t="s">
        <v>88</v>
      </c>
      <c r="E454" s="60" t="s">
        <v>10</v>
      </c>
      <c r="F454" s="50" t="s">
        <v>827</v>
      </c>
      <c r="G454" s="50" t="b">
        <v>0</v>
      </c>
      <c r="H454" s="58">
        <v>0</v>
      </c>
      <c r="I454" s="58">
        <v>95</v>
      </c>
      <c r="J454" s="58">
        <v>95</v>
      </c>
      <c r="K454" s="58">
        <v>95</v>
      </c>
      <c r="L454" s="58">
        <v>95</v>
      </c>
      <c r="M454" s="58">
        <v>95</v>
      </c>
      <c r="N454" s="58">
        <v>95</v>
      </c>
      <c r="O454" s="58">
        <v>95</v>
      </c>
      <c r="P454" s="58">
        <v>95</v>
      </c>
      <c r="Q454" s="58">
        <v>95</v>
      </c>
      <c r="R454" s="58">
        <v>95</v>
      </c>
      <c r="S454" s="58">
        <v>95</v>
      </c>
      <c r="T454" s="58">
        <v>95</v>
      </c>
      <c r="U454" s="52">
        <v>95</v>
      </c>
      <c r="V454" s="49" t="s">
        <v>820</v>
      </c>
    </row>
    <row r="455" spans="1:22" hidden="1">
      <c r="A455" s="59" t="s">
        <v>1200</v>
      </c>
      <c r="B455" s="59" t="s">
        <v>1199</v>
      </c>
      <c r="C455" s="61" t="s">
        <v>10</v>
      </c>
      <c r="D455" s="61" t="s">
        <v>88</v>
      </c>
      <c r="E455" s="60" t="s">
        <v>10</v>
      </c>
      <c r="F455" s="50" t="s">
        <v>827</v>
      </c>
      <c r="G455" s="50" t="b">
        <v>0</v>
      </c>
      <c r="H455" s="58">
        <v>0</v>
      </c>
      <c r="I455" s="58">
        <v>80</v>
      </c>
      <c r="J455" s="58">
        <v>80</v>
      </c>
      <c r="K455" s="58">
        <v>80</v>
      </c>
      <c r="L455" s="58">
        <v>80</v>
      </c>
      <c r="M455" s="58">
        <v>80</v>
      </c>
      <c r="N455" s="58">
        <v>80</v>
      </c>
      <c r="O455" s="58">
        <v>80</v>
      </c>
      <c r="P455" s="58">
        <v>80</v>
      </c>
      <c r="Q455" s="58">
        <v>80</v>
      </c>
      <c r="R455" s="58">
        <v>80</v>
      </c>
      <c r="S455" s="58">
        <v>80</v>
      </c>
      <c r="T455" s="58">
        <v>80</v>
      </c>
      <c r="U455" s="52">
        <v>82</v>
      </c>
      <c r="V455" s="49" t="s">
        <v>820</v>
      </c>
    </row>
    <row r="456" spans="1:22" hidden="1">
      <c r="A456" s="59" t="s">
        <v>1198</v>
      </c>
      <c r="B456" s="59" t="s">
        <v>1197</v>
      </c>
      <c r="C456" s="61" t="s">
        <v>10</v>
      </c>
      <c r="D456" s="61" t="s">
        <v>88</v>
      </c>
      <c r="E456" s="60" t="s">
        <v>10</v>
      </c>
      <c r="F456" s="50" t="s">
        <v>827</v>
      </c>
      <c r="G456" s="50" t="b">
        <v>0</v>
      </c>
      <c r="H456" s="58">
        <v>0</v>
      </c>
      <c r="I456" s="58">
        <v>80</v>
      </c>
      <c r="J456" s="58">
        <v>80</v>
      </c>
      <c r="K456" s="58">
        <v>80</v>
      </c>
      <c r="L456" s="58">
        <v>80</v>
      </c>
      <c r="M456" s="58">
        <v>80</v>
      </c>
      <c r="N456" s="58">
        <v>80</v>
      </c>
      <c r="O456" s="58">
        <v>80</v>
      </c>
      <c r="P456" s="58">
        <v>80</v>
      </c>
      <c r="Q456" s="58">
        <v>80</v>
      </c>
      <c r="R456" s="58">
        <v>80</v>
      </c>
      <c r="S456" s="58">
        <v>80</v>
      </c>
      <c r="T456" s="58">
        <v>80</v>
      </c>
      <c r="U456" s="52">
        <v>82</v>
      </c>
      <c r="V456" s="49" t="s">
        <v>820</v>
      </c>
    </row>
    <row r="457" spans="1:22" hidden="1">
      <c r="A457" s="59" t="s">
        <v>1196</v>
      </c>
      <c r="B457" s="59" t="s">
        <v>1195</v>
      </c>
      <c r="C457" s="61" t="s">
        <v>10</v>
      </c>
      <c r="D457" s="61" t="s">
        <v>88</v>
      </c>
      <c r="E457" s="60" t="s">
        <v>10</v>
      </c>
      <c r="F457" s="50" t="s">
        <v>827</v>
      </c>
      <c r="G457" s="50" t="b">
        <v>0</v>
      </c>
      <c r="H457" s="58">
        <v>0</v>
      </c>
      <c r="I457" s="58">
        <v>0.34</v>
      </c>
      <c r="J457" s="58">
        <v>0.57999999999999996</v>
      </c>
      <c r="K457" s="58">
        <v>1.25</v>
      </c>
      <c r="L457" s="58">
        <v>1.0900000000000001</v>
      </c>
      <c r="M457" s="58">
        <v>0.83</v>
      </c>
      <c r="N457" s="58">
        <v>0.33</v>
      </c>
      <c r="O457" s="58">
        <v>0.17</v>
      </c>
      <c r="P457" s="58">
        <v>0.14000000000000001</v>
      </c>
      <c r="Q457" s="58">
        <v>0.14000000000000001</v>
      </c>
      <c r="R457" s="58">
        <v>0.19</v>
      </c>
      <c r="S457" s="58">
        <v>0.19</v>
      </c>
      <c r="T457" s="58">
        <v>0.22</v>
      </c>
      <c r="U457" s="52">
        <v>3.75</v>
      </c>
      <c r="V457" s="49" t="s">
        <v>820</v>
      </c>
    </row>
    <row r="458" spans="1:22" hidden="1">
      <c r="A458" s="59" t="s">
        <v>1194</v>
      </c>
      <c r="B458" s="59" t="s">
        <v>1193</v>
      </c>
      <c r="C458" s="61" t="s">
        <v>10</v>
      </c>
      <c r="D458" s="61" t="s">
        <v>88</v>
      </c>
      <c r="E458" s="60" t="s">
        <v>10</v>
      </c>
      <c r="F458" s="50" t="s">
        <v>827</v>
      </c>
      <c r="G458" s="50" t="b">
        <v>0</v>
      </c>
      <c r="H458" s="58">
        <v>0</v>
      </c>
      <c r="I458" s="58">
        <v>39</v>
      </c>
      <c r="J458" s="58">
        <v>39</v>
      </c>
      <c r="K458" s="58">
        <v>39</v>
      </c>
      <c r="L458" s="58">
        <v>39</v>
      </c>
      <c r="M458" s="58">
        <v>39</v>
      </c>
      <c r="N458" s="58">
        <v>39</v>
      </c>
      <c r="O458" s="58">
        <v>39</v>
      </c>
      <c r="P458" s="58">
        <v>39</v>
      </c>
      <c r="Q458" s="58">
        <v>39</v>
      </c>
      <c r="R458" s="58">
        <v>39</v>
      </c>
      <c r="S458" s="58">
        <v>39</v>
      </c>
      <c r="T458" s="58">
        <v>39</v>
      </c>
      <c r="U458" s="52">
        <v>39</v>
      </c>
      <c r="V458" s="49" t="s">
        <v>820</v>
      </c>
    </row>
    <row r="459" spans="1:22" hidden="1">
      <c r="A459" s="59" t="s">
        <v>1192</v>
      </c>
      <c r="B459" s="59" t="s">
        <v>1191</v>
      </c>
      <c r="C459" s="61" t="s">
        <v>10</v>
      </c>
      <c r="D459" s="61" t="s">
        <v>88</v>
      </c>
      <c r="E459" s="60" t="s">
        <v>10</v>
      </c>
      <c r="F459" s="50" t="s">
        <v>827</v>
      </c>
      <c r="G459" s="50" t="b">
        <v>0</v>
      </c>
      <c r="H459" s="58">
        <v>0</v>
      </c>
      <c r="I459" s="58">
        <v>40</v>
      </c>
      <c r="J459" s="58">
        <v>40</v>
      </c>
      <c r="K459" s="58">
        <v>40</v>
      </c>
      <c r="L459" s="58">
        <v>40</v>
      </c>
      <c r="M459" s="58">
        <v>40</v>
      </c>
      <c r="N459" s="58">
        <v>40</v>
      </c>
      <c r="O459" s="58">
        <v>40</v>
      </c>
      <c r="P459" s="58">
        <v>40</v>
      </c>
      <c r="Q459" s="58">
        <v>40</v>
      </c>
      <c r="R459" s="58">
        <v>40</v>
      </c>
      <c r="S459" s="58">
        <v>40</v>
      </c>
      <c r="T459" s="58">
        <v>40</v>
      </c>
      <c r="U459" s="52">
        <v>40</v>
      </c>
      <c r="V459" s="49" t="s">
        <v>820</v>
      </c>
    </row>
    <row r="460" spans="1:22" hidden="1">
      <c r="A460" s="59" t="s">
        <v>1190</v>
      </c>
      <c r="B460" s="59" t="s">
        <v>1189</v>
      </c>
      <c r="C460" s="61" t="s">
        <v>10</v>
      </c>
      <c r="D460" s="61" t="s">
        <v>88</v>
      </c>
      <c r="E460" s="60" t="s">
        <v>10</v>
      </c>
      <c r="F460" s="50" t="s">
        <v>827</v>
      </c>
      <c r="G460" s="50" t="b">
        <v>0</v>
      </c>
      <c r="H460" s="58">
        <v>0</v>
      </c>
      <c r="I460" s="58">
        <v>55.7</v>
      </c>
      <c r="J460" s="58">
        <v>55.7</v>
      </c>
      <c r="K460" s="58">
        <v>55.7</v>
      </c>
      <c r="L460" s="58">
        <v>55.7</v>
      </c>
      <c r="M460" s="58">
        <v>55.7</v>
      </c>
      <c r="N460" s="58">
        <v>55.7</v>
      </c>
      <c r="O460" s="58">
        <v>55.7</v>
      </c>
      <c r="P460" s="58">
        <v>55.7</v>
      </c>
      <c r="Q460" s="58">
        <v>55.7</v>
      </c>
      <c r="R460" s="58">
        <v>55.7</v>
      </c>
      <c r="S460" s="58">
        <v>55.7</v>
      </c>
      <c r="T460" s="58">
        <v>55.7</v>
      </c>
      <c r="U460" s="52">
        <v>55.7</v>
      </c>
      <c r="V460" s="49" t="s">
        <v>820</v>
      </c>
    </row>
    <row r="461" spans="1:22" hidden="1">
      <c r="A461" s="59" t="s">
        <v>1188</v>
      </c>
      <c r="B461" s="59" t="s">
        <v>1187</v>
      </c>
      <c r="C461" s="61" t="s">
        <v>10</v>
      </c>
      <c r="D461" s="61" t="s">
        <v>88</v>
      </c>
      <c r="E461" s="60" t="s">
        <v>10</v>
      </c>
      <c r="F461" s="50" t="s">
        <v>827</v>
      </c>
      <c r="G461" s="50" t="b">
        <v>0</v>
      </c>
      <c r="H461" s="58">
        <v>0</v>
      </c>
      <c r="I461" s="58">
        <v>54.6</v>
      </c>
      <c r="J461" s="58">
        <v>54.6</v>
      </c>
      <c r="K461" s="58">
        <v>54.6</v>
      </c>
      <c r="L461" s="58">
        <v>54.6</v>
      </c>
      <c r="M461" s="58">
        <v>54.6</v>
      </c>
      <c r="N461" s="58">
        <v>54.6</v>
      </c>
      <c r="O461" s="58">
        <v>54.6</v>
      </c>
      <c r="P461" s="58">
        <v>54.6</v>
      </c>
      <c r="Q461" s="58">
        <v>54.6</v>
      </c>
      <c r="R461" s="58">
        <v>54.6</v>
      </c>
      <c r="S461" s="58">
        <v>54.6</v>
      </c>
      <c r="T461" s="58">
        <v>54.6</v>
      </c>
      <c r="U461" s="52">
        <v>54.6</v>
      </c>
      <c r="V461" s="49" t="s">
        <v>820</v>
      </c>
    </row>
    <row r="462" spans="1:22" hidden="1">
      <c r="A462" s="59" t="s">
        <v>1186</v>
      </c>
      <c r="B462" s="59" t="s">
        <v>38</v>
      </c>
      <c r="C462" s="61" t="s">
        <v>10</v>
      </c>
      <c r="D462" s="61" t="s">
        <v>32</v>
      </c>
      <c r="E462" s="60" t="s">
        <v>10</v>
      </c>
      <c r="F462" s="50" t="s">
        <v>894</v>
      </c>
      <c r="G462" s="50" t="b">
        <v>1</v>
      </c>
      <c r="H462" s="58">
        <v>312</v>
      </c>
      <c r="I462" s="58">
        <v>0</v>
      </c>
      <c r="J462" s="58">
        <v>0</v>
      </c>
      <c r="K462" s="58">
        <v>0</v>
      </c>
      <c r="L462" s="58">
        <v>0</v>
      </c>
      <c r="M462" s="58">
        <v>0</v>
      </c>
      <c r="N462" s="58">
        <v>0</v>
      </c>
      <c r="O462" s="58">
        <v>0</v>
      </c>
      <c r="P462" s="58">
        <v>0</v>
      </c>
      <c r="Q462" s="58">
        <v>0</v>
      </c>
      <c r="R462" s="58">
        <v>0</v>
      </c>
      <c r="S462" s="58">
        <v>0</v>
      </c>
      <c r="T462" s="58">
        <v>0</v>
      </c>
      <c r="U462" s="52">
        <v>312</v>
      </c>
      <c r="V462" s="49" t="s">
        <v>815</v>
      </c>
    </row>
    <row r="463" spans="1:22" hidden="1">
      <c r="A463" s="59" t="s">
        <v>1185</v>
      </c>
      <c r="B463" s="59" t="s">
        <v>39</v>
      </c>
      <c r="C463" s="61" t="s">
        <v>10</v>
      </c>
      <c r="D463" s="61" t="s">
        <v>32</v>
      </c>
      <c r="E463" s="60" t="s">
        <v>10</v>
      </c>
      <c r="F463" s="50" t="s">
        <v>894</v>
      </c>
      <c r="G463" s="50" t="b">
        <v>1</v>
      </c>
      <c r="H463" s="58">
        <v>317</v>
      </c>
      <c r="I463" s="58">
        <v>0</v>
      </c>
      <c r="J463" s="58">
        <v>0</v>
      </c>
      <c r="K463" s="58">
        <v>0</v>
      </c>
      <c r="L463" s="58">
        <v>0</v>
      </c>
      <c r="M463" s="58">
        <v>0</v>
      </c>
      <c r="N463" s="58">
        <v>0</v>
      </c>
      <c r="O463" s="58">
        <v>0</v>
      </c>
      <c r="P463" s="58">
        <v>0</v>
      </c>
      <c r="Q463" s="58">
        <v>0</v>
      </c>
      <c r="R463" s="58">
        <v>0</v>
      </c>
      <c r="S463" s="58">
        <v>0</v>
      </c>
      <c r="T463" s="58">
        <v>0</v>
      </c>
      <c r="U463" s="52">
        <v>317</v>
      </c>
      <c r="V463" s="49" t="s">
        <v>815</v>
      </c>
    </row>
    <row r="464" spans="1:22" hidden="1">
      <c r="A464" s="59" t="s">
        <v>1184</v>
      </c>
      <c r="B464" s="59" t="s">
        <v>86</v>
      </c>
      <c r="C464" s="61" t="s">
        <v>10</v>
      </c>
      <c r="D464" s="61" t="s">
        <v>32</v>
      </c>
      <c r="E464" s="60" t="s">
        <v>10</v>
      </c>
      <c r="F464" s="50" t="s">
        <v>894</v>
      </c>
      <c r="G464" s="50" t="b">
        <v>0</v>
      </c>
      <c r="H464" s="58">
        <v>682</v>
      </c>
      <c r="I464" s="58">
        <v>0</v>
      </c>
      <c r="J464" s="58">
        <v>0</v>
      </c>
      <c r="K464" s="58">
        <v>0</v>
      </c>
      <c r="L464" s="58">
        <v>0</v>
      </c>
      <c r="M464" s="58">
        <v>0</v>
      </c>
      <c r="N464" s="58">
        <v>0</v>
      </c>
      <c r="O464" s="58">
        <v>0</v>
      </c>
      <c r="P464" s="58">
        <v>0</v>
      </c>
      <c r="Q464" s="58">
        <v>0</v>
      </c>
      <c r="R464" s="58">
        <v>0</v>
      </c>
      <c r="S464" s="58">
        <v>0</v>
      </c>
      <c r="T464" s="58">
        <v>0</v>
      </c>
      <c r="U464" s="52">
        <v>682</v>
      </c>
      <c r="V464" s="49" t="s">
        <v>815</v>
      </c>
    </row>
    <row r="465" spans="1:22" hidden="1">
      <c r="A465" s="59" t="s">
        <v>1183</v>
      </c>
      <c r="B465" s="59" t="s">
        <v>1182</v>
      </c>
      <c r="C465" s="61" t="s">
        <v>10</v>
      </c>
      <c r="D465" s="61" t="s">
        <v>817</v>
      </c>
      <c r="E465" s="60" t="s">
        <v>10</v>
      </c>
      <c r="F465" s="50" t="s">
        <v>827</v>
      </c>
      <c r="G465" s="50" t="b">
        <v>0</v>
      </c>
      <c r="H465" s="58">
        <v>0</v>
      </c>
      <c r="I465" s="58">
        <v>1.31</v>
      </c>
      <c r="J465" s="58">
        <v>2.84</v>
      </c>
      <c r="K465" s="58">
        <v>4.17</v>
      </c>
      <c r="L465" s="58">
        <v>4.45</v>
      </c>
      <c r="M465" s="58">
        <v>5.87</v>
      </c>
      <c r="N465" s="58">
        <v>2.34</v>
      </c>
      <c r="O465" s="58">
        <v>2.04</v>
      </c>
      <c r="P465" s="58">
        <v>2.2999999999999998</v>
      </c>
      <c r="Q465" s="58">
        <v>2.08</v>
      </c>
      <c r="R465" s="58">
        <v>1.88</v>
      </c>
      <c r="S465" s="58">
        <v>0.84</v>
      </c>
      <c r="T465" s="58">
        <v>0.36</v>
      </c>
      <c r="U465" s="52">
        <v>8.4</v>
      </c>
      <c r="V465" s="49" t="s">
        <v>820</v>
      </c>
    </row>
    <row r="466" spans="1:22" hidden="1">
      <c r="A466" s="59" t="s">
        <v>1181</v>
      </c>
      <c r="B466" s="59" t="s">
        <v>1180</v>
      </c>
      <c r="C466" s="61" t="s">
        <v>10</v>
      </c>
      <c r="D466" s="61" t="s">
        <v>817</v>
      </c>
      <c r="E466" s="60" t="s">
        <v>10</v>
      </c>
      <c r="F466" s="50" t="s">
        <v>827</v>
      </c>
      <c r="G466" s="50" t="b">
        <v>0</v>
      </c>
      <c r="H466" s="58">
        <v>0</v>
      </c>
      <c r="I466" s="58">
        <v>0.16</v>
      </c>
      <c r="J466" s="58">
        <v>0.47</v>
      </c>
      <c r="K466" s="58">
        <v>0.4</v>
      </c>
      <c r="L466" s="58">
        <v>0.08</v>
      </c>
      <c r="M466" s="58">
        <v>0.14000000000000001</v>
      </c>
      <c r="N466" s="58">
        <v>0</v>
      </c>
      <c r="O466" s="58">
        <v>0</v>
      </c>
      <c r="P466" s="58">
        <v>0</v>
      </c>
      <c r="Q466" s="58">
        <v>0</v>
      </c>
      <c r="R466" s="58">
        <v>0</v>
      </c>
      <c r="S466" s="58">
        <v>0</v>
      </c>
      <c r="T466" s="58">
        <v>0.06</v>
      </c>
      <c r="U466" s="52">
        <v>5</v>
      </c>
      <c r="V466" s="49" t="s">
        <v>820</v>
      </c>
    </row>
    <row r="467" spans="1:22" hidden="1">
      <c r="A467" s="59" t="s">
        <v>1179</v>
      </c>
      <c r="B467" s="59" t="s">
        <v>1178</v>
      </c>
      <c r="C467" s="61" t="s">
        <v>10</v>
      </c>
      <c r="D467" s="61" t="s">
        <v>817</v>
      </c>
      <c r="E467" s="60" t="s">
        <v>10</v>
      </c>
      <c r="F467" s="50" t="s">
        <v>824</v>
      </c>
      <c r="G467" s="50" t="b">
        <v>0</v>
      </c>
      <c r="H467" s="58">
        <v>0</v>
      </c>
      <c r="I467" s="58">
        <v>1.56</v>
      </c>
      <c r="J467" s="58">
        <v>1.6</v>
      </c>
      <c r="K467" s="58">
        <v>1.9</v>
      </c>
      <c r="L467" s="58">
        <v>1.71</v>
      </c>
      <c r="M467" s="58">
        <v>1.67</v>
      </c>
      <c r="N467" s="58">
        <v>1.69</v>
      </c>
      <c r="O467" s="58">
        <v>1.41</v>
      </c>
      <c r="P467" s="58">
        <v>0.72</v>
      </c>
      <c r="Q467" s="58">
        <v>0.84</v>
      </c>
      <c r="R467" s="58">
        <v>1.41</v>
      </c>
      <c r="S467" s="58">
        <v>1.07</v>
      </c>
      <c r="T467" s="58">
        <v>1.68</v>
      </c>
      <c r="U467" s="52">
        <v>2.1</v>
      </c>
      <c r="V467" s="49" t="s">
        <v>820</v>
      </c>
    </row>
    <row r="468" spans="1:22" hidden="1">
      <c r="A468" s="59" t="s">
        <v>1177</v>
      </c>
      <c r="B468" s="59" t="s">
        <v>1176</v>
      </c>
      <c r="C468" s="61" t="s">
        <v>10</v>
      </c>
      <c r="D468" s="61" t="s">
        <v>88</v>
      </c>
      <c r="E468" s="60" t="s">
        <v>10</v>
      </c>
      <c r="F468" s="50" t="s">
        <v>816</v>
      </c>
      <c r="G468" s="50" t="b">
        <v>0</v>
      </c>
      <c r="H468" s="58">
        <v>380.96</v>
      </c>
      <c r="I468" s="58">
        <v>0</v>
      </c>
      <c r="J468" s="58">
        <v>0</v>
      </c>
      <c r="K468" s="58">
        <v>0</v>
      </c>
      <c r="L468" s="58">
        <v>0</v>
      </c>
      <c r="M468" s="58">
        <v>0</v>
      </c>
      <c r="N468" s="58">
        <v>0</v>
      </c>
      <c r="O468" s="58">
        <v>0</v>
      </c>
      <c r="P468" s="58">
        <v>0</v>
      </c>
      <c r="Q468" s="58">
        <v>0</v>
      </c>
      <c r="R468" s="58">
        <v>0</v>
      </c>
      <c r="S468" s="58">
        <v>0</v>
      </c>
      <c r="T468" s="58">
        <v>0</v>
      </c>
      <c r="U468" s="52">
        <v>400</v>
      </c>
      <c r="V468" s="49" t="s">
        <v>815</v>
      </c>
    </row>
    <row r="469" spans="1:22" hidden="1">
      <c r="A469" s="59" t="s">
        <v>1175</v>
      </c>
      <c r="B469" s="59" t="s">
        <v>1174</v>
      </c>
      <c r="C469" s="61" t="s">
        <v>10</v>
      </c>
      <c r="D469" s="61" t="s">
        <v>828</v>
      </c>
      <c r="E469" s="60" t="s">
        <v>10</v>
      </c>
      <c r="F469" s="50" t="s">
        <v>816</v>
      </c>
      <c r="G469" s="50" t="b">
        <v>0</v>
      </c>
      <c r="H469" s="58">
        <v>111.16</v>
      </c>
      <c r="I469" s="58">
        <v>0</v>
      </c>
      <c r="J469" s="58">
        <v>0</v>
      </c>
      <c r="K469" s="58">
        <v>0</v>
      </c>
      <c r="L469" s="58">
        <v>0</v>
      </c>
      <c r="M469" s="58">
        <v>0</v>
      </c>
      <c r="N469" s="58">
        <v>0</v>
      </c>
      <c r="O469" s="58">
        <v>0</v>
      </c>
      <c r="P469" s="58">
        <v>0</v>
      </c>
      <c r="Q469" s="58">
        <v>0</v>
      </c>
      <c r="R469" s="58">
        <v>0</v>
      </c>
      <c r="S469" s="58">
        <v>0</v>
      </c>
      <c r="T469" s="58">
        <v>0</v>
      </c>
      <c r="U469" s="52">
        <v>120</v>
      </c>
      <c r="V469" s="49" t="s">
        <v>815</v>
      </c>
    </row>
    <row r="470" spans="1:22" hidden="1">
      <c r="A470" s="59" t="s">
        <v>1173</v>
      </c>
      <c r="B470" s="59" t="s">
        <v>1172</v>
      </c>
      <c r="C470" s="61" t="s">
        <v>10</v>
      </c>
      <c r="D470" s="61" t="s">
        <v>828</v>
      </c>
      <c r="E470" s="60" t="s">
        <v>10</v>
      </c>
      <c r="F470" s="50" t="s">
        <v>816</v>
      </c>
      <c r="G470" s="50" t="b">
        <v>0</v>
      </c>
      <c r="H470" s="58">
        <v>40</v>
      </c>
      <c r="I470" s="58">
        <v>0</v>
      </c>
      <c r="J470" s="58">
        <v>0</v>
      </c>
      <c r="K470" s="58">
        <v>0</v>
      </c>
      <c r="L470" s="58">
        <v>0</v>
      </c>
      <c r="M470" s="58">
        <v>0</v>
      </c>
      <c r="N470" s="58">
        <v>0</v>
      </c>
      <c r="O470" s="58">
        <v>0</v>
      </c>
      <c r="P470" s="58">
        <v>0</v>
      </c>
      <c r="Q470" s="58">
        <v>0</v>
      </c>
      <c r="R470" s="58">
        <v>0</v>
      </c>
      <c r="S470" s="58">
        <v>0</v>
      </c>
      <c r="T470" s="58">
        <v>0</v>
      </c>
      <c r="U470" s="52">
        <v>55.38</v>
      </c>
      <c r="V470" s="49" t="s">
        <v>815</v>
      </c>
    </row>
    <row r="471" spans="1:22" hidden="1">
      <c r="A471" s="59" t="s">
        <v>1171</v>
      </c>
      <c r="B471" s="59" t="s">
        <v>1170</v>
      </c>
      <c r="C471" s="61" t="s">
        <v>10</v>
      </c>
      <c r="D471" s="61" t="s">
        <v>828</v>
      </c>
      <c r="E471" s="60" t="s">
        <v>10</v>
      </c>
      <c r="F471" s="50" t="s">
        <v>816</v>
      </c>
      <c r="G471" s="50" t="b">
        <v>0</v>
      </c>
      <c r="H471" s="58">
        <v>42.78</v>
      </c>
      <c r="I471" s="58">
        <v>0</v>
      </c>
      <c r="J471" s="58">
        <v>0</v>
      </c>
      <c r="K471" s="58">
        <v>0</v>
      </c>
      <c r="L471" s="58">
        <v>0</v>
      </c>
      <c r="M471" s="58">
        <v>0</v>
      </c>
      <c r="N471" s="58">
        <v>0</v>
      </c>
      <c r="O471" s="58">
        <v>0</v>
      </c>
      <c r="P471" s="58">
        <v>0</v>
      </c>
      <c r="Q471" s="58">
        <v>0</v>
      </c>
      <c r="R471" s="58">
        <v>0</v>
      </c>
      <c r="S471" s="58">
        <v>0</v>
      </c>
      <c r="T471" s="58">
        <v>0</v>
      </c>
      <c r="U471" s="52">
        <v>52.01</v>
      </c>
      <c r="V471" s="49" t="s">
        <v>815</v>
      </c>
    </row>
    <row r="472" spans="1:22" hidden="1">
      <c r="A472" s="59" t="s">
        <v>1169</v>
      </c>
      <c r="B472" s="59" t="s">
        <v>1168</v>
      </c>
      <c r="C472" s="61" t="s">
        <v>10</v>
      </c>
      <c r="D472" s="61" t="s">
        <v>817</v>
      </c>
      <c r="E472" s="60" t="s">
        <v>10</v>
      </c>
      <c r="F472" s="50" t="s">
        <v>827</v>
      </c>
      <c r="G472" s="50" t="b">
        <v>0</v>
      </c>
      <c r="H472" s="58">
        <v>0</v>
      </c>
      <c r="I472" s="58">
        <v>60</v>
      </c>
      <c r="J472" s="58">
        <v>60</v>
      </c>
      <c r="K472" s="58">
        <v>60</v>
      </c>
      <c r="L472" s="58">
        <v>60</v>
      </c>
      <c r="M472" s="58">
        <v>60</v>
      </c>
      <c r="N472" s="58">
        <v>60</v>
      </c>
      <c r="O472" s="58">
        <v>60</v>
      </c>
      <c r="P472" s="58">
        <v>60</v>
      </c>
      <c r="Q472" s="58">
        <v>60</v>
      </c>
      <c r="R472" s="58">
        <v>60</v>
      </c>
      <c r="S472" s="58">
        <v>60</v>
      </c>
      <c r="T472" s="58">
        <v>60</v>
      </c>
      <c r="U472" s="52">
        <v>68</v>
      </c>
      <c r="V472" s="49" t="s">
        <v>820</v>
      </c>
    </row>
    <row r="473" spans="1:22" hidden="1">
      <c r="A473" s="59" t="s">
        <v>1167</v>
      </c>
      <c r="B473" s="59" t="s">
        <v>1166</v>
      </c>
      <c r="C473" s="61" t="s">
        <v>10</v>
      </c>
      <c r="D473" s="61" t="s">
        <v>817</v>
      </c>
      <c r="E473" s="60" t="s">
        <v>10</v>
      </c>
      <c r="F473" s="50" t="s">
        <v>827</v>
      </c>
      <c r="G473" s="50" t="b">
        <v>0</v>
      </c>
      <c r="H473" s="58">
        <v>0</v>
      </c>
      <c r="I473" s="58">
        <v>60</v>
      </c>
      <c r="J473" s="58">
        <v>60</v>
      </c>
      <c r="K473" s="58">
        <v>60</v>
      </c>
      <c r="L473" s="58">
        <v>60</v>
      </c>
      <c r="M473" s="58">
        <v>60</v>
      </c>
      <c r="N473" s="58">
        <v>60</v>
      </c>
      <c r="O473" s="58">
        <v>60</v>
      </c>
      <c r="P473" s="58">
        <v>60</v>
      </c>
      <c r="Q473" s="58">
        <v>60</v>
      </c>
      <c r="R473" s="58">
        <v>60</v>
      </c>
      <c r="S473" s="58">
        <v>60</v>
      </c>
      <c r="T473" s="58">
        <v>60</v>
      </c>
      <c r="U473" s="52">
        <v>60</v>
      </c>
      <c r="V473" s="49" t="s">
        <v>820</v>
      </c>
    </row>
    <row r="474" spans="1:22" hidden="1">
      <c r="A474" s="59" t="s">
        <v>1165</v>
      </c>
      <c r="B474" s="59" t="s">
        <v>31</v>
      </c>
      <c r="C474" s="61" t="s">
        <v>10</v>
      </c>
      <c r="D474" s="61" t="s">
        <v>32</v>
      </c>
      <c r="E474" s="60" t="s">
        <v>10</v>
      </c>
      <c r="F474" s="50" t="s">
        <v>894</v>
      </c>
      <c r="G474" s="50" t="b">
        <v>1</v>
      </c>
      <c r="H474" s="58">
        <v>206</v>
      </c>
      <c r="I474" s="58">
        <v>0</v>
      </c>
      <c r="J474" s="58">
        <v>0</v>
      </c>
      <c r="K474" s="58">
        <v>0</v>
      </c>
      <c r="L474" s="58">
        <v>0</v>
      </c>
      <c r="M474" s="58">
        <v>0</v>
      </c>
      <c r="N474" s="58">
        <v>0</v>
      </c>
      <c r="O474" s="58">
        <v>0</v>
      </c>
      <c r="P474" s="58">
        <v>0</v>
      </c>
      <c r="Q474" s="58">
        <v>0</v>
      </c>
      <c r="R474" s="58">
        <v>0</v>
      </c>
      <c r="S474" s="58">
        <v>0</v>
      </c>
      <c r="T474" s="58">
        <v>0</v>
      </c>
      <c r="U474" s="52">
        <v>206</v>
      </c>
      <c r="V474" s="49" t="s">
        <v>815</v>
      </c>
    </row>
    <row r="475" spans="1:22" hidden="1">
      <c r="A475" s="59" t="s">
        <v>1164</v>
      </c>
      <c r="B475" s="59" t="s">
        <v>80</v>
      </c>
      <c r="C475" s="61" t="s">
        <v>10</v>
      </c>
      <c r="D475" s="61" t="s">
        <v>32</v>
      </c>
      <c r="E475" s="60" t="s">
        <v>10</v>
      </c>
      <c r="F475" s="50" t="s">
        <v>816</v>
      </c>
      <c r="G475" s="50" t="b">
        <v>0</v>
      </c>
      <c r="H475" s="58">
        <v>52</v>
      </c>
      <c r="I475" s="58">
        <v>0</v>
      </c>
      <c r="J475" s="58">
        <v>0</v>
      </c>
      <c r="K475" s="58">
        <v>0</v>
      </c>
      <c r="L475" s="58">
        <v>0</v>
      </c>
      <c r="M475" s="58">
        <v>0</v>
      </c>
      <c r="N475" s="58">
        <v>0</v>
      </c>
      <c r="O475" s="58">
        <v>0</v>
      </c>
      <c r="P475" s="58">
        <v>0</v>
      </c>
      <c r="Q475" s="58">
        <v>0</v>
      </c>
      <c r="R475" s="58">
        <v>0</v>
      </c>
      <c r="S475" s="58">
        <v>0</v>
      </c>
      <c r="T475" s="58">
        <v>0</v>
      </c>
      <c r="U475" s="52">
        <v>52</v>
      </c>
      <c r="V475" s="49" t="s">
        <v>815</v>
      </c>
    </row>
    <row r="476" spans="1:22" hidden="1">
      <c r="A476" s="59" t="s">
        <v>1163</v>
      </c>
      <c r="B476" s="59" t="s">
        <v>81</v>
      </c>
      <c r="C476" s="61" t="s">
        <v>10</v>
      </c>
      <c r="D476" s="61" t="s">
        <v>32</v>
      </c>
      <c r="E476" s="60" t="s">
        <v>10</v>
      </c>
      <c r="F476" s="50" t="s">
        <v>816</v>
      </c>
      <c r="G476" s="50" t="b">
        <v>0</v>
      </c>
      <c r="H476" s="58">
        <v>52</v>
      </c>
      <c r="I476" s="58">
        <v>0</v>
      </c>
      <c r="J476" s="58">
        <v>0</v>
      </c>
      <c r="K476" s="58">
        <v>0</v>
      </c>
      <c r="L476" s="58">
        <v>0</v>
      </c>
      <c r="M476" s="58">
        <v>0</v>
      </c>
      <c r="N476" s="58">
        <v>0</v>
      </c>
      <c r="O476" s="58">
        <v>0</v>
      </c>
      <c r="P476" s="58">
        <v>0</v>
      </c>
      <c r="Q476" s="58">
        <v>0</v>
      </c>
      <c r="R476" s="58">
        <v>0</v>
      </c>
      <c r="S476" s="58">
        <v>0</v>
      </c>
      <c r="T476" s="58">
        <v>0</v>
      </c>
      <c r="U476" s="52">
        <v>52</v>
      </c>
      <c r="V476" s="49" t="s">
        <v>815</v>
      </c>
    </row>
    <row r="477" spans="1:22" hidden="1">
      <c r="A477" s="59" t="s">
        <v>1162</v>
      </c>
      <c r="B477" s="59" t="s">
        <v>82</v>
      </c>
      <c r="C477" s="61" t="s">
        <v>10</v>
      </c>
      <c r="D477" s="61" t="s">
        <v>32</v>
      </c>
      <c r="E477" s="60" t="s">
        <v>10</v>
      </c>
      <c r="F477" s="50" t="s">
        <v>816</v>
      </c>
      <c r="G477" s="50" t="b">
        <v>0</v>
      </c>
      <c r="H477" s="58">
        <v>52</v>
      </c>
      <c r="I477" s="58">
        <v>0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0</v>
      </c>
      <c r="P477" s="58">
        <v>0</v>
      </c>
      <c r="Q477" s="58">
        <v>0</v>
      </c>
      <c r="R477" s="58">
        <v>0</v>
      </c>
      <c r="S477" s="58">
        <v>0</v>
      </c>
      <c r="T477" s="58">
        <v>0</v>
      </c>
      <c r="U477" s="52">
        <v>52</v>
      </c>
      <c r="V477" s="49" t="s">
        <v>815</v>
      </c>
    </row>
    <row r="478" spans="1:22" hidden="1">
      <c r="A478" s="59" t="s">
        <v>1161</v>
      </c>
      <c r="B478" s="59" t="s">
        <v>1160</v>
      </c>
      <c r="C478" s="61" t="s">
        <v>10</v>
      </c>
      <c r="D478" s="61" t="s">
        <v>852</v>
      </c>
      <c r="E478" s="60" t="s">
        <v>10</v>
      </c>
      <c r="F478" s="50" t="s">
        <v>827</v>
      </c>
      <c r="G478" s="50" t="b">
        <v>0</v>
      </c>
      <c r="H478" s="58">
        <v>0</v>
      </c>
      <c r="I478" s="58">
        <v>9.1999999999999993</v>
      </c>
      <c r="J478" s="58">
        <v>9.1999999999999993</v>
      </c>
      <c r="K478" s="58">
        <v>9.1999999999999993</v>
      </c>
      <c r="L478" s="58">
        <v>9.1999999999999993</v>
      </c>
      <c r="M478" s="58">
        <v>9.1999999999999993</v>
      </c>
      <c r="N478" s="58">
        <v>9.1999999999999993</v>
      </c>
      <c r="O478" s="58">
        <v>9.1999999999999993</v>
      </c>
      <c r="P478" s="58">
        <v>9.1999999999999993</v>
      </c>
      <c r="Q478" s="58">
        <v>9.1999999999999993</v>
      </c>
      <c r="R478" s="58">
        <v>9.1999999999999993</v>
      </c>
      <c r="S478" s="58">
        <v>9.1999999999999993</v>
      </c>
      <c r="T478" s="58">
        <v>9.1999999999999993</v>
      </c>
      <c r="U478" s="52">
        <v>10.1</v>
      </c>
      <c r="V478" s="49" t="s">
        <v>820</v>
      </c>
    </row>
    <row r="479" spans="1:22" hidden="1">
      <c r="A479" s="59" t="s">
        <v>1159</v>
      </c>
      <c r="B479" s="59" t="s">
        <v>1158</v>
      </c>
      <c r="C479" s="61" t="s">
        <v>10</v>
      </c>
      <c r="D479" s="61" t="s">
        <v>852</v>
      </c>
      <c r="E479" s="60" t="s">
        <v>10</v>
      </c>
      <c r="F479" s="50" t="s">
        <v>827</v>
      </c>
      <c r="G479" s="50" t="b">
        <v>0</v>
      </c>
      <c r="H479" s="58">
        <v>0</v>
      </c>
      <c r="I479" s="58">
        <v>0.03</v>
      </c>
      <c r="J479" s="58">
        <v>0.02</v>
      </c>
      <c r="K479" s="58">
        <v>0.01</v>
      </c>
      <c r="L479" s="58">
        <v>0</v>
      </c>
      <c r="M479" s="58">
        <v>0.01</v>
      </c>
      <c r="N479" s="58">
        <v>0.03</v>
      </c>
      <c r="O479" s="58">
        <v>0.03</v>
      </c>
      <c r="P479" s="58">
        <v>0.02</v>
      </c>
      <c r="Q479" s="58">
        <v>0.01</v>
      </c>
      <c r="R479" s="58">
        <v>0</v>
      </c>
      <c r="S479" s="58">
        <v>0</v>
      </c>
      <c r="T479" s="58">
        <v>0</v>
      </c>
      <c r="U479" s="52">
        <v>1.25</v>
      </c>
      <c r="V479" s="49" t="s">
        <v>820</v>
      </c>
    </row>
    <row r="480" spans="1:22">
      <c r="A480" s="59" t="s">
        <v>1157</v>
      </c>
      <c r="B480" s="59" t="s">
        <v>1157</v>
      </c>
      <c r="C480" s="61" t="s">
        <v>10</v>
      </c>
      <c r="D480" s="61" t="s">
        <v>88</v>
      </c>
      <c r="E480" s="60" t="s">
        <v>10</v>
      </c>
      <c r="F480" s="50" t="s">
        <v>872</v>
      </c>
      <c r="G480" s="50" t="b">
        <v>0</v>
      </c>
      <c r="H480" s="58">
        <v>0</v>
      </c>
      <c r="I480" s="58">
        <v>0.55000000000000004</v>
      </c>
      <c r="J480" s="58">
        <v>0.53</v>
      </c>
      <c r="K480" s="58">
        <v>0.42</v>
      </c>
      <c r="L480" s="58">
        <v>0.39</v>
      </c>
      <c r="M480" s="58">
        <v>0.41</v>
      </c>
      <c r="N480" s="58">
        <v>0.39</v>
      </c>
      <c r="O480" s="58">
        <v>0.38</v>
      </c>
      <c r="P480" s="58">
        <v>0.38</v>
      </c>
      <c r="Q480" s="58">
        <v>0.39</v>
      </c>
      <c r="R480" s="58">
        <v>0.35</v>
      </c>
      <c r="S480" s="58">
        <v>0.39</v>
      </c>
      <c r="T480" s="58">
        <v>0.4</v>
      </c>
      <c r="U480" s="52">
        <v>1.2</v>
      </c>
      <c r="V480" s="49" t="s">
        <v>820</v>
      </c>
    </row>
    <row r="481" spans="1:22" hidden="1">
      <c r="A481" s="59" t="s">
        <v>1156</v>
      </c>
      <c r="B481" s="59" t="s">
        <v>1155</v>
      </c>
      <c r="C481" s="61" t="s">
        <v>12</v>
      </c>
      <c r="D481" s="61" t="s">
        <v>11</v>
      </c>
      <c r="E481" s="60" t="s">
        <v>11</v>
      </c>
      <c r="F481" s="50" t="s">
        <v>821</v>
      </c>
      <c r="G481" s="50" t="b">
        <v>0</v>
      </c>
      <c r="H481" s="58">
        <v>0</v>
      </c>
      <c r="I481" s="58">
        <v>1.99</v>
      </c>
      <c r="J481" s="58">
        <v>2.29</v>
      </c>
      <c r="K481" s="58">
        <v>2</v>
      </c>
      <c r="L481" s="58">
        <v>2.2799999999999998</v>
      </c>
      <c r="M481" s="58">
        <v>2.33</v>
      </c>
      <c r="N481" s="58">
        <v>2.2999999999999998</v>
      </c>
      <c r="O481" s="58">
        <v>2.0299999999999998</v>
      </c>
      <c r="P481" s="58">
        <v>1.64</v>
      </c>
      <c r="Q481" s="58">
        <v>1.63</v>
      </c>
      <c r="R481" s="58">
        <v>2.09</v>
      </c>
      <c r="S481" s="58">
        <v>2.39</v>
      </c>
      <c r="T481" s="58">
        <v>2.21</v>
      </c>
      <c r="U481" s="52">
        <v>5</v>
      </c>
      <c r="V481" s="49" t="s">
        <v>820</v>
      </c>
    </row>
    <row r="482" spans="1:22" hidden="1">
      <c r="A482" s="59" t="s">
        <v>1154</v>
      </c>
      <c r="B482" s="59" t="s">
        <v>1153</v>
      </c>
      <c r="C482" s="61" t="s">
        <v>12</v>
      </c>
      <c r="D482" s="61" t="s">
        <v>11</v>
      </c>
      <c r="E482" s="60" t="s">
        <v>11</v>
      </c>
      <c r="F482" s="50" t="s">
        <v>821</v>
      </c>
      <c r="G482" s="50" t="b">
        <v>0</v>
      </c>
      <c r="H482" s="58">
        <v>0</v>
      </c>
      <c r="I482" s="58">
        <v>18.760000000000002</v>
      </c>
      <c r="J482" s="58">
        <v>21.51</v>
      </c>
      <c r="K482" s="58">
        <v>18.62</v>
      </c>
      <c r="L482" s="58">
        <v>21.47</v>
      </c>
      <c r="M482" s="58">
        <v>21.94</v>
      </c>
      <c r="N482" s="58">
        <v>21.79</v>
      </c>
      <c r="O482" s="58">
        <v>21.06</v>
      </c>
      <c r="P482" s="58">
        <v>17.18</v>
      </c>
      <c r="Q482" s="58">
        <v>17.489999999999998</v>
      </c>
      <c r="R482" s="58">
        <v>21.15</v>
      </c>
      <c r="S482" s="58">
        <v>21.46</v>
      </c>
      <c r="T482" s="58">
        <v>21.94</v>
      </c>
      <c r="U482" s="52">
        <v>22.3</v>
      </c>
      <c r="V482" s="49" t="s">
        <v>820</v>
      </c>
    </row>
    <row r="483" spans="1:22" hidden="1">
      <c r="A483" s="59" t="s">
        <v>1152</v>
      </c>
      <c r="B483" s="59" t="s">
        <v>1151</v>
      </c>
      <c r="C483" s="61" t="s">
        <v>12</v>
      </c>
      <c r="D483" s="61" t="s">
        <v>47</v>
      </c>
      <c r="E483" s="60" t="s">
        <v>12</v>
      </c>
      <c r="F483" s="50" t="s">
        <v>812</v>
      </c>
      <c r="G483" s="50" t="b">
        <v>0</v>
      </c>
      <c r="H483" s="58">
        <v>0</v>
      </c>
      <c r="I483" s="58">
        <v>0.08</v>
      </c>
      <c r="J483" s="58">
        <v>0.16</v>
      </c>
      <c r="K483" s="58">
        <v>0.27</v>
      </c>
      <c r="L483" s="58">
        <v>0.24</v>
      </c>
      <c r="M483" s="58">
        <v>0.52</v>
      </c>
      <c r="N483" s="58">
        <v>0.77</v>
      </c>
      <c r="O483" s="58">
        <v>0.26</v>
      </c>
      <c r="P483" s="58">
        <v>0.22</v>
      </c>
      <c r="Q483" s="58">
        <v>0.23</v>
      </c>
      <c r="R483" s="58">
        <v>0.11</v>
      </c>
      <c r="S483" s="58">
        <v>0.09</v>
      </c>
      <c r="T483" s="58">
        <v>0.05</v>
      </c>
      <c r="U483" s="52">
        <v>2.1</v>
      </c>
      <c r="V483" s="49" t="s">
        <v>820</v>
      </c>
    </row>
    <row r="484" spans="1:22" hidden="1">
      <c r="A484" s="59" t="s">
        <v>1150</v>
      </c>
      <c r="B484" s="59" t="s">
        <v>1149</v>
      </c>
      <c r="C484" s="61" t="s">
        <v>10</v>
      </c>
      <c r="D484" s="61" t="s">
        <v>817</v>
      </c>
      <c r="E484" s="60" t="s">
        <v>10</v>
      </c>
      <c r="F484" s="50" t="s">
        <v>827</v>
      </c>
      <c r="G484" s="50" t="b">
        <v>0</v>
      </c>
      <c r="H484" s="58">
        <v>0</v>
      </c>
      <c r="I484" s="58">
        <v>56</v>
      </c>
      <c r="J484" s="58">
        <v>56</v>
      </c>
      <c r="K484" s="58">
        <v>56</v>
      </c>
      <c r="L484" s="58">
        <v>56</v>
      </c>
      <c r="M484" s="58">
        <v>56</v>
      </c>
      <c r="N484" s="58">
        <v>56</v>
      </c>
      <c r="O484" s="58">
        <v>56</v>
      </c>
      <c r="P484" s="58">
        <v>56</v>
      </c>
      <c r="Q484" s="58">
        <v>56</v>
      </c>
      <c r="R484" s="58">
        <v>56</v>
      </c>
      <c r="S484" s="58">
        <v>56</v>
      </c>
      <c r="T484" s="58">
        <v>56</v>
      </c>
      <c r="U484" s="52">
        <v>57</v>
      </c>
      <c r="V484" s="49" t="s">
        <v>820</v>
      </c>
    </row>
    <row r="485" spans="1:22" hidden="1">
      <c r="A485" s="59" t="s">
        <v>1148</v>
      </c>
      <c r="B485" s="59" t="s">
        <v>1147</v>
      </c>
      <c r="C485" s="61" t="s">
        <v>10</v>
      </c>
      <c r="D485" s="61" t="s">
        <v>817</v>
      </c>
      <c r="E485" s="60" t="s">
        <v>10</v>
      </c>
      <c r="F485" s="50" t="s">
        <v>827</v>
      </c>
      <c r="G485" s="50" t="b">
        <v>0</v>
      </c>
      <c r="H485" s="58">
        <v>0</v>
      </c>
      <c r="I485" s="58">
        <v>56</v>
      </c>
      <c r="J485" s="58">
        <v>56</v>
      </c>
      <c r="K485" s="58">
        <v>56</v>
      </c>
      <c r="L485" s="58">
        <v>56</v>
      </c>
      <c r="M485" s="58">
        <v>56</v>
      </c>
      <c r="N485" s="58">
        <v>56</v>
      </c>
      <c r="O485" s="58">
        <v>56</v>
      </c>
      <c r="P485" s="58">
        <v>56</v>
      </c>
      <c r="Q485" s="58">
        <v>56</v>
      </c>
      <c r="R485" s="58">
        <v>56</v>
      </c>
      <c r="S485" s="58">
        <v>56</v>
      </c>
      <c r="T485" s="58">
        <v>56</v>
      </c>
      <c r="U485" s="52">
        <v>56.9</v>
      </c>
      <c r="V485" s="49" t="s">
        <v>820</v>
      </c>
    </row>
    <row r="486" spans="1:22" hidden="1">
      <c r="A486" s="59" t="s">
        <v>1146</v>
      </c>
      <c r="B486" s="59" t="s">
        <v>1145</v>
      </c>
      <c r="C486" s="61" t="s">
        <v>12</v>
      </c>
      <c r="D486" s="61" t="s">
        <v>52</v>
      </c>
      <c r="E486" s="60" t="s">
        <v>12</v>
      </c>
      <c r="F486" s="50" t="s">
        <v>827</v>
      </c>
      <c r="G486" s="50" t="b">
        <v>0</v>
      </c>
      <c r="H486" s="58">
        <v>0</v>
      </c>
      <c r="I486" s="58">
        <v>2.89</v>
      </c>
      <c r="J486" s="58">
        <v>4.09</v>
      </c>
      <c r="K486" s="58">
        <v>6.13</v>
      </c>
      <c r="L486" s="58">
        <v>6.27</v>
      </c>
      <c r="M486" s="58">
        <v>6.05</v>
      </c>
      <c r="N486" s="58">
        <v>5.48</v>
      </c>
      <c r="O486" s="58">
        <v>3.53</v>
      </c>
      <c r="P486" s="58">
        <v>0.3</v>
      </c>
      <c r="Q486" s="58">
        <v>0</v>
      </c>
      <c r="R486" s="58">
        <v>0.63</v>
      </c>
      <c r="S486" s="58">
        <v>1.93</v>
      </c>
      <c r="T486" s="58">
        <v>2.59</v>
      </c>
      <c r="U486" s="52">
        <v>6.55</v>
      </c>
      <c r="V486" s="49" t="s">
        <v>820</v>
      </c>
    </row>
    <row r="487" spans="1:22" hidden="1">
      <c r="A487" s="59" t="s">
        <v>1144</v>
      </c>
      <c r="B487" s="59" t="s">
        <v>1143</v>
      </c>
      <c r="C487" s="61" t="s">
        <v>12</v>
      </c>
      <c r="D487" s="61" t="s">
        <v>52</v>
      </c>
      <c r="E487" s="60" t="s">
        <v>12</v>
      </c>
      <c r="F487" s="50" t="s">
        <v>827</v>
      </c>
      <c r="G487" s="50" t="b">
        <v>0</v>
      </c>
      <c r="H487" s="58">
        <v>0</v>
      </c>
      <c r="I487" s="58">
        <v>1.18</v>
      </c>
      <c r="J487" s="58">
        <v>1.48</v>
      </c>
      <c r="K487" s="58">
        <v>1.6</v>
      </c>
      <c r="L487" s="58">
        <v>1.47</v>
      </c>
      <c r="M487" s="58">
        <v>1.1200000000000001</v>
      </c>
      <c r="N487" s="58">
        <v>1.24</v>
      </c>
      <c r="O487" s="58">
        <v>1.1399999999999999</v>
      </c>
      <c r="P487" s="58">
        <v>0.41</v>
      </c>
      <c r="Q487" s="58">
        <v>0</v>
      </c>
      <c r="R487" s="58">
        <v>0</v>
      </c>
      <c r="S487" s="58">
        <v>0.42</v>
      </c>
      <c r="T487" s="58">
        <v>0.55000000000000004</v>
      </c>
      <c r="U487" s="52">
        <v>2.25</v>
      </c>
      <c r="V487" s="49" t="s">
        <v>820</v>
      </c>
    </row>
    <row r="488" spans="1:22">
      <c r="A488" s="59" t="s">
        <v>1142</v>
      </c>
      <c r="B488" s="59" t="s">
        <v>1141</v>
      </c>
      <c r="C488" s="61" t="s">
        <v>12</v>
      </c>
      <c r="D488" s="61" t="s">
        <v>52</v>
      </c>
      <c r="E488" s="60" t="s">
        <v>12</v>
      </c>
      <c r="F488" s="50" t="s">
        <v>872</v>
      </c>
      <c r="G488" s="50" t="b">
        <v>0</v>
      </c>
      <c r="H488" s="58">
        <v>0</v>
      </c>
      <c r="I488" s="58">
        <v>0.62</v>
      </c>
      <c r="J488" s="58">
        <v>2.04</v>
      </c>
      <c r="K488" s="58">
        <v>1.22</v>
      </c>
      <c r="L488" s="58">
        <v>0</v>
      </c>
      <c r="M488" s="58">
        <v>3.04</v>
      </c>
      <c r="N488" s="58">
        <v>16.010000000000002</v>
      </c>
      <c r="O488" s="58">
        <v>12.35</v>
      </c>
      <c r="P488" s="58">
        <v>2.34</v>
      </c>
      <c r="Q488" s="58">
        <v>0</v>
      </c>
      <c r="R488" s="58">
        <v>0.66</v>
      </c>
      <c r="S488" s="58">
        <v>0.2</v>
      </c>
      <c r="T488" s="58">
        <v>0.61</v>
      </c>
      <c r="U488" s="52">
        <v>19.5</v>
      </c>
      <c r="V488" s="49" t="s">
        <v>820</v>
      </c>
    </row>
    <row r="489" spans="1:22" hidden="1">
      <c r="A489" s="59" t="s">
        <v>1140</v>
      </c>
      <c r="B489" s="59" t="s">
        <v>1140</v>
      </c>
      <c r="C489" s="61" t="s">
        <v>12</v>
      </c>
      <c r="D489" s="61" t="s">
        <v>52</v>
      </c>
      <c r="E489" s="60" t="s">
        <v>12</v>
      </c>
      <c r="F489" s="50" t="s">
        <v>824</v>
      </c>
      <c r="G489" s="50" t="b">
        <v>0</v>
      </c>
      <c r="H489" s="58">
        <v>0</v>
      </c>
      <c r="I489" s="58">
        <v>1.3</v>
      </c>
      <c r="J489" s="58">
        <v>1.17</v>
      </c>
      <c r="K489" s="58">
        <v>1.19</v>
      </c>
      <c r="L489" s="58">
        <v>1.1100000000000001</v>
      </c>
      <c r="M489" s="58">
        <v>1.05</v>
      </c>
      <c r="N489" s="58">
        <v>1.05</v>
      </c>
      <c r="O489" s="58">
        <v>1.02</v>
      </c>
      <c r="P489" s="58">
        <v>1.02</v>
      </c>
      <c r="Q489" s="58">
        <v>1.02</v>
      </c>
      <c r="R489" s="58">
        <v>1.02</v>
      </c>
      <c r="S489" s="58">
        <v>1.3</v>
      </c>
      <c r="T489" s="58">
        <v>1.35</v>
      </c>
      <c r="U489" s="52">
        <v>1.6</v>
      </c>
      <c r="V489" s="49" t="s">
        <v>820</v>
      </c>
    </row>
    <row r="490" spans="1:22" hidden="1">
      <c r="A490" s="59" t="s">
        <v>1139</v>
      </c>
      <c r="B490" s="59" t="s">
        <v>1138</v>
      </c>
      <c r="C490" s="61" t="s">
        <v>10</v>
      </c>
      <c r="D490" s="61" t="s">
        <v>88</v>
      </c>
      <c r="E490" s="60" t="s">
        <v>10</v>
      </c>
      <c r="F490" s="50" t="s">
        <v>816</v>
      </c>
      <c r="G490" s="50" t="b">
        <v>0</v>
      </c>
      <c r="H490" s="58">
        <v>44</v>
      </c>
      <c r="I490" s="58">
        <v>0</v>
      </c>
      <c r="J490" s="58">
        <v>0</v>
      </c>
      <c r="K490" s="58">
        <v>0</v>
      </c>
      <c r="L490" s="58">
        <v>0</v>
      </c>
      <c r="M490" s="58">
        <v>0</v>
      </c>
      <c r="N490" s="58">
        <v>0</v>
      </c>
      <c r="O490" s="58">
        <v>0</v>
      </c>
      <c r="P490" s="58">
        <v>0</v>
      </c>
      <c r="Q490" s="58">
        <v>0</v>
      </c>
      <c r="R490" s="58">
        <v>0</v>
      </c>
      <c r="S490" s="58">
        <v>0</v>
      </c>
      <c r="T490" s="58">
        <v>0</v>
      </c>
      <c r="U490" s="52">
        <v>44</v>
      </c>
      <c r="V490" s="49" t="s">
        <v>815</v>
      </c>
    </row>
    <row r="491" spans="1:22" hidden="1">
      <c r="A491" s="59" t="s">
        <v>1137</v>
      </c>
      <c r="B491" s="59" t="s">
        <v>65</v>
      </c>
      <c r="C491" s="61" t="s">
        <v>12</v>
      </c>
      <c r="D491" s="61" t="s">
        <v>47</v>
      </c>
      <c r="E491" s="60" t="s">
        <v>12</v>
      </c>
      <c r="F491" s="50" t="s">
        <v>894</v>
      </c>
      <c r="G491" s="50" t="b">
        <v>1</v>
      </c>
      <c r="H491" s="58">
        <v>178.87</v>
      </c>
      <c r="I491" s="58">
        <v>0</v>
      </c>
      <c r="J491" s="58">
        <v>0</v>
      </c>
      <c r="K491" s="58">
        <v>0</v>
      </c>
      <c r="L491" s="58">
        <v>0</v>
      </c>
      <c r="M491" s="58">
        <v>0</v>
      </c>
      <c r="N491" s="58">
        <v>0</v>
      </c>
      <c r="O491" s="58">
        <v>0</v>
      </c>
      <c r="P491" s="58">
        <v>0</v>
      </c>
      <c r="Q491" s="58">
        <v>0</v>
      </c>
      <c r="R491" s="58">
        <v>0</v>
      </c>
      <c r="S491" s="58">
        <v>0</v>
      </c>
      <c r="T491" s="58">
        <v>0</v>
      </c>
      <c r="U491" s="52">
        <v>178.87</v>
      </c>
      <c r="V491" s="49" t="s">
        <v>815</v>
      </c>
    </row>
    <row r="492" spans="1:22" hidden="1">
      <c r="A492" s="59" t="s">
        <v>1136</v>
      </c>
      <c r="B492" s="59" t="s">
        <v>66</v>
      </c>
      <c r="C492" s="61" t="s">
        <v>12</v>
      </c>
      <c r="D492" s="61" t="s">
        <v>47</v>
      </c>
      <c r="E492" s="60" t="s">
        <v>12</v>
      </c>
      <c r="F492" s="50" t="s">
        <v>894</v>
      </c>
      <c r="G492" s="50" t="b">
        <v>1</v>
      </c>
      <c r="H492" s="58">
        <v>175</v>
      </c>
      <c r="I492" s="58">
        <v>0</v>
      </c>
      <c r="J492" s="58">
        <v>0</v>
      </c>
      <c r="K492" s="58">
        <v>0</v>
      </c>
      <c r="L492" s="58">
        <v>0</v>
      </c>
      <c r="M492" s="58">
        <v>0</v>
      </c>
      <c r="N492" s="58">
        <v>0</v>
      </c>
      <c r="O492" s="58">
        <v>0</v>
      </c>
      <c r="P492" s="58">
        <v>0</v>
      </c>
      <c r="Q492" s="58">
        <v>0</v>
      </c>
      <c r="R492" s="58">
        <v>0</v>
      </c>
      <c r="S492" s="58">
        <v>0</v>
      </c>
      <c r="T492" s="58">
        <v>0</v>
      </c>
      <c r="U492" s="52">
        <v>175</v>
      </c>
      <c r="V492" s="49" t="s">
        <v>815</v>
      </c>
    </row>
    <row r="493" spans="1:22" hidden="1">
      <c r="A493" s="59" t="s">
        <v>1135</v>
      </c>
      <c r="B493" s="59" t="s">
        <v>67</v>
      </c>
      <c r="C493" s="61" t="s">
        <v>12</v>
      </c>
      <c r="D493" s="61" t="s">
        <v>47</v>
      </c>
      <c r="E493" s="60" t="s">
        <v>12</v>
      </c>
      <c r="F493" s="50" t="s">
        <v>894</v>
      </c>
      <c r="G493" s="50" t="b">
        <v>1</v>
      </c>
      <c r="H493" s="58">
        <v>505.96</v>
      </c>
      <c r="I493" s="58">
        <v>0</v>
      </c>
      <c r="J493" s="58">
        <v>0</v>
      </c>
      <c r="K493" s="58">
        <v>0</v>
      </c>
      <c r="L493" s="58">
        <v>0</v>
      </c>
      <c r="M493" s="58">
        <v>0</v>
      </c>
      <c r="N493" s="58">
        <v>0</v>
      </c>
      <c r="O493" s="58">
        <v>0</v>
      </c>
      <c r="P493" s="58">
        <v>0</v>
      </c>
      <c r="Q493" s="58">
        <v>0</v>
      </c>
      <c r="R493" s="58">
        <v>0</v>
      </c>
      <c r="S493" s="58">
        <v>0</v>
      </c>
      <c r="T493" s="58">
        <v>0</v>
      </c>
      <c r="U493" s="52">
        <v>505.96</v>
      </c>
      <c r="V493" s="49" t="s">
        <v>815</v>
      </c>
    </row>
    <row r="494" spans="1:22" hidden="1">
      <c r="A494" s="59" t="s">
        <v>1134</v>
      </c>
      <c r="B494" s="59" t="s">
        <v>68</v>
      </c>
      <c r="C494" s="61" t="s">
        <v>12</v>
      </c>
      <c r="D494" s="61" t="s">
        <v>47</v>
      </c>
      <c r="E494" s="60" t="s">
        <v>12</v>
      </c>
      <c r="F494" s="50" t="s">
        <v>894</v>
      </c>
      <c r="G494" s="50" t="b">
        <v>1</v>
      </c>
      <c r="H494" s="58">
        <v>495.9</v>
      </c>
      <c r="I494" s="58">
        <v>0</v>
      </c>
      <c r="J494" s="58">
        <v>0</v>
      </c>
      <c r="K494" s="58">
        <v>0</v>
      </c>
      <c r="L494" s="58">
        <v>0</v>
      </c>
      <c r="M494" s="58">
        <v>0</v>
      </c>
      <c r="N494" s="58">
        <v>0</v>
      </c>
      <c r="O494" s="58">
        <v>0</v>
      </c>
      <c r="P494" s="58">
        <v>0</v>
      </c>
      <c r="Q494" s="58">
        <v>0</v>
      </c>
      <c r="R494" s="58">
        <v>0</v>
      </c>
      <c r="S494" s="58">
        <v>0</v>
      </c>
      <c r="T494" s="58">
        <v>0</v>
      </c>
      <c r="U494" s="52">
        <v>495.9</v>
      </c>
      <c r="V494" s="49" t="s">
        <v>815</v>
      </c>
    </row>
    <row r="495" spans="1:22">
      <c r="A495" s="59" t="s">
        <v>1133</v>
      </c>
      <c r="B495" s="59" t="s">
        <v>1132</v>
      </c>
      <c r="C495" s="61" t="s">
        <v>12</v>
      </c>
      <c r="D495" s="61" t="s">
        <v>47</v>
      </c>
      <c r="E495" s="60" t="s">
        <v>12</v>
      </c>
      <c r="F495" s="50" t="s">
        <v>872</v>
      </c>
      <c r="G495" s="50" t="b">
        <v>0</v>
      </c>
      <c r="H495" s="58">
        <v>0</v>
      </c>
      <c r="I495" s="58">
        <v>0.05</v>
      </c>
      <c r="J495" s="58">
        <v>0.35</v>
      </c>
      <c r="K495" s="58">
        <v>0.98</v>
      </c>
      <c r="L495" s="58">
        <v>0.94</v>
      </c>
      <c r="M495" s="58">
        <v>0.64</v>
      </c>
      <c r="N495" s="58">
        <v>1.29</v>
      </c>
      <c r="O495" s="58">
        <v>1.81</v>
      </c>
      <c r="P495" s="58">
        <v>1.62</v>
      </c>
      <c r="Q495" s="58">
        <v>0.88</v>
      </c>
      <c r="R495" s="58">
        <v>0</v>
      </c>
      <c r="S495" s="58">
        <v>0</v>
      </c>
      <c r="T495" s="58">
        <v>0</v>
      </c>
      <c r="U495" s="52">
        <v>5.0999999999999996</v>
      </c>
      <c r="V495" s="49" t="s">
        <v>820</v>
      </c>
    </row>
    <row r="496" spans="1:22" hidden="1">
      <c r="A496" s="59" t="s">
        <v>1131</v>
      </c>
      <c r="B496" s="59" t="s">
        <v>1130</v>
      </c>
      <c r="C496" s="61" t="s">
        <v>12</v>
      </c>
      <c r="D496" s="61" t="s">
        <v>47</v>
      </c>
      <c r="E496" s="60" t="s">
        <v>12</v>
      </c>
      <c r="F496" s="50" t="s">
        <v>824</v>
      </c>
      <c r="G496" s="50" t="b">
        <v>0</v>
      </c>
      <c r="H496" s="58">
        <v>0</v>
      </c>
      <c r="I496" s="58">
        <v>0</v>
      </c>
      <c r="J496" s="58">
        <v>0</v>
      </c>
      <c r="K496" s="58">
        <v>0.01</v>
      </c>
      <c r="L496" s="58">
        <v>0</v>
      </c>
      <c r="M496" s="58">
        <v>0</v>
      </c>
      <c r="N496" s="58">
        <v>0.02</v>
      </c>
      <c r="O496" s="58">
        <v>0</v>
      </c>
      <c r="P496" s="58">
        <v>0</v>
      </c>
      <c r="Q496" s="58">
        <v>0</v>
      </c>
      <c r="R496" s="58">
        <v>0</v>
      </c>
      <c r="S496" s="58">
        <v>0</v>
      </c>
      <c r="T496" s="58">
        <v>0</v>
      </c>
      <c r="U496" s="52">
        <v>4</v>
      </c>
      <c r="V496" s="49" t="s">
        <v>820</v>
      </c>
    </row>
    <row r="497" spans="1:22" hidden="1">
      <c r="A497" s="59" t="s">
        <v>1129</v>
      </c>
      <c r="B497" s="59" t="s">
        <v>1128</v>
      </c>
      <c r="C497" s="61" t="s">
        <v>10</v>
      </c>
      <c r="D497" s="61" t="s">
        <v>32</v>
      </c>
      <c r="E497" s="60" t="s">
        <v>10</v>
      </c>
      <c r="F497" s="50" t="s">
        <v>824</v>
      </c>
      <c r="G497" s="50" t="b">
        <v>0</v>
      </c>
      <c r="H497" s="58">
        <v>0</v>
      </c>
      <c r="I497" s="58">
        <v>2</v>
      </c>
      <c r="J497" s="58">
        <v>2</v>
      </c>
      <c r="K497" s="58">
        <v>2</v>
      </c>
      <c r="L497" s="58">
        <v>2</v>
      </c>
      <c r="M497" s="58">
        <v>2</v>
      </c>
      <c r="N497" s="58">
        <v>2</v>
      </c>
      <c r="O497" s="58">
        <v>2</v>
      </c>
      <c r="P497" s="58">
        <v>2</v>
      </c>
      <c r="Q497" s="58">
        <v>2</v>
      </c>
      <c r="R497" s="58">
        <v>2</v>
      </c>
      <c r="S497" s="58">
        <v>2</v>
      </c>
      <c r="T497" s="58">
        <v>2</v>
      </c>
      <c r="U497" s="52">
        <v>2.5</v>
      </c>
      <c r="V497" s="49" t="s">
        <v>948</v>
      </c>
    </row>
    <row r="498" spans="1:22" hidden="1">
      <c r="A498" s="59" t="s">
        <v>1127</v>
      </c>
      <c r="B498" s="59" t="s">
        <v>1126</v>
      </c>
      <c r="C498" s="61" t="s">
        <v>10</v>
      </c>
      <c r="D498" s="61" t="s">
        <v>901</v>
      </c>
      <c r="E498" s="60" t="s">
        <v>10</v>
      </c>
      <c r="F498" s="50" t="s">
        <v>827</v>
      </c>
      <c r="G498" s="50" t="b">
        <v>0</v>
      </c>
      <c r="H498" s="58">
        <v>0</v>
      </c>
      <c r="I498" s="58">
        <v>0.47</v>
      </c>
      <c r="J498" s="58">
        <v>0.95</v>
      </c>
      <c r="K498" s="58">
        <v>3.15</v>
      </c>
      <c r="L498" s="58">
        <v>4.09</v>
      </c>
      <c r="M498" s="58">
        <v>5.73</v>
      </c>
      <c r="N498" s="58">
        <v>8.65</v>
      </c>
      <c r="O498" s="58">
        <v>8.1300000000000008</v>
      </c>
      <c r="P498" s="58">
        <v>6.5</v>
      </c>
      <c r="Q498" s="58">
        <v>2.5099999999999998</v>
      </c>
      <c r="R498" s="58">
        <v>0.01</v>
      </c>
      <c r="S498" s="58">
        <v>0</v>
      </c>
      <c r="T498" s="58">
        <v>0</v>
      </c>
      <c r="U498" s="52">
        <v>18.399999999999999</v>
      </c>
      <c r="V498" s="49" t="s">
        <v>820</v>
      </c>
    </row>
    <row r="499" spans="1:22" hidden="1">
      <c r="A499" s="59" t="s">
        <v>1125</v>
      </c>
      <c r="B499" s="59" t="s">
        <v>1124</v>
      </c>
      <c r="C499" s="61" t="s">
        <v>10</v>
      </c>
      <c r="D499" s="61" t="s">
        <v>817</v>
      </c>
      <c r="E499" s="60" t="s">
        <v>10</v>
      </c>
      <c r="F499" s="50" t="s">
        <v>827</v>
      </c>
      <c r="G499" s="50" t="b">
        <v>0</v>
      </c>
      <c r="H499" s="58">
        <v>0</v>
      </c>
      <c r="I499" s="58">
        <v>0.78</v>
      </c>
      <c r="J499" s="58">
        <v>1.1299999999999999</v>
      </c>
      <c r="K499" s="58">
        <v>1.0900000000000001</v>
      </c>
      <c r="L499" s="58">
        <v>1.43</v>
      </c>
      <c r="M499" s="58">
        <v>1.69</v>
      </c>
      <c r="N499" s="58">
        <v>1.25</v>
      </c>
      <c r="O499" s="58">
        <v>1.06</v>
      </c>
      <c r="P499" s="58">
        <v>0.94</v>
      </c>
      <c r="Q499" s="58">
        <v>0.93</v>
      </c>
      <c r="R499" s="58">
        <v>0.35</v>
      </c>
      <c r="S499" s="58">
        <v>0.13</v>
      </c>
      <c r="T499" s="58">
        <v>0.25</v>
      </c>
      <c r="U499" s="52">
        <v>7.5</v>
      </c>
      <c r="V499" s="49" t="s">
        <v>820</v>
      </c>
    </row>
    <row r="500" spans="1:22" hidden="1">
      <c r="A500" s="59" t="s">
        <v>1123</v>
      </c>
      <c r="B500" s="59" t="s">
        <v>1122</v>
      </c>
      <c r="C500" s="61" t="s">
        <v>10</v>
      </c>
      <c r="D500" s="61" t="s">
        <v>817</v>
      </c>
      <c r="E500" s="60" t="s">
        <v>10</v>
      </c>
      <c r="F500" s="50" t="s">
        <v>827</v>
      </c>
      <c r="G500" s="50" t="b">
        <v>0</v>
      </c>
      <c r="H500" s="58">
        <v>0</v>
      </c>
      <c r="I500" s="58">
        <v>7.45</v>
      </c>
      <c r="J500" s="58">
        <v>6.97</v>
      </c>
      <c r="K500" s="58">
        <v>9.3699999999999992</v>
      </c>
      <c r="L500" s="58">
        <v>11.16</v>
      </c>
      <c r="M500" s="58">
        <v>11.55</v>
      </c>
      <c r="N500" s="58">
        <v>11.65</v>
      </c>
      <c r="O500" s="58">
        <v>11.43</v>
      </c>
      <c r="P500" s="58">
        <v>11.09</v>
      </c>
      <c r="Q500" s="58">
        <v>10.94</v>
      </c>
      <c r="R500" s="58">
        <v>8.2899999999999991</v>
      </c>
      <c r="S500" s="58">
        <v>7.94</v>
      </c>
      <c r="T500" s="58">
        <v>8.1199999999999992</v>
      </c>
      <c r="U500" s="52">
        <v>13.5</v>
      </c>
      <c r="V500" s="49" t="s">
        <v>820</v>
      </c>
    </row>
    <row r="501" spans="1:22" hidden="1">
      <c r="A501" s="59" t="s">
        <v>1121</v>
      </c>
      <c r="B501" s="59" t="s">
        <v>1120</v>
      </c>
      <c r="C501" s="61" t="s">
        <v>10</v>
      </c>
      <c r="D501" s="61" t="s">
        <v>32</v>
      </c>
      <c r="E501" s="60" t="s">
        <v>10</v>
      </c>
      <c r="F501" s="50" t="s">
        <v>816</v>
      </c>
      <c r="G501" s="50" t="b">
        <v>0</v>
      </c>
      <c r="H501" s="58">
        <v>0</v>
      </c>
      <c r="I501" s="58">
        <v>48.7</v>
      </c>
      <c r="J501" s="58">
        <v>48.7</v>
      </c>
      <c r="K501" s="58">
        <v>48.7</v>
      </c>
      <c r="L501" s="58">
        <v>48.7</v>
      </c>
      <c r="M501" s="58">
        <v>47.7</v>
      </c>
      <c r="N501" s="58">
        <v>46</v>
      </c>
      <c r="O501" s="58">
        <v>46</v>
      </c>
      <c r="P501" s="58">
        <v>46</v>
      </c>
      <c r="Q501" s="58">
        <v>47</v>
      </c>
      <c r="R501" s="58">
        <v>48.7</v>
      </c>
      <c r="S501" s="58">
        <v>48.7</v>
      </c>
      <c r="T501" s="58">
        <v>48.7</v>
      </c>
      <c r="U501" s="52">
        <v>48.7</v>
      </c>
      <c r="V501" s="49" t="s">
        <v>815</v>
      </c>
    </row>
    <row r="502" spans="1:22" hidden="1">
      <c r="A502" s="59" t="s">
        <v>1119</v>
      </c>
      <c r="B502" s="59" t="s">
        <v>1118</v>
      </c>
      <c r="C502" s="61" t="s">
        <v>12</v>
      </c>
      <c r="D502" s="61" t="s">
        <v>47</v>
      </c>
      <c r="E502" s="60" t="s">
        <v>12</v>
      </c>
      <c r="F502" s="50" t="s">
        <v>821</v>
      </c>
      <c r="G502" s="50" t="b">
        <v>0</v>
      </c>
      <c r="H502" s="58">
        <v>48.35</v>
      </c>
      <c r="I502" s="58">
        <v>0</v>
      </c>
      <c r="J502" s="58">
        <v>0</v>
      </c>
      <c r="K502" s="58">
        <v>0</v>
      </c>
      <c r="L502" s="58">
        <v>0</v>
      </c>
      <c r="M502" s="58">
        <v>0</v>
      </c>
      <c r="N502" s="58">
        <v>0</v>
      </c>
      <c r="O502" s="58">
        <v>0</v>
      </c>
      <c r="P502" s="58">
        <v>0</v>
      </c>
      <c r="Q502" s="58">
        <v>0</v>
      </c>
      <c r="R502" s="58">
        <v>0</v>
      </c>
      <c r="S502" s="58">
        <v>0</v>
      </c>
      <c r="T502" s="58">
        <v>0</v>
      </c>
      <c r="U502" s="52">
        <v>48.35</v>
      </c>
      <c r="V502" s="49" t="s">
        <v>815</v>
      </c>
    </row>
    <row r="503" spans="1:22" hidden="1">
      <c r="A503" s="59" t="s">
        <v>1117</v>
      </c>
      <c r="B503" s="59" t="s">
        <v>1116</v>
      </c>
      <c r="C503" s="61" t="s">
        <v>12</v>
      </c>
      <c r="D503" s="61" t="s">
        <v>47</v>
      </c>
      <c r="E503" s="60" t="s">
        <v>12</v>
      </c>
      <c r="F503" s="50" t="s">
        <v>821</v>
      </c>
      <c r="G503" s="50" t="b">
        <v>0</v>
      </c>
      <c r="H503" s="58">
        <v>48.5</v>
      </c>
      <c r="I503" s="58">
        <v>0</v>
      </c>
      <c r="J503" s="58">
        <v>0</v>
      </c>
      <c r="K503" s="58">
        <v>0</v>
      </c>
      <c r="L503" s="58">
        <v>0</v>
      </c>
      <c r="M503" s="58">
        <v>0</v>
      </c>
      <c r="N503" s="58">
        <v>0</v>
      </c>
      <c r="O503" s="58">
        <v>0</v>
      </c>
      <c r="P503" s="58">
        <v>0</v>
      </c>
      <c r="Q503" s="58">
        <v>0</v>
      </c>
      <c r="R503" s="58">
        <v>0</v>
      </c>
      <c r="S503" s="58">
        <v>0</v>
      </c>
      <c r="T503" s="58">
        <v>0</v>
      </c>
      <c r="U503" s="52">
        <v>48.5</v>
      </c>
      <c r="V503" s="49" t="s">
        <v>815</v>
      </c>
    </row>
    <row r="504" spans="1:22" hidden="1">
      <c r="A504" s="59" t="s">
        <v>1115</v>
      </c>
      <c r="B504" s="59" t="s">
        <v>1114</v>
      </c>
      <c r="C504" s="61" t="s">
        <v>12</v>
      </c>
      <c r="D504" s="61" t="s">
        <v>47</v>
      </c>
      <c r="E504" s="60" t="s">
        <v>12</v>
      </c>
      <c r="F504" s="50" t="s">
        <v>816</v>
      </c>
      <c r="G504" s="50" t="b">
        <v>0</v>
      </c>
      <c r="H504" s="58">
        <v>36</v>
      </c>
      <c r="I504" s="58">
        <v>0</v>
      </c>
      <c r="J504" s="58">
        <v>0</v>
      </c>
      <c r="K504" s="58">
        <v>0</v>
      </c>
      <c r="L504" s="58">
        <v>0</v>
      </c>
      <c r="M504" s="58">
        <v>0</v>
      </c>
      <c r="N504" s="58">
        <v>0</v>
      </c>
      <c r="O504" s="58">
        <v>0</v>
      </c>
      <c r="P504" s="58">
        <v>0</v>
      </c>
      <c r="Q504" s="58">
        <v>0</v>
      </c>
      <c r="R504" s="58">
        <v>0</v>
      </c>
      <c r="S504" s="58">
        <v>0</v>
      </c>
      <c r="T504" s="58">
        <v>0</v>
      </c>
      <c r="U504" s="52">
        <v>36</v>
      </c>
      <c r="V504" s="49" t="s">
        <v>815</v>
      </c>
    </row>
    <row r="505" spans="1:22" hidden="1">
      <c r="A505" s="59" t="s">
        <v>1113</v>
      </c>
      <c r="B505" s="59" t="s">
        <v>1112</v>
      </c>
      <c r="C505" s="61" t="s">
        <v>10</v>
      </c>
      <c r="D505" s="61" t="s">
        <v>88</v>
      </c>
      <c r="E505" s="60" t="s">
        <v>10</v>
      </c>
      <c r="F505" s="50" t="s">
        <v>821</v>
      </c>
      <c r="G505" s="50" t="b">
        <v>0</v>
      </c>
      <c r="H505" s="58">
        <v>0</v>
      </c>
      <c r="I505" s="58">
        <v>35.25</v>
      </c>
      <c r="J505" s="58">
        <v>34.99</v>
      </c>
      <c r="K505" s="58">
        <v>34.729999999999997</v>
      </c>
      <c r="L505" s="58">
        <v>34.869999999999997</v>
      </c>
      <c r="M505" s="58">
        <v>30.9</v>
      </c>
      <c r="N505" s="58">
        <v>33.24</v>
      </c>
      <c r="O505" s="58">
        <v>32.229999999999997</v>
      </c>
      <c r="P505" s="58">
        <v>32.94</v>
      </c>
      <c r="Q505" s="58">
        <v>26.83</v>
      </c>
      <c r="R505" s="58">
        <v>32.4</v>
      </c>
      <c r="S505" s="58">
        <v>34.729999999999997</v>
      </c>
      <c r="T505" s="58">
        <v>35.99</v>
      </c>
      <c r="U505" s="52">
        <v>57</v>
      </c>
      <c r="V505" s="49" t="s">
        <v>820</v>
      </c>
    </row>
    <row r="506" spans="1:22" hidden="1">
      <c r="A506" s="59" t="s">
        <v>1111</v>
      </c>
      <c r="B506" s="59" t="s">
        <v>1110</v>
      </c>
      <c r="C506" s="61" t="s">
        <v>10</v>
      </c>
      <c r="D506" s="61" t="s">
        <v>88</v>
      </c>
      <c r="E506" s="60" t="s">
        <v>10</v>
      </c>
      <c r="F506" s="50" t="s">
        <v>827</v>
      </c>
      <c r="G506" s="50" t="b">
        <v>0</v>
      </c>
      <c r="H506" s="58">
        <v>0</v>
      </c>
      <c r="I506" s="58">
        <v>33.82</v>
      </c>
      <c r="J506" s="58">
        <v>33.72</v>
      </c>
      <c r="K506" s="58">
        <v>34.18</v>
      </c>
      <c r="L506" s="58">
        <v>34.94</v>
      </c>
      <c r="M506" s="58">
        <v>36.51</v>
      </c>
      <c r="N506" s="58">
        <v>37.92</v>
      </c>
      <c r="O506" s="58">
        <v>37.97</v>
      </c>
      <c r="P506" s="58">
        <v>37.57</v>
      </c>
      <c r="Q506" s="58">
        <v>37.26</v>
      </c>
      <c r="R506" s="58">
        <v>36.85</v>
      </c>
      <c r="S506" s="58">
        <v>36.270000000000003</v>
      </c>
      <c r="T506" s="58">
        <v>35.26</v>
      </c>
      <c r="U506" s="52">
        <v>46</v>
      </c>
      <c r="V506" s="49" t="s">
        <v>820</v>
      </c>
    </row>
    <row r="507" spans="1:22" hidden="1">
      <c r="A507" s="59" t="s">
        <v>1109</v>
      </c>
      <c r="B507" s="59" t="s">
        <v>1108</v>
      </c>
      <c r="C507" s="61" t="s">
        <v>12</v>
      </c>
      <c r="D507" s="61" t="s">
        <v>11</v>
      </c>
      <c r="E507" s="60" t="s">
        <v>11</v>
      </c>
      <c r="F507" s="50" t="s">
        <v>821</v>
      </c>
      <c r="G507" s="50" t="b">
        <v>0</v>
      </c>
      <c r="H507" s="58">
        <v>0</v>
      </c>
      <c r="I507" s="58">
        <v>6.57</v>
      </c>
      <c r="J507" s="58">
        <v>3.71</v>
      </c>
      <c r="K507" s="58">
        <v>5.27</v>
      </c>
      <c r="L507" s="58">
        <v>5.08</v>
      </c>
      <c r="M507" s="58">
        <v>5.25</v>
      </c>
      <c r="N507" s="58">
        <v>3.68</v>
      </c>
      <c r="O507" s="58">
        <v>2.31</v>
      </c>
      <c r="P507" s="58">
        <v>2.72</v>
      </c>
      <c r="Q507" s="58">
        <v>3.02</v>
      </c>
      <c r="R507" s="58">
        <v>4.84</v>
      </c>
      <c r="S507" s="58">
        <v>5.67</v>
      </c>
      <c r="T507" s="58">
        <v>5.01</v>
      </c>
      <c r="U507" s="52">
        <v>25</v>
      </c>
      <c r="V507" s="49" t="s">
        <v>820</v>
      </c>
    </row>
    <row r="508" spans="1:22" hidden="1">
      <c r="A508" s="59" t="s">
        <v>1107</v>
      </c>
      <c r="B508" s="59" t="s">
        <v>1106</v>
      </c>
      <c r="C508" s="61" t="s">
        <v>10</v>
      </c>
      <c r="D508" s="61" t="s">
        <v>88</v>
      </c>
      <c r="E508" s="60" t="s">
        <v>10</v>
      </c>
      <c r="F508" s="50" t="s">
        <v>821</v>
      </c>
      <c r="G508" s="50" t="b">
        <v>0</v>
      </c>
      <c r="H508" s="58">
        <v>48</v>
      </c>
      <c r="I508" s="58">
        <v>0</v>
      </c>
      <c r="J508" s="58">
        <v>0</v>
      </c>
      <c r="K508" s="58">
        <v>0</v>
      </c>
      <c r="L508" s="58">
        <v>0</v>
      </c>
      <c r="M508" s="58">
        <v>0</v>
      </c>
      <c r="N508" s="58">
        <v>0</v>
      </c>
      <c r="O508" s="58">
        <v>0</v>
      </c>
      <c r="P508" s="58">
        <v>0</v>
      </c>
      <c r="Q508" s="58">
        <v>0</v>
      </c>
      <c r="R508" s="58">
        <v>0</v>
      </c>
      <c r="S508" s="58">
        <v>0</v>
      </c>
      <c r="T508" s="58">
        <v>0</v>
      </c>
      <c r="U508" s="52">
        <v>48</v>
      </c>
      <c r="V508" s="49" t="s">
        <v>815</v>
      </c>
    </row>
    <row r="509" spans="1:22" hidden="1">
      <c r="A509" s="59" t="s">
        <v>1105</v>
      </c>
      <c r="B509" s="59" t="s">
        <v>1104</v>
      </c>
      <c r="C509" s="61" t="s">
        <v>10</v>
      </c>
      <c r="D509" s="61" t="s">
        <v>852</v>
      </c>
      <c r="E509" s="60" t="s">
        <v>10</v>
      </c>
      <c r="F509" s="50" t="s">
        <v>851</v>
      </c>
      <c r="G509" s="50" t="b">
        <v>0</v>
      </c>
      <c r="H509" s="58">
        <v>60</v>
      </c>
      <c r="I509" s="58">
        <v>0</v>
      </c>
      <c r="J509" s="58">
        <v>0</v>
      </c>
      <c r="K509" s="58">
        <v>0</v>
      </c>
      <c r="L509" s="58">
        <v>0</v>
      </c>
      <c r="M509" s="58">
        <v>0</v>
      </c>
      <c r="N509" s="58">
        <v>0</v>
      </c>
      <c r="O509" s="58">
        <v>0</v>
      </c>
      <c r="P509" s="58">
        <v>0</v>
      </c>
      <c r="Q509" s="58">
        <v>0</v>
      </c>
      <c r="R509" s="58">
        <v>0</v>
      </c>
      <c r="S509" s="58">
        <v>0</v>
      </c>
      <c r="T509" s="58">
        <v>0</v>
      </c>
      <c r="U509" s="52">
        <v>92.1</v>
      </c>
      <c r="V509" s="49" t="s">
        <v>815</v>
      </c>
    </row>
    <row r="510" spans="1:22" hidden="1">
      <c r="A510" s="59" t="s">
        <v>1103</v>
      </c>
      <c r="B510" s="59" t="s">
        <v>1102</v>
      </c>
      <c r="C510" s="61" t="s">
        <v>12</v>
      </c>
      <c r="D510" s="61" t="s">
        <v>47</v>
      </c>
      <c r="E510" s="60" t="s">
        <v>12</v>
      </c>
      <c r="F510" s="50" t="s">
        <v>824</v>
      </c>
      <c r="G510" s="50" t="b">
        <v>0</v>
      </c>
      <c r="H510" s="58">
        <v>0</v>
      </c>
      <c r="I510" s="58">
        <v>3.74</v>
      </c>
      <c r="J510" s="58">
        <v>4.41</v>
      </c>
      <c r="K510" s="58">
        <v>4.21</v>
      </c>
      <c r="L510" s="58">
        <v>4.1900000000000004</v>
      </c>
      <c r="M510" s="58">
        <v>4.33</v>
      </c>
      <c r="N510" s="58">
        <v>4.21</v>
      </c>
      <c r="O510" s="58">
        <v>3.78</v>
      </c>
      <c r="P510" s="58">
        <v>4.22</v>
      </c>
      <c r="Q510" s="58">
        <v>5.43</v>
      </c>
      <c r="R510" s="58">
        <v>6.53</v>
      </c>
      <c r="S510" s="58">
        <v>6.19</v>
      </c>
      <c r="T510" s="58">
        <v>5.49</v>
      </c>
      <c r="U510" s="52">
        <v>9.99</v>
      </c>
      <c r="V510" s="49" t="s">
        <v>820</v>
      </c>
    </row>
    <row r="511" spans="1:22" hidden="1">
      <c r="A511" s="59" t="s">
        <v>1101</v>
      </c>
      <c r="B511" s="59" t="s">
        <v>1100</v>
      </c>
      <c r="C511" s="61" t="s">
        <v>10</v>
      </c>
      <c r="D511" s="61" t="s">
        <v>88</v>
      </c>
      <c r="E511" s="60" t="s">
        <v>10</v>
      </c>
      <c r="F511" s="50" t="s">
        <v>821</v>
      </c>
      <c r="G511" s="50" t="b">
        <v>0</v>
      </c>
      <c r="H511" s="58">
        <v>0</v>
      </c>
      <c r="I511" s="58">
        <v>33.86</v>
      </c>
      <c r="J511" s="58">
        <v>34.14</v>
      </c>
      <c r="K511" s="58">
        <v>34.25</v>
      </c>
      <c r="L511" s="58">
        <v>31.92</v>
      </c>
      <c r="M511" s="58">
        <v>25.27</v>
      </c>
      <c r="N511" s="58">
        <v>33.57</v>
      </c>
      <c r="O511" s="58">
        <v>32.869999999999997</v>
      </c>
      <c r="P511" s="58">
        <v>30.85</v>
      </c>
      <c r="Q511" s="58">
        <v>31.79</v>
      </c>
      <c r="R511" s="58">
        <v>33.79</v>
      </c>
      <c r="S511" s="58">
        <v>33.17</v>
      </c>
      <c r="T511" s="58">
        <v>35.21</v>
      </c>
      <c r="U511" s="52">
        <v>57.1</v>
      </c>
      <c r="V511" s="49" t="s">
        <v>820</v>
      </c>
    </row>
    <row r="512" spans="1:22" hidden="1">
      <c r="A512" s="59" t="s">
        <v>1099</v>
      </c>
      <c r="B512" s="59" t="s">
        <v>1098</v>
      </c>
      <c r="C512" s="61" t="s">
        <v>12</v>
      </c>
      <c r="D512" s="61" t="s">
        <v>52</v>
      </c>
      <c r="E512" s="60" t="s">
        <v>12</v>
      </c>
      <c r="F512" s="50" t="s">
        <v>827</v>
      </c>
      <c r="G512" s="50" t="b">
        <v>0</v>
      </c>
      <c r="H512" s="58">
        <v>0</v>
      </c>
      <c r="I512" s="58">
        <v>4.6500000000000004</v>
      </c>
      <c r="J512" s="58">
        <v>4</v>
      </c>
      <c r="K512" s="58">
        <v>5.1100000000000003</v>
      </c>
      <c r="L512" s="58">
        <v>6.6</v>
      </c>
      <c r="M512" s="58">
        <v>6.59</v>
      </c>
      <c r="N512" s="58">
        <v>7.03</v>
      </c>
      <c r="O512" s="58">
        <v>6.25</v>
      </c>
      <c r="P512" s="58">
        <v>6.51</v>
      </c>
      <c r="Q512" s="58">
        <v>6.69</v>
      </c>
      <c r="R512" s="58">
        <v>6.41</v>
      </c>
      <c r="S512" s="58">
        <v>6.36</v>
      </c>
      <c r="T512" s="58">
        <v>5.8</v>
      </c>
      <c r="U512" s="52">
        <v>9.1</v>
      </c>
      <c r="V512" s="49" t="s">
        <v>855</v>
      </c>
    </row>
    <row r="513" spans="1:22" hidden="1">
      <c r="A513" s="59" t="s">
        <v>1097</v>
      </c>
      <c r="B513" s="59" t="s">
        <v>1096</v>
      </c>
      <c r="C513" s="61" t="s">
        <v>12</v>
      </c>
      <c r="D513" s="61" t="s">
        <v>52</v>
      </c>
      <c r="E513" s="60" t="s">
        <v>12</v>
      </c>
      <c r="F513" s="50" t="s">
        <v>821</v>
      </c>
      <c r="G513" s="50" t="b">
        <v>0</v>
      </c>
      <c r="H513" s="58">
        <v>0</v>
      </c>
      <c r="I513" s="58">
        <v>22.09</v>
      </c>
      <c r="J513" s="58">
        <v>22.48</v>
      </c>
      <c r="K513" s="58">
        <v>17.079999999999998</v>
      </c>
      <c r="L513" s="58">
        <v>12.2</v>
      </c>
      <c r="M513" s="58">
        <v>18.47</v>
      </c>
      <c r="N513" s="58">
        <v>21.03</v>
      </c>
      <c r="O513" s="58">
        <v>20.25</v>
      </c>
      <c r="P513" s="58">
        <v>20.309999999999999</v>
      </c>
      <c r="Q513" s="58">
        <v>21.48</v>
      </c>
      <c r="R513" s="58">
        <v>20.59</v>
      </c>
      <c r="S513" s="58">
        <v>21.35</v>
      </c>
      <c r="T513" s="58">
        <v>22.03</v>
      </c>
      <c r="U513" s="52">
        <v>29.8</v>
      </c>
      <c r="V513" s="49" t="s">
        <v>820</v>
      </c>
    </row>
    <row r="514" spans="1:22">
      <c r="A514" s="59" t="s">
        <v>1095</v>
      </c>
      <c r="B514" s="59" t="s">
        <v>1094</v>
      </c>
      <c r="C514" s="61" t="s">
        <v>12</v>
      </c>
      <c r="D514" s="61" t="s">
        <v>52</v>
      </c>
      <c r="E514" s="60" t="s">
        <v>12</v>
      </c>
      <c r="F514" s="50" t="s">
        <v>872</v>
      </c>
      <c r="G514" s="50" t="b">
        <v>0</v>
      </c>
      <c r="H514" s="58">
        <v>0</v>
      </c>
      <c r="I514" s="58">
        <v>0.62</v>
      </c>
      <c r="J514" s="58">
        <v>0.51</v>
      </c>
      <c r="K514" s="58">
        <v>0.94</v>
      </c>
      <c r="L514" s="58">
        <v>0.98</v>
      </c>
      <c r="M514" s="58">
        <v>0.98</v>
      </c>
      <c r="N514" s="58">
        <v>0.95</v>
      </c>
      <c r="O514" s="58">
        <v>0.95</v>
      </c>
      <c r="P514" s="58">
        <v>1.17</v>
      </c>
      <c r="Q514" s="58">
        <v>1.44</v>
      </c>
      <c r="R514" s="58">
        <v>1.22</v>
      </c>
      <c r="S514" s="58">
        <v>1</v>
      </c>
      <c r="T514" s="58">
        <v>0.62</v>
      </c>
      <c r="U514" s="52">
        <v>8.9</v>
      </c>
      <c r="V514" s="49" t="s">
        <v>820</v>
      </c>
    </row>
    <row r="515" spans="1:22" hidden="1">
      <c r="A515" s="59" t="s">
        <v>1093</v>
      </c>
      <c r="B515" s="59" t="s">
        <v>1092</v>
      </c>
      <c r="C515" s="61" t="s">
        <v>12</v>
      </c>
      <c r="D515" s="61" t="s">
        <v>52</v>
      </c>
      <c r="E515" s="60" t="s">
        <v>12</v>
      </c>
      <c r="F515" s="50" t="s">
        <v>824</v>
      </c>
      <c r="G515" s="50" t="b">
        <v>0</v>
      </c>
      <c r="H515" s="58">
        <v>0</v>
      </c>
      <c r="I515" s="58">
        <v>5.54</v>
      </c>
      <c r="J515" s="58">
        <v>5.19</v>
      </c>
      <c r="K515" s="58">
        <v>4.6500000000000004</v>
      </c>
      <c r="L515" s="58">
        <v>5.71</v>
      </c>
      <c r="M515" s="58">
        <v>5.68</v>
      </c>
      <c r="N515" s="58">
        <v>5.78</v>
      </c>
      <c r="O515" s="58">
        <v>5.42</v>
      </c>
      <c r="P515" s="58">
        <v>5.37</v>
      </c>
      <c r="Q515" s="58">
        <v>5.52</v>
      </c>
      <c r="R515" s="58">
        <v>5.56</v>
      </c>
      <c r="S515" s="58">
        <v>5.67</v>
      </c>
      <c r="T515" s="58">
        <v>5.45</v>
      </c>
      <c r="U515" s="52">
        <v>6.1</v>
      </c>
      <c r="V515" s="49" t="s">
        <v>820</v>
      </c>
    </row>
    <row r="516" spans="1:22" hidden="1">
      <c r="A516" s="59" t="s">
        <v>1091</v>
      </c>
      <c r="B516" s="59" t="s">
        <v>1090</v>
      </c>
      <c r="C516" s="61" t="s">
        <v>12</v>
      </c>
      <c r="D516" s="61" t="s">
        <v>47</v>
      </c>
      <c r="E516" s="60" t="s">
        <v>12</v>
      </c>
      <c r="F516" s="50" t="s">
        <v>894</v>
      </c>
      <c r="G516" s="50" t="b">
        <v>0</v>
      </c>
      <c r="H516" s="58">
        <v>484.5</v>
      </c>
      <c r="I516" s="58">
        <v>0</v>
      </c>
      <c r="J516" s="58">
        <v>0</v>
      </c>
      <c r="K516" s="58">
        <v>0</v>
      </c>
      <c r="L516" s="58">
        <v>0</v>
      </c>
      <c r="M516" s="58">
        <v>0</v>
      </c>
      <c r="N516" s="58">
        <v>0</v>
      </c>
      <c r="O516" s="58">
        <v>0</v>
      </c>
      <c r="P516" s="58">
        <v>0</v>
      </c>
      <c r="Q516" s="58">
        <v>0</v>
      </c>
      <c r="R516" s="58">
        <v>0</v>
      </c>
      <c r="S516" s="58">
        <v>0</v>
      </c>
      <c r="T516" s="58">
        <v>0</v>
      </c>
      <c r="U516" s="52">
        <v>525</v>
      </c>
      <c r="V516" s="49" t="s">
        <v>815</v>
      </c>
    </row>
    <row r="517" spans="1:22" hidden="1">
      <c r="A517" s="59" t="s">
        <v>1089</v>
      </c>
      <c r="B517" s="59" t="s">
        <v>1088</v>
      </c>
      <c r="C517" s="61" t="s">
        <v>12</v>
      </c>
      <c r="D517" s="61" t="s">
        <v>47</v>
      </c>
      <c r="E517" s="60" t="s">
        <v>12</v>
      </c>
      <c r="F517" s="50" t="s">
        <v>894</v>
      </c>
      <c r="G517" s="50" t="b">
        <v>0</v>
      </c>
      <c r="H517" s="58">
        <v>484.5</v>
      </c>
      <c r="I517" s="58">
        <v>0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0</v>
      </c>
      <c r="P517" s="58">
        <v>0</v>
      </c>
      <c r="Q517" s="58">
        <v>0</v>
      </c>
      <c r="R517" s="58">
        <v>0</v>
      </c>
      <c r="S517" s="58">
        <v>0</v>
      </c>
      <c r="T517" s="58">
        <v>0</v>
      </c>
      <c r="U517" s="52">
        <v>525</v>
      </c>
      <c r="V517" s="49" t="s">
        <v>815</v>
      </c>
    </row>
    <row r="518" spans="1:22">
      <c r="A518" s="59" t="s">
        <v>1087</v>
      </c>
      <c r="B518" s="59" t="s">
        <v>1086</v>
      </c>
      <c r="C518" s="61" t="s">
        <v>12</v>
      </c>
      <c r="D518" s="61" t="s">
        <v>47</v>
      </c>
      <c r="E518" s="60" t="s">
        <v>12</v>
      </c>
      <c r="F518" s="50" t="s">
        <v>872</v>
      </c>
      <c r="G518" s="50" t="b">
        <v>0</v>
      </c>
      <c r="H518" s="58">
        <v>0</v>
      </c>
      <c r="I518" s="58">
        <v>0.28999999999999998</v>
      </c>
      <c r="J518" s="58">
        <v>0.28999999999999998</v>
      </c>
      <c r="K518" s="58">
        <v>0.08</v>
      </c>
      <c r="L518" s="58">
        <v>0.06</v>
      </c>
      <c r="M518" s="58">
        <v>0.1</v>
      </c>
      <c r="N518" s="58">
        <v>0.36</v>
      </c>
      <c r="O518" s="58">
        <v>0.17</v>
      </c>
      <c r="P518" s="58">
        <v>0.17</v>
      </c>
      <c r="Q518" s="58">
        <v>0.27</v>
      </c>
      <c r="R518" s="58">
        <v>0.12</v>
      </c>
      <c r="S518" s="58">
        <v>0.25</v>
      </c>
      <c r="T518" s="58">
        <v>0.28999999999999998</v>
      </c>
      <c r="U518" s="52">
        <v>14.95</v>
      </c>
      <c r="V518" s="49" t="s">
        <v>820</v>
      </c>
    </row>
    <row r="519" spans="1:22" hidden="1">
      <c r="A519" s="59" t="s">
        <v>1085</v>
      </c>
      <c r="B519" s="59" t="s">
        <v>1084</v>
      </c>
      <c r="C519" s="61" t="s">
        <v>12</v>
      </c>
      <c r="D519" s="61" t="s">
        <v>47</v>
      </c>
      <c r="E519" s="60" t="s">
        <v>12</v>
      </c>
      <c r="F519" s="50" t="s">
        <v>827</v>
      </c>
      <c r="G519" s="50" t="b">
        <v>0</v>
      </c>
      <c r="H519" s="58">
        <v>0</v>
      </c>
      <c r="I519" s="58">
        <v>1.45</v>
      </c>
      <c r="J519" s="58">
        <v>1.48</v>
      </c>
      <c r="K519" s="58">
        <v>1.9</v>
      </c>
      <c r="L519" s="58">
        <v>1.53</v>
      </c>
      <c r="M519" s="58">
        <v>1.02</v>
      </c>
      <c r="N519" s="58">
        <v>0.59</v>
      </c>
      <c r="O519" s="58">
        <v>7.0000000000000007E-2</v>
      </c>
      <c r="P519" s="58">
        <v>0.05</v>
      </c>
      <c r="Q519" s="58">
        <v>0.01</v>
      </c>
      <c r="R519" s="58">
        <v>0.19</v>
      </c>
      <c r="S519" s="58">
        <v>0.31</v>
      </c>
      <c r="T519" s="58">
        <v>0.59</v>
      </c>
      <c r="U519" s="52">
        <v>6.95</v>
      </c>
      <c r="V519" s="49" t="s">
        <v>820</v>
      </c>
    </row>
    <row r="520" spans="1:22" hidden="1">
      <c r="A520" s="59" t="s">
        <v>1083</v>
      </c>
      <c r="B520" s="59" t="s">
        <v>1082</v>
      </c>
      <c r="C520" s="61" t="s">
        <v>12</v>
      </c>
      <c r="D520" s="61" t="s">
        <v>47</v>
      </c>
      <c r="E520" s="60" t="s">
        <v>12</v>
      </c>
      <c r="F520" s="50" t="s">
        <v>827</v>
      </c>
      <c r="G520" s="50" t="b">
        <v>0</v>
      </c>
      <c r="H520" s="58">
        <v>0</v>
      </c>
      <c r="I520" s="58">
        <v>1.1100000000000001</v>
      </c>
      <c r="J520" s="58">
        <v>1.3</v>
      </c>
      <c r="K520" s="58">
        <v>1.57</v>
      </c>
      <c r="L520" s="58">
        <v>1.53</v>
      </c>
      <c r="M520" s="58">
        <v>1.55</v>
      </c>
      <c r="N520" s="58">
        <v>1.45</v>
      </c>
      <c r="O520" s="58">
        <v>1.17</v>
      </c>
      <c r="P520" s="58">
        <v>1.08</v>
      </c>
      <c r="Q520" s="58">
        <v>0.89</v>
      </c>
      <c r="R520" s="58">
        <v>0.98</v>
      </c>
      <c r="S520" s="58">
        <v>0.84</v>
      </c>
      <c r="T520" s="58">
        <v>0.64</v>
      </c>
      <c r="U520" s="52">
        <v>3.93</v>
      </c>
      <c r="V520" s="49" t="s">
        <v>820</v>
      </c>
    </row>
    <row r="521" spans="1:22" hidden="1">
      <c r="A521" s="59" t="s">
        <v>1081</v>
      </c>
      <c r="B521" s="59" t="s">
        <v>1080</v>
      </c>
      <c r="C521" s="61" t="s">
        <v>10</v>
      </c>
      <c r="D521" s="61" t="s">
        <v>869</v>
      </c>
      <c r="E521" s="60" t="s">
        <v>10</v>
      </c>
      <c r="F521" s="50" t="s">
        <v>816</v>
      </c>
      <c r="G521" s="50" t="b">
        <v>0</v>
      </c>
      <c r="H521" s="58">
        <v>83.56</v>
      </c>
      <c r="I521" s="58">
        <v>0</v>
      </c>
      <c r="J521" s="58">
        <v>0</v>
      </c>
      <c r="K521" s="58">
        <v>0</v>
      </c>
      <c r="L521" s="58">
        <v>0</v>
      </c>
      <c r="M521" s="58">
        <v>0</v>
      </c>
      <c r="N521" s="58">
        <v>0</v>
      </c>
      <c r="O521" s="58">
        <v>0</v>
      </c>
      <c r="P521" s="58">
        <v>0</v>
      </c>
      <c r="Q521" s="58">
        <v>0</v>
      </c>
      <c r="R521" s="58">
        <v>0</v>
      </c>
      <c r="S521" s="58">
        <v>0</v>
      </c>
      <c r="T521" s="58">
        <v>0</v>
      </c>
      <c r="U521" s="52">
        <v>94</v>
      </c>
      <c r="V521" s="49" t="s">
        <v>815</v>
      </c>
    </row>
    <row r="522" spans="1:22" hidden="1">
      <c r="A522" s="59" t="s">
        <v>1079</v>
      </c>
      <c r="B522" s="59" t="s">
        <v>1078</v>
      </c>
      <c r="C522" s="61" t="s">
        <v>10</v>
      </c>
      <c r="D522" s="61" t="s">
        <v>869</v>
      </c>
      <c r="E522" s="60" t="s">
        <v>10</v>
      </c>
      <c r="F522" s="50" t="s">
        <v>816</v>
      </c>
      <c r="G522" s="50" t="b">
        <v>0</v>
      </c>
      <c r="H522" s="58">
        <v>82.88</v>
      </c>
      <c r="I522" s="58">
        <v>0</v>
      </c>
      <c r="J522" s="58">
        <v>0</v>
      </c>
      <c r="K522" s="58">
        <v>0</v>
      </c>
      <c r="L522" s="58">
        <v>0</v>
      </c>
      <c r="M522" s="58">
        <v>0</v>
      </c>
      <c r="N522" s="58">
        <v>0</v>
      </c>
      <c r="O522" s="58">
        <v>0</v>
      </c>
      <c r="P522" s="58">
        <v>0</v>
      </c>
      <c r="Q522" s="58">
        <v>0</v>
      </c>
      <c r="R522" s="58">
        <v>0</v>
      </c>
      <c r="S522" s="58">
        <v>0</v>
      </c>
      <c r="T522" s="58">
        <v>0</v>
      </c>
      <c r="U522" s="52">
        <v>94</v>
      </c>
      <c r="V522" s="49" t="s">
        <v>815</v>
      </c>
    </row>
    <row r="523" spans="1:22" hidden="1">
      <c r="A523" s="59" t="s">
        <v>1077</v>
      </c>
      <c r="B523" s="59" t="s">
        <v>1076</v>
      </c>
      <c r="C523" s="61" t="s">
        <v>12</v>
      </c>
      <c r="D523" s="61" t="s">
        <v>88</v>
      </c>
      <c r="E523" s="60" t="s">
        <v>12</v>
      </c>
      <c r="F523" s="50" t="s">
        <v>821</v>
      </c>
      <c r="G523" s="50" t="b">
        <v>0</v>
      </c>
      <c r="H523" s="58">
        <v>0</v>
      </c>
      <c r="I523" s="58">
        <v>11.39</v>
      </c>
      <c r="J523" s="58">
        <v>11.9</v>
      </c>
      <c r="K523" s="58">
        <v>10.119999999999999</v>
      </c>
      <c r="L523" s="58">
        <v>6.38</v>
      </c>
      <c r="M523" s="58">
        <v>10.59</v>
      </c>
      <c r="N523" s="58">
        <v>14.18</v>
      </c>
      <c r="O523" s="58">
        <v>13.86</v>
      </c>
      <c r="P523" s="58">
        <v>13.42</v>
      </c>
      <c r="Q523" s="58">
        <v>14.16</v>
      </c>
      <c r="R523" s="58">
        <v>10.94</v>
      </c>
      <c r="S523" s="58">
        <v>13.29</v>
      </c>
      <c r="T523" s="58">
        <v>12.9</v>
      </c>
      <c r="U523" s="52">
        <v>62.5</v>
      </c>
      <c r="V523" s="49" t="s">
        <v>820</v>
      </c>
    </row>
    <row r="524" spans="1:22" hidden="1">
      <c r="A524" s="59" t="s">
        <v>1075</v>
      </c>
      <c r="B524" s="59" t="s">
        <v>1074</v>
      </c>
      <c r="C524" s="61" t="s">
        <v>12</v>
      </c>
      <c r="D524" s="61" t="s">
        <v>88</v>
      </c>
      <c r="E524" s="60" t="s">
        <v>12</v>
      </c>
      <c r="F524" s="50" t="s">
        <v>821</v>
      </c>
      <c r="G524" s="50" t="b">
        <v>0</v>
      </c>
      <c r="H524" s="58">
        <v>0</v>
      </c>
      <c r="I524" s="58">
        <v>2.17</v>
      </c>
      <c r="J524" s="58">
        <v>2</v>
      </c>
      <c r="K524" s="58">
        <v>1.23</v>
      </c>
      <c r="L524" s="58">
        <v>1.33</v>
      </c>
      <c r="M524" s="58">
        <v>1.22</v>
      </c>
      <c r="N524" s="58">
        <v>1.02</v>
      </c>
      <c r="O524" s="58">
        <v>0.51</v>
      </c>
      <c r="P524" s="58">
        <v>0.34</v>
      </c>
      <c r="Q524" s="58">
        <v>0.71</v>
      </c>
      <c r="R524" s="58">
        <v>0.71</v>
      </c>
      <c r="S524" s="58">
        <v>0.52</v>
      </c>
      <c r="T524" s="58">
        <v>0</v>
      </c>
      <c r="U524" s="52">
        <v>15.5</v>
      </c>
      <c r="V524" s="49" t="s">
        <v>820</v>
      </c>
    </row>
    <row r="525" spans="1:22" hidden="1">
      <c r="A525" s="59" t="s">
        <v>1073</v>
      </c>
      <c r="B525" s="59" t="s">
        <v>1072</v>
      </c>
      <c r="C525" s="61" t="s">
        <v>10</v>
      </c>
      <c r="D525" s="61" t="s">
        <v>32</v>
      </c>
      <c r="E525" s="60" t="s">
        <v>10</v>
      </c>
      <c r="F525" s="50" t="s">
        <v>812</v>
      </c>
      <c r="G525" s="50" t="b">
        <v>0</v>
      </c>
      <c r="H525" s="58">
        <v>0</v>
      </c>
      <c r="I525" s="58">
        <v>0.01</v>
      </c>
      <c r="J525" s="58">
        <v>0.01</v>
      </c>
      <c r="K525" s="58">
        <v>0.21</v>
      </c>
      <c r="L525" s="58">
        <v>0.3</v>
      </c>
      <c r="M525" s="58">
        <v>0.78</v>
      </c>
      <c r="N525" s="58">
        <v>0.49</v>
      </c>
      <c r="O525" s="58">
        <v>0.46</v>
      </c>
      <c r="P525" s="58">
        <v>0.31</v>
      </c>
      <c r="Q525" s="58">
        <v>0.17</v>
      </c>
      <c r="R525" s="58">
        <v>0.09</v>
      </c>
      <c r="S525" s="58">
        <v>0.01</v>
      </c>
      <c r="T525" s="58">
        <v>0</v>
      </c>
      <c r="U525" s="52">
        <v>100</v>
      </c>
      <c r="V525" s="49" t="s">
        <v>820</v>
      </c>
    </row>
    <row r="526" spans="1:22" hidden="1">
      <c r="A526" s="59" t="s">
        <v>1071</v>
      </c>
      <c r="B526" s="59" t="s">
        <v>1070</v>
      </c>
      <c r="C526" s="61" t="s">
        <v>12</v>
      </c>
      <c r="D526" s="61" t="s">
        <v>88</v>
      </c>
      <c r="E526" s="60" t="s">
        <v>12</v>
      </c>
      <c r="F526" s="50" t="s">
        <v>913</v>
      </c>
      <c r="G526" s="50" t="b">
        <v>0</v>
      </c>
      <c r="H526" s="58">
        <v>0</v>
      </c>
      <c r="I526" s="58">
        <v>0</v>
      </c>
      <c r="J526" s="58">
        <v>0.02</v>
      </c>
      <c r="K526" s="58">
        <v>0.5</v>
      </c>
      <c r="L526" s="58">
        <v>4.8099999999999996</v>
      </c>
      <c r="M526" s="58">
        <v>6.45</v>
      </c>
      <c r="N526" s="58">
        <v>25.28</v>
      </c>
      <c r="O526" s="58">
        <v>24.43</v>
      </c>
      <c r="P526" s="58">
        <v>21.26</v>
      </c>
      <c r="Q526" s="58">
        <v>17.399999999999999</v>
      </c>
      <c r="R526" s="58">
        <v>0.64</v>
      </c>
      <c r="S526" s="58">
        <v>0</v>
      </c>
      <c r="T526" s="58">
        <v>0</v>
      </c>
      <c r="U526" s="52">
        <v>45.5</v>
      </c>
      <c r="V526" s="49" t="s">
        <v>820</v>
      </c>
    </row>
    <row r="527" spans="1:22" hidden="1">
      <c r="A527" s="59" t="s">
        <v>1069</v>
      </c>
      <c r="B527" s="59" t="s">
        <v>1068</v>
      </c>
      <c r="C527" s="61" t="s">
        <v>10</v>
      </c>
      <c r="D527" s="61" t="s">
        <v>828</v>
      </c>
      <c r="E527" s="60" t="s">
        <v>10</v>
      </c>
      <c r="F527" s="50" t="s">
        <v>821</v>
      </c>
      <c r="G527" s="50" t="b">
        <v>0</v>
      </c>
      <c r="H527" s="58">
        <v>0</v>
      </c>
      <c r="I527" s="58">
        <v>25.82</v>
      </c>
      <c r="J527" s="58">
        <v>26.13</v>
      </c>
      <c r="K527" s="58">
        <v>27.52</v>
      </c>
      <c r="L527" s="58">
        <v>23.69</v>
      </c>
      <c r="M527" s="58">
        <v>25.31</v>
      </c>
      <c r="N527" s="58">
        <v>27.32</v>
      </c>
      <c r="O527" s="58">
        <v>27.17</v>
      </c>
      <c r="P527" s="58">
        <v>26.96</v>
      </c>
      <c r="Q527" s="58">
        <v>23.97</v>
      </c>
      <c r="R527" s="58">
        <v>24.14</v>
      </c>
      <c r="S527" s="58">
        <v>16.66</v>
      </c>
      <c r="T527" s="58">
        <v>26.5</v>
      </c>
      <c r="U527" s="52">
        <v>48.3</v>
      </c>
      <c r="V527" s="49" t="s">
        <v>820</v>
      </c>
    </row>
    <row r="528" spans="1:22" hidden="1">
      <c r="A528" s="59" t="s">
        <v>1067</v>
      </c>
      <c r="B528" s="59" t="s">
        <v>1066</v>
      </c>
      <c r="C528" s="61" t="s">
        <v>10</v>
      </c>
      <c r="D528" s="61" t="s">
        <v>901</v>
      </c>
      <c r="E528" s="60" t="s">
        <v>10</v>
      </c>
      <c r="F528" s="50" t="s">
        <v>821</v>
      </c>
      <c r="G528" s="50" t="b">
        <v>0</v>
      </c>
      <c r="H528" s="58">
        <v>0</v>
      </c>
      <c r="I528" s="58">
        <v>50.21</v>
      </c>
      <c r="J528" s="58">
        <v>50.47</v>
      </c>
      <c r="K528" s="58">
        <v>43.65</v>
      </c>
      <c r="L528" s="58">
        <v>43.15</v>
      </c>
      <c r="M528" s="58">
        <v>27.5</v>
      </c>
      <c r="N528" s="58">
        <v>38.450000000000003</v>
      </c>
      <c r="O528" s="58">
        <v>42.28</v>
      </c>
      <c r="P528" s="58">
        <v>42.98</v>
      </c>
      <c r="Q528" s="58">
        <v>38.96</v>
      </c>
      <c r="R528" s="58">
        <v>40.21</v>
      </c>
      <c r="S528" s="58">
        <v>32.71</v>
      </c>
      <c r="T528" s="58">
        <v>33.78</v>
      </c>
      <c r="U528" s="52">
        <v>60.3</v>
      </c>
      <c r="V528" s="49" t="s">
        <v>820</v>
      </c>
    </row>
    <row r="529" spans="1:22" hidden="1">
      <c r="A529" s="59" t="s">
        <v>1065</v>
      </c>
      <c r="B529" s="59" t="s">
        <v>1064</v>
      </c>
      <c r="C529" s="61" t="s">
        <v>10</v>
      </c>
      <c r="D529" s="61" t="s">
        <v>88</v>
      </c>
      <c r="E529" s="60" t="s">
        <v>10</v>
      </c>
      <c r="F529" s="50" t="s">
        <v>827</v>
      </c>
      <c r="G529" s="50" t="b">
        <v>0</v>
      </c>
      <c r="H529" s="58">
        <v>362.4</v>
      </c>
      <c r="I529" s="58">
        <v>0</v>
      </c>
      <c r="J529" s="58">
        <v>0</v>
      </c>
      <c r="K529" s="58">
        <v>0</v>
      </c>
      <c r="L529" s="58">
        <v>0</v>
      </c>
      <c r="M529" s="58">
        <v>0</v>
      </c>
      <c r="N529" s="58">
        <v>0</v>
      </c>
      <c r="O529" s="58">
        <v>0</v>
      </c>
      <c r="P529" s="58">
        <v>0</v>
      </c>
      <c r="Q529" s="58">
        <v>0</v>
      </c>
      <c r="R529" s="58">
        <v>0</v>
      </c>
      <c r="S529" s="58">
        <v>0</v>
      </c>
      <c r="T529" s="58">
        <v>0</v>
      </c>
      <c r="U529" s="52">
        <v>374.43</v>
      </c>
      <c r="V529" s="49" t="s">
        <v>855</v>
      </c>
    </row>
    <row r="530" spans="1:22" hidden="1">
      <c r="A530" s="59" t="s">
        <v>1063</v>
      </c>
      <c r="B530" s="59" t="s">
        <v>1062</v>
      </c>
      <c r="C530" s="61" t="s">
        <v>10</v>
      </c>
      <c r="D530" s="61" t="s">
        <v>817</v>
      </c>
      <c r="E530" s="60" t="s">
        <v>10</v>
      </c>
      <c r="F530" s="50" t="s">
        <v>827</v>
      </c>
      <c r="G530" s="50" t="b">
        <v>0</v>
      </c>
      <c r="H530" s="58">
        <v>0</v>
      </c>
      <c r="I530" s="58">
        <v>6.35</v>
      </c>
      <c r="J530" s="58">
        <v>6.63</v>
      </c>
      <c r="K530" s="58">
        <v>9.49</v>
      </c>
      <c r="L530" s="58">
        <v>12.01</v>
      </c>
      <c r="M530" s="58">
        <v>13</v>
      </c>
      <c r="N530" s="58">
        <v>13</v>
      </c>
      <c r="O530" s="58">
        <v>12.92</v>
      </c>
      <c r="P530" s="58">
        <v>10.36</v>
      </c>
      <c r="Q530" s="58">
        <v>8.3000000000000007</v>
      </c>
      <c r="R530" s="58">
        <v>8</v>
      </c>
      <c r="S530" s="58">
        <v>7.85</v>
      </c>
      <c r="T530" s="58">
        <v>6.94</v>
      </c>
      <c r="U530" s="52">
        <v>13</v>
      </c>
      <c r="V530" s="49" t="s">
        <v>820</v>
      </c>
    </row>
    <row r="531" spans="1:22" hidden="1">
      <c r="A531" s="59" t="s">
        <v>1061</v>
      </c>
      <c r="B531" s="59" t="s">
        <v>1060</v>
      </c>
      <c r="C531" s="61" t="s">
        <v>10</v>
      </c>
      <c r="D531" s="61" t="s">
        <v>88</v>
      </c>
      <c r="E531" s="60" t="s">
        <v>10</v>
      </c>
      <c r="F531" s="50" t="s">
        <v>821</v>
      </c>
      <c r="G531" s="50" t="b">
        <v>0</v>
      </c>
      <c r="H531" s="58">
        <v>0</v>
      </c>
      <c r="I531" s="58">
        <v>0</v>
      </c>
      <c r="J531" s="58">
        <v>0</v>
      </c>
      <c r="K531" s="58">
        <v>0</v>
      </c>
      <c r="L531" s="58">
        <v>0</v>
      </c>
      <c r="M531" s="58">
        <v>0</v>
      </c>
      <c r="N531" s="58">
        <v>0</v>
      </c>
      <c r="O531" s="58">
        <v>0.45</v>
      </c>
      <c r="P531" s="58">
        <v>0.84</v>
      </c>
      <c r="Q531" s="58">
        <v>0.61</v>
      </c>
      <c r="R531" s="58">
        <v>0.08</v>
      </c>
      <c r="S531" s="58">
        <v>0</v>
      </c>
      <c r="T531" s="58">
        <v>0</v>
      </c>
      <c r="U531" s="52">
        <v>8.1</v>
      </c>
      <c r="V531" s="49" t="s">
        <v>820</v>
      </c>
    </row>
    <row r="532" spans="1:22" hidden="1">
      <c r="A532" s="59" t="s">
        <v>1059</v>
      </c>
      <c r="B532" s="59" t="s">
        <v>1058</v>
      </c>
      <c r="C532" s="61" t="s">
        <v>10</v>
      </c>
      <c r="D532" s="61" t="s">
        <v>88</v>
      </c>
      <c r="E532" s="60" t="s">
        <v>10</v>
      </c>
      <c r="F532" s="50" t="s">
        <v>821</v>
      </c>
      <c r="G532" s="50" t="b">
        <v>0</v>
      </c>
      <c r="H532" s="58">
        <v>0</v>
      </c>
      <c r="I532" s="58">
        <v>7.89</v>
      </c>
      <c r="J532" s="58">
        <v>11.88</v>
      </c>
      <c r="K532" s="58">
        <v>3.3</v>
      </c>
      <c r="L532" s="58">
        <v>0.74</v>
      </c>
      <c r="M532" s="58">
        <v>0.66</v>
      </c>
      <c r="N532" s="58">
        <v>9.48</v>
      </c>
      <c r="O532" s="58">
        <v>34.119999999999997</v>
      </c>
      <c r="P532" s="58">
        <v>22.08</v>
      </c>
      <c r="Q532" s="58">
        <v>8.0500000000000007</v>
      </c>
      <c r="R532" s="58">
        <v>15.98</v>
      </c>
      <c r="S532" s="58">
        <v>9.5399999999999991</v>
      </c>
      <c r="T532" s="58">
        <v>0.82</v>
      </c>
      <c r="U532" s="52">
        <v>53.1</v>
      </c>
      <c r="V532" s="49" t="s">
        <v>820</v>
      </c>
    </row>
    <row r="533" spans="1:22" hidden="1">
      <c r="A533" s="59" t="s">
        <v>1057</v>
      </c>
      <c r="B533" s="59" t="s">
        <v>1056</v>
      </c>
      <c r="C533" s="61" t="s">
        <v>10</v>
      </c>
      <c r="D533" s="61" t="s">
        <v>88</v>
      </c>
      <c r="E533" s="60" t="s">
        <v>10</v>
      </c>
      <c r="F533" s="50" t="s">
        <v>821</v>
      </c>
      <c r="G533" s="50" t="b">
        <v>0</v>
      </c>
      <c r="H533" s="58">
        <v>0</v>
      </c>
      <c r="I533" s="58">
        <v>45.39</v>
      </c>
      <c r="J533" s="58">
        <v>40.590000000000003</v>
      </c>
      <c r="K533" s="58">
        <v>45.77</v>
      </c>
      <c r="L533" s="58">
        <v>41.67</v>
      </c>
      <c r="M533" s="58">
        <v>21.29</v>
      </c>
      <c r="N533" s="58">
        <v>35.31</v>
      </c>
      <c r="O533" s="58">
        <v>36.1</v>
      </c>
      <c r="P533" s="58">
        <v>30.16</v>
      </c>
      <c r="Q533" s="58">
        <v>32.35</v>
      </c>
      <c r="R533" s="58">
        <v>31.53</v>
      </c>
      <c r="S533" s="58">
        <v>34.46</v>
      </c>
      <c r="T533" s="58">
        <v>40.1</v>
      </c>
      <c r="U533" s="52">
        <v>56.9</v>
      </c>
      <c r="V533" s="49" t="s">
        <v>820</v>
      </c>
    </row>
    <row r="534" spans="1:22" hidden="1">
      <c r="A534" s="59" t="s">
        <v>1055</v>
      </c>
      <c r="B534" s="59" t="s">
        <v>1054</v>
      </c>
      <c r="C534" s="61" t="s">
        <v>12</v>
      </c>
      <c r="D534" s="61" t="s">
        <v>11</v>
      </c>
      <c r="E534" s="60" t="s">
        <v>11</v>
      </c>
      <c r="F534" s="50" t="s">
        <v>824</v>
      </c>
      <c r="G534" s="50" t="b">
        <v>0</v>
      </c>
      <c r="H534" s="58">
        <v>0</v>
      </c>
      <c r="I534" s="58">
        <v>0.87</v>
      </c>
      <c r="J534" s="58">
        <v>0.86</v>
      </c>
      <c r="K534" s="58">
        <v>0.8</v>
      </c>
      <c r="L534" s="58">
        <v>0.76</v>
      </c>
      <c r="M534" s="58">
        <v>0.69</v>
      </c>
      <c r="N534" s="58">
        <v>0.67</v>
      </c>
      <c r="O534" s="58">
        <v>0.65</v>
      </c>
      <c r="P534" s="58">
        <v>0.65</v>
      </c>
      <c r="Q534" s="58">
        <v>0.67</v>
      </c>
      <c r="R534" s="58">
        <v>0.63</v>
      </c>
      <c r="S534" s="58">
        <v>0.7</v>
      </c>
      <c r="T534" s="58">
        <v>0.72</v>
      </c>
      <c r="U534" s="52">
        <v>5</v>
      </c>
      <c r="V534" s="49" t="s">
        <v>820</v>
      </c>
    </row>
    <row r="535" spans="1:22" hidden="1">
      <c r="A535" s="59" t="s">
        <v>1053</v>
      </c>
      <c r="B535" s="59" t="s">
        <v>1052</v>
      </c>
      <c r="C535" s="61" t="s">
        <v>10</v>
      </c>
      <c r="D535" s="61" t="s">
        <v>852</v>
      </c>
      <c r="E535" s="60" t="s">
        <v>10</v>
      </c>
      <c r="F535" s="50" t="s">
        <v>851</v>
      </c>
      <c r="G535" s="50" t="b">
        <v>0</v>
      </c>
      <c r="H535" s="58">
        <v>37</v>
      </c>
      <c r="I535" s="58">
        <v>0</v>
      </c>
      <c r="J535" s="58">
        <v>0</v>
      </c>
      <c r="K535" s="58">
        <v>0</v>
      </c>
      <c r="L535" s="58">
        <v>0</v>
      </c>
      <c r="M535" s="58">
        <v>0</v>
      </c>
      <c r="N535" s="58">
        <v>0</v>
      </c>
      <c r="O535" s="58">
        <v>0</v>
      </c>
      <c r="P535" s="58">
        <v>0</v>
      </c>
      <c r="Q535" s="58">
        <v>0</v>
      </c>
      <c r="R535" s="58">
        <v>0</v>
      </c>
      <c r="S535" s="58">
        <v>0</v>
      </c>
      <c r="T535" s="58">
        <v>0</v>
      </c>
      <c r="U535" s="52">
        <v>53</v>
      </c>
      <c r="V535" s="49" t="s">
        <v>815</v>
      </c>
    </row>
    <row r="536" spans="1:22" hidden="1">
      <c r="A536" s="59" t="s">
        <v>1051</v>
      </c>
      <c r="B536" s="59" t="s">
        <v>1050</v>
      </c>
      <c r="C536" s="61" t="s">
        <v>12</v>
      </c>
      <c r="D536" s="61" t="s">
        <v>52</v>
      </c>
      <c r="E536" s="60" t="s">
        <v>12</v>
      </c>
      <c r="F536" s="50" t="s">
        <v>821</v>
      </c>
      <c r="G536" s="50" t="b">
        <v>0</v>
      </c>
      <c r="H536" s="58">
        <v>0</v>
      </c>
      <c r="I536" s="58">
        <v>34.07</v>
      </c>
      <c r="J536" s="58">
        <v>36.799999999999997</v>
      </c>
      <c r="K536" s="58">
        <v>31</v>
      </c>
      <c r="L536" s="58">
        <v>33.46</v>
      </c>
      <c r="M536" s="58">
        <v>30.13</v>
      </c>
      <c r="N536" s="58">
        <v>34.479999999999997</v>
      </c>
      <c r="O536" s="58">
        <v>35.369999999999997</v>
      </c>
      <c r="P536" s="58">
        <v>32.53</v>
      </c>
      <c r="Q536" s="58">
        <v>31.6</v>
      </c>
      <c r="R536" s="58">
        <v>32.86</v>
      </c>
      <c r="S536" s="58">
        <v>38.090000000000003</v>
      </c>
      <c r="T536" s="58">
        <v>37.35</v>
      </c>
      <c r="U536" s="52">
        <v>48.9</v>
      </c>
      <c r="V536" s="49" t="s">
        <v>820</v>
      </c>
    </row>
    <row r="537" spans="1:22" hidden="1">
      <c r="A537" s="59" t="s">
        <v>1049</v>
      </c>
      <c r="B537" s="59" t="s">
        <v>1048</v>
      </c>
      <c r="C537" s="61" t="s">
        <v>12</v>
      </c>
      <c r="D537" s="61" t="s">
        <v>52</v>
      </c>
      <c r="E537" s="60" t="s">
        <v>12</v>
      </c>
      <c r="F537" s="50" t="s">
        <v>821</v>
      </c>
      <c r="G537" s="50" t="b">
        <v>0</v>
      </c>
      <c r="H537" s="58">
        <v>0</v>
      </c>
      <c r="I537" s="58">
        <v>39.78</v>
      </c>
      <c r="J537" s="58">
        <v>43.15</v>
      </c>
      <c r="K537" s="58">
        <v>44.26</v>
      </c>
      <c r="L537" s="58">
        <v>43.37</v>
      </c>
      <c r="M537" s="58">
        <v>41.22</v>
      </c>
      <c r="N537" s="58">
        <v>44.75</v>
      </c>
      <c r="O537" s="58">
        <v>44.37</v>
      </c>
      <c r="P537" s="58">
        <v>44.65</v>
      </c>
      <c r="Q537" s="58">
        <v>39.880000000000003</v>
      </c>
      <c r="R537" s="58">
        <v>39.82</v>
      </c>
      <c r="S537" s="58">
        <v>44.19</v>
      </c>
      <c r="T537" s="58">
        <v>44.01</v>
      </c>
      <c r="U537" s="52">
        <v>49.9</v>
      </c>
      <c r="V537" s="49" t="s">
        <v>820</v>
      </c>
    </row>
    <row r="538" spans="1:22">
      <c r="A538" s="59" t="s">
        <v>1047</v>
      </c>
      <c r="B538" s="59" t="s">
        <v>1046</v>
      </c>
      <c r="C538" s="61" t="s">
        <v>12</v>
      </c>
      <c r="D538" s="61" t="s">
        <v>52</v>
      </c>
      <c r="E538" s="60" t="s">
        <v>12</v>
      </c>
      <c r="F538" s="50" t="s">
        <v>872</v>
      </c>
      <c r="G538" s="50" t="b">
        <v>0</v>
      </c>
      <c r="H538" s="58">
        <v>0</v>
      </c>
      <c r="I538" s="58">
        <v>1.61</v>
      </c>
      <c r="J538" s="58">
        <v>1.69</v>
      </c>
      <c r="K538" s="58">
        <v>1.74</v>
      </c>
      <c r="L538" s="58">
        <v>1.99</v>
      </c>
      <c r="M538" s="58">
        <v>2</v>
      </c>
      <c r="N538" s="58">
        <v>1.86</v>
      </c>
      <c r="O538" s="58">
        <v>1.86</v>
      </c>
      <c r="P538" s="58">
        <v>1.73</v>
      </c>
      <c r="Q538" s="58">
        <v>1.46</v>
      </c>
      <c r="R538" s="58">
        <v>1.57</v>
      </c>
      <c r="S538" s="58">
        <v>1.67</v>
      </c>
      <c r="T538" s="58">
        <v>1.42</v>
      </c>
      <c r="U538" s="52">
        <v>12.9</v>
      </c>
      <c r="V538" s="49" t="s">
        <v>820</v>
      </c>
    </row>
    <row r="539" spans="1:22" hidden="1">
      <c r="A539" s="59" t="s">
        <v>1045</v>
      </c>
      <c r="B539" s="59" t="s">
        <v>1044</v>
      </c>
      <c r="C539" s="61" t="s">
        <v>12</v>
      </c>
      <c r="D539" s="61" t="s">
        <v>52</v>
      </c>
      <c r="E539" s="60" t="s">
        <v>12</v>
      </c>
      <c r="F539" s="50" t="s">
        <v>821</v>
      </c>
      <c r="G539" s="50" t="b">
        <v>0</v>
      </c>
      <c r="H539" s="58">
        <v>0</v>
      </c>
      <c r="I539" s="58">
        <v>11.94</v>
      </c>
      <c r="J539" s="58">
        <v>11.53</v>
      </c>
      <c r="K539" s="58">
        <v>11.44</v>
      </c>
      <c r="L539" s="58">
        <v>11.96</v>
      </c>
      <c r="M539" s="58">
        <v>12.32</v>
      </c>
      <c r="N539" s="58">
        <v>12.98</v>
      </c>
      <c r="O539" s="58">
        <v>13.05</v>
      </c>
      <c r="P539" s="58">
        <v>12.64</v>
      </c>
      <c r="Q539" s="58">
        <v>12.78</v>
      </c>
      <c r="R539" s="58">
        <v>11.57</v>
      </c>
      <c r="S539" s="58">
        <v>10.49</v>
      </c>
      <c r="T539" s="58">
        <v>9.35</v>
      </c>
      <c r="U539" s="52">
        <v>27.81</v>
      </c>
      <c r="V539" s="49" t="s">
        <v>820</v>
      </c>
    </row>
    <row r="540" spans="1:22" hidden="1">
      <c r="A540" s="59" t="s">
        <v>1043</v>
      </c>
      <c r="B540" s="59" t="s">
        <v>1042</v>
      </c>
      <c r="C540" s="61" t="s">
        <v>10</v>
      </c>
      <c r="D540" s="61" t="s">
        <v>869</v>
      </c>
      <c r="E540" s="60" t="s">
        <v>10</v>
      </c>
      <c r="F540" s="50" t="s">
        <v>827</v>
      </c>
      <c r="G540" s="50" t="b">
        <v>0</v>
      </c>
      <c r="H540" s="58">
        <v>0</v>
      </c>
      <c r="I540" s="58">
        <v>4.24</v>
      </c>
      <c r="J540" s="58">
        <v>3.05</v>
      </c>
      <c r="K540" s="58">
        <v>6.53</v>
      </c>
      <c r="L540" s="58">
        <v>8.73</v>
      </c>
      <c r="M540" s="58">
        <v>9.27</v>
      </c>
      <c r="N540" s="58">
        <v>9.0500000000000007</v>
      </c>
      <c r="O540" s="58">
        <v>11.35</v>
      </c>
      <c r="P540" s="58">
        <v>10.67</v>
      </c>
      <c r="Q540" s="58">
        <v>9.14</v>
      </c>
      <c r="R540" s="58">
        <v>6.12</v>
      </c>
      <c r="S540" s="58">
        <v>3.75</v>
      </c>
      <c r="T540" s="58">
        <v>5.49</v>
      </c>
      <c r="U540" s="52">
        <v>18.600000000000001</v>
      </c>
      <c r="V540" s="49" t="s">
        <v>820</v>
      </c>
    </row>
    <row r="541" spans="1:22" hidden="1">
      <c r="A541" s="59" t="s">
        <v>1041</v>
      </c>
      <c r="B541" s="59" t="s">
        <v>1040</v>
      </c>
      <c r="C541" s="61" t="s">
        <v>10</v>
      </c>
      <c r="D541" s="61" t="s">
        <v>852</v>
      </c>
      <c r="E541" s="60" t="s">
        <v>10</v>
      </c>
      <c r="F541" s="50" t="s">
        <v>824</v>
      </c>
      <c r="G541" s="50" t="b">
        <v>0</v>
      </c>
      <c r="H541" s="58">
        <v>0</v>
      </c>
      <c r="I541" s="58">
        <v>5.72</v>
      </c>
      <c r="J541" s="58">
        <v>5.95</v>
      </c>
      <c r="K541" s="58">
        <v>6.16</v>
      </c>
      <c r="L541" s="58">
        <v>5.82</v>
      </c>
      <c r="M541" s="58">
        <v>5.83</v>
      </c>
      <c r="N541" s="58">
        <v>4.76</v>
      </c>
      <c r="O541" s="58">
        <v>5.04</v>
      </c>
      <c r="P541" s="58">
        <v>5.15</v>
      </c>
      <c r="Q541" s="58">
        <v>5.21</v>
      </c>
      <c r="R541" s="58">
        <v>5.09</v>
      </c>
      <c r="S541" s="58">
        <v>4.96</v>
      </c>
      <c r="T541" s="58">
        <v>5.0599999999999996</v>
      </c>
      <c r="U541" s="52">
        <v>7.5</v>
      </c>
      <c r="V541" s="49" t="s">
        <v>820</v>
      </c>
    </row>
    <row r="542" spans="1:22" hidden="1">
      <c r="A542" s="59" t="s">
        <v>1039</v>
      </c>
      <c r="B542" s="59" t="s">
        <v>71</v>
      </c>
      <c r="C542" s="61" t="s">
        <v>12</v>
      </c>
      <c r="D542" s="61" t="s">
        <v>11</v>
      </c>
      <c r="E542" s="60" t="s">
        <v>11</v>
      </c>
      <c r="F542" s="50" t="s">
        <v>816</v>
      </c>
      <c r="G542" s="50" t="b">
        <v>1</v>
      </c>
      <c r="H542" s="58">
        <v>15</v>
      </c>
      <c r="I542" s="58">
        <v>0</v>
      </c>
      <c r="J542" s="58">
        <v>0</v>
      </c>
      <c r="K542" s="58">
        <v>0</v>
      </c>
      <c r="L542" s="58">
        <v>0</v>
      </c>
      <c r="M542" s="58">
        <v>0</v>
      </c>
      <c r="N542" s="58">
        <v>0</v>
      </c>
      <c r="O542" s="58">
        <v>0</v>
      </c>
      <c r="P542" s="58">
        <v>0</v>
      </c>
      <c r="Q542" s="58">
        <v>0</v>
      </c>
      <c r="R542" s="58">
        <v>0</v>
      </c>
      <c r="S542" s="58">
        <v>0</v>
      </c>
      <c r="T542" s="58">
        <v>0</v>
      </c>
      <c r="U542" s="52">
        <v>15</v>
      </c>
      <c r="V542" s="49" t="s">
        <v>815</v>
      </c>
    </row>
    <row r="543" spans="1:22" hidden="1">
      <c r="A543" s="59" t="s">
        <v>1038</v>
      </c>
      <c r="B543" s="59" t="s">
        <v>72</v>
      </c>
      <c r="C543" s="61" t="s">
        <v>12</v>
      </c>
      <c r="D543" s="61" t="s">
        <v>11</v>
      </c>
      <c r="E543" s="60" t="s">
        <v>11</v>
      </c>
      <c r="F543" s="50" t="s">
        <v>894</v>
      </c>
      <c r="G543" s="50" t="b">
        <v>1</v>
      </c>
      <c r="H543" s="58">
        <v>146</v>
      </c>
      <c r="I543" s="58">
        <v>0</v>
      </c>
      <c r="J543" s="58">
        <v>0</v>
      </c>
      <c r="K543" s="58">
        <v>0</v>
      </c>
      <c r="L543" s="58">
        <v>0</v>
      </c>
      <c r="M543" s="58">
        <v>0</v>
      </c>
      <c r="N543" s="58">
        <v>0</v>
      </c>
      <c r="O543" s="58">
        <v>0</v>
      </c>
      <c r="P543" s="58">
        <v>0</v>
      </c>
      <c r="Q543" s="58">
        <v>0</v>
      </c>
      <c r="R543" s="58">
        <v>0</v>
      </c>
      <c r="S543" s="58">
        <v>0</v>
      </c>
      <c r="T543" s="58">
        <v>0</v>
      </c>
      <c r="U543" s="52">
        <v>146</v>
      </c>
      <c r="V543" s="49" t="s">
        <v>815</v>
      </c>
    </row>
    <row r="544" spans="1:22" hidden="1">
      <c r="A544" s="59" t="s">
        <v>1037</v>
      </c>
      <c r="B544" s="59" t="s">
        <v>73</v>
      </c>
      <c r="C544" s="61" t="s">
        <v>12</v>
      </c>
      <c r="D544" s="61" t="s">
        <v>11</v>
      </c>
      <c r="E544" s="60" t="s">
        <v>11</v>
      </c>
      <c r="F544" s="50" t="s">
        <v>894</v>
      </c>
      <c r="G544" s="50" t="b">
        <v>1</v>
      </c>
      <c r="H544" s="58">
        <v>149.6</v>
      </c>
      <c r="I544" s="58">
        <v>0</v>
      </c>
      <c r="J544" s="58">
        <v>0</v>
      </c>
      <c r="K544" s="58">
        <v>0</v>
      </c>
      <c r="L544" s="58">
        <v>0</v>
      </c>
      <c r="M544" s="58">
        <v>0</v>
      </c>
      <c r="N544" s="58">
        <v>0</v>
      </c>
      <c r="O544" s="58">
        <v>0</v>
      </c>
      <c r="P544" s="58">
        <v>0</v>
      </c>
      <c r="Q544" s="58">
        <v>0</v>
      </c>
      <c r="R544" s="58">
        <v>0</v>
      </c>
      <c r="S544" s="58">
        <v>0</v>
      </c>
      <c r="T544" s="58">
        <v>0</v>
      </c>
      <c r="U544" s="52">
        <v>149.6</v>
      </c>
      <c r="V544" s="49" t="s">
        <v>815</v>
      </c>
    </row>
    <row r="545" spans="1:22" hidden="1">
      <c r="A545" s="59" t="s">
        <v>1036</v>
      </c>
      <c r="B545" s="59" t="s">
        <v>69</v>
      </c>
      <c r="C545" s="61" t="s">
        <v>12</v>
      </c>
      <c r="D545" s="61" t="s">
        <v>47</v>
      </c>
      <c r="E545" s="60" t="s">
        <v>12</v>
      </c>
      <c r="F545" s="50" t="s">
        <v>1034</v>
      </c>
      <c r="G545" s="50" t="b">
        <v>1</v>
      </c>
      <c r="H545" s="58">
        <v>1122</v>
      </c>
      <c r="I545" s="58">
        <v>0</v>
      </c>
      <c r="J545" s="58">
        <v>0</v>
      </c>
      <c r="K545" s="58">
        <v>0</v>
      </c>
      <c r="L545" s="58">
        <v>0</v>
      </c>
      <c r="M545" s="58">
        <v>0</v>
      </c>
      <c r="N545" s="58">
        <v>0</v>
      </c>
      <c r="O545" s="58">
        <v>0</v>
      </c>
      <c r="P545" s="58">
        <v>0</v>
      </c>
      <c r="Q545" s="58">
        <v>0</v>
      </c>
      <c r="R545" s="58">
        <v>0</v>
      </c>
      <c r="S545" s="58">
        <v>0</v>
      </c>
      <c r="T545" s="58">
        <v>0</v>
      </c>
      <c r="U545" s="52">
        <v>1124</v>
      </c>
      <c r="V545" s="49" t="s">
        <v>815</v>
      </c>
    </row>
    <row r="546" spans="1:22" hidden="1">
      <c r="A546" s="59" t="s">
        <v>1035</v>
      </c>
      <c r="B546" s="59" t="s">
        <v>70</v>
      </c>
      <c r="C546" s="61" t="s">
        <v>12</v>
      </c>
      <c r="D546" s="61" t="s">
        <v>47</v>
      </c>
      <c r="E546" s="60" t="s">
        <v>12</v>
      </c>
      <c r="F546" s="50" t="s">
        <v>1034</v>
      </c>
      <c r="G546" s="50" t="b">
        <v>1</v>
      </c>
      <c r="H546" s="58">
        <v>1124</v>
      </c>
      <c r="I546" s="58">
        <v>0</v>
      </c>
      <c r="J546" s="58">
        <v>0</v>
      </c>
      <c r="K546" s="58">
        <v>0</v>
      </c>
      <c r="L546" s="58">
        <v>0</v>
      </c>
      <c r="M546" s="58">
        <v>0</v>
      </c>
      <c r="N546" s="58">
        <v>0</v>
      </c>
      <c r="O546" s="58">
        <v>0</v>
      </c>
      <c r="P546" s="58">
        <v>0</v>
      </c>
      <c r="Q546" s="58">
        <v>0</v>
      </c>
      <c r="R546" s="58">
        <v>0</v>
      </c>
      <c r="S546" s="58">
        <v>0</v>
      </c>
      <c r="T546" s="58">
        <v>0</v>
      </c>
      <c r="U546" s="52">
        <v>1126</v>
      </c>
      <c r="V546" s="49" t="s">
        <v>815</v>
      </c>
    </row>
    <row r="547" spans="1:22" hidden="1">
      <c r="A547" s="59" t="s">
        <v>1033</v>
      </c>
      <c r="B547" s="59" t="s">
        <v>1032</v>
      </c>
      <c r="C547" s="61" t="s">
        <v>10</v>
      </c>
      <c r="D547" s="61" t="s">
        <v>88</v>
      </c>
      <c r="E547" s="60" t="s">
        <v>10</v>
      </c>
      <c r="F547" s="50" t="s">
        <v>827</v>
      </c>
      <c r="G547" s="50" t="b">
        <v>0</v>
      </c>
      <c r="H547" s="58">
        <v>0</v>
      </c>
      <c r="I547" s="58">
        <v>4.7</v>
      </c>
      <c r="J547" s="58">
        <v>5.55</v>
      </c>
      <c r="K547" s="58">
        <v>6.5</v>
      </c>
      <c r="L547" s="58">
        <v>6.39</v>
      </c>
      <c r="M547" s="58">
        <v>6.77</v>
      </c>
      <c r="N547" s="58">
        <v>5.86</v>
      </c>
      <c r="O547" s="58">
        <v>4.37</v>
      </c>
      <c r="P547" s="58">
        <v>3.93</v>
      </c>
      <c r="Q547" s="58">
        <v>3.82</v>
      </c>
      <c r="R547" s="58">
        <v>4.3499999999999996</v>
      </c>
      <c r="S547" s="58">
        <v>4.47</v>
      </c>
      <c r="T547" s="58">
        <v>4.47</v>
      </c>
      <c r="U547" s="52">
        <v>7.1</v>
      </c>
      <c r="V547" s="49" t="s">
        <v>820</v>
      </c>
    </row>
    <row r="548" spans="1:22" hidden="1">
      <c r="A548" s="59" t="s">
        <v>1031</v>
      </c>
      <c r="B548" s="59" t="s">
        <v>1030</v>
      </c>
      <c r="C548" s="61" t="s">
        <v>10</v>
      </c>
      <c r="D548" s="61" t="s">
        <v>817</v>
      </c>
      <c r="E548" s="60" t="s">
        <v>10</v>
      </c>
      <c r="F548" s="50" t="s">
        <v>827</v>
      </c>
      <c r="G548" s="50" t="b">
        <v>0</v>
      </c>
      <c r="H548" s="58">
        <v>0</v>
      </c>
      <c r="I548" s="58">
        <v>1.4</v>
      </c>
      <c r="J548" s="58">
        <v>1.92</v>
      </c>
      <c r="K548" s="58">
        <v>3.77</v>
      </c>
      <c r="L548" s="58">
        <v>3.13</v>
      </c>
      <c r="M548" s="58">
        <v>2.87</v>
      </c>
      <c r="N548" s="58">
        <v>2.66</v>
      </c>
      <c r="O548" s="58">
        <v>5.81</v>
      </c>
      <c r="P548" s="58">
        <v>5.47</v>
      </c>
      <c r="Q548" s="58">
        <v>4.6100000000000003</v>
      </c>
      <c r="R548" s="58">
        <v>3.59</v>
      </c>
      <c r="S548" s="58">
        <v>1.64</v>
      </c>
      <c r="T548" s="58">
        <v>1.05</v>
      </c>
      <c r="U548" s="52">
        <v>6.5</v>
      </c>
      <c r="V548" s="49" t="s">
        <v>820</v>
      </c>
    </row>
    <row r="549" spans="1:22" hidden="1">
      <c r="A549" s="59" t="s">
        <v>1029</v>
      </c>
      <c r="B549" s="59" t="s">
        <v>1028</v>
      </c>
      <c r="C549" s="61" t="s">
        <v>10</v>
      </c>
      <c r="D549" s="61" t="s">
        <v>817</v>
      </c>
      <c r="E549" s="60" t="s">
        <v>10</v>
      </c>
      <c r="F549" s="50" t="s">
        <v>827</v>
      </c>
      <c r="G549" s="50" t="b">
        <v>0</v>
      </c>
      <c r="H549" s="58">
        <v>0</v>
      </c>
      <c r="I549" s="58">
        <v>5.93</v>
      </c>
      <c r="J549" s="58">
        <v>6.14</v>
      </c>
      <c r="K549" s="58">
        <v>9.43</v>
      </c>
      <c r="L549" s="58">
        <v>11.12</v>
      </c>
      <c r="M549" s="58">
        <v>11.4</v>
      </c>
      <c r="N549" s="58">
        <v>11.4</v>
      </c>
      <c r="O549" s="58">
        <v>11.4</v>
      </c>
      <c r="P549" s="58">
        <v>9.91</v>
      </c>
      <c r="Q549" s="58">
        <v>7.73</v>
      </c>
      <c r="R549" s="58">
        <v>9.06</v>
      </c>
      <c r="S549" s="58">
        <v>9.5399999999999991</v>
      </c>
      <c r="T549" s="58">
        <v>7.93</v>
      </c>
      <c r="U549" s="52">
        <v>11.4</v>
      </c>
      <c r="V549" s="49" t="s">
        <v>820</v>
      </c>
    </row>
    <row r="550" spans="1:22" hidden="1">
      <c r="A550" s="59" t="s">
        <v>1027</v>
      </c>
      <c r="B550" s="59" t="s">
        <v>1026</v>
      </c>
      <c r="C550" s="61" t="s">
        <v>10</v>
      </c>
      <c r="D550" s="61" t="s">
        <v>88</v>
      </c>
      <c r="E550" s="60" t="s">
        <v>10</v>
      </c>
      <c r="F550" s="50" t="s">
        <v>824</v>
      </c>
      <c r="G550" s="50" t="b">
        <v>0</v>
      </c>
      <c r="H550" s="58">
        <v>0</v>
      </c>
      <c r="I550" s="58">
        <v>9.51</v>
      </c>
      <c r="J550" s="58">
        <v>8.91</v>
      </c>
      <c r="K550" s="58">
        <v>7.96</v>
      </c>
      <c r="L550" s="58">
        <v>9.9700000000000006</v>
      </c>
      <c r="M550" s="58">
        <v>12.2</v>
      </c>
      <c r="N550" s="58">
        <v>13.72</v>
      </c>
      <c r="O550" s="58">
        <v>13.93</v>
      </c>
      <c r="P550" s="58">
        <v>13.67</v>
      </c>
      <c r="Q550" s="58">
        <v>13.18</v>
      </c>
      <c r="R550" s="58">
        <v>9.8800000000000008</v>
      </c>
      <c r="S550" s="58">
        <v>9.16</v>
      </c>
      <c r="T550" s="58">
        <v>11.05</v>
      </c>
      <c r="U550" s="52">
        <v>22</v>
      </c>
      <c r="V550" s="49" t="s">
        <v>820</v>
      </c>
    </row>
    <row r="551" spans="1:22" hidden="1">
      <c r="A551" s="59" t="s">
        <v>1025</v>
      </c>
      <c r="B551" s="59" t="s">
        <v>1025</v>
      </c>
      <c r="C551" s="61" t="s">
        <v>10</v>
      </c>
      <c r="D551" s="61" t="s">
        <v>88</v>
      </c>
      <c r="E551" s="60" t="s">
        <v>10</v>
      </c>
      <c r="F551" s="50" t="s">
        <v>827</v>
      </c>
      <c r="G551" s="50" t="b">
        <v>0</v>
      </c>
      <c r="H551" s="58">
        <v>0</v>
      </c>
      <c r="I551" s="58">
        <v>0.02</v>
      </c>
      <c r="J551" s="58">
        <v>0.25</v>
      </c>
      <c r="K551" s="58">
        <v>1.29</v>
      </c>
      <c r="L551" s="58">
        <v>1.07</v>
      </c>
      <c r="M551" s="58">
        <v>0.96</v>
      </c>
      <c r="N551" s="58">
        <v>0</v>
      </c>
      <c r="O551" s="58">
        <v>0</v>
      </c>
      <c r="P551" s="58">
        <v>0</v>
      </c>
      <c r="Q551" s="58">
        <v>0</v>
      </c>
      <c r="R551" s="58">
        <v>0</v>
      </c>
      <c r="S551" s="58">
        <v>0</v>
      </c>
      <c r="T551" s="58">
        <v>0</v>
      </c>
      <c r="U551" s="52">
        <v>3</v>
      </c>
      <c r="V551" s="49" t="s">
        <v>820</v>
      </c>
    </row>
    <row r="552" spans="1:22" hidden="1">
      <c r="A552" s="59" t="s">
        <v>1024</v>
      </c>
      <c r="B552" s="59" t="s">
        <v>1023</v>
      </c>
      <c r="C552" s="61" t="s">
        <v>10</v>
      </c>
      <c r="D552" s="61" t="s">
        <v>817</v>
      </c>
      <c r="E552" s="60" t="s">
        <v>10</v>
      </c>
      <c r="F552" s="50" t="s">
        <v>824</v>
      </c>
      <c r="G552" s="50" t="b">
        <v>0</v>
      </c>
      <c r="H552" s="58">
        <v>0</v>
      </c>
      <c r="I552" s="58">
        <v>8.2200000000000006</v>
      </c>
      <c r="J552" s="58">
        <v>8.17</v>
      </c>
      <c r="K552" s="58">
        <v>8.5</v>
      </c>
      <c r="L552" s="58">
        <v>7.07</v>
      </c>
      <c r="M552" s="58">
        <v>9.52</v>
      </c>
      <c r="N552" s="58">
        <v>10.63</v>
      </c>
      <c r="O552" s="58">
        <v>10.78</v>
      </c>
      <c r="P552" s="58">
        <v>10.55</v>
      </c>
      <c r="Q552" s="58">
        <v>9.6300000000000008</v>
      </c>
      <c r="R552" s="58">
        <v>9.81</v>
      </c>
      <c r="S552" s="58">
        <v>8.6300000000000008</v>
      </c>
      <c r="T552" s="58">
        <v>9.1300000000000008</v>
      </c>
      <c r="U552" s="52">
        <v>17.2</v>
      </c>
      <c r="V552" s="49" t="s">
        <v>820</v>
      </c>
    </row>
    <row r="553" spans="1:22" hidden="1">
      <c r="A553" s="59" t="s">
        <v>1022</v>
      </c>
      <c r="B553" s="59" t="s">
        <v>1021</v>
      </c>
      <c r="C553" s="61" t="s">
        <v>10</v>
      </c>
      <c r="D553" s="61" t="s">
        <v>88</v>
      </c>
      <c r="E553" s="60" t="s">
        <v>10</v>
      </c>
      <c r="F553" s="50" t="s">
        <v>824</v>
      </c>
      <c r="G553" s="50" t="b">
        <v>0</v>
      </c>
      <c r="H553" s="58">
        <v>0</v>
      </c>
      <c r="I553" s="58">
        <v>0.57999999999999996</v>
      </c>
      <c r="J553" s="58">
        <v>0.55000000000000004</v>
      </c>
      <c r="K553" s="58">
        <v>0.65</v>
      </c>
      <c r="L553" s="58">
        <v>0.83</v>
      </c>
      <c r="M553" s="58">
        <v>0.69</v>
      </c>
      <c r="N553" s="58">
        <v>0.87</v>
      </c>
      <c r="O553" s="58">
        <v>0.98</v>
      </c>
      <c r="P553" s="58">
        <v>0.85</v>
      </c>
      <c r="Q553" s="58">
        <v>0.75</v>
      </c>
      <c r="R553" s="58">
        <v>0.63</v>
      </c>
      <c r="S553" s="58">
        <v>0.53</v>
      </c>
      <c r="T553" s="58">
        <v>0.65</v>
      </c>
      <c r="U553" s="52">
        <v>5.7</v>
      </c>
      <c r="V553" s="49" t="s">
        <v>820</v>
      </c>
    </row>
    <row r="554" spans="1:22" hidden="1">
      <c r="A554" s="59" t="s">
        <v>1020</v>
      </c>
      <c r="B554" s="59" t="s">
        <v>1019</v>
      </c>
      <c r="C554" s="61" t="s">
        <v>10</v>
      </c>
      <c r="D554" s="61" t="s">
        <v>88</v>
      </c>
      <c r="E554" s="60" t="s">
        <v>10</v>
      </c>
      <c r="F554" s="50" t="s">
        <v>827</v>
      </c>
      <c r="G554" s="50" t="b">
        <v>0</v>
      </c>
      <c r="H554" s="58">
        <v>6</v>
      </c>
      <c r="I554" s="58">
        <v>0</v>
      </c>
      <c r="J554" s="58">
        <v>0</v>
      </c>
      <c r="K554" s="58">
        <v>0</v>
      </c>
      <c r="L554" s="58">
        <v>0</v>
      </c>
      <c r="M554" s="58">
        <v>0</v>
      </c>
      <c r="N554" s="58">
        <v>0</v>
      </c>
      <c r="O554" s="58">
        <v>0</v>
      </c>
      <c r="P554" s="58">
        <v>0</v>
      </c>
      <c r="Q554" s="58">
        <v>0</v>
      </c>
      <c r="R554" s="58">
        <v>0</v>
      </c>
      <c r="S554" s="58">
        <v>0</v>
      </c>
      <c r="T554" s="58">
        <v>0</v>
      </c>
      <c r="U554" s="52">
        <v>6</v>
      </c>
      <c r="V554" s="49" t="s">
        <v>948</v>
      </c>
    </row>
    <row r="555" spans="1:22" hidden="1">
      <c r="A555" s="59" t="s">
        <v>1018</v>
      </c>
      <c r="B555" s="59" t="s">
        <v>1017</v>
      </c>
      <c r="C555" s="61" t="s">
        <v>10</v>
      </c>
      <c r="D555" s="61" t="s">
        <v>869</v>
      </c>
      <c r="E555" s="60" t="s">
        <v>10</v>
      </c>
      <c r="F555" s="50" t="s">
        <v>824</v>
      </c>
      <c r="G555" s="50" t="b">
        <v>0</v>
      </c>
      <c r="H555" s="58">
        <v>0</v>
      </c>
      <c r="I555" s="58">
        <v>1.44</v>
      </c>
      <c r="J555" s="58">
        <v>1.48</v>
      </c>
      <c r="K555" s="58">
        <v>1.42</v>
      </c>
      <c r="L555" s="58">
        <v>1.32</v>
      </c>
      <c r="M555" s="58">
        <v>1.33</v>
      </c>
      <c r="N555" s="58">
        <v>1.36</v>
      </c>
      <c r="O555" s="58">
        <v>1.82</v>
      </c>
      <c r="P555" s="58">
        <v>2.2799999999999998</v>
      </c>
      <c r="Q555" s="58">
        <v>2.79</v>
      </c>
      <c r="R555" s="58">
        <v>1.53</v>
      </c>
      <c r="S555" s="58">
        <v>1.45</v>
      </c>
      <c r="T555" s="58">
        <v>1.04</v>
      </c>
      <c r="U555" s="52">
        <v>3</v>
      </c>
      <c r="V555" s="49" t="s">
        <v>820</v>
      </c>
    </row>
    <row r="556" spans="1:22" hidden="1">
      <c r="A556" s="59" t="s">
        <v>1016</v>
      </c>
      <c r="B556" s="59" t="s">
        <v>1015</v>
      </c>
      <c r="C556" s="61" t="s">
        <v>10</v>
      </c>
      <c r="D556" s="61" t="s">
        <v>88</v>
      </c>
      <c r="E556" s="60" t="s">
        <v>10</v>
      </c>
      <c r="F556" s="50" t="s">
        <v>824</v>
      </c>
      <c r="G556" s="50" t="b">
        <v>0</v>
      </c>
      <c r="H556" s="58">
        <v>0</v>
      </c>
      <c r="I556" s="58">
        <v>15.2</v>
      </c>
      <c r="J556" s="58">
        <v>10.199999999999999</v>
      </c>
      <c r="K556" s="58">
        <v>14.19</v>
      </c>
      <c r="L556" s="58">
        <v>15.11</v>
      </c>
      <c r="M556" s="58">
        <v>14.61</v>
      </c>
      <c r="N556" s="58">
        <v>16.940000000000001</v>
      </c>
      <c r="O556" s="58">
        <v>18.91</v>
      </c>
      <c r="P556" s="58">
        <v>19.71</v>
      </c>
      <c r="Q556" s="58">
        <v>19.420000000000002</v>
      </c>
      <c r="R556" s="58">
        <v>16.93</v>
      </c>
      <c r="S556" s="58">
        <v>12.72</v>
      </c>
      <c r="T556" s="58">
        <v>11.44</v>
      </c>
      <c r="U556" s="52">
        <v>22</v>
      </c>
      <c r="V556" s="49" t="s">
        <v>820</v>
      </c>
    </row>
    <row r="557" spans="1:22" hidden="1">
      <c r="A557" s="59" t="s">
        <v>1014</v>
      </c>
      <c r="B557" s="59" t="s">
        <v>1013</v>
      </c>
      <c r="C557" s="61" t="s">
        <v>10</v>
      </c>
      <c r="D557" s="61" t="s">
        <v>869</v>
      </c>
      <c r="E557" s="60" t="s">
        <v>10</v>
      </c>
      <c r="F557" s="50" t="s">
        <v>827</v>
      </c>
      <c r="G557" s="50" t="b">
        <v>0</v>
      </c>
      <c r="H557" s="58">
        <v>0</v>
      </c>
      <c r="I557" s="58">
        <v>3.27</v>
      </c>
      <c r="J557" s="58">
        <v>3.99</v>
      </c>
      <c r="K557" s="58">
        <v>5.91</v>
      </c>
      <c r="L557" s="58">
        <v>6.31</v>
      </c>
      <c r="M557" s="58">
        <v>6.48</v>
      </c>
      <c r="N557" s="58">
        <v>5.53</v>
      </c>
      <c r="O557" s="58">
        <v>1.07</v>
      </c>
      <c r="P557" s="58">
        <v>0.02</v>
      </c>
      <c r="Q557" s="58">
        <v>1.46</v>
      </c>
      <c r="R557" s="58">
        <v>2.5099999999999998</v>
      </c>
      <c r="S557" s="58">
        <v>3.51</v>
      </c>
      <c r="T557" s="58">
        <v>4.21</v>
      </c>
      <c r="U557" s="52">
        <v>7</v>
      </c>
      <c r="V557" s="49" t="s">
        <v>820</v>
      </c>
    </row>
    <row r="558" spans="1:22">
      <c r="A558" s="59" t="s">
        <v>1012</v>
      </c>
      <c r="B558" s="59" t="s">
        <v>1011</v>
      </c>
      <c r="C558" s="61" t="s">
        <v>12</v>
      </c>
      <c r="D558" s="61" t="s">
        <v>52</v>
      </c>
      <c r="E558" s="60" t="s">
        <v>12</v>
      </c>
      <c r="F558" s="50" t="s">
        <v>872</v>
      </c>
      <c r="G558" s="50" t="b">
        <v>0</v>
      </c>
      <c r="H558" s="58">
        <v>0</v>
      </c>
      <c r="I558" s="58">
        <v>0.4</v>
      </c>
      <c r="J558" s="58">
        <v>0.39</v>
      </c>
      <c r="K558" s="58">
        <v>0.34</v>
      </c>
      <c r="L558" s="58">
        <v>0.28000000000000003</v>
      </c>
      <c r="M558" s="58">
        <v>0.51</v>
      </c>
      <c r="N558" s="58">
        <v>0.5</v>
      </c>
      <c r="O558" s="58">
        <v>0.44</v>
      </c>
      <c r="P558" s="58">
        <v>0.19</v>
      </c>
      <c r="Q558" s="58">
        <v>0.23</v>
      </c>
      <c r="R558" s="58">
        <v>0.22</v>
      </c>
      <c r="S558" s="58">
        <v>0.22</v>
      </c>
      <c r="T558" s="58">
        <v>0.26</v>
      </c>
      <c r="U558" s="52">
        <v>2.6</v>
      </c>
      <c r="V558" s="49" t="s">
        <v>820</v>
      </c>
    </row>
    <row r="559" spans="1:22" hidden="1">
      <c r="A559" s="59" t="s">
        <v>1010</v>
      </c>
      <c r="B559" s="59" t="s">
        <v>1009</v>
      </c>
      <c r="C559" s="61" t="s">
        <v>12</v>
      </c>
      <c r="D559" s="61" t="s">
        <v>52</v>
      </c>
      <c r="E559" s="60" t="s">
        <v>12</v>
      </c>
      <c r="F559" s="50" t="s">
        <v>827</v>
      </c>
      <c r="G559" s="50" t="b">
        <v>0</v>
      </c>
      <c r="H559" s="58">
        <v>0</v>
      </c>
      <c r="I559" s="58">
        <v>1.59</v>
      </c>
      <c r="J559" s="58">
        <v>2.44</v>
      </c>
      <c r="K559" s="58">
        <v>3.74</v>
      </c>
      <c r="L559" s="58">
        <v>4.2699999999999996</v>
      </c>
      <c r="M559" s="58">
        <v>4.83</v>
      </c>
      <c r="N559" s="58">
        <v>2.63</v>
      </c>
      <c r="O559" s="58">
        <v>0.78</v>
      </c>
      <c r="P559" s="58">
        <v>0.23</v>
      </c>
      <c r="Q559" s="58">
        <v>0</v>
      </c>
      <c r="R559" s="58">
        <v>0.21</v>
      </c>
      <c r="S559" s="58">
        <v>0.31</v>
      </c>
      <c r="T559" s="58">
        <v>0.76</v>
      </c>
      <c r="U559" s="52">
        <v>6.4</v>
      </c>
      <c r="V559" s="49" t="s">
        <v>820</v>
      </c>
    </row>
    <row r="560" spans="1:22" hidden="1">
      <c r="A560" s="59" t="s">
        <v>1008</v>
      </c>
      <c r="B560" s="59" t="s">
        <v>1007</v>
      </c>
      <c r="C560" s="61" t="s">
        <v>12</v>
      </c>
      <c r="D560" s="61" t="s">
        <v>52</v>
      </c>
      <c r="E560" s="60" t="s">
        <v>12</v>
      </c>
      <c r="F560" s="50" t="s">
        <v>827</v>
      </c>
      <c r="G560" s="50" t="b">
        <v>0</v>
      </c>
      <c r="H560" s="58">
        <v>0</v>
      </c>
      <c r="I560" s="58">
        <v>1.98</v>
      </c>
      <c r="J560" s="58">
        <v>2.34</v>
      </c>
      <c r="K560" s="58">
        <v>2.37</v>
      </c>
      <c r="L560" s="58">
        <v>2.39</v>
      </c>
      <c r="M560" s="58">
        <v>2.25</v>
      </c>
      <c r="N560" s="58">
        <v>1.87</v>
      </c>
      <c r="O560" s="58">
        <v>0.91</v>
      </c>
      <c r="P560" s="58">
        <v>0.42</v>
      </c>
      <c r="Q560" s="58">
        <v>0.22</v>
      </c>
      <c r="R560" s="58">
        <v>0.35</v>
      </c>
      <c r="S560" s="58">
        <v>0.39</v>
      </c>
      <c r="T560" s="58">
        <v>0.89</v>
      </c>
      <c r="U560" s="52">
        <v>2.5</v>
      </c>
      <c r="V560" s="49" t="s">
        <v>820</v>
      </c>
    </row>
    <row r="561" spans="1:36" hidden="1">
      <c r="A561" s="59" t="s">
        <v>1006</v>
      </c>
      <c r="B561" s="59" t="s">
        <v>1005</v>
      </c>
      <c r="C561" s="61" t="s">
        <v>10</v>
      </c>
      <c r="D561" s="61" t="s">
        <v>32</v>
      </c>
      <c r="E561" s="60" t="s">
        <v>10</v>
      </c>
      <c r="F561" s="50" t="s">
        <v>821</v>
      </c>
      <c r="G561" s="50" t="b">
        <v>0</v>
      </c>
      <c r="H561" s="58">
        <v>0</v>
      </c>
      <c r="I561" s="58">
        <v>0.96</v>
      </c>
      <c r="J561" s="58">
        <v>0.93</v>
      </c>
      <c r="K561" s="58">
        <v>0.9</v>
      </c>
      <c r="L561" s="58">
        <v>0.4</v>
      </c>
      <c r="M561" s="58">
        <v>1.33</v>
      </c>
      <c r="N561" s="58">
        <v>0.9</v>
      </c>
      <c r="O561" s="58">
        <v>0.63</v>
      </c>
      <c r="P561" s="58">
        <v>0.63</v>
      </c>
      <c r="Q561" s="58">
        <v>0.89</v>
      </c>
      <c r="R561" s="58">
        <v>1.1399999999999999</v>
      </c>
      <c r="S561" s="58">
        <v>1.07</v>
      </c>
      <c r="T561" s="58">
        <v>1.17</v>
      </c>
      <c r="U561" s="52">
        <v>6.9</v>
      </c>
      <c r="V561" s="49" t="s">
        <v>820</v>
      </c>
    </row>
    <row r="562" spans="1:36" hidden="1">
      <c r="A562" s="59" t="s">
        <v>1004</v>
      </c>
      <c r="B562" s="59" t="s">
        <v>1003</v>
      </c>
      <c r="C562" s="61" t="s">
        <v>10</v>
      </c>
      <c r="D562" s="61" t="s">
        <v>869</v>
      </c>
      <c r="E562" s="60" t="s">
        <v>10</v>
      </c>
      <c r="F562" s="50" t="s">
        <v>827</v>
      </c>
      <c r="G562" s="50" t="b">
        <v>0</v>
      </c>
      <c r="H562" s="58">
        <v>0</v>
      </c>
      <c r="I562" s="58">
        <v>91</v>
      </c>
      <c r="J562" s="58">
        <v>91</v>
      </c>
      <c r="K562" s="58">
        <v>91</v>
      </c>
      <c r="L562" s="58">
        <v>91</v>
      </c>
      <c r="M562" s="58">
        <v>91</v>
      </c>
      <c r="N562" s="58">
        <v>91</v>
      </c>
      <c r="O562" s="58">
        <v>91</v>
      </c>
      <c r="P562" s="58">
        <v>91</v>
      </c>
      <c r="Q562" s="58">
        <v>91</v>
      </c>
      <c r="R562" s="58">
        <v>91</v>
      </c>
      <c r="S562" s="58">
        <v>91</v>
      </c>
      <c r="T562" s="58">
        <v>91</v>
      </c>
      <c r="U562" s="52">
        <v>91</v>
      </c>
      <c r="V562" s="49" t="s">
        <v>820</v>
      </c>
    </row>
    <row r="563" spans="1:36" hidden="1">
      <c r="A563" s="59" t="s">
        <v>1002</v>
      </c>
      <c r="B563" s="59" t="s">
        <v>1001</v>
      </c>
      <c r="C563" s="61" t="s">
        <v>10</v>
      </c>
      <c r="D563" s="61" t="s">
        <v>32</v>
      </c>
      <c r="E563" s="60" t="s">
        <v>10</v>
      </c>
      <c r="F563" s="50" t="s">
        <v>821</v>
      </c>
      <c r="G563" s="50" t="b">
        <v>0</v>
      </c>
      <c r="H563" s="58">
        <v>0</v>
      </c>
      <c r="I563" s="58">
        <v>0.11</v>
      </c>
      <c r="J563" s="58">
        <v>0.25</v>
      </c>
      <c r="K563" s="58">
        <v>0.24</v>
      </c>
      <c r="L563" s="58">
        <v>0.24</v>
      </c>
      <c r="M563" s="58">
        <v>0.04</v>
      </c>
      <c r="N563" s="58">
        <v>7.0000000000000007E-2</v>
      </c>
      <c r="O563" s="58">
        <v>0.03</v>
      </c>
      <c r="P563" s="58">
        <v>0.03</v>
      </c>
      <c r="Q563" s="58">
        <v>0.12</v>
      </c>
      <c r="R563" s="58">
        <v>0.18</v>
      </c>
      <c r="S563" s="58">
        <v>0.32</v>
      </c>
      <c r="T563" s="58">
        <v>0.14000000000000001</v>
      </c>
      <c r="U563" s="52">
        <v>4.5999999999999996</v>
      </c>
      <c r="V563" s="49" t="s">
        <v>820</v>
      </c>
    </row>
    <row r="564" spans="1:36" hidden="1">
      <c r="A564" s="59" t="s">
        <v>1000</v>
      </c>
      <c r="B564" s="59" t="s">
        <v>999</v>
      </c>
      <c r="C564" s="61" t="s">
        <v>10</v>
      </c>
      <c r="D564" s="61" t="s">
        <v>817</v>
      </c>
      <c r="E564" s="60" t="s">
        <v>10</v>
      </c>
      <c r="F564" s="50" t="s">
        <v>816</v>
      </c>
      <c r="G564" s="50" t="b">
        <v>0</v>
      </c>
      <c r="H564" s="58">
        <v>49.5</v>
      </c>
      <c r="I564" s="58">
        <v>0</v>
      </c>
      <c r="J564" s="58">
        <v>0</v>
      </c>
      <c r="K564" s="58">
        <v>0</v>
      </c>
      <c r="L564" s="58">
        <v>0</v>
      </c>
      <c r="M564" s="58">
        <v>0</v>
      </c>
      <c r="N564" s="58">
        <v>0</v>
      </c>
      <c r="O564" s="58">
        <v>0</v>
      </c>
      <c r="P564" s="58">
        <v>0</v>
      </c>
      <c r="Q564" s="58">
        <v>0</v>
      </c>
      <c r="R564" s="58">
        <v>0</v>
      </c>
      <c r="S564" s="58">
        <v>0</v>
      </c>
      <c r="T564" s="58">
        <v>0</v>
      </c>
      <c r="U564" s="52">
        <v>49.9</v>
      </c>
      <c r="V564" s="49" t="s">
        <v>948</v>
      </c>
    </row>
    <row r="565" spans="1:36" hidden="1">
      <c r="A565" s="59" t="s">
        <v>998</v>
      </c>
      <c r="B565" s="59" t="s">
        <v>997</v>
      </c>
      <c r="C565" s="61" t="s">
        <v>10</v>
      </c>
      <c r="D565" s="61" t="s">
        <v>869</v>
      </c>
      <c r="E565" s="60" t="s">
        <v>10</v>
      </c>
      <c r="F565" s="50" t="s">
        <v>824</v>
      </c>
      <c r="G565" s="50" t="b">
        <v>0</v>
      </c>
      <c r="H565" s="58">
        <v>0</v>
      </c>
      <c r="I565" s="58">
        <v>12.64</v>
      </c>
      <c r="J565" s="58">
        <v>16.05</v>
      </c>
      <c r="K565" s="58">
        <v>11.88</v>
      </c>
      <c r="L565" s="58">
        <v>16.02</v>
      </c>
      <c r="M565" s="58">
        <v>16.55</v>
      </c>
      <c r="N565" s="58">
        <v>15.26</v>
      </c>
      <c r="O565" s="58">
        <v>16.95</v>
      </c>
      <c r="P565" s="58">
        <v>15.72</v>
      </c>
      <c r="Q565" s="58">
        <v>11.26</v>
      </c>
      <c r="R565" s="58">
        <v>17.190000000000001</v>
      </c>
      <c r="S565" s="58">
        <v>13.22</v>
      </c>
      <c r="T565" s="58">
        <v>14.97</v>
      </c>
      <c r="U565" s="52">
        <v>22.3</v>
      </c>
      <c r="V565" s="49" t="s">
        <v>820</v>
      </c>
    </row>
    <row r="566" spans="1:36" hidden="1">
      <c r="A566" s="59" t="s">
        <v>996</v>
      </c>
      <c r="B566" s="59" t="s">
        <v>995</v>
      </c>
      <c r="C566" s="61" t="s">
        <v>10</v>
      </c>
      <c r="D566" s="61" t="s">
        <v>32</v>
      </c>
      <c r="E566" s="60" t="s">
        <v>10</v>
      </c>
      <c r="F566" s="50" t="s">
        <v>821</v>
      </c>
      <c r="G566" s="50" t="b">
        <v>0</v>
      </c>
      <c r="H566" s="58">
        <v>0</v>
      </c>
      <c r="I566" s="58">
        <v>10.54</v>
      </c>
      <c r="J566" s="58">
        <v>14.39</v>
      </c>
      <c r="K566" s="58">
        <v>10.1</v>
      </c>
      <c r="L566" s="58">
        <v>0.28999999999999998</v>
      </c>
      <c r="M566" s="58">
        <v>0.7</v>
      </c>
      <c r="N566" s="58">
        <v>0.32</v>
      </c>
      <c r="O566" s="58">
        <v>3.23</v>
      </c>
      <c r="P566" s="58">
        <v>2.82</v>
      </c>
      <c r="Q566" s="58">
        <v>0.02</v>
      </c>
      <c r="R566" s="58">
        <v>0.04</v>
      </c>
      <c r="S566" s="58">
        <v>0.46</v>
      </c>
      <c r="T566" s="58">
        <v>0.99</v>
      </c>
      <c r="U566" s="52">
        <v>113.9</v>
      </c>
      <c r="V566" s="49" t="s">
        <v>820</v>
      </c>
    </row>
    <row r="567" spans="1:36" hidden="1">
      <c r="A567" s="59" t="s">
        <v>994</v>
      </c>
      <c r="B567" s="59" t="s">
        <v>993</v>
      </c>
      <c r="C567" s="61" t="s">
        <v>10</v>
      </c>
      <c r="D567" s="61" t="s">
        <v>869</v>
      </c>
      <c r="E567" s="60" t="s">
        <v>10</v>
      </c>
      <c r="F567" s="50" t="s">
        <v>821</v>
      </c>
      <c r="G567" s="50" t="b">
        <v>0</v>
      </c>
      <c r="H567" s="58">
        <v>0</v>
      </c>
      <c r="I567" s="58">
        <v>44.67</v>
      </c>
      <c r="J567" s="58">
        <v>46.37</v>
      </c>
      <c r="K567" s="58">
        <v>43.63</v>
      </c>
      <c r="L567" s="58">
        <v>41.63</v>
      </c>
      <c r="M567" s="58">
        <v>25.2</v>
      </c>
      <c r="N567" s="58">
        <v>47.05</v>
      </c>
      <c r="O567" s="58">
        <v>46.6</v>
      </c>
      <c r="P567" s="58">
        <v>42.74</v>
      </c>
      <c r="Q567" s="58">
        <v>47.92</v>
      </c>
      <c r="R567" s="58">
        <v>45.74</v>
      </c>
      <c r="S567" s="58">
        <v>48.2</v>
      </c>
      <c r="T567" s="58">
        <v>48.87</v>
      </c>
      <c r="U567" s="52">
        <v>63</v>
      </c>
      <c r="V567" s="49" t="s">
        <v>820</v>
      </c>
    </row>
    <row r="568" spans="1:36" hidden="1">
      <c r="A568" s="59" t="s">
        <v>992</v>
      </c>
      <c r="B568" s="59" t="s">
        <v>991</v>
      </c>
      <c r="C568" s="61" t="s">
        <v>10</v>
      </c>
      <c r="D568" s="61" t="s">
        <v>828</v>
      </c>
      <c r="E568" s="60" t="s">
        <v>10</v>
      </c>
      <c r="F568" s="50" t="s">
        <v>827</v>
      </c>
      <c r="G568" s="50" t="b">
        <v>0</v>
      </c>
      <c r="H568" s="58">
        <v>0</v>
      </c>
      <c r="I568" s="58">
        <v>0</v>
      </c>
      <c r="J568" s="58">
        <v>0</v>
      </c>
      <c r="K568" s="58">
        <v>0</v>
      </c>
      <c r="L568" s="58">
        <v>0.16</v>
      </c>
      <c r="M568" s="58">
        <v>0.91</v>
      </c>
      <c r="N568" s="58">
        <v>1.45</v>
      </c>
      <c r="O568" s="58">
        <v>1.49</v>
      </c>
      <c r="P568" s="58">
        <v>0.88</v>
      </c>
      <c r="Q568" s="58">
        <v>0.14000000000000001</v>
      </c>
      <c r="R568" s="58">
        <v>7.0000000000000007E-2</v>
      </c>
      <c r="S568" s="58">
        <v>0.16</v>
      </c>
      <c r="T568" s="58">
        <v>0</v>
      </c>
      <c r="U568" s="52">
        <v>3.75</v>
      </c>
      <c r="V568" s="49" t="s">
        <v>820</v>
      </c>
    </row>
    <row r="569" spans="1:36" hidden="1">
      <c r="A569" s="59" t="s">
        <v>990</v>
      </c>
      <c r="B569" s="59" t="s">
        <v>989</v>
      </c>
      <c r="C569" s="61" t="s">
        <v>10</v>
      </c>
      <c r="D569" s="61" t="s">
        <v>88</v>
      </c>
      <c r="E569" s="60" t="s">
        <v>10</v>
      </c>
      <c r="F569" s="50" t="s">
        <v>821</v>
      </c>
      <c r="G569" s="50" t="b">
        <v>0</v>
      </c>
      <c r="H569" s="58">
        <v>0</v>
      </c>
      <c r="I569" s="58">
        <v>0.01</v>
      </c>
      <c r="J569" s="58">
        <v>0.01</v>
      </c>
      <c r="K569" s="58">
        <v>0.02</v>
      </c>
      <c r="L569" s="58">
        <v>0.02</v>
      </c>
      <c r="M569" s="58">
        <v>0.02</v>
      </c>
      <c r="N569" s="58">
        <v>0.02</v>
      </c>
      <c r="O569" s="58">
        <v>0.01</v>
      </c>
      <c r="P569" s="58">
        <v>0.01</v>
      </c>
      <c r="Q569" s="58">
        <v>0.01</v>
      </c>
      <c r="R569" s="58">
        <v>0.01</v>
      </c>
      <c r="S569" s="58">
        <v>0.01</v>
      </c>
      <c r="T569" s="58">
        <v>0.01</v>
      </c>
      <c r="U569" s="52">
        <v>1.25</v>
      </c>
      <c r="V569" s="49" t="s">
        <v>820</v>
      </c>
    </row>
    <row r="570" spans="1:36" hidden="1">
      <c r="A570" s="59" t="s">
        <v>988</v>
      </c>
      <c r="B570" s="59" t="s">
        <v>987</v>
      </c>
      <c r="C570" s="61" t="s">
        <v>10</v>
      </c>
      <c r="D570" s="61" t="s">
        <v>88</v>
      </c>
      <c r="E570" s="60" t="s">
        <v>10</v>
      </c>
      <c r="F570" s="50" t="s">
        <v>894</v>
      </c>
      <c r="G570" s="50" t="b">
        <v>0</v>
      </c>
      <c r="H570" s="58">
        <v>580</v>
      </c>
      <c r="I570" s="58">
        <v>0</v>
      </c>
      <c r="J570" s="58">
        <v>0</v>
      </c>
      <c r="K570" s="58">
        <v>0</v>
      </c>
      <c r="L570" s="58">
        <v>0</v>
      </c>
      <c r="M570" s="58">
        <v>0</v>
      </c>
      <c r="N570" s="58">
        <v>0</v>
      </c>
      <c r="O570" s="58">
        <v>0</v>
      </c>
      <c r="P570" s="58">
        <v>0</v>
      </c>
      <c r="Q570" s="58">
        <v>0</v>
      </c>
      <c r="R570" s="58">
        <v>0</v>
      </c>
      <c r="S570" s="58">
        <v>0</v>
      </c>
      <c r="T570" s="58">
        <v>0</v>
      </c>
      <c r="U570" s="52">
        <v>590</v>
      </c>
      <c r="V570" s="49" t="s">
        <v>815</v>
      </c>
    </row>
    <row r="571" spans="1:36" hidden="1">
      <c r="A571" s="59" t="s">
        <v>986</v>
      </c>
      <c r="B571" s="59" t="s">
        <v>985</v>
      </c>
      <c r="C571" s="61" t="s">
        <v>10</v>
      </c>
      <c r="D571" s="61" t="s">
        <v>88</v>
      </c>
      <c r="E571" s="60" t="s">
        <v>10</v>
      </c>
      <c r="F571" s="50" t="s">
        <v>821</v>
      </c>
      <c r="G571" s="50" t="b">
        <v>0</v>
      </c>
      <c r="H571" s="58">
        <v>0</v>
      </c>
      <c r="I571" s="58">
        <v>216.94</v>
      </c>
      <c r="J571" s="58">
        <v>217.99</v>
      </c>
      <c r="K571" s="58">
        <v>181.48</v>
      </c>
      <c r="L571" s="58">
        <v>189.97</v>
      </c>
      <c r="M571" s="58">
        <v>208.84</v>
      </c>
      <c r="N571" s="58">
        <v>206.61</v>
      </c>
      <c r="O571" s="58">
        <v>202.22</v>
      </c>
      <c r="P571" s="58">
        <v>204.29</v>
      </c>
      <c r="Q571" s="58">
        <v>207.26</v>
      </c>
      <c r="R571" s="58">
        <v>210.68</v>
      </c>
      <c r="S571" s="58">
        <v>201.21</v>
      </c>
      <c r="T571" s="58">
        <v>219.45</v>
      </c>
      <c r="U571" s="52">
        <v>240</v>
      </c>
      <c r="V571" s="49" t="s">
        <v>815</v>
      </c>
    </row>
    <row r="572" spans="1:36" hidden="1">
      <c r="A572" s="59" t="s">
        <v>984</v>
      </c>
      <c r="B572" s="59" t="s">
        <v>983</v>
      </c>
      <c r="C572" s="61" t="s">
        <v>10</v>
      </c>
      <c r="D572" s="61" t="s">
        <v>982</v>
      </c>
      <c r="E572" s="60" t="s">
        <v>10</v>
      </c>
      <c r="F572" s="50" t="s">
        <v>894</v>
      </c>
      <c r="G572" s="50" t="b">
        <v>0</v>
      </c>
      <c r="H572" s="88"/>
      <c r="I572" s="88"/>
      <c r="J572" s="88"/>
      <c r="K572" s="88"/>
      <c r="L572" s="88"/>
      <c r="M572" s="88"/>
      <c r="N572" s="88"/>
      <c r="O572" s="88"/>
      <c r="P572" s="88"/>
      <c r="Q572" s="88"/>
      <c r="R572" s="88"/>
      <c r="S572" s="88"/>
      <c r="T572" s="88"/>
      <c r="U572" s="52">
        <v>525</v>
      </c>
      <c r="V572" s="49" t="s">
        <v>815</v>
      </c>
      <c r="X572" s="50">
        <v>525</v>
      </c>
      <c r="Y572" s="50">
        <v>525</v>
      </c>
      <c r="Z572" s="50">
        <v>525</v>
      </c>
      <c r="AA572" s="50">
        <v>525</v>
      </c>
      <c r="AB572" s="50">
        <v>525</v>
      </c>
      <c r="AC572" s="50">
        <v>515</v>
      </c>
      <c r="AD572" s="50">
        <v>505</v>
      </c>
      <c r="AE572" s="50">
        <v>500</v>
      </c>
      <c r="AF572" s="50">
        <v>515</v>
      </c>
      <c r="AG572" s="50">
        <v>520</v>
      </c>
      <c r="AH572" s="50">
        <v>525</v>
      </c>
      <c r="AI572" s="50">
        <v>525</v>
      </c>
      <c r="AJ572" s="50" t="s">
        <v>2098</v>
      </c>
    </row>
    <row r="573" spans="1:36" hidden="1">
      <c r="A573" s="59" t="s">
        <v>981</v>
      </c>
      <c r="B573" s="59" t="s">
        <v>980</v>
      </c>
      <c r="C573" s="61" t="s">
        <v>12</v>
      </c>
      <c r="D573" s="61" t="s">
        <v>52</v>
      </c>
      <c r="E573" s="60" t="s">
        <v>12</v>
      </c>
      <c r="F573" s="50" t="s">
        <v>821</v>
      </c>
      <c r="G573" s="50" t="b">
        <v>0</v>
      </c>
      <c r="H573" s="58">
        <v>0</v>
      </c>
      <c r="I573" s="58">
        <v>294.51</v>
      </c>
      <c r="J573" s="58">
        <v>284.06</v>
      </c>
      <c r="K573" s="58">
        <v>287.18</v>
      </c>
      <c r="L573" s="58">
        <v>264.04000000000002</v>
      </c>
      <c r="M573" s="58">
        <v>251.34</v>
      </c>
      <c r="N573" s="58">
        <v>262.22000000000003</v>
      </c>
      <c r="O573" s="58">
        <v>256.99</v>
      </c>
      <c r="P573" s="58">
        <v>257.87</v>
      </c>
      <c r="Q573" s="58">
        <v>256.75</v>
      </c>
      <c r="R573" s="58">
        <v>243.6</v>
      </c>
      <c r="S573" s="58">
        <v>257.33999999999997</v>
      </c>
      <c r="T573" s="58">
        <v>274.18</v>
      </c>
      <c r="U573" s="52">
        <v>382.49</v>
      </c>
      <c r="V573" s="49" t="s">
        <v>820</v>
      </c>
    </row>
    <row r="574" spans="1:36" hidden="1">
      <c r="A574" s="59" t="s">
        <v>979</v>
      </c>
      <c r="B574" s="59" t="s">
        <v>978</v>
      </c>
      <c r="C574" s="61" t="s">
        <v>10</v>
      </c>
      <c r="D574" s="61" t="s">
        <v>901</v>
      </c>
      <c r="E574" s="60" t="s">
        <v>10</v>
      </c>
      <c r="F574" s="50" t="s">
        <v>821</v>
      </c>
      <c r="G574" s="50" t="b">
        <v>0</v>
      </c>
      <c r="H574" s="58">
        <v>0</v>
      </c>
      <c r="I574" s="58">
        <v>10.02</v>
      </c>
      <c r="J574" s="58">
        <v>9.7200000000000006</v>
      </c>
      <c r="K574" s="58">
        <v>9.69</v>
      </c>
      <c r="L574" s="58">
        <v>7.89</v>
      </c>
      <c r="M574" s="58">
        <v>10.220000000000001</v>
      </c>
      <c r="N574" s="58">
        <v>9.9700000000000006</v>
      </c>
      <c r="O574" s="58">
        <v>9.33</v>
      </c>
      <c r="P574" s="58">
        <v>9.7899999999999991</v>
      </c>
      <c r="Q574" s="58">
        <v>9.83</v>
      </c>
      <c r="R574" s="58">
        <v>9.93</v>
      </c>
      <c r="S574" s="58">
        <v>10.08</v>
      </c>
      <c r="T574" s="58">
        <v>10.7</v>
      </c>
      <c r="U574" s="52">
        <v>17</v>
      </c>
      <c r="V574" s="49" t="s">
        <v>820</v>
      </c>
    </row>
    <row r="575" spans="1:36">
      <c r="A575" s="59" t="s">
        <v>977</v>
      </c>
      <c r="B575" s="59" t="s">
        <v>976</v>
      </c>
      <c r="C575" s="61" t="s">
        <v>10</v>
      </c>
      <c r="D575" s="61" t="s">
        <v>88</v>
      </c>
      <c r="E575" s="60" t="s">
        <v>10</v>
      </c>
      <c r="F575" s="50" t="s">
        <v>872</v>
      </c>
      <c r="G575" s="50" t="b">
        <v>0</v>
      </c>
      <c r="H575" s="58">
        <v>0</v>
      </c>
      <c r="I575" s="58">
        <v>0.74</v>
      </c>
      <c r="J575" s="58">
        <v>1.1299999999999999</v>
      </c>
      <c r="K575" s="58">
        <v>1.53</v>
      </c>
      <c r="L575" s="58">
        <v>1.64</v>
      </c>
      <c r="M575" s="58">
        <v>1.42</v>
      </c>
      <c r="N575" s="58">
        <v>1.23</v>
      </c>
      <c r="O575" s="58">
        <v>1.01</v>
      </c>
      <c r="P575" s="58">
        <v>0.84</v>
      </c>
      <c r="Q575" s="58">
        <v>0.59</v>
      </c>
      <c r="R575" s="58">
        <v>0.37</v>
      </c>
      <c r="S575" s="58">
        <v>0.34</v>
      </c>
      <c r="T575" s="58">
        <v>0.36</v>
      </c>
      <c r="U575" s="52">
        <v>5.8</v>
      </c>
      <c r="V575" s="49" t="s">
        <v>820</v>
      </c>
    </row>
    <row r="576" spans="1:36" hidden="1">
      <c r="A576" s="59" t="s">
        <v>975</v>
      </c>
      <c r="B576" s="59" t="s">
        <v>974</v>
      </c>
      <c r="C576" s="61" t="s">
        <v>10</v>
      </c>
      <c r="D576" s="61" t="s">
        <v>901</v>
      </c>
      <c r="E576" s="60" t="s">
        <v>10</v>
      </c>
      <c r="F576" s="50" t="s">
        <v>821</v>
      </c>
      <c r="G576" s="50" t="b">
        <v>0</v>
      </c>
      <c r="H576" s="58">
        <v>0</v>
      </c>
      <c r="I576" s="58">
        <v>0.53</v>
      </c>
      <c r="J576" s="58">
        <v>0.5</v>
      </c>
      <c r="K576" s="58">
        <v>0.46</v>
      </c>
      <c r="L576" s="58">
        <v>0.45</v>
      </c>
      <c r="M576" s="58">
        <v>0.42</v>
      </c>
      <c r="N576" s="58">
        <v>0.33</v>
      </c>
      <c r="O576" s="58">
        <v>0.28999999999999998</v>
      </c>
      <c r="P576" s="58">
        <v>0.3</v>
      </c>
      <c r="Q576" s="58">
        <v>0.41</v>
      </c>
      <c r="R576" s="58">
        <v>0.53</v>
      </c>
      <c r="S576" s="58">
        <v>0.63</v>
      </c>
      <c r="T576" s="58">
        <v>0.63</v>
      </c>
      <c r="U576" s="52">
        <v>7</v>
      </c>
      <c r="V576" s="49" t="s">
        <v>820</v>
      </c>
    </row>
    <row r="577" spans="1:22" hidden="1">
      <c r="A577" s="59" t="s">
        <v>973</v>
      </c>
      <c r="B577" s="59" t="s">
        <v>972</v>
      </c>
      <c r="C577" s="61" t="s">
        <v>12</v>
      </c>
      <c r="D577" s="61" t="s">
        <v>52</v>
      </c>
      <c r="E577" s="60" t="s">
        <v>12</v>
      </c>
      <c r="F577" s="50" t="s">
        <v>821</v>
      </c>
      <c r="G577" s="50" t="b">
        <v>0</v>
      </c>
      <c r="H577" s="58">
        <v>37.43</v>
      </c>
      <c r="I577" s="58">
        <v>0</v>
      </c>
      <c r="J577" s="58">
        <v>0</v>
      </c>
      <c r="K577" s="58">
        <v>0</v>
      </c>
      <c r="L577" s="58">
        <v>0</v>
      </c>
      <c r="M577" s="58">
        <v>0</v>
      </c>
      <c r="N577" s="58">
        <v>0</v>
      </c>
      <c r="O577" s="58">
        <v>0</v>
      </c>
      <c r="P577" s="58">
        <v>0</v>
      </c>
      <c r="Q577" s="58">
        <v>0</v>
      </c>
      <c r="R577" s="58">
        <v>0</v>
      </c>
      <c r="S577" s="58">
        <v>0</v>
      </c>
      <c r="T577" s="58">
        <v>0</v>
      </c>
      <c r="U577" s="52">
        <v>40.200000000000003</v>
      </c>
      <c r="V577" s="49" t="s">
        <v>820</v>
      </c>
    </row>
    <row r="578" spans="1:22" hidden="1">
      <c r="A578" s="59" t="s">
        <v>971</v>
      </c>
      <c r="B578" s="59" t="s">
        <v>970</v>
      </c>
      <c r="C578" s="61" t="s">
        <v>12</v>
      </c>
      <c r="D578" s="61" t="s">
        <v>11</v>
      </c>
      <c r="E578" s="60" t="s">
        <v>11</v>
      </c>
      <c r="F578" s="50" t="s">
        <v>894</v>
      </c>
      <c r="G578" s="50" t="b">
        <v>0</v>
      </c>
      <c r="H578" s="58">
        <v>0</v>
      </c>
      <c r="I578" s="58">
        <v>605</v>
      </c>
      <c r="J578" s="58">
        <v>605</v>
      </c>
      <c r="K578" s="58">
        <v>605</v>
      </c>
      <c r="L578" s="58">
        <v>605</v>
      </c>
      <c r="M578" s="58">
        <v>601</v>
      </c>
      <c r="N578" s="58">
        <v>593</v>
      </c>
      <c r="O578" s="58">
        <v>591</v>
      </c>
      <c r="P578" s="58">
        <v>593</v>
      </c>
      <c r="Q578" s="58">
        <v>596</v>
      </c>
      <c r="R578" s="58">
        <v>605</v>
      </c>
      <c r="S578" s="58">
        <v>605</v>
      </c>
      <c r="T578" s="58">
        <v>605</v>
      </c>
      <c r="U578" s="52">
        <v>625</v>
      </c>
      <c r="V578" s="49" t="s">
        <v>815</v>
      </c>
    </row>
    <row r="579" spans="1:22">
      <c r="A579" s="59" t="s">
        <v>969</v>
      </c>
      <c r="B579" s="59" t="s">
        <v>968</v>
      </c>
      <c r="C579" s="61" t="s">
        <v>10</v>
      </c>
      <c r="D579" s="61" t="s">
        <v>88</v>
      </c>
      <c r="E579" s="60" t="s">
        <v>10</v>
      </c>
      <c r="F579" s="50" t="s">
        <v>872</v>
      </c>
      <c r="G579" s="50" t="b">
        <v>0</v>
      </c>
      <c r="H579" s="58">
        <v>0</v>
      </c>
      <c r="I579" s="58">
        <v>0.67</v>
      </c>
      <c r="J579" s="58">
        <v>0.73</v>
      </c>
      <c r="K579" s="58">
        <v>0.73</v>
      </c>
      <c r="L579" s="58">
        <v>1.08</v>
      </c>
      <c r="M579" s="58">
        <v>1.1599999999999999</v>
      </c>
      <c r="N579" s="58">
        <v>1.1100000000000001</v>
      </c>
      <c r="O579" s="58">
        <v>1.1000000000000001</v>
      </c>
      <c r="P579" s="58">
        <v>0.98</v>
      </c>
      <c r="Q579" s="58">
        <v>0.93</v>
      </c>
      <c r="R579" s="58">
        <v>0.78</v>
      </c>
      <c r="S579" s="58">
        <v>0.68</v>
      </c>
      <c r="T579" s="58">
        <v>0.63</v>
      </c>
      <c r="U579" s="52">
        <v>5</v>
      </c>
      <c r="V579" s="49" t="s">
        <v>820</v>
      </c>
    </row>
    <row r="580" spans="1:22" hidden="1">
      <c r="A580" s="59" t="s">
        <v>967</v>
      </c>
      <c r="B580" s="59" t="s">
        <v>966</v>
      </c>
      <c r="C580" s="61" t="s">
        <v>10</v>
      </c>
      <c r="D580" s="61" t="s">
        <v>88</v>
      </c>
      <c r="E580" s="60" t="s">
        <v>10</v>
      </c>
      <c r="F580" s="50" t="s">
        <v>824</v>
      </c>
      <c r="G580" s="50" t="b">
        <v>0</v>
      </c>
      <c r="H580" s="58">
        <v>0</v>
      </c>
      <c r="I580" s="58">
        <v>18.399999999999999</v>
      </c>
      <c r="J580" s="58">
        <v>16.079999999999998</v>
      </c>
      <c r="K580" s="58">
        <v>15.51</v>
      </c>
      <c r="L580" s="58">
        <v>16.04</v>
      </c>
      <c r="M580" s="58">
        <v>7.86</v>
      </c>
      <c r="N580" s="58">
        <v>17.12</v>
      </c>
      <c r="O580" s="58">
        <v>17.72</v>
      </c>
      <c r="P580" s="58">
        <v>16.13</v>
      </c>
      <c r="Q580" s="58">
        <v>16.04</v>
      </c>
      <c r="R580" s="58">
        <v>12.26</v>
      </c>
      <c r="S580" s="58">
        <v>17.52</v>
      </c>
      <c r="T580" s="58">
        <v>13.36</v>
      </c>
      <c r="U580" s="52">
        <v>24.2</v>
      </c>
      <c r="V580" s="49" t="s">
        <v>820</v>
      </c>
    </row>
    <row r="581" spans="1:22" hidden="1">
      <c r="A581" s="59" t="s">
        <v>965</v>
      </c>
      <c r="B581" s="59" t="s">
        <v>964</v>
      </c>
      <c r="C581" s="61" t="s">
        <v>10</v>
      </c>
      <c r="D581" s="61" t="s">
        <v>32</v>
      </c>
      <c r="E581" s="60" t="s">
        <v>10</v>
      </c>
      <c r="F581" s="50" t="s">
        <v>821</v>
      </c>
      <c r="G581" s="50" t="b">
        <v>0</v>
      </c>
      <c r="H581" s="58">
        <v>0</v>
      </c>
      <c r="I581" s="58">
        <v>26.94</v>
      </c>
      <c r="J581" s="58">
        <v>19.600000000000001</v>
      </c>
      <c r="K581" s="58">
        <v>10.07</v>
      </c>
      <c r="L581" s="58">
        <v>20.079999999999998</v>
      </c>
      <c r="M581" s="58">
        <v>22.59</v>
      </c>
      <c r="N581" s="58">
        <v>22.1</v>
      </c>
      <c r="O581" s="58">
        <v>19.309999999999999</v>
      </c>
      <c r="P581" s="58">
        <v>16.77</v>
      </c>
      <c r="Q581" s="58">
        <v>16.440000000000001</v>
      </c>
      <c r="R581" s="58">
        <v>17.72</v>
      </c>
      <c r="S581" s="58">
        <v>20.82</v>
      </c>
      <c r="T581" s="58">
        <v>22.37</v>
      </c>
      <c r="U581" s="52">
        <v>114.8</v>
      </c>
      <c r="V581" s="49" t="s">
        <v>820</v>
      </c>
    </row>
    <row r="582" spans="1:22" hidden="1">
      <c r="A582" s="59" t="s">
        <v>963</v>
      </c>
      <c r="B582" s="59" t="s">
        <v>963</v>
      </c>
      <c r="C582" s="61" t="s">
        <v>12</v>
      </c>
      <c r="D582" s="61" t="s">
        <v>47</v>
      </c>
      <c r="E582" s="60" t="s">
        <v>12</v>
      </c>
      <c r="F582" s="50" t="s">
        <v>812</v>
      </c>
      <c r="G582" s="50" t="b">
        <v>0</v>
      </c>
      <c r="H582" s="58">
        <v>0</v>
      </c>
      <c r="I582" s="58">
        <v>2.31</v>
      </c>
      <c r="J582" s="58">
        <v>3.25</v>
      </c>
      <c r="K582" s="58">
        <v>7.62</v>
      </c>
      <c r="L582" s="58">
        <v>9.0299999999999994</v>
      </c>
      <c r="M582" s="58">
        <v>14.32</v>
      </c>
      <c r="N582" s="58">
        <v>16.93</v>
      </c>
      <c r="O582" s="58">
        <v>8.85</v>
      </c>
      <c r="P582" s="58">
        <v>6.37</v>
      </c>
      <c r="Q582" s="58">
        <v>4.99</v>
      </c>
      <c r="R582" s="58">
        <v>3.83</v>
      </c>
      <c r="S582" s="58">
        <v>1.85</v>
      </c>
      <c r="T582" s="58">
        <v>1.78</v>
      </c>
      <c r="U582" s="52">
        <v>45</v>
      </c>
      <c r="V582" s="49" t="s">
        <v>820</v>
      </c>
    </row>
    <row r="583" spans="1:22" hidden="1">
      <c r="A583" s="59" t="s">
        <v>962</v>
      </c>
      <c r="B583" s="59" t="s">
        <v>961</v>
      </c>
      <c r="C583" s="61" t="s">
        <v>10</v>
      </c>
      <c r="D583" s="61" t="s">
        <v>88</v>
      </c>
      <c r="E583" s="60" t="s">
        <v>10</v>
      </c>
      <c r="F583" s="50" t="s">
        <v>827</v>
      </c>
      <c r="G583" s="50" t="b">
        <v>0</v>
      </c>
      <c r="H583" s="58">
        <v>0</v>
      </c>
      <c r="I583" s="58">
        <v>1.48</v>
      </c>
      <c r="J583" s="58">
        <v>7.09</v>
      </c>
      <c r="K583" s="58">
        <v>6.85</v>
      </c>
      <c r="L583" s="58">
        <v>14.45</v>
      </c>
      <c r="M583" s="58">
        <v>16.73</v>
      </c>
      <c r="N583" s="58">
        <v>35.950000000000003</v>
      </c>
      <c r="O583" s="58">
        <v>41.84</v>
      </c>
      <c r="P583" s="58">
        <v>37.78</v>
      </c>
      <c r="Q583" s="58">
        <v>40.049999999999997</v>
      </c>
      <c r="R583" s="58">
        <v>41.29</v>
      </c>
      <c r="S583" s="58">
        <v>45.52</v>
      </c>
      <c r="T583" s="58">
        <v>39.18</v>
      </c>
      <c r="U583" s="52">
        <v>62</v>
      </c>
      <c r="V583" s="49" t="s">
        <v>820</v>
      </c>
    </row>
    <row r="584" spans="1:22" hidden="1">
      <c r="A584" s="59" t="s">
        <v>960</v>
      </c>
      <c r="B584" s="59" t="s">
        <v>959</v>
      </c>
      <c r="C584" s="61" t="s">
        <v>10</v>
      </c>
      <c r="D584" s="61" t="s">
        <v>88</v>
      </c>
      <c r="E584" s="60" t="s">
        <v>10</v>
      </c>
      <c r="F584" s="50" t="s">
        <v>827</v>
      </c>
      <c r="G584" s="50" t="b">
        <v>0</v>
      </c>
      <c r="H584" s="58">
        <v>0</v>
      </c>
      <c r="I584" s="58">
        <v>0.42</v>
      </c>
      <c r="J584" s="58">
        <v>1.08</v>
      </c>
      <c r="K584" s="58">
        <v>1.17</v>
      </c>
      <c r="L584" s="58">
        <v>0.26</v>
      </c>
      <c r="M584" s="58">
        <v>0.09</v>
      </c>
      <c r="N584" s="58">
        <v>0</v>
      </c>
      <c r="O584" s="58">
        <v>0</v>
      </c>
      <c r="P584" s="58">
        <v>0</v>
      </c>
      <c r="Q584" s="58">
        <v>0</v>
      </c>
      <c r="R584" s="58">
        <v>0</v>
      </c>
      <c r="S584" s="58">
        <v>0</v>
      </c>
      <c r="T584" s="58">
        <v>0.1</v>
      </c>
      <c r="U584" s="52">
        <v>5</v>
      </c>
      <c r="V584" s="49" t="s">
        <v>820</v>
      </c>
    </row>
    <row r="585" spans="1:22" hidden="1">
      <c r="A585" s="59" t="s">
        <v>958</v>
      </c>
      <c r="B585" s="59" t="s">
        <v>957</v>
      </c>
      <c r="C585" s="61" t="s">
        <v>10</v>
      </c>
      <c r="D585" s="61" t="s">
        <v>88</v>
      </c>
      <c r="E585" s="60" t="s">
        <v>10</v>
      </c>
      <c r="F585" s="50" t="s">
        <v>827</v>
      </c>
      <c r="G585" s="50" t="b">
        <v>0</v>
      </c>
      <c r="H585" s="58">
        <v>0</v>
      </c>
      <c r="I585" s="58">
        <v>0.38</v>
      </c>
      <c r="J585" s="58">
        <v>0.47</v>
      </c>
      <c r="K585" s="58">
        <v>1.01</v>
      </c>
      <c r="L585" s="58">
        <v>0.7</v>
      </c>
      <c r="M585" s="58">
        <v>0.48</v>
      </c>
      <c r="N585" s="58">
        <v>0.78</v>
      </c>
      <c r="O585" s="58">
        <v>0.49</v>
      </c>
      <c r="P585" s="58">
        <v>0.42</v>
      </c>
      <c r="Q585" s="58">
        <v>0.18</v>
      </c>
      <c r="R585" s="58">
        <v>0</v>
      </c>
      <c r="S585" s="58">
        <v>0.04</v>
      </c>
      <c r="T585" s="58">
        <v>0.05</v>
      </c>
      <c r="U585" s="52">
        <v>1.5</v>
      </c>
      <c r="V585" s="49" t="s">
        <v>820</v>
      </c>
    </row>
    <row r="586" spans="1:22" hidden="1">
      <c r="A586" s="59" t="s">
        <v>956</v>
      </c>
      <c r="B586" s="59" t="s">
        <v>955</v>
      </c>
      <c r="C586" s="61" t="s">
        <v>10</v>
      </c>
      <c r="D586" s="61" t="s">
        <v>869</v>
      </c>
      <c r="E586" s="60" t="s">
        <v>10</v>
      </c>
      <c r="F586" s="50" t="s">
        <v>827</v>
      </c>
      <c r="G586" s="50" t="b">
        <v>0</v>
      </c>
      <c r="H586" s="58">
        <v>0</v>
      </c>
      <c r="I586" s="58">
        <v>3.44</v>
      </c>
      <c r="J586" s="58">
        <v>1.7</v>
      </c>
      <c r="K586" s="58">
        <v>0.87</v>
      </c>
      <c r="L586" s="58">
        <v>9.99</v>
      </c>
      <c r="M586" s="58">
        <v>15.18</v>
      </c>
      <c r="N586" s="58">
        <v>14.08</v>
      </c>
      <c r="O586" s="58">
        <v>17.28</v>
      </c>
      <c r="P586" s="58">
        <v>16.47</v>
      </c>
      <c r="Q586" s="58">
        <v>11.2</v>
      </c>
      <c r="R586" s="58">
        <v>2.31</v>
      </c>
      <c r="S586" s="58">
        <v>3.61</v>
      </c>
      <c r="T586" s="58">
        <v>0.98</v>
      </c>
      <c r="U586" s="52">
        <v>18.7</v>
      </c>
      <c r="V586" s="49" t="s">
        <v>820</v>
      </c>
    </row>
    <row r="587" spans="1:22" hidden="1">
      <c r="A587" s="59" t="s">
        <v>954</v>
      </c>
      <c r="B587" s="59" t="s">
        <v>953</v>
      </c>
      <c r="C587" s="61" t="s">
        <v>10</v>
      </c>
      <c r="D587" s="61" t="s">
        <v>901</v>
      </c>
      <c r="E587" s="60" t="s">
        <v>10</v>
      </c>
      <c r="F587" s="50" t="s">
        <v>821</v>
      </c>
      <c r="G587" s="50" t="b">
        <v>0</v>
      </c>
      <c r="H587" s="58">
        <v>0</v>
      </c>
      <c r="I587" s="58">
        <v>4.28</v>
      </c>
      <c r="J587" s="58">
        <v>4.1900000000000004</v>
      </c>
      <c r="K587" s="58">
        <v>2.64</v>
      </c>
      <c r="L587" s="58">
        <v>4.03</v>
      </c>
      <c r="M587" s="58">
        <v>3.92</v>
      </c>
      <c r="N587" s="58">
        <v>4.67</v>
      </c>
      <c r="O587" s="58">
        <v>4.76</v>
      </c>
      <c r="P587" s="58">
        <v>4.12</v>
      </c>
      <c r="Q587" s="58">
        <v>4.41</v>
      </c>
      <c r="R587" s="58">
        <v>4.8499999999999996</v>
      </c>
      <c r="S587" s="58">
        <v>5.01</v>
      </c>
      <c r="T587" s="58">
        <v>5.37</v>
      </c>
      <c r="U587" s="52">
        <v>11.5</v>
      </c>
      <c r="V587" s="49" t="s">
        <v>820</v>
      </c>
    </row>
    <row r="588" spans="1:22" hidden="1">
      <c r="A588" s="59" t="s">
        <v>952</v>
      </c>
      <c r="B588" s="59" t="s">
        <v>951</v>
      </c>
      <c r="C588" s="61" t="s">
        <v>10</v>
      </c>
      <c r="D588" s="61" t="s">
        <v>901</v>
      </c>
      <c r="E588" s="60" t="s">
        <v>10</v>
      </c>
      <c r="F588" s="50" t="s">
        <v>821</v>
      </c>
      <c r="G588" s="50" t="b">
        <v>0</v>
      </c>
      <c r="H588" s="58">
        <v>0</v>
      </c>
      <c r="I588" s="58">
        <v>0.06</v>
      </c>
      <c r="J588" s="58">
        <v>0.01</v>
      </c>
      <c r="K588" s="58">
        <v>0</v>
      </c>
      <c r="L588" s="58">
        <v>0</v>
      </c>
      <c r="M588" s="58">
        <v>0</v>
      </c>
      <c r="N588" s="58">
        <v>0.01</v>
      </c>
      <c r="O588" s="58">
        <v>0</v>
      </c>
      <c r="P588" s="58">
        <v>0.01</v>
      </c>
      <c r="Q588" s="58">
        <v>0</v>
      </c>
      <c r="R588" s="58">
        <v>0</v>
      </c>
      <c r="S588" s="58">
        <v>0</v>
      </c>
      <c r="T588" s="58">
        <v>0</v>
      </c>
      <c r="U588" s="52">
        <v>15.6</v>
      </c>
      <c r="V588" s="49" t="s">
        <v>820</v>
      </c>
    </row>
    <row r="589" spans="1:22" hidden="1">
      <c r="A589" s="59" t="s">
        <v>950</v>
      </c>
      <c r="B589" s="59" t="s">
        <v>949</v>
      </c>
      <c r="C589" s="61" t="s">
        <v>10</v>
      </c>
      <c r="D589" s="61" t="s">
        <v>852</v>
      </c>
      <c r="E589" s="60" t="s">
        <v>10</v>
      </c>
      <c r="F589" s="50" t="s">
        <v>827</v>
      </c>
      <c r="G589" s="50" t="b">
        <v>0</v>
      </c>
      <c r="H589" s="58">
        <v>1.7</v>
      </c>
      <c r="I589" s="58">
        <v>0</v>
      </c>
      <c r="J589" s="58">
        <v>0</v>
      </c>
      <c r="K589" s="58">
        <v>0</v>
      </c>
      <c r="L589" s="58">
        <v>0</v>
      </c>
      <c r="M589" s="58">
        <v>0</v>
      </c>
      <c r="N589" s="58">
        <v>0</v>
      </c>
      <c r="O589" s="58">
        <v>0</v>
      </c>
      <c r="P589" s="58">
        <v>0</v>
      </c>
      <c r="Q589" s="58">
        <v>0</v>
      </c>
      <c r="R589" s="58">
        <v>0</v>
      </c>
      <c r="S589" s="58">
        <v>0</v>
      </c>
      <c r="T589" s="58">
        <v>0</v>
      </c>
      <c r="U589" s="52">
        <v>3.5</v>
      </c>
      <c r="V589" s="49" t="s">
        <v>948</v>
      </c>
    </row>
    <row r="590" spans="1:22" hidden="1">
      <c r="A590" s="59" t="s">
        <v>947</v>
      </c>
      <c r="B590" s="59" t="s">
        <v>946</v>
      </c>
      <c r="C590" s="61" t="s">
        <v>10</v>
      </c>
      <c r="D590" s="61" t="s">
        <v>901</v>
      </c>
      <c r="E590" s="60" t="s">
        <v>10</v>
      </c>
      <c r="F590" s="50" t="s">
        <v>821</v>
      </c>
      <c r="G590" s="50" t="b">
        <v>0</v>
      </c>
      <c r="H590" s="58">
        <v>0</v>
      </c>
      <c r="I590" s="58">
        <v>33.82</v>
      </c>
      <c r="J590" s="58">
        <v>33.950000000000003</v>
      </c>
      <c r="K590" s="58">
        <v>34.97</v>
      </c>
      <c r="L590" s="58">
        <v>34.49</v>
      </c>
      <c r="M590" s="58">
        <v>17.670000000000002</v>
      </c>
      <c r="N590" s="58">
        <v>34.99</v>
      </c>
      <c r="O590" s="58">
        <v>33.99</v>
      </c>
      <c r="P590" s="58">
        <v>34.700000000000003</v>
      </c>
      <c r="Q590" s="58">
        <v>34.24</v>
      </c>
      <c r="R590" s="58">
        <v>32.950000000000003</v>
      </c>
      <c r="S590" s="58">
        <v>35.44</v>
      </c>
      <c r="T590" s="58">
        <v>35.56</v>
      </c>
      <c r="U590" s="52">
        <v>45</v>
      </c>
      <c r="V590" s="49" t="s">
        <v>820</v>
      </c>
    </row>
    <row r="591" spans="1:22" hidden="1">
      <c r="A591" s="59" t="s">
        <v>945</v>
      </c>
      <c r="B591" s="59" t="s">
        <v>944</v>
      </c>
      <c r="C591" s="61" t="s">
        <v>10</v>
      </c>
      <c r="D591" s="61" t="s">
        <v>869</v>
      </c>
      <c r="E591" s="60" t="s">
        <v>10</v>
      </c>
      <c r="F591" s="50" t="s">
        <v>824</v>
      </c>
      <c r="G591" s="50" t="b">
        <v>0</v>
      </c>
      <c r="H591" s="58">
        <v>0</v>
      </c>
      <c r="I591" s="58">
        <v>15.5</v>
      </c>
      <c r="J591" s="58">
        <v>16.71</v>
      </c>
      <c r="K591" s="58">
        <v>14.48</v>
      </c>
      <c r="L591" s="58">
        <v>15.87</v>
      </c>
      <c r="M591" s="58">
        <v>3.41</v>
      </c>
      <c r="N591" s="58">
        <v>14.94</v>
      </c>
      <c r="O591" s="58">
        <v>13.88</v>
      </c>
      <c r="P591" s="58">
        <v>13.34</v>
      </c>
      <c r="Q591" s="58">
        <v>11.5</v>
      </c>
      <c r="R591" s="58">
        <v>17.7</v>
      </c>
      <c r="S591" s="58">
        <v>16.440000000000001</v>
      </c>
      <c r="T591" s="58">
        <v>17.09</v>
      </c>
      <c r="U591" s="52">
        <v>22</v>
      </c>
      <c r="V591" s="49" t="s">
        <v>820</v>
      </c>
    </row>
    <row r="592" spans="1:22" hidden="1">
      <c r="A592" s="59" t="s">
        <v>943</v>
      </c>
      <c r="B592" s="59" t="s">
        <v>942</v>
      </c>
      <c r="C592" s="61" t="s">
        <v>10</v>
      </c>
      <c r="D592" s="61" t="s">
        <v>828</v>
      </c>
      <c r="E592" s="60" t="s">
        <v>10</v>
      </c>
      <c r="F592" s="50" t="s">
        <v>824</v>
      </c>
      <c r="G592" s="50" t="b">
        <v>0</v>
      </c>
      <c r="H592" s="58">
        <v>0</v>
      </c>
      <c r="I592" s="58">
        <v>20.37</v>
      </c>
      <c r="J592" s="58">
        <v>14.85</v>
      </c>
      <c r="K592" s="58">
        <v>19.89</v>
      </c>
      <c r="L592" s="58">
        <v>17.36</v>
      </c>
      <c r="M592" s="58">
        <v>9.64</v>
      </c>
      <c r="N592" s="58">
        <v>20.420000000000002</v>
      </c>
      <c r="O592" s="58">
        <v>21.42</v>
      </c>
      <c r="P592" s="58">
        <v>17.3</v>
      </c>
      <c r="Q592" s="58">
        <v>18.75</v>
      </c>
      <c r="R592" s="58">
        <v>12.89</v>
      </c>
      <c r="S592" s="58">
        <v>21.94</v>
      </c>
      <c r="T592" s="58">
        <v>21.09</v>
      </c>
      <c r="U592" s="52">
        <v>30.5</v>
      </c>
      <c r="V592" s="49" t="s">
        <v>820</v>
      </c>
    </row>
    <row r="593" spans="1:22" hidden="1">
      <c r="A593" s="59" t="s">
        <v>941</v>
      </c>
      <c r="B593" s="59" t="s">
        <v>940</v>
      </c>
      <c r="C593" s="61" t="s">
        <v>10</v>
      </c>
      <c r="D593" s="61" t="s">
        <v>817</v>
      </c>
      <c r="E593" s="60" t="s">
        <v>10</v>
      </c>
      <c r="F593" s="50" t="s">
        <v>824</v>
      </c>
      <c r="G593" s="50" t="b">
        <v>0</v>
      </c>
      <c r="H593" s="58">
        <v>0</v>
      </c>
      <c r="I593" s="58">
        <v>17.23</v>
      </c>
      <c r="J593" s="58">
        <v>19.36</v>
      </c>
      <c r="K593" s="58">
        <v>19.07</v>
      </c>
      <c r="L593" s="58">
        <v>12.18</v>
      </c>
      <c r="M593" s="58">
        <v>10.8</v>
      </c>
      <c r="N593" s="58">
        <v>22.15</v>
      </c>
      <c r="O593" s="58">
        <v>22.08</v>
      </c>
      <c r="P593" s="58">
        <v>19.12</v>
      </c>
      <c r="Q593" s="58">
        <v>19.84</v>
      </c>
      <c r="R593" s="58">
        <v>20.93</v>
      </c>
      <c r="S593" s="58">
        <v>18.14</v>
      </c>
      <c r="T593" s="58">
        <v>19.8</v>
      </c>
      <c r="U593" s="52">
        <v>28.8</v>
      </c>
      <c r="V593" s="49" t="s">
        <v>820</v>
      </c>
    </row>
    <row r="594" spans="1:22" hidden="1">
      <c r="A594" s="59" t="s">
        <v>939</v>
      </c>
      <c r="B594" s="59" t="s">
        <v>938</v>
      </c>
      <c r="C594" s="61" t="s">
        <v>10</v>
      </c>
      <c r="D594" s="61" t="s">
        <v>32</v>
      </c>
      <c r="E594" s="60" t="s">
        <v>10</v>
      </c>
      <c r="F594" s="50" t="s">
        <v>821</v>
      </c>
      <c r="G594" s="50" t="b">
        <v>0</v>
      </c>
      <c r="H594" s="58">
        <v>0</v>
      </c>
      <c r="I594" s="58">
        <v>15.57</v>
      </c>
      <c r="J594" s="58">
        <v>13.43</v>
      </c>
      <c r="K594" s="58">
        <v>14.23</v>
      </c>
      <c r="L594" s="58">
        <v>17.059999999999999</v>
      </c>
      <c r="M594" s="58">
        <v>13.09</v>
      </c>
      <c r="N594" s="58">
        <v>14.37</v>
      </c>
      <c r="O594" s="58">
        <v>14.77</v>
      </c>
      <c r="P594" s="58">
        <v>14.68</v>
      </c>
      <c r="Q594" s="58">
        <v>13.97</v>
      </c>
      <c r="R594" s="58">
        <v>14.66</v>
      </c>
      <c r="S594" s="58">
        <v>16.12</v>
      </c>
      <c r="T594" s="58">
        <v>15.27</v>
      </c>
      <c r="U594" s="52">
        <v>19</v>
      </c>
      <c r="V594" s="49" t="s">
        <v>820</v>
      </c>
    </row>
    <row r="595" spans="1:22" hidden="1">
      <c r="A595" s="59" t="s">
        <v>937</v>
      </c>
      <c r="B595" s="59" t="s">
        <v>936</v>
      </c>
      <c r="C595" s="61" t="s">
        <v>10</v>
      </c>
      <c r="D595" s="61" t="s">
        <v>32</v>
      </c>
      <c r="E595" s="60" t="s">
        <v>10</v>
      </c>
      <c r="F595" s="50" t="s">
        <v>821</v>
      </c>
      <c r="G595" s="50" t="b">
        <v>0</v>
      </c>
      <c r="H595" s="58">
        <v>0</v>
      </c>
      <c r="I595" s="58">
        <v>1.56</v>
      </c>
      <c r="J595" s="58">
        <v>3.87</v>
      </c>
      <c r="K595" s="58">
        <v>7.26</v>
      </c>
      <c r="L595" s="58">
        <v>4.0999999999999996</v>
      </c>
      <c r="M595" s="58">
        <v>2.92</v>
      </c>
      <c r="N595" s="58">
        <v>0.16</v>
      </c>
      <c r="O595" s="58">
        <v>0.35</v>
      </c>
      <c r="P595" s="58">
        <v>0</v>
      </c>
      <c r="Q595" s="58">
        <v>0.18</v>
      </c>
      <c r="R595" s="58">
        <v>0.32</v>
      </c>
      <c r="S595" s="58">
        <v>0.31</v>
      </c>
      <c r="T595" s="58">
        <v>1.49</v>
      </c>
      <c r="U595" s="52">
        <v>57.3</v>
      </c>
      <c r="V595" s="49" t="s">
        <v>820</v>
      </c>
    </row>
    <row r="596" spans="1:22" hidden="1">
      <c r="A596" s="59" t="s">
        <v>935</v>
      </c>
      <c r="B596" s="59" t="s">
        <v>934</v>
      </c>
      <c r="C596" s="61" t="s">
        <v>10</v>
      </c>
      <c r="D596" s="61" t="s">
        <v>32</v>
      </c>
      <c r="E596" s="60" t="s">
        <v>10</v>
      </c>
      <c r="F596" s="50" t="s">
        <v>821</v>
      </c>
      <c r="G596" s="50" t="b">
        <v>0</v>
      </c>
      <c r="H596" s="58">
        <v>0</v>
      </c>
      <c r="I596" s="58">
        <v>25.74</v>
      </c>
      <c r="J596" s="58">
        <v>22.43</v>
      </c>
      <c r="K596" s="58">
        <v>22.41</v>
      </c>
      <c r="L596" s="58">
        <v>25.67</v>
      </c>
      <c r="M596" s="58">
        <v>14</v>
      </c>
      <c r="N596" s="58">
        <v>22.32</v>
      </c>
      <c r="O596" s="58">
        <v>22.1</v>
      </c>
      <c r="P596" s="58">
        <v>22.96</v>
      </c>
      <c r="Q596" s="58">
        <v>21.62</v>
      </c>
      <c r="R596" s="58">
        <v>23</v>
      </c>
      <c r="S596" s="58">
        <v>23.1</v>
      </c>
      <c r="T596" s="58">
        <v>25.12</v>
      </c>
      <c r="U596" s="52">
        <v>34.5</v>
      </c>
      <c r="V596" s="49" t="s">
        <v>820</v>
      </c>
    </row>
    <row r="597" spans="1:22" hidden="1">
      <c r="A597" s="59" t="s">
        <v>933</v>
      </c>
      <c r="B597" s="59" t="s">
        <v>932</v>
      </c>
      <c r="C597" s="61" t="s">
        <v>10</v>
      </c>
      <c r="D597" s="61" t="s">
        <v>901</v>
      </c>
      <c r="E597" s="60" t="s">
        <v>10</v>
      </c>
      <c r="F597" s="50" t="s">
        <v>821</v>
      </c>
      <c r="G597" s="50" t="b">
        <v>0</v>
      </c>
      <c r="H597" s="58">
        <v>0</v>
      </c>
      <c r="I597" s="58">
        <v>35.54</v>
      </c>
      <c r="J597" s="58">
        <v>35.729999999999997</v>
      </c>
      <c r="K597" s="58">
        <v>34.270000000000003</v>
      </c>
      <c r="L597" s="58">
        <v>30.57</v>
      </c>
      <c r="M597" s="58">
        <v>34.31</v>
      </c>
      <c r="N597" s="58">
        <v>33.54</v>
      </c>
      <c r="O597" s="58">
        <v>33.450000000000003</v>
      </c>
      <c r="P597" s="58">
        <v>31.66</v>
      </c>
      <c r="Q597" s="58">
        <v>34.21</v>
      </c>
      <c r="R597" s="58">
        <v>35.479999999999997</v>
      </c>
      <c r="S597" s="58">
        <v>32.39</v>
      </c>
      <c r="T597" s="58">
        <v>33.76</v>
      </c>
      <c r="U597" s="52">
        <v>38</v>
      </c>
      <c r="V597" s="49" t="s">
        <v>820</v>
      </c>
    </row>
    <row r="598" spans="1:22" hidden="1">
      <c r="A598" s="59" t="s">
        <v>931</v>
      </c>
      <c r="B598" s="59" t="s">
        <v>930</v>
      </c>
      <c r="C598" s="61" t="s">
        <v>10</v>
      </c>
      <c r="D598" s="61" t="s">
        <v>88</v>
      </c>
      <c r="E598" s="60" t="s">
        <v>10</v>
      </c>
      <c r="F598" s="50" t="s">
        <v>812</v>
      </c>
      <c r="G598" s="50" t="b">
        <v>0</v>
      </c>
      <c r="H598" s="58">
        <v>0</v>
      </c>
      <c r="I598" s="58">
        <v>0.22</v>
      </c>
      <c r="J598" s="58">
        <v>0.48</v>
      </c>
      <c r="K598" s="58">
        <v>2.17</v>
      </c>
      <c r="L598" s="58">
        <v>2.0499999999999998</v>
      </c>
      <c r="M598" s="58">
        <v>5.38</v>
      </c>
      <c r="N598" s="58">
        <v>6.09</v>
      </c>
      <c r="O598" s="58">
        <v>8.19</v>
      </c>
      <c r="P598" s="58">
        <v>3.05</v>
      </c>
      <c r="Q598" s="58">
        <v>1.39</v>
      </c>
      <c r="R598" s="58">
        <v>0.9</v>
      </c>
      <c r="S598" s="58">
        <v>0.03</v>
      </c>
      <c r="T598" s="58">
        <v>0</v>
      </c>
      <c r="U598" s="52">
        <v>58.75</v>
      </c>
      <c r="V598" s="49" t="s">
        <v>820</v>
      </c>
    </row>
    <row r="599" spans="1:22" hidden="1">
      <c r="A599" s="59" t="s">
        <v>929</v>
      </c>
      <c r="B599" s="59" t="s">
        <v>928</v>
      </c>
      <c r="C599" s="61" t="s">
        <v>10</v>
      </c>
      <c r="D599" s="61" t="s">
        <v>88</v>
      </c>
      <c r="E599" s="60" t="s">
        <v>10</v>
      </c>
      <c r="F599" s="50" t="s">
        <v>812</v>
      </c>
      <c r="G599" s="50" t="b">
        <v>0</v>
      </c>
      <c r="H599" s="58">
        <v>0</v>
      </c>
      <c r="I599" s="58">
        <v>1.08</v>
      </c>
      <c r="J599" s="58">
        <v>2.74</v>
      </c>
      <c r="K599" s="58">
        <v>7.94</v>
      </c>
      <c r="L599" s="58">
        <v>6.72</v>
      </c>
      <c r="M599" s="58">
        <v>15.95</v>
      </c>
      <c r="N599" s="58">
        <v>11.69</v>
      </c>
      <c r="O599" s="58">
        <v>20.46</v>
      </c>
      <c r="P599" s="58">
        <v>9.09</v>
      </c>
      <c r="Q599" s="58">
        <v>4.07</v>
      </c>
      <c r="R599" s="58">
        <v>2.5299999999999998</v>
      </c>
      <c r="S599" s="58">
        <v>0.35</v>
      </c>
      <c r="T599" s="58">
        <v>0</v>
      </c>
      <c r="U599" s="52">
        <v>182.5</v>
      </c>
      <c r="V599" s="49" t="s">
        <v>820</v>
      </c>
    </row>
    <row r="600" spans="1:22" hidden="1">
      <c r="A600" s="59" t="s">
        <v>927</v>
      </c>
      <c r="B600" s="59" t="s">
        <v>926</v>
      </c>
      <c r="C600" s="61" t="s">
        <v>10</v>
      </c>
      <c r="D600" s="61" t="s">
        <v>88</v>
      </c>
      <c r="E600" s="60" t="s">
        <v>10</v>
      </c>
      <c r="F600" s="50" t="s">
        <v>812</v>
      </c>
      <c r="G600" s="50" t="b">
        <v>0</v>
      </c>
      <c r="H600" s="58">
        <v>0</v>
      </c>
      <c r="I600" s="58">
        <v>6.58</v>
      </c>
      <c r="J600" s="58">
        <v>7.62</v>
      </c>
      <c r="K600" s="58">
        <v>10.49</v>
      </c>
      <c r="L600" s="58">
        <v>9.99</v>
      </c>
      <c r="M600" s="58">
        <v>14.19</v>
      </c>
      <c r="N600" s="58">
        <v>12.16</v>
      </c>
      <c r="O600" s="58">
        <v>13.13</v>
      </c>
      <c r="P600" s="58">
        <v>9.91</v>
      </c>
      <c r="Q600" s="58">
        <v>7.78</v>
      </c>
      <c r="R600" s="58">
        <v>6.91</v>
      </c>
      <c r="S600" s="58">
        <v>4.6100000000000003</v>
      </c>
      <c r="T600" s="58">
        <v>6.06</v>
      </c>
      <c r="U600" s="52">
        <v>102.5</v>
      </c>
      <c r="V600" s="49" t="s">
        <v>820</v>
      </c>
    </row>
    <row r="601" spans="1:22" hidden="1">
      <c r="A601" s="59" t="s">
        <v>925</v>
      </c>
      <c r="B601" s="59" t="s">
        <v>924</v>
      </c>
      <c r="C601" s="61" t="s">
        <v>10</v>
      </c>
      <c r="D601" s="61" t="s">
        <v>32</v>
      </c>
      <c r="E601" s="60" t="s">
        <v>10</v>
      </c>
      <c r="F601" s="50" t="s">
        <v>812</v>
      </c>
      <c r="G601" s="50" t="b">
        <v>0</v>
      </c>
      <c r="H601" s="58">
        <v>0</v>
      </c>
      <c r="I601" s="58">
        <v>2.72</v>
      </c>
      <c r="J601" s="58">
        <v>2.54</v>
      </c>
      <c r="K601" s="58">
        <v>5.51</v>
      </c>
      <c r="L601" s="58">
        <v>5.04</v>
      </c>
      <c r="M601" s="58">
        <v>22.39</v>
      </c>
      <c r="N601" s="58">
        <v>23</v>
      </c>
      <c r="O601" s="58">
        <v>22.38</v>
      </c>
      <c r="P601" s="58">
        <v>12.79</v>
      </c>
      <c r="Q601" s="58">
        <v>3.59</v>
      </c>
      <c r="R601" s="58">
        <v>1.83</v>
      </c>
      <c r="S601" s="58">
        <v>1.79</v>
      </c>
      <c r="T601" s="58">
        <v>1.57</v>
      </c>
      <c r="U601" s="52">
        <v>102.18</v>
      </c>
      <c r="V601" s="49" t="s">
        <v>820</v>
      </c>
    </row>
    <row r="602" spans="1:22" hidden="1">
      <c r="A602" s="59" t="s">
        <v>923</v>
      </c>
      <c r="B602" s="59" t="s">
        <v>922</v>
      </c>
      <c r="C602" s="61" t="s">
        <v>10</v>
      </c>
      <c r="D602" s="61" t="s">
        <v>32</v>
      </c>
      <c r="E602" s="60" t="s">
        <v>10</v>
      </c>
      <c r="F602" s="50" t="s">
        <v>812</v>
      </c>
      <c r="G602" s="50" t="b">
        <v>0</v>
      </c>
      <c r="H602" s="58">
        <v>0</v>
      </c>
      <c r="I602" s="58">
        <v>3.56</v>
      </c>
      <c r="J602" s="58">
        <v>3.77</v>
      </c>
      <c r="K602" s="58">
        <v>7.43</v>
      </c>
      <c r="L602" s="58">
        <v>7.53</v>
      </c>
      <c r="M602" s="58">
        <v>35.07</v>
      </c>
      <c r="N602" s="58">
        <v>37.71</v>
      </c>
      <c r="O602" s="58">
        <v>41.29</v>
      </c>
      <c r="P602" s="58">
        <v>21.62</v>
      </c>
      <c r="Q602" s="58">
        <v>6.08</v>
      </c>
      <c r="R602" s="58">
        <v>2.71</v>
      </c>
      <c r="S602" s="58">
        <v>2.4700000000000002</v>
      </c>
      <c r="T602" s="58">
        <v>2.11</v>
      </c>
      <c r="U602" s="52">
        <v>76.25</v>
      </c>
      <c r="V602" s="49" t="s">
        <v>820</v>
      </c>
    </row>
    <row r="603" spans="1:22" hidden="1">
      <c r="A603" s="59" t="s">
        <v>921</v>
      </c>
      <c r="B603" s="59" t="s">
        <v>920</v>
      </c>
      <c r="C603" s="61" t="s">
        <v>10</v>
      </c>
      <c r="D603" s="61" t="s">
        <v>32</v>
      </c>
      <c r="E603" s="60" t="s">
        <v>10</v>
      </c>
      <c r="F603" s="50" t="s">
        <v>812</v>
      </c>
      <c r="G603" s="50" t="b">
        <v>0</v>
      </c>
      <c r="H603" s="58">
        <v>0</v>
      </c>
      <c r="I603" s="58">
        <v>0.05</v>
      </c>
      <c r="J603" s="58">
        <v>0.1</v>
      </c>
      <c r="K603" s="58">
        <v>0.55000000000000004</v>
      </c>
      <c r="L603" s="58">
        <v>0.68</v>
      </c>
      <c r="M603" s="58">
        <v>1.67</v>
      </c>
      <c r="N603" s="58">
        <v>1.91</v>
      </c>
      <c r="O603" s="58">
        <v>2.73</v>
      </c>
      <c r="P603" s="58">
        <v>1.28</v>
      </c>
      <c r="Q603" s="58">
        <v>0.41</v>
      </c>
      <c r="R603" s="58">
        <v>0.27</v>
      </c>
      <c r="S603" s="58">
        <v>0.03</v>
      </c>
      <c r="T603" s="58">
        <v>0</v>
      </c>
      <c r="U603" s="52">
        <v>15</v>
      </c>
      <c r="V603" s="49" t="s">
        <v>820</v>
      </c>
    </row>
    <row r="604" spans="1:22" hidden="1">
      <c r="A604" s="59" t="s">
        <v>919</v>
      </c>
      <c r="B604" s="59" t="s">
        <v>918</v>
      </c>
      <c r="C604" s="61" t="s">
        <v>10</v>
      </c>
      <c r="D604" s="61" t="s">
        <v>32</v>
      </c>
      <c r="E604" s="60" t="s">
        <v>10</v>
      </c>
      <c r="F604" s="50" t="s">
        <v>812</v>
      </c>
      <c r="G604" s="50" t="b">
        <v>0</v>
      </c>
      <c r="H604" s="58">
        <v>0</v>
      </c>
      <c r="I604" s="58">
        <v>0.12</v>
      </c>
      <c r="J604" s="58">
        <v>0.42</v>
      </c>
      <c r="K604" s="58">
        <v>2.12</v>
      </c>
      <c r="L604" s="58">
        <v>2.02</v>
      </c>
      <c r="M604" s="58">
        <v>4.51</v>
      </c>
      <c r="N604" s="58">
        <v>4.2699999999999996</v>
      </c>
      <c r="O604" s="58">
        <v>5.71</v>
      </c>
      <c r="P604" s="58">
        <v>2.27</v>
      </c>
      <c r="Q604" s="58">
        <v>1.32</v>
      </c>
      <c r="R604" s="58">
        <v>0.93</v>
      </c>
      <c r="S604" s="58">
        <v>0.05</v>
      </c>
      <c r="T604" s="58">
        <v>0</v>
      </c>
      <c r="U604" s="52">
        <v>97.5</v>
      </c>
      <c r="V604" s="49" t="s">
        <v>820</v>
      </c>
    </row>
    <row r="605" spans="1:22">
      <c r="A605" s="59" t="s">
        <v>917</v>
      </c>
      <c r="B605" s="59" t="s">
        <v>916</v>
      </c>
      <c r="C605" s="61" t="s">
        <v>10</v>
      </c>
      <c r="D605" s="61" t="s">
        <v>88</v>
      </c>
      <c r="E605" s="60" t="s">
        <v>10</v>
      </c>
      <c r="F605" s="50" t="s">
        <v>872</v>
      </c>
      <c r="G605" s="50" t="b">
        <v>0</v>
      </c>
      <c r="H605" s="58">
        <v>0</v>
      </c>
      <c r="I605" s="58">
        <v>0</v>
      </c>
      <c r="J605" s="58">
        <v>0</v>
      </c>
      <c r="K605" s="58">
        <v>0</v>
      </c>
      <c r="L605" s="58">
        <v>0</v>
      </c>
      <c r="M605" s="58">
        <v>0</v>
      </c>
      <c r="N605" s="58">
        <v>0</v>
      </c>
      <c r="O605" s="58">
        <v>0</v>
      </c>
      <c r="P605" s="58">
        <v>0</v>
      </c>
      <c r="Q605" s="58">
        <v>0</v>
      </c>
      <c r="R605" s="58">
        <v>0</v>
      </c>
      <c r="S605" s="58">
        <v>0</v>
      </c>
      <c r="T605" s="58">
        <v>0</v>
      </c>
      <c r="U605" s="52">
        <v>1</v>
      </c>
      <c r="V605" s="49" t="s">
        <v>820</v>
      </c>
    </row>
    <row r="606" spans="1:22" hidden="1">
      <c r="A606" s="59" t="s">
        <v>915</v>
      </c>
      <c r="B606" s="59" t="s">
        <v>914</v>
      </c>
      <c r="C606" s="61" t="s">
        <v>10</v>
      </c>
      <c r="D606" s="61" t="s">
        <v>88</v>
      </c>
      <c r="E606" s="60" t="s">
        <v>10</v>
      </c>
      <c r="F606" s="50" t="s">
        <v>913</v>
      </c>
      <c r="G606" s="50" t="b">
        <v>0</v>
      </c>
      <c r="H606" s="58">
        <v>0</v>
      </c>
      <c r="I606" s="58">
        <v>6.647442118280225E-3</v>
      </c>
      <c r="J606" s="58">
        <v>0.12509122557809454</v>
      </c>
      <c r="K606" s="58">
        <v>0.17373425820773791</v>
      </c>
      <c r="L606" s="58">
        <v>1.1892058519542872</v>
      </c>
      <c r="M606" s="58">
        <v>1.4646911555306359</v>
      </c>
      <c r="N606" s="58">
        <v>1.9239937237600746</v>
      </c>
      <c r="O606" s="58">
        <v>1.8992529712875985</v>
      </c>
      <c r="P606" s="58">
        <v>1.8406721803182851</v>
      </c>
      <c r="Q606" s="58">
        <v>1.6875313749559426</v>
      </c>
      <c r="R606" s="58">
        <v>0.75511833075972135</v>
      </c>
      <c r="S606" s="58">
        <v>2.46488664988125E-2</v>
      </c>
      <c r="T606" s="58">
        <v>1.7408640542423307E-2</v>
      </c>
      <c r="U606" s="52">
        <v>2</v>
      </c>
      <c r="V606" s="49" t="s">
        <v>820</v>
      </c>
    </row>
    <row r="607" spans="1:22" hidden="1">
      <c r="A607" s="59" t="s">
        <v>912</v>
      </c>
      <c r="B607" s="59" t="s">
        <v>911</v>
      </c>
      <c r="C607" s="61" t="s">
        <v>10</v>
      </c>
      <c r="D607" s="61" t="s">
        <v>88</v>
      </c>
      <c r="E607" s="60" t="s">
        <v>10</v>
      </c>
      <c r="F607" s="50" t="s">
        <v>816</v>
      </c>
      <c r="G607" s="50" t="b">
        <v>0</v>
      </c>
      <c r="H607" s="58">
        <v>42.04</v>
      </c>
      <c r="I607" s="58">
        <v>0</v>
      </c>
      <c r="J607" s="58">
        <v>0</v>
      </c>
      <c r="K607" s="58">
        <v>0</v>
      </c>
      <c r="L607" s="58">
        <v>0</v>
      </c>
      <c r="M607" s="58">
        <v>0</v>
      </c>
      <c r="N607" s="58">
        <v>0</v>
      </c>
      <c r="O607" s="58">
        <v>0</v>
      </c>
      <c r="P607" s="58">
        <v>0</v>
      </c>
      <c r="Q607" s="58">
        <v>0</v>
      </c>
      <c r="R607" s="58">
        <v>0</v>
      </c>
      <c r="S607" s="58">
        <v>0</v>
      </c>
      <c r="T607" s="58">
        <v>0</v>
      </c>
      <c r="U607" s="52">
        <v>50.61</v>
      </c>
      <c r="V607" s="49" t="s">
        <v>815</v>
      </c>
    </row>
    <row r="608" spans="1:22" hidden="1">
      <c r="A608" s="59" t="s">
        <v>910</v>
      </c>
      <c r="B608" s="59" t="s">
        <v>909</v>
      </c>
      <c r="C608" s="61" t="s">
        <v>12</v>
      </c>
      <c r="D608" s="61" t="s">
        <v>47</v>
      </c>
      <c r="E608" s="60" t="s">
        <v>12</v>
      </c>
      <c r="F608" s="50" t="s">
        <v>827</v>
      </c>
      <c r="G608" s="50" t="b">
        <v>0</v>
      </c>
      <c r="H608" s="58">
        <v>7.94</v>
      </c>
      <c r="I608" s="58">
        <v>0</v>
      </c>
      <c r="J608" s="58">
        <v>0</v>
      </c>
      <c r="K608" s="58">
        <v>0</v>
      </c>
      <c r="L608" s="58">
        <v>0</v>
      </c>
      <c r="M608" s="58">
        <v>0</v>
      </c>
      <c r="N608" s="58">
        <v>0</v>
      </c>
      <c r="O608" s="58">
        <v>0</v>
      </c>
      <c r="P608" s="58">
        <v>0</v>
      </c>
      <c r="Q608" s="58">
        <v>0</v>
      </c>
      <c r="R608" s="58">
        <v>0</v>
      </c>
      <c r="S608" s="58">
        <v>0</v>
      </c>
      <c r="T608" s="58">
        <v>0</v>
      </c>
      <c r="U608" s="52">
        <v>7.94</v>
      </c>
      <c r="V608" s="49" t="s">
        <v>881</v>
      </c>
    </row>
    <row r="609" spans="1:22" hidden="1">
      <c r="A609" s="59" t="s">
        <v>908</v>
      </c>
      <c r="B609" s="59" t="s">
        <v>907</v>
      </c>
      <c r="C609" s="61" t="s">
        <v>12</v>
      </c>
      <c r="D609" s="61" t="s">
        <v>47</v>
      </c>
      <c r="E609" s="60" t="s">
        <v>12</v>
      </c>
      <c r="F609" s="50" t="s">
        <v>827</v>
      </c>
      <c r="G609" s="50" t="b">
        <v>0</v>
      </c>
      <c r="H609" s="58">
        <v>0</v>
      </c>
      <c r="I609" s="58">
        <v>2.4900000000000002</v>
      </c>
      <c r="J609" s="58">
        <v>3.94</v>
      </c>
      <c r="K609" s="58">
        <v>3.56</v>
      </c>
      <c r="L609" s="58">
        <v>2.06</v>
      </c>
      <c r="M609" s="58">
        <v>0</v>
      </c>
      <c r="N609" s="58">
        <v>0.91</v>
      </c>
      <c r="O609" s="58">
        <v>0.31</v>
      </c>
      <c r="P609" s="58">
        <v>0.16</v>
      </c>
      <c r="Q609" s="58">
        <v>1.1000000000000001</v>
      </c>
      <c r="R609" s="58">
        <v>2.04</v>
      </c>
      <c r="S609" s="58">
        <v>0.81</v>
      </c>
      <c r="T609" s="58">
        <v>4.28</v>
      </c>
      <c r="U609" s="52">
        <v>5.9</v>
      </c>
      <c r="V609" s="49" t="s">
        <v>820</v>
      </c>
    </row>
    <row r="610" spans="1:22" hidden="1">
      <c r="A610" s="59" t="s">
        <v>906</v>
      </c>
      <c r="B610" s="59" t="s">
        <v>906</v>
      </c>
      <c r="C610" s="61" t="s">
        <v>12</v>
      </c>
      <c r="D610" s="61" t="s">
        <v>47</v>
      </c>
      <c r="E610" s="60" t="s">
        <v>12</v>
      </c>
      <c r="F610" s="50" t="s">
        <v>824</v>
      </c>
      <c r="G610" s="50" t="b">
        <v>0</v>
      </c>
      <c r="H610" s="58">
        <v>0</v>
      </c>
      <c r="I610" s="58">
        <v>1.06</v>
      </c>
      <c r="J610" s="58">
        <v>0.97</v>
      </c>
      <c r="K610" s="58">
        <v>0.36</v>
      </c>
      <c r="L610" s="58">
        <v>0.23</v>
      </c>
      <c r="M610" s="58">
        <v>0.69</v>
      </c>
      <c r="N610" s="58">
        <v>1.01</v>
      </c>
      <c r="O610" s="58">
        <v>0.56000000000000005</v>
      </c>
      <c r="P610" s="58">
        <v>0.38</v>
      </c>
      <c r="Q610" s="58">
        <v>0.53</v>
      </c>
      <c r="R610" s="58">
        <v>0.49</v>
      </c>
      <c r="S610" s="58">
        <v>0.51</v>
      </c>
      <c r="T610" s="58">
        <v>0.98</v>
      </c>
      <c r="U610" s="52">
        <v>1.3</v>
      </c>
      <c r="V610" s="49" t="s">
        <v>820</v>
      </c>
    </row>
    <row r="611" spans="1:22" hidden="1">
      <c r="A611" s="59" t="s">
        <v>905</v>
      </c>
      <c r="B611" s="59" t="s">
        <v>904</v>
      </c>
      <c r="C611" s="61" t="s">
        <v>12</v>
      </c>
      <c r="D611" s="61" t="s">
        <v>47</v>
      </c>
      <c r="E611" s="60" t="s">
        <v>12</v>
      </c>
      <c r="F611" s="50" t="s">
        <v>824</v>
      </c>
      <c r="G611" s="50" t="b">
        <v>0</v>
      </c>
      <c r="H611" s="58">
        <v>0</v>
      </c>
      <c r="I611" s="58">
        <v>1.69</v>
      </c>
      <c r="J611" s="58">
        <v>1.77</v>
      </c>
      <c r="K611" s="58">
        <v>1.41</v>
      </c>
      <c r="L611" s="58">
        <v>1.2</v>
      </c>
      <c r="M611" s="58">
        <v>1.27</v>
      </c>
      <c r="N611" s="58">
        <v>1.29</v>
      </c>
      <c r="O611" s="58">
        <v>1.01</v>
      </c>
      <c r="P611" s="58">
        <v>1.1299999999999999</v>
      </c>
      <c r="Q611" s="58">
        <v>1.1200000000000001</v>
      </c>
      <c r="R611" s="58">
        <v>1.84</v>
      </c>
      <c r="S611" s="58">
        <v>1.53</v>
      </c>
      <c r="T611" s="58">
        <v>1.72</v>
      </c>
      <c r="U611" s="52">
        <v>3.74</v>
      </c>
      <c r="V611" s="49" t="s">
        <v>820</v>
      </c>
    </row>
    <row r="612" spans="1:22" hidden="1">
      <c r="A612" s="59" t="s">
        <v>903</v>
      </c>
      <c r="B612" s="59" t="s">
        <v>902</v>
      </c>
      <c r="C612" s="61" t="s">
        <v>10</v>
      </c>
      <c r="D612" s="61" t="s">
        <v>901</v>
      </c>
      <c r="E612" s="60" t="s">
        <v>10</v>
      </c>
      <c r="F612" s="50" t="s">
        <v>821</v>
      </c>
      <c r="G612" s="50" t="b">
        <v>0</v>
      </c>
      <c r="H612" s="58">
        <v>0</v>
      </c>
      <c r="I612" s="58">
        <v>16.73</v>
      </c>
      <c r="J612" s="58">
        <v>21.81</v>
      </c>
      <c r="K612" s="58">
        <v>17.010000000000002</v>
      </c>
      <c r="L612" s="58">
        <v>9.4</v>
      </c>
      <c r="M612" s="58">
        <v>19.329999999999998</v>
      </c>
      <c r="N612" s="58">
        <v>16.86</v>
      </c>
      <c r="O612" s="58">
        <v>11.18</v>
      </c>
      <c r="P612" s="58">
        <v>8.01</v>
      </c>
      <c r="Q612" s="58">
        <v>7.32</v>
      </c>
      <c r="R612" s="58">
        <v>7.95</v>
      </c>
      <c r="S612" s="58">
        <v>8.5299999999999994</v>
      </c>
      <c r="T612" s="58">
        <v>9</v>
      </c>
      <c r="U612" s="52">
        <v>39.700000000000003</v>
      </c>
      <c r="V612" s="49" t="s">
        <v>820</v>
      </c>
    </row>
    <row r="613" spans="1:22" hidden="1">
      <c r="A613" s="59" t="s">
        <v>900</v>
      </c>
      <c r="B613" s="59" t="s">
        <v>899</v>
      </c>
      <c r="C613" s="61" t="s">
        <v>12</v>
      </c>
      <c r="D613" s="61" t="s">
        <v>47</v>
      </c>
      <c r="E613" s="60" t="s">
        <v>12</v>
      </c>
      <c r="F613" s="50" t="s">
        <v>816</v>
      </c>
      <c r="G613" s="50" t="b">
        <v>0</v>
      </c>
      <c r="H613" s="58">
        <v>5.75</v>
      </c>
      <c r="I613" s="58">
        <v>0</v>
      </c>
      <c r="J613" s="58">
        <v>0</v>
      </c>
      <c r="K613" s="58">
        <v>0</v>
      </c>
      <c r="L613" s="58">
        <v>0</v>
      </c>
      <c r="M613" s="58">
        <v>0</v>
      </c>
      <c r="N613" s="58">
        <v>0</v>
      </c>
      <c r="O613" s="58">
        <v>0</v>
      </c>
      <c r="P613" s="58">
        <v>0</v>
      </c>
      <c r="Q613" s="58">
        <v>0</v>
      </c>
      <c r="R613" s="58">
        <v>0</v>
      </c>
      <c r="S613" s="58">
        <v>0</v>
      </c>
      <c r="T613" s="58">
        <v>0</v>
      </c>
      <c r="U613" s="52">
        <v>5.75</v>
      </c>
      <c r="V613" s="49" t="s">
        <v>815</v>
      </c>
    </row>
    <row r="614" spans="1:22" hidden="1">
      <c r="A614" s="59" t="s">
        <v>898</v>
      </c>
      <c r="B614" s="59" t="s">
        <v>897</v>
      </c>
      <c r="C614" s="61" t="s">
        <v>12</v>
      </c>
      <c r="D614" s="61" t="s">
        <v>47</v>
      </c>
      <c r="E614" s="60" t="s">
        <v>12</v>
      </c>
      <c r="F614" s="50" t="s">
        <v>816</v>
      </c>
      <c r="G614" s="50" t="b">
        <v>0</v>
      </c>
      <c r="H614" s="58">
        <v>5.75</v>
      </c>
      <c r="I614" s="58">
        <v>0</v>
      </c>
      <c r="J614" s="58">
        <v>0</v>
      </c>
      <c r="K614" s="58">
        <v>0</v>
      </c>
      <c r="L614" s="58">
        <v>0</v>
      </c>
      <c r="M614" s="58">
        <v>0</v>
      </c>
      <c r="N614" s="58">
        <v>0</v>
      </c>
      <c r="O614" s="58">
        <v>0</v>
      </c>
      <c r="P614" s="58">
        <v>0</v>
      </c>
      <c r="Q614" s="58">
        <v>0</v>
      </c>
      <c r="R614" s="58">
        <v>0</v>
      </c>
      <c r="S614" s="58">
        <v>0</v>
      </c>
      <c r="T614" s="58">
        <v>0</v>
      </c>
      <c r="U614" s="52">
        <v>5.75</v>
      </c>
      <c r="V614" s="49" t="s">
        <v>815</v>
      </c>
    </row>
    <row r="615" spans="1:22" hidden="1">
      <c r="A615" s="59" t="s">
        <v>896</v>
      </c>
      <c r="B615" s="59" t="s">
        <v>895</v>
      </c>
      <c r="C615" s="61" t="s">
        <v>12</v>
      </c>
      <c r="D615" s="61" t="s">
        <v>47</v>
      </c>
      <c r="E615" s="60" t="s">
        <v>12</v>
      </c>
      <c r="F615" s="50" t="s">
        <v>894</v>
      </c>
      <c r="G615" s="50" t="b">
        <v>0</v>
      </c>
      <c r="H615" s="58">
        <v>134</v>
      </c>
      <c r="I615" s="58">
        <v>0</v>
      </c>
      <c r="J615" s="58">
        <v>0</v>
      </c>
      <c r="K615" s="58">
        <v>0</v>
      </c>
      <c r="L615" s="58">
        <v>0</v>
      </c>
      <c r="M615" s="58">
        <v>0</v>
      </c>
      <c r="N615" s="58">
        <v>0</v>
      </c>
      <c r="O615" s="58">
        <v>0</v>
      </c>
      <c r="P615" s="58">
        <v>0</v>
      </c>
      <c r="Q615" s="58">
        <v>0</v>
      </c>
      <c r="R615" s="58">
        <v>0</v>
      </c>
      <c r="S615" s="58">
        <v>0</v>
      </c>
      <c r="T615" s="58">
        <v>0</v>
      </c>
      <c r="U615" s="52">
        <v>134</v>
      </c>
      <c r="V615" s="49" t="s">
        <v>815</v>
      </c>
    </row>
    <row r="616" spans="1:22" hidden="1">
      <c r="A616" s="59" t="s">
        <v>893</v>
      </c>
      <c r="B616" s="59" t="s">
        <v>892</v>
      </c>
      <c r="C616" s="61" t="s">
        <v>12</v>
      </c>
      <c r="D616" s="61" t="s">
        <v>52</v>
      </c>
      <c r="E616" s="60" t="s">
        <v>12</v>
      </c>
      <c r="F616" s="50" t="s">
        <v>827</v>
      </c>
      <c r="G616" s="50" t="b">
        <v>0</v>
      </c>
      <c r="H616" s="58">
        <v>0</v>
      </c>
      <c r="I616" s="58">
        <v>6.61</v>
      </c>
      <c r="J616" s="58">
        <v>5.53</v>
      </c>
      <c r="K616" s="58">
        <v>12.34</v>
      </c>
      <c r="L616" s="58">
        <v>21.77</v>
      </c>
      <c r="M616" s="58">
        <v>26.29</v>
      </c>
      <c r="N616" s="58">
        <v>16.690000000000001</v>
      </c>
      <c r="O616" s="58">
        <v>11.51</v>
      </c>
      <c r="P616" s="58">
        <v>2.02</v>
      </c>
      <c r="Q616" s="58">
        <v>0</v>
      </c>
      <c r="R616" s="58">
        <v>0</v>
      </c>
      <c r="S616" s="58">
        <v>2.89</v>
      </c>
      <c r="T616" s="58">
        <v>2.94</v>
      </c>
      <c r="U616" s="52">
        <v>36.799999999999997</v>
      </c>
      <c r="V616" s="49" t="s">
        <v>820</v>
      </c>
    </row>
    <row r="617" spans="1:22">
      <c r="A617" s="59" t="s">
        <v>891</v>
      </c>
      <c r="B617" s="59" t="s">
        <v>890</v>
      </c>
      <c r="C617" s="61" t="s">
        <v>12</v>
      </c>
      <c r="D617" s="61" t="s">
        <v>52</v>
      </c>
      <c r="E617" s="60" t="s">
        <v>12</v>
      </c>
      <c r="F617" s="50" t="s">
        <v>872</v>
      </c>
      <c r="G617" s="50" t="b">
        <v>0</v>
      </c>
      <c r="H617" s="58">
        <v>0</v>
      </c>
      <c r="I617" s="58">
        <v>0.33</v>
      </c>
      <c r="J617" s="58">
        <v>0.93</v>
      </c>
      <c r="K617" s="58">
        <v>1.92</v>
      </c>
      <c r="L617" s="58">
        <v>1.45</v>
      </c>
      <c r="M617" s="58">
        <v>1.77</v>
      </c>
      <c r="N617" s="58">
        <v>4.8099999999999996</v>
      </c>
      <c r="O617" s="58">
        <v>5.31</v>
      </c>
      <c r="P617" s="58">
        <v>2.17</v>
      </c>
      <c r="Q617" s="58">
        <v>0.06</v>
      </c>
      <c r="R617" s="58">
        <v>0.01</v>
      </c>
      <c r="S617" s="58">
        <v>0.03</v>
      </c>
      <c r="T617" s="58">
        <v>0.06</v>
      </c>
      <c r="U617" s="52">
        <v>18.600000000000001</v>
      </c>
      <c r="V617" s="49" t="s">
        <v>820</v>
      </c>
    </row>
    <row r="618" spans="1:22" hidden="1">
      <c r="A618" s="59" t="s">
        <v>889</v>
      </c>
      <c r="B618" s="59" t="s">
        <v>888</v>
      </c>
      <c r="C618" s="61" t="s">
        <v>12</v>
      </c>
      <c r="D618" s="61" t="s">
        <v>52</v>
      </c>
      <c r="E618" s="60" t="s">
        <v>12</v>
      </c>
      <c r="F618" s="50" t="s">
        <v>821</v>
      </c>
      <c r="G618" s="50" t="b">
        <v>0</v>
      </c>
      <c r="H618" s="58">
        <v>0</v>
      </c>
      <c r="I618" s="58">
        <v>35.409999999999997</v>
      </c>
      <c r="J618" s="58">
        <v>35.200000000000003</v>
      </c>
      <c r="K618" s="58">
        <v>16</v>
      </c>
      <c r="L618" s="58">
        <v>33.909999999999997</v>
      </c>
      <c r="M618" s="58">
        <v>35.520000000000003</v>
      </c>
      <c r="N618" s="58">
        <v>35.49</v>
      </c>
      <c r="O618" s="58">
        <v>35.51</v>
      </c>
      <c r="P618" s="58">
        <v>34.76</v>
      </c>
      <c r="Q618" s="58">
        <v>34.270000000000003</v>
      </c>
      <c r="R618" s="58">
        <v>35.69</v>
      </c>
      <c r="S618" s="58">
        <v>35.83</v>
      </c>
      <c r="T618" s="58">
        <v>34.21</v>
      </c>
      <c r="U618" s="52">
        <v>41</v>
      </c>
      <c r="V618" s="49" t="s">
        <v>820</v>
      </c>
    </row>
    <row r="619" spans="1:22" hidden="1">
      <c r="A619" s="59" t="s">
        <v>887</v>
      </c>
      <c r="B619" s="59" t="s">
        <v>886</v>
      </c>
      <c r="C619" s="61" t="s">
        <v>12</v>
      </c>
      <c r="D619" s="61" t="s">
        <v>52</v>
      </c>
      <c r="E619" s="60" t="s">
        <v>12</v>
      </c>
      <c r="F619" s="50" t="s">
        <v>824</v>
      </c>
      <c r="G619" s="50" t="b">
        <v>0</v>
      </c>
      <c r="H619" s="58">
        <v>0</v>
      </c>
      <c r="I619" s="58">
        <v>3.75</v>
      </c>
      <c r="J619" s="58">
        <v>4.22</v>
      </c>
      <c r="K619" s="58">
        <v>4.07</v>
      </c>
      <c r="L619" s="58">
        <v>5.73</v>
      </c>
      <c r="M619" s="58">
        <v>4.93</v>
      </c>
      <c r="N619" s="58">
        <v>6.17</v>
      </c>
      <c r="O619" s="58">
        <v>6.11</v>
      </c>
      <c r="P619" s="58">
        <v>5.68</v>
      </c>
      <c r="Q619" s="58">
        <v>5.86</v>
      </c>
      <c r="R619" s="58">
        <v>4.1100000000000003</v>
      </c>
      <c r="S619" s="58">
        <v>3.65</v>
      </c>
      <c r="T619" s="58">
        <v>3.65</v>
      </c>
      <c r="U619" s="52">
        <v>7</v>
      </c>
      <c r="V619" s="49" t="s">
        <v>820</v>
      </c>
    </row>
    <row r="620" spans="1:22">
      <c r="A620" s="59" t="s">
        <v>885</v>
      </c>
      <c r="B620" s="59" t="s">
        <v>884</v>
      </c>
      <c r="C620" s="61" t="s">
        <v>12</v>
      </c>
      <c r="D620" s="61" t="s">
        <v>88</v>
      </c>
      <c r="E620" s="60" t="s">
        <v>12</v>
      </c>
      <c r="F620" s="50" t="s">
        <v>872</v>
      </c>
      <c r="G620" s="50" t="b">
        <v>0</v>
      </c>
      <c r="H620" s="58">
        <v>0</v>
      </c>
      <c r="I620" s="58">
        <v>0</v>
      </c>
      <c r="J620" s="58">
        <v>0</v>
      </c>
      <c r="K620" s="58">
        <v>0</v>
      </c>
      <c r="L620" s="58">
        <v>0</v>
      </c>
      <c r="M620" s="58">
        <v>0</v>
      </c>
      <c r="N620" s="58">
        <v>0</v>
      </c>
      <c r="O620" s="58">
        <v>0</v>
      </c>
      <c r="P620" s="58">
        <v>0</v>
      </c>
      <c r="Q620" s="58">
        <v>0</v>
      </c>
      <c r="R620" s="58">
        <v>0</v>
      </c>
      <c r="S620" s="58">
        <v>0</v>
      </c>
      <c r="T620" s="58">
        <v>0</v>
      </c>
      <c r="U620" s="52">
        <v>0.4</v>
      </c>
      <c r="V620" s="49" t="s">
        <v>820</v>
      </c>
    </row>
    <row r="621" spans="1:22" hidden="1">
      <c r="A621" s="59" t="s">
        <v>883</v>
      </c>
      <c r="B621" s="59" t="s">
        <v>882</v>
      </c>
      <c r="C621" s="61" t="s">
        <v>12</v>
      </c>
      <c r="D621" s="61" t="s">
        <v>47</v>
      </c>
      <c r="E621" s="60" t="s">
        <v>12</v>
      </c>
      <c r="F621" s="50" t="s">
        <v>827</v>
      </c>
      <c r="G621" s="50" t="b">
        <v>0</v>
      </c>
      <c r="H621" s="58">
        <v>4.0999999999999996</v>
      </c>
      <c r="I621" s="58">
        <v>0</v>
      </c>
      <c r="J621" s="58">
        <v>0</v>
      </c>
      <c r="K621" s="58">
        <v>0</v>
      </c>
      <c r="L621" s="58">
        <v>0</v>
      </c>
      <c r="M621" s="58">
        <v>0</v>
      </c>
      <c r="N621" s="58">
        <v>0</v>
      </c>
      <c r="O621" s="58">
        <v>0</v>
      </c>
      <c r="P621" s="58">
        <v>0</v>
      </c>
      <c r="Q621" s="58">
        <v>0</v>
      </c>
      <c r="R621" s="58">
        <v>0</v>
      </c>
      <c r="S621" s="58">
        <v>0</v>
      </c>
      <c r="T621" s="58">
        <v>0</v>
      </c>
      <c r="U621" s="52">
        <v>4.0999999999999996</v>
      </c>
      <c r="V621" s="49" t="s">
        <v>881</v>
      </c>
    </row>
    <row r="622" spans="1:22" hidden="1">
      <c r="A622" s="59" t="s">
        <v>880</v>
      </c>
      <c r="B622" s="59" t="s">
        <v>879</v>
      </c>
      <c r="C622" s="61" t="s">
        <v>12</v>
      </c>
      <c r="D622" s="61" t="s">
        <v>47</v>
      </c>
      <c r="E622" s="60" t="s">
        <v>12</v>
      </c>
      <c r="F622" s="50" t="s">
        <v>827</v>
      </c>
      <c r="G622" s="50" t="b">
        <v>0</v>
      </c>
      <c r="H622" s="58">
        <v>0</v>
      </c>
      <c r="I622" s="58">
        <v>2.3199999999999998</v>
      </c>
      <c r="J622" s="58">
        <v>2.76</v>
      </c>
      <c r="K622" s="58">
        <v>2.52</v>
      </c>
      <c r="L622" s="58">
        <v>3.38</v>
      </c>
      <c r="M622" s="58">
        <v>3.6</v>
      </c>
      <c r="N622" s="58">
        <v>3.98</v>
      </c>
      <c r="O622" s="58">
        <v>3.84</v>
      </c>
      <c r="P622" s="58">
        <v>3.9</v>
      </c>
      <c r="Q622" s="58">
        <v>3.3</v>
      </c>
      <c r="R622" s="58">
        <v>3.6</v>
      </c>
      <c r="S622" s="58">
        <v>4.2</v>
      </c>
      <c r="T622" s="58">
        <v>1.7</v>
      </c>
      <c r="U622" s="52">
        <v>5.0999999999999996</v>
      </c>
      <c r="V622" s="49" t="s">
        <v>855</v>
      </c>
    </row>
    <row r="623" spans="1:22" hidden="1">
      <c r="A623" s="59" t="s">
        <v>878</v>
      </c>
      <c r="B623" s="59" t="s">
        <v>877</v>
      </c>
      <c r="C623" s="61" t="s">
        <v>12</v>
      </c>
      <c r="D623" s="61" t="s">
        <v>88</v>
      </c>
      <c r="E623" s="60" t="s">
        <v>12</v>
      </c>
      <c r="F623" s="50" t="s">
        <v>812</v>
      </c>
      <c r="G623" s="50" t="b">
        <v>0</v>
      </c>
      <c r="H623" s="58">
        <v>0</v>
      </c>
      <c r="I623" s="58">
        <v>22.59</v>
      </c>
      <c r="J623" s="58">
        <v>29.38</v>
      </c>
      <c r="K623" s="58">
        <v>94.14</v>
      </c>
      <c r="L623" s="58">
        <v>74.98</v>
      </c>
      <c r="M623" s="58">
        <v>58.29</v>
      </c>
      <c r="N623" s="58">
        <v>59.12</v>
      </c>
      <c r="O623" s="58">
        <v>41.24</v>
      </c>
      <c r="P623" s="58">
        <v>29.06</v>
      </c>
      <c r="Q623" s="58">
        <v>14.72</v>
      </c>
      <c r="R623" s="58">
        <v>19.82</v>
      </c>
      <c r="S623" s="58">
        <v>19.14</v>
      </c>
      <c r="T623" s="58">
        <v>14.07</v>
      </c>
      <c r="U623" s="52">
        <v>316.39999999999998</v>
      </c>
      <c r="V623" s="49" t="s">
        <v>820</v>
      </c>
    </row>
    <row r="624" spans="1:22" hidden="1">
      <c r="A624" s="59" t="s">
        <v>876</v>
      </c>
      <c r="B624" s="59" t="s">
        <v>875</v>
      </c>
      <c r="C624" s="61" t="s">
        <v>12</v>
      </c>
      <c r="D624" s="61" t="s">
        <v>88</v>
      </c>
      <c r="E624" s="60" t="s">
        <v>12</v>
      </c>
      <c r="F624" s="50" t="s">
        <v>812</v>
      </c>
      <c r="G624" s="50" t="b">
        <v>0</v>
      </c>
      <c r="H624" s="58">
        <v>0</v>
      </c>
      <c r="I624" s="58">
        <v>4.5599999999999996</v>
      </c>
      <c r="J624" s="58">
        <v>6.89</v>
      </c>
      <c r="K624" s="58">
        <v>25.02</v>
      </c>
      <c r="L624" s="58">
        <v>18.62</v>
      </c>
      <c r="M624" s="58">
        <v>15.45</v>
      </c>
      <c r="N624" s="58">
        <v>15.49</v>
      </c>
      <c r="O624" s="58">
        <v>9.6</v>
      </c>
      <c r="P624" s="58">
        <v>6.42</v>
      </c>
      <c r="Q624" s="58">
        <v>3.05</v>
      </c>
      <c r="R624" s="58">
        <v>3.75</v>
      </c>
      <c r="S624" s="58">
        <v>3.5</v>
      </c>
      <c r="T624" s="58">
        <v>2.89</v>
      </c>
      <c r="U624" s="52">
        <v>60</v>
      </c>
      <c r="V624" s="49" t="s">
        <v>820</v>
      </c>
    </row>
    <row r="625" spans="1:23">
      <c r="A625" s="59" t="s">
        <v>874</v>
      </c>
      <c r="B625" s="59" t="s">
        <v>873</v>
      </c>
      <c r="C625" s="61" t="s">
        <v>12</v>
      </c>
      <c r="D625" s="61" t="s">
        <v>47</v>
      </c>
      <c r="E625" s="60" t="s">
        <v>12</v>
      </c>
      <c r="F625" s="50" t="s">
        <v>872</v>
      </c>
      <c r="G625" s="50" t="b">
        <v>0</v>
      </c>
      <c r="H625" s="58">
        <v>0</v>
      </c>
      <c r="I625" s="58">
        <v>0.04</v>
      </c>
      <c r="J625" s="58">
        <v>0.02</v>
      </c>
      <c r="K625" s="58">
        <v>7.0000000000000007E-2</v>
      </c>
      <c r="L625" s="58">
        <v>0.06</v>
      </c>
      <c r="M625" s="58">
        <v>0.09</v>
      </c>
      <c r="N625" s="58">
        <v>0.09</v>
      </c>
      <c r="O625" s="58">
        <v>0.16</v>
      </c>
      <c r="P625" s="58">
        <v>0.16</v>
      </c>
      <c r="Q625" s="58">
        <v>0.13</v>
      </c>
      <c r="R625" s="58">
        <v>0.1</v>
      </c>
      <c r="S625" s="58">
        <v>0.06</v>
      </c>
      <c r="T625" s="58">
        <v>0.04</v>
      </c>
      <c r="U625" s="52">
        <v>0.6</v>
      </c>
      <c r="V625" s="49" t="s">
        <v>820</v>
      </c>
    </row>
    <row r="626" spans="1:23" hidden="1">
      <c r="A626" s="59" t="s">
        <v>871</v>
      </c>
      <c r="B626" s="59" t="s">
        <v>870</v>
      </c>
      <c r="C626" s="61" t="s">
        <v>10</v>
      </c>
      <c r="D626" s="61" t="s">
        <v>869</v>
      </c>
      <c r="E626" s="60" t="s">
        <v>10</v>
      </c>
      <c r="F626" s="50" t="s">
        <v>827</v>
      </c>
      <c r="G626" s="50" t="b">
        <v>0</v>
      </c>
      <c r="H626" s="58">
        <v>0</v>
      </c>
      <c r="I626" s="58">
        <v>0</v>
      </c>
      <c r="J626" s="58">
        <v>0</v>
      </c>
      <c r="K626" s="58">
        <v>0.61</v>
      </c>
      <c r="L626" s="58">
        <v>0.9</v>
      </c>
      <c r="M626" s="58">
        <v>1.1499999999999999</v>
      </c>
      <c r="N626" s="58">
        <v>1.35</v>
      </c>
      <c r="O626" s="58">
        <v>1.53</v>
      </c>
      <c r="P626" s="58">
        <v>1.39</v>
      </c>
      <c r="Q626" s="58">
        <v>0.47</v>
      </c>
      <c r="R626" s="58">
        <v>0.03</v>
      </c>
      <c r="S626" s="58">
        <v>0</v>
      </c>
      <c r="T626" s="58">
        <v>0</v>
      </c>
      <c r="U626" s="52">
        <v>5</v>
      </c>
      <c r="V626" s="49" t="s">
        <v>820</v>
      </c>
    </row>
    <row r="627" spans="1:23" hidden="1">
      <c r="A627" s="59" t="s">
        <v>868</v>
      </c>
      <c r="B627" s="59" t="s">
        <v>867</v>
      </c>
      <c r="C627" s="61" t="s">
        <v>10</v>
      </c>
      <c r="D627" s="61" t="s">
        <v>88</v>
      </c>
      <c r="E627" s="60" t="s">
        <v>10</v>
      </c>
      <c r="F627" s="50" t="s">
        <v>827</v>
      </c>
      <c r="G627" s="50" t="b">
        <v>0</v>
      </c>
      <c r="H627" s="58">
        <v>0</v>
      </c>
      <c r="I627" s="58">
        <v>4.93</v>
      </c>
      <c r="J627" s="58">
        <v>5.49</v>
      </c>
      <c r="K627" s="58">
        <v>6.14</v>
      </c>
      <c r="L627" s="58">
        <v>3.21</v>
      </c>
      <c r="M627" s="58">
        <v>5.05</v>
      </c>
      <c r="N627" s="58">
        <v>4.93</v>
      </c>
      <c r="O627" s="58">
        <v>4.16</v>
      </c>
      <c r="P627" s="58">
        <v>3.49</v>
      </c>
      <c r="Q627" s="58">
        <v>3.36</v>
      </c>
      <c r="R627" s="58">
        <v>3.7</v>
      </c>
      <c r="S627" s="58">
        <v>3.61</v>
      </c>
      <c r="T627" s="58">
        <v>3.44</v>
      </c>
      <c r="U627" s="52">
        <v>9.1</v>
      </c>
      <c r="V627" s="49" t="s">
        <v>820</v>
      </c>
    </row>
    <row r="628" spans="1:23" hidden="1">
      <c r="A628" s="59" t="s">
        <v>866</v>
      </c>
      <c r="B628" s="59" t="s">
        <v>865</v>
      </c>
      <c r="C628" s="61" t="s">
        <v>10</v>
      </c>
      <c r="D628" s="61" t="s">
        <v>88</v>
      </c>
      <c r="E628" s="60" t="s">
        <v>10</v>
      </c>
      <c r="F628" s="50" t="s">
        <v>827</v>
      </c>
      <c r="G628" s="50" t="b">
        <v>0</v>
      </c>
      <c r="H628" s="58">
        <v>0</v>
      </c>
      <c r="I628" s="58">
        <v>0.15</v>
      </c>
      <c r="J628" s="58">
        <v>0.28999999999999998</v>
      </c>
      <c r="K628" s="58">
        <v>0.39</v>
      </c>
      <c r="L628" s="58">
        <v>0.24</v>
      </c>
      <c r="M628" s="58">
        <v>0.27</v>
      </c>
      <c r="N628" s="58">
        <v>0.33</v>
      </c>
      <c r="O628" s="58">
        <v>0.18</v>
      </c>
      <c r="P628" s="58">
        <v>0.12</v>
      </c>
      <c r="Q628" s="58">
        <v>0.11</v>
      </c>
      <c r="R628" s="58">
        <v>0.21</v>
      </c>
      <c r="S628" s="58">
        <v>0.28000000000000003</v>
      </c>
      <c r="T628" s="58">
        <v>0.39</v>
      </c>
      <c r="U628" s="52">
        <v>1</v>
      </c>
      <c r="V628" s="49" t="s">
        <v>820</v>
      </c>
    </row>
    <row r="629" spans="1:23" hidden="1">
      <c r="A629" s="59" t="s">
        <v>864</v>
      </c>
      <c r="B629" s="59" t="s">
        <v>864</v>
      </c>
      <c r="C629" s="61" t="s">
        <v>10</v>
      </c>
      <c r="D629" s="61" t="s">
        <v>88</v>
      </c>
      <c r="E629" s="60" t="s">
        <v>10</v>
      </c>
      <c r="F629" s="50" t="s">
        <v>827</v>
      </c>
      <c r="G629" s="50" t="b">
        <v>0</v>
      </c>
      <c r="H629" s="58">
        <v>0</v>
      </c>
      <c r="I629" s="58">
        <v>0.39</v>
      </c>
      <c r="J629" s="58">
        <v>0.53</v>
      </c>
      <c r="K629" s="58">
        <v>0.84</v>
      </c>
      <c r="L629" s="58">
        <v>0.75</v>
      </c>
      <c r="M629" s="58">
        <v>1.23</v>
      </c>
      <c r="N629" s="58">
        <v>0.83</v>
      </c>
      <c r="O629" s="58">
        <v>0.41</v>
      </c>
      <c r="P629" s="58">
        <v>0.37</v>
      </c>
      <c r="Q629" s="58">
        <v>0.34</v>
      </c>
      <c r="R629" s="58">
        <v>0.35</v>
      </c>
      <c r="S629" s="58">
        <v>0.36</v>
      </c>
      <c r="T629" s="58">
        <v>0.36</v>
      </c>
      <c r="U629" s="52">
        <v>2.9</v>
      </c>
      <c r="V629" s="49" t="s">
        <v>820</v>
      </c>
    </row>
    <row r="630" spans="1:23" hidden="1">
      <c r="A630" s="59" t="s">
        <v>863</v>
      </c>
      <c r="B630" s="59" t="s">
        <v>862</v>
      </c>
      <c r="C630" s="61" t="s">
        <v>10</v>
      </c>
      <c r="D630" s="61" t="s">
        <v>88</v>
      </c>
      <c r="E630" s="60" t="s">
        <v>10</v>
      </c>
      <c r="F630" s="50" t="s">
        <v>824</v>
      </c>
      <c r="G630" s="50" t="b">
        <v>0</v>
      </c>
      <c r="H630" s="58">
        <v>0</v>
      </c>
      <c r="I630" s="58">
        <v>13.26</v>
      </c>
      <c r="J630" s="58">
        <v>23.68</v>
      </c>
      <c r="K630" s="58">
        <v>21.18</v>
      </c>
      <c r="L630" s="58">
        <v>14.98</v>
      </c>
      <c r="M630" s="58">
        <v>13.3</v>
      </c>
      <c r="N630" s="58">
        <v>20.53</v>
      </c>
      <c r="O630" s="58">
        <v>21.9</v>
      </c>
      <c r="P630" s="58">
        <v>18.27</v>
      </c>
      <c r="Q630" s="58">
        <v>21.06</v>
      </c>
      <c r="R630" s="58">
        <v>16.78</v>
      </c>
      <c r="S630" s="58">
        <v>22.72</v>
      </c>
      <c r="T630" s="58">
        <v>21.94</v>
      </c>
      <c r="U630" s="52">
        <v>32</v>
      </c>
      <c r="V630" s="49" t="s">
        <v>820</v>
      </c>
    </row>
    <row r="631" spans="1:23" hidden="1">
      <c r="A631" s="59" t="s">
        <v>861</v>
      </c>
      <c r="B631" s="59" t="s">
        <v>860</v>
      </c>
      <c r="C631" s="61" t="s">
        <v>12</v>
      </c>
      <c r="D631" s="61" t="s">
        <v>47</v>
      </c>
      <c r="E631" s="60" t="s">
        <v>12</v>
      </c>
      <c r="F631" s="50" t="s">
        <v>824</v>
      </c>
      <c r="G631" s="50" t="b">
        <v>0</v>
      </c>
      <c r="H631" s="58">
        <v>0</v>
      </c>
      <c r="I631" s="58">
        <v>34.04</v>
      </c>
      <c r="J631" s="58">
        <v>47.06</v>
      </c>
      <c r="K631" s="58">
        <v>45.47</v>
      </c>
      <c r="L631" s="58">
        <v>46.03</v>
      </c>
      <c r="M631" s="58">
        <v>45.92</v>
      </c>
      <c r="N631" s="58">
        <v>46.46</v>
      </c>
      <c r="O631" s="58">
        <v>46.93</v>
      </c>
      <c r="P631" s="58">
        <v>46.68</v>
      </c>
      <c r="Q631" s="58">
        <v>46.98</v>
      </c>
      <c r="R631" s="58">
        <v>42.69</v>
      </c>
      <c r="S631" s="58">
        <v>46.42</v>
      </c>
      <c r="T631" s="58">
        <v>46.42</v>
      </c>
      <c r="U631" s="52">
        <v>55.69</v>
      </c>
      <c r="V631" s="49" t="s">
        <v>820</v>
      </c>
    </row>
    <row r="632" spans="1:23" hidden="1">
      <c r="A632" s="59" t="s">
        <v>859</v>
      </c>
      <c r="B632" s="59" t="s">
        <v>859</v>
      </c>
      <c r="C632" s="61" t="s">
        <v>12</v>
      </c>
      <c r="D632" s="61" t="s">
        <v>47</v>
      </c>
      <c r="E632" s="60" t="s">
        <v>12</v>
      </c>
      <c r="F632" s="50" t="s">
        <v>824</v>
      </c>
      <c r="G632" s="50" t="b">
        <v>0</v>
      </c>
      <c r="H632" s="58">
        <v>4.47</v>
      </c>
      <c r="I632" s="58">
        <v>0</v>
      </c>
      <c r="J632" s="58">
        <v>0</v>
      </c>
      <c r="K632" s="58">
        <v>0</v>
      </c>
      <c r="L632" s="58">
        <v>0</v>
      </c>
      <c r="M632" s="58">
        <v>0</v>
      </c>
      <c r="N632" s="58">
        <v>0</v>
      </c>
      <c r="O632" s="58">
        <v>0</v>
      </c>
      <c r="P632" s="58">
        <v>0</v>
      </c>
      <c r="Q632" s="58">
        <v>0</v>
      </c>
      <c r="R632" s="58">
        <v>0</v>
      </c>
      <c r="S632" s="58">
        <v>0</v>
      </c>
      <c r="T632" s="58">
        <v>0</v>
      </c>
      <c r="U632" s="52">
        <v>4.5</v>
      </c>
      <c r="V632" s="49" t="s">
        <v>820</v>
      </c>
    </row>
    <row r="633" spans="1:23" hidden="1">
      <c r="A633" s="59" t="s">
        <v>858</v>
      </c>
      <c r="B633" s="59" t="s">
        <v>858</v>
      </c>
      <c r="C633" s="61" t="s">
        <v>12</v>
      </c>
      <c r="D633" s="61" t="s">
        <v>47</v>
      </c>
      <c r="E633" s="60" t="s">
        <v>12</v>
      </c>
      <c r="F633" s="50" t="s">
        <v>824</v>
      </c>
      <c r="G633" s="50" t="b">
        <v>0</v>
      </c>
      <c r="H633" s="58">
        <v>0</v>
      </c>
      <c r="I633" s="58">
        <v>3.78</v>
      </c>
      <c r="J633" s="58">
        <v>3.54</v>
      </c>
      <c r="K633" s="58">
        <v>3.53</v>
      </c>
      <c r="L633" s="58">
        <v>3.6</v>
      </c>
      <c r="M633" s="58">
        <v>3.37</v>
      </c>
      <c r="N633" s="58">
        <v>3.13</v>
      </c>
      <c r="O633" s="58">
        <v>3.06</v>
      </c>
      <c r="P633" s="58">
        <v>3.07</v>
      </c>
      <c r="Q633" s="58">
        <v>3.03</v>
      </c>
      <c r="R633" s="58">
        <v>2.8</v>
      </c>
      <c r="S633" s="58">
        <v>3.08</v>
      </c>
      <c r="T633" s="58">
        <v>3.5</v>
      </c>
      <c r="U633" s="52">
        <v>5.7</v>
      </c>
      <c r="V633" s="49" t="s">
        <v>820</v>
      </c>
    </row>
    <row r="634" spans="1:23" hidden="1">
      <c r="A634" s="59" t="s">
        <v>857</v>
      </c>
      <c r="B634" s="59" t="s">
        <v>856</v>
      </c>
      <c r="C634" s="61" t="s">
        <v>12</v>
      </c>
      <c r="D634" s="61" t="s">
        <v>52</v>
      </c>
      <c r="E634" s="60" t="s">
        <v>12</v>
      </c>
      <c r="F634" s="50" t="s">
        <v>827</v>
      </c>
      <c r="G634" s="50" t="b">
        <v>0</v>
      </c>
      <c r="H634" s="58">
        <v>76</v>
      </c>
      <c r="I634" s="58">
        <v>0</v>
      </c>
      <c r="J634" s="58">
        <v>0</v>
      </c>
      <c r="K634" s="58">
        <v>0</v>
      </c>
      <c r="L634" s="58">
        <v>0</v>
      </c>
      <c r="M634" s="58">
        <v>0</v>
      </c>
      <c r="N634" s="58">
        <v>0</v>
      </c>
      <c r="O634" s="58">
        <v>0</v>
      </c>
      <c r="P634" s="58">
        <v>0</v>
      </c>
      <c r="Q634" s="58">
        <v>0</v>
      </c>
      <c r="R634" s="58">
        <v>0</v>
      </c>
      <c r="S634" s="58">
        <v>0</v>
      </c>
      <c r="T634" s="58">
        <v>0</v>
      </c>
      <c r="U634" s="52">
        <v>76</v>
      </c>
      <c r="V634" s="49" t="s">
        <v>855</v>
      </c>
    </row>
    <row r="635" spans="1:23" s="56" customFormat="1" hidden="1">
      <c r="A635" s="59" t="s">
        <v>854</v>
      </c>
      <c r="B635" s="59" t="s">
        <v>853</v>
      </c>
      <c r="C635" s="61" t="s">
        <v>10</v>
      </c>
      <c r="D635" s="61" t="s">
        <v>852</v>
      </c>
      <c r="E635" s="60" t="s">
        <v>10</v>
      </c>
      <c r="F635" s="50" t="s">
        <v>851</v>
      </c>
      <c r="G635" s="50" t="b">
        <v>0</v>
      </c>
      <c r="H635" s="58">
        <v>25</v>
      </c>
      <c r="I635" s="58">
        <v>0</v>
      </c>
      <c r="J635" s="58">
        <v>0</v>
      </c>
      <c r="K635" s="58">
        <v>0</v>
      </c>
      <c r="L635" s="58">
        <v>0</v>
      </c>
      <c r="M635" s="58">
        <v>0</v>
      </c>
      <c r="N635" s="58">
        <v>0</v>
      </c>
      <c r="O635" s="58">
        <v>0</v>
      </c>
      <c r="P635" s="58">
        <v>0</v>
      </c>
      <c r="Q635" s="58">
        <v>0</v>
      </c>
      <c r="R635" s="58">
        <v>0</v>
      </c>
      <c r="S635" s="58">
        <v>0</v>
      </c>
      <c r="T635" s="58">
        <v>0</v>
      </c>
      <c r="U635" s="52">
        <v>32.6</v>
      </c>
      <c r="V635" s="49" t="s">
        <v>815</v>
      </c>
      <c r="W635" s="49"/>
    </row>
    <row r="636" spans="1:23" s="56" customFormat="1" hidden="1">
      <c r="A636" s="59" t="s">
        <v>850</v>
      </c>
      <c r="B636" s="59" t="s">
        <v>849</v>
      </c>
      <c r="C636" s="61" t="s">
        <v>10</v>
      </c>
      <c r="D636" s="61" t="s">
        <v>817</v>
      </c>
      <c r="E636" s="60" t="s">
        <v>10</v>
      </c>
      <c r="F636" s="50" t="s">
        <v>827</v>
      </c>
      <c r="G636" s="50" t="b">
        <v>0</v>
      </c>
      <c r="H636" s="58">
        <v>0</v>
      </c>
      <c r="I636" s="58">
        <v>55</v>
      </c>
      <c r="J636" s="58">
        <v>55</v>
      </c>
      <c r="K636" s="58">
        <v>55</v>
      </c>
      <c r="L636" s="58">
        <v>55</v>
      </c>
      <c r="M636" s="58">
        <v>55</v>
      </c>
      <c r="N636" s="58">
        <v>55</v>
      </c>
      <c r="O636" s="58">
        <v>55</v>
      </c>
      <c r="P636" s="58">
        <v>55</v>
      </c>
      <c r="Q636" s="58">
        <v>55</v>
      </c>
      <c r="R636" s="58">
        <v>55</v>
      </c>
      <c r="S636" s="58">
        <v>55</v>
      </c>
      <c r="T636" s="58">
        <v>55</v>
      </c>
      <c r="U636" s="52">
        <v>60</v>
      </c>
      <c r="V636" s="49" t="s">
        <v>820</v>
      </c>
      <c r="W636" s="49"/>
    </row>
    <row r="637" spans="1:23" s="56" customFormat="1" hidden="1">
      <c r="A637" s="59" t="s">
        <v>848</v>
      </c>
      <c r="B637" s="59" t="s">
        <v>847</v>
      </c>
      <c r="C637" s="61" t="s">
        <v>10</v>
      </c>
      <c r="D637" s="61" t="s">
        <v>88</v>
      </c>
      <c r="E637" s="60" t="s">
        <v>10</v>
      </c>
      <c r="F637" s="50" t="s">
        <v>827</v>
      </c>
      <c r="G637" s="50" t="b">
        <v>0</v>
      </c>
      <c r="H637" s="58">
        <v>0</v>
      </c>
      <c r="I637" s="58">
        <v>14</v>
      </c>
      <c r="J637" s="58">
        <v>14</v>
      </c>
      <c r="K637" s="58">
        <v>14</v>
      </c>
      <c r="L637" s="58">
        <v>14</v>
      </c>
      <c r="M637" s="58">
        <v>14</v>
      </c>
      <c r="N637" s="58">
        <v>14</v>
      </c>
      <c r="O637" s="58">
        <v>14</v>
      </c>
      <c r="P637" s="58">
        <v>14</v>
      </c>
      <c r="Q637" s="58">
        <v>14</v>
      </c>
      <c r="R637" s="58">
        <v>14</v>
      </c>
      <c r="S637" s="58">
        <v>14</v>
      </c>
      <c r="T637" s="58">
        <v>14</v>
      </c>
      <c r="U637" s="52">
        <v>14</v>
      </c>
      <c r="V637" s="49" t="s">
        <v>820</v>
      </c>
      <c r="W637" s="49"/>
    </row>
    <row r="638" spans="1:23" s="56" customFormat="1" hidden="1">
      <c r="A638" s="59" t="s">
        <v>846</v>
      </c>
      <c r="B638" s="59" t="s">
        <v>845</v>
      </c>
      <c r="C638" s="61" t="s">
        <v>10</v>
      </c>
      <c r="D638" s="61" t="s">
        <v>817</v>
      </c>
      <c r="E638" s="60" t="s">
        <v>10</v>
      </c>
      <c r="F638" s="50" t="s">
        <v>824</v>
      </c>
      <c r="G638" s="50" t="b">
        <v>0</v>
      </c>
      <c r="H638" s="58">
        <v>1.3</v>
      </c>
      <c r="I638" s="58">
        <v>0</v>
      </c>
      <c r="J638" s="58">
        <v>0</v>
      </c>
      <c r="K638" s="58">
        <v>0</v>
      </c>
      <c r="L638" s="58">
        <v>0</v>
      </c>
      <c r="M638" s="58">
        <v>0</v>
      </c>
      <c r="N638" s="58">
        <v>0</v>
      </c>
      <c r="O638" s="58">
        <v>0</v>
      </c>
      <c r="P638" s="58">
        <v>0</v>
      </c>
      <c r="Q638" s="58">
        <v>0</v>
      </c>
      <c r="R638" s="58">
        <v>0</v>
      </c>
      <c r="S638" s="58">
        <v>0</v>
      </c>
      <c r="T638" s="58">
        <v>0</v>
      </c>
      <c r="U638" s="52">
        <v>1.5</v>
      </c>
      <c r="V638" s="49" t="s">
        <v>811</v>
      </c>
      <c r="W638" s="49"/>
    </row>
    <row r="639" spans="1:23" s="56" customFormat="1" hidden="1">
      <c r="A639" s="59" t="s">
        <v>844</v>
      </c>
      <c r="B639" s="59" t="s">
        <v>843</v>
      </c>
      <c r="C639" s="61" t="s">
        <v>12</v>
      </c>
      <c r="D639" s="61" t="s">
        <v>47</v>
      </c>
      <c r="E639" s="60" t="s">
        <v>12</v>
      </c>
      <c r="F639" s="50" t="s">
        <v>812</v>
      </c>
      <c r="G639" s="50" t="b">
        <v>0</v>
      </c>
      <c r="H639" s="58">
        <v>0</v>
      </c>
      <c r="I639" s="58">
        <v>2.63</v>
      </c>
      <c r="J639" s="58">
        <v>4.72</v>
      </c>
      <c r="K639" s="58">
        <v>9.58</v>
      </c>
      <c r="L639" s="58">
        <v>11.75</v>
      </c>
      <c r="M639" s="58">
        <v>16.78</v>
      </c>
      <c r="N639" s="58">
        <v>24.1</v>
      </c>
      <c r="O639" s="58">
        <v>11.11</v>
      </c>
      <c r="P639" s="58">
        <v>6.61</v>
      </c>
      <c r="Q639" s="58">
        <v>6.32</v>
      </c>
      <c r="R639" s="58">
        <v>4.16</v>
      </c>
      <c r="S639" s="58">
        <v>2.4700000000000002</v>
      </c>
      <c r="T639" s="58">
        <v>2.06</v>
      </c>
      <c r="U639" s="52">
        <v>61.5</v>
      </c>
      <c r="V639" s="49" t="s">
        <v>820</v>
      </c>
      <c r="W639" s="49"/>
    </row>
    <row r="640" spans="1:23" s="56" customFormat="1" hidden="1">
      <c r="A640" s="59" t="s">
        <v>842</v>
      </c>
      <c r="B640" s="59" t="s">
        <v>841</v>
      </c>
      <c r="C640" s="61" t="s">
        <v>10</v>
      </c>
      <c r="D640" s="61" t="s">
        <v>817</v>
      </c>
      <c r="E640" s="60" t="s">
        <v>10</v>
      </c>
      <c r="F640" s="50" t="s">
        <v>827</v>
      </c>
      <c r="G640" s="50" t="b">
        <v>0</v>
      </c>
      <c r="H640" s="58">
        <v>0</v>
      </c>
      <c r="I640" s="58">
        <v>7.27</v>
      </c>
      <c r="J640" s="58">
        <v>8.77</v>
      </c>
      <c r="K640" s="58">
        <v>9.9499999999999993</v>
      </c>
      <c r="L640" s="58">
        <v>9.9</v>
      </c>
      <c r="M640" s="58">
        <v>9.4</v>
      </c>
      <c r="N640" s="58">
        <v>9.16</v>
      </c>
      <c r="O640" s="58">
        <v>9.81</v>
      </c>
      <c r="P640" s="58">
        <v>9.84</v>
      </c>
      <c r="Q640" s="58">
        <v>9.61</v>
      </c>
      <c r="R640" s="58">
        <v>4.17</v>
      </c>
      <c r="S640" s="58">
        <v>3.09</v>
      </c>
      <c r="T640" s="58">
        <v>8.86</v>
      </c>
      <c r="U640" s="52">
        <v>14.5</v>
      </c>
      <c r="V640" s="49" t="s">
        <v>820</v>
      </c>
      <c r="W640" s="49"/>
    </row>
    <row r="641" spans="1:23" s="56" customFormat="1" hidden="1">
      <c r="A641" s="59" t="s">
        <v>840</v>
      </c>
      <c r="B641" s="59" t="s">
        <v>839</v>
      </c>
      <c r="C641" s="61" t="s">
        <v>10</v>
      </c>
      <c r="D641" s="61" t="s">
        <v>817</v>
      </c>
      <c r="E641" s="60" t="s">
        <v>10</v>
      </c>
      <c r="F641" s="50" t="s">
        <v>827</v>
      </c>
      <c r="G641" s="50" t="b">
        <v>0</v>
      </c>
      <c r="H641" s="58">
        <v>0</v>
      </c>
      <c r="I641" s="58">
        <v>0.56000000000000005</v>
      </c>
      <c r="J641" s="58">
        <v>0.94</v>
      </c>
      <c r="K641" s="58">
        <v>1.38</v>
      </c>
      <c r="L641" s="58">
        <v>1.73</v>
      </c>
      <c r="M641" s="58">
        <v>1.44</v>
      </c>
      <c r="N641" s="58">
        <v>0.69</v>
      </c>
      <c r="O641" s="58">
        <v>0.41</v>
      </c>
      <c r="P641" s="58">
        <v>0.22</v>
      </c>
      <c r="Q641" s="58">
        <v>0</v>
      </c>
      <c r="R641" s="58">
        <v>0</v>
      </c>
      <c r="S641" s="58">
        <v>0.43</v>
      </c>
      <c r="T641" s="58">
        <v>0.62</v>
      </c>
      <c r="U641" s="52">
        <v>3.2</v>
      </c>
      <c r="V641" s="49" t="s">
        <v>820</v>
      </c>
      <c r="W641" s="49"/>
    </row>
    <row r="642" spans="1:23" s="56" customFormat="1" hidden="1">
      <c r="A642" s="59" t="s">
        <v>838</v>
      </c>
      <c r="B642" s="59" t="s">
        <v>837</v>
      </c>
      <c r="C642" s="61" t="s">
        <v>10</v>
      </c>
      <c r="D642" s="61" t="s">
        <v>828</v>
      </c>
      <c r="E642" s="60" t="s">
        <v>10</v>
      </c>
      <c r="F642" s="50" t="s">
        <v>827</v>
      </c>
      <c r="G642" s="50" t="b">
        <v>0</v>
      </c>
      <c r="H642" s="58">
        <v>0</v>
      </c>
      <c r="I642" s="58">
        <v>18.399999999999999</v>
      </c>
      <c r="J642" s="58">
        <v>18.399999999999999</v>
      </c>
      <c r="K642" s="58">
        <v>18.399999999999999</v>
      </c>
      <c r="L642" s="58">
        <v>18.399999999999999</v>
      </c>
      <c r="M642" s="58">
        <v>18.399999999999999</v>
      </c>
      <c r="N642" s="58">
        <v>18.399999999999999</v>
      </c>
      <c r="O642" s="58">
        <v>18.399999999999999</v>
      </c>
      <c r="P642" s="58">
        <v>18.399999999999999</v>
      </c>
      <c r="Q642" s="58">
        <v>18.399999999999999</v>
      </c>
      <c r="R642" s="58">
        <v>18.399999999999999</v>
      </c>
      <c r="S642" s="58">
        <v>18.399999999999999</v>
      </c>
      <c r="T642" s="58">
        <v>18.399999999999999</v>
      </c>
      <c r="U642" s="52">
        <v>18.399999999999999</v>
      </c>
      <c r="V642" s="49" t="s">
        <v>820</v>
      </c>
      <c r="W642" s="49"/>
    </row>
    <row r="643" spans="1:23" s="56" customFormat="1" hidden="1">
      <c r="A643" s="59" t="s">
        <v>836</v>
      </c>
      <c r="B643" s="59" t="s">
        <v>835</v>
      </c>
      <c r="C643" s="61" t="s">
        <v>10</v>
      </c>
      <c r="D643" s="61" t="s">
        <v>33</v>
      </c>
      <c r="E643" s="60" t="s">
        <v>10</v>
      </c>
      <c r="F643" s="50" t="s">
        <v>827</v>
      </c>
      <c r="G643" s="50" t="b">
        <v>0</v>
      </c>
      <c r="H643" s="58">
        <v>0</v>
      </c>
      <c r="I643" s="58">
        <v>0.26</v>
      </c>
      <c r="J643" s="58">
        <v>0.25</v>
      </c>
      <c r="K643" s="58">
        <v>0.28000000000000003</v>
      </c>
      <c r="L643" s="58">
        <v>0.23</v>
      </c>
      <c r="M643" s="58">
        <v>0.21</v>
      </c>
      <c r="N643" s="58">
        <v>0.05</v>
      </c>
      <c r="O643" s="58">
        <v>0</v>
      </c>
      <c r="P643" s="58">
        <v>0</v>
      </c>
      <c r="Q643" s="58">
        <v>0</v>
      </c>
      <c r="R643" s="58">
        <v>0</v>
      </c>
      <c r="S643" s="58">
        <v>0.03</v>
      </c>
      <c r="T643" s="58">
        <v>0.13</v>
      </c>
      <c r="U643" s="52">
        <v>0.36</v>
      </c>
      <c r="V643" s="49" t="s">
        <v>820</v>
      </c>
      <c r="W643" s="49"/>
    </row>
    <row r="644" spans="1:23" s="56" customFormat="1" hidden="1">
      <c r="A644" s="59" t="s">
        <v>834</v>
      </c>
      <c r="B644" s="59" t="s">
        <v>833</v>
      </c>
      <c r="C644" s="61" t="s">
        <v>10</v>
      </c>
      <c r="D644" s="61" t="s">
        <v>32</v>
      </c>
      <c r="E644" s="60" t="s">
        <v>10</v>
      </c>
      <c r="F644" s="50" t="s">
        <v>812</v>
      </c>
      <c r="G644" s="50" t="b">
        <v>0</v>
      </c>
      <c r="H644" s="58">
        <v>0</v>
      </c>
      <c r="I644" s="58">
        <v>1.37</v>
      </c>
      <c r="J644" s="58">
        <v>2.1800000000000002</v>
      </c>
      <c r="K644" s="58">
        <v>3.55</v>
      </c>
      <c r="L644" s="58">
        <v>2.96</v>
      </c>
      <c r="M644" s="58">
        <v>8.69</v>
      </c>
      <c r="N644" s="58">
        <v>4.5</v>
      </c>
      <c r="O644" s="58">
        <v>6.1</v>
      </c>
      <c r="P644" s="58">
        <v>2.62</v>
      </c>
      <c r="Q644" s="58">
        <v>1.78</v>
      </c>
      <c r="R644" s="58">
        <v>1.1599999999999999</v>
      </c>
      <c r="S644" s="58">
        <v>0.9</v>
      </c>
      <c r="T644" s="58">
        <v>0.78</v>
      </c>
      <c r="U644" s="52">
        <v>38</v>
      </c>
      <c r="V644" s="49" t="s">
        <v>820</v>
      </c>
      <c r="W644" s="49"/>
    </row>
    <row r="645" spans="1:23" s="56" customFormat="1" hidden="1">
      <c r="A645" s="59" t="s">
        <v>832</v>
      </c>
      <c r="B645" s="59" t="s">
        <v>831</v>
      </c>
      <c r="C645" s="61" t="s">
        <v>10</v>
      </c>
      <c r="D645" s="61" t="s">
        <v>88</v>
      </c>
      <c r="E645" s="60" t="s">
        <v>10</v>
      </c>
      <c r="F645" s="50" t="s">
        <v>816</v>
      </c>
      <c r="G645" s="50" t="b">
        <v>0</v>
      </c>
      <c r="H645" s="58">
        <v>0</v>
      </c>
      <c r="I645" s="58">
        <v>46.9</v>
      </c>
      <c r="J645" s="58">
        <v>46.9</v>
      </c>
      <c r="K645" s="58">
        <v>46.9</v>
      </c>
      <c r="L645" s="58">
        <v>46.9</v>
      </c>
      <c r="M645" s="58">
        <v>46</v>
      </c>
      <c r="N645" s="58">
        <v>46</v>
      </c>
      <c r="O645" s="58">
        <v>46</v>
      </c>
      <c r="P645" s="58">
        <v>46</v>
      </c>
      <c r="Q645" s="58">
        <v>46</v>
      </c>
      <c r="R645" s="58">
        <v>46.9</v>
      </c>
      <c r="S645" s="58">
        <v>46.9</v>
      </c>
      <c r="T645" s="58">
        <v>46.9</v>
      </c>
      <c r="U645" s="52">
        <v>46.9</v>
      </c>
      <c r="V645" s="49" t="s">
        <v>815</v>
      </c>
      <c r="W645" s="49"/>
    </row>
    <row r="646" spans="1:23" hidden="1">
      <c r="A646" s="59" t="s">
        <v>830</v>
      </c>
      <c r="B646" s="59" t="s">
        <v>829</v>
      </c>
      <c r="C646" s="61" t="s">
        <v>10</v>
      </c>
      <c r="D646" s="61" t="s">
        <v>828</v>
      </c>
      <c r="E646" s="60" t="s">
        <v>10</v>
      </c>
      <c r="F646" s="50" t="s">
        <v>827</v>
      </c>
      <c r="G646" s="50" t="b">
        <v>0</v>
      </c>
      <c r="H646" s="58">
        <v>0</v>
      </c>
      <c r="I646" s="58">
        <v>0</v>
      </c>
      <c r="J646" s="58">
        <v>0.03</v>
      </c>
      <c r="K646" s="58">
        <v>0.08</v>
      </c>
      <c r="L646" s="58">
        <v>0.02</v>
      </c>
      <c r="M646" s="58">
        <v>0.14000000000000001</v>
      </c>
      <c r="N646" s="58">
        <v>0.16</v>
      </c>
      <c r="O646" s="58">
        <v>0.52</v>
      </c>
      <c r="P646" s="58">
        <v>0.53</v>
      </c>
      <c r="Q646" s="58">
        <v>0.25</v>
      </c>
      <c r="R646" s="58">
        <v>0.03</v>
      </c>
      <c r="S646" s="58">
        <v>0.01</v>
      </c>
      <c r="T646" s="58">
        <v>0</v>
      </c>
      <c r="U646" s="52">
        <v>2.5</v>
      </c>
      <c r="V646" s="49" t="s">
        <v>820</v>
      </c>
    </row>
    <row r="647" spans="1:23" hidden="1">
      <c r="A647" s="59" t="s">
        <v>826</v>
      </c>
      <c r="B647" s="59" t="s">
        <v>825</v>
      </c>
      <c r="C647" s="61" t="s">
        <v>10</v>
      </c>
      <c r="D647" s="61" t="s">
        <v>88</v>
      </c>
      <c r="E647" s="60" t="s">
        <v>10</v>
      </c>
      <c r="F647" s="50" t="s">
        <v>824</v>
      </c>
      <c r="G647" s="50" t="b">
        <v>0</v>
      </c>
      <c r="H647" s="58">
        <v>47.98</v>
      </c>
      <c r="I647" s="58">
        <v>0</v>
      </c>
      <c r="J647" s="58">
        <v>0</v>
      </c>
      <c r="K647" s="58">
        <v>0</v>
      </c>
      <c r="L647" s="58">
        <v>0</v>
      </c>
      <c r="M647" s="58">
        <v>0</v>
      </c>
      <c r="N647" s="58">
        <v>0</v>
      </c>
      <c r="O647" s="58">
        <v>0</v>
      </c>
      <c r="P647" s="58">
        <v>0</v>
      </c>
      <c r="Q647" s="58">
        <v>0</v>
      </c>
      <c r="R647" s="58">
        <v>0</v>
      </c>
      <c r="S647" s="58">
        <v>0</v>
      </c>
      <c r="T647" s="58">
        <v>0</v>
      </c>
      <c r="U647" s="52">
        <v>63</v>
      </c>
      <c r="V647" s="49" t="s">
        <v>820</v>
      </c>
    </row>
    <row r="648" spans="1:23" hidden="1">
      <c r="A648" s="59" t="s">
        <v>823</v>
      </c>
      <c r="B648" s="59" t="s">
        <v>822</v>
      </c>
      <c r="C648" s="61" t="s">
        <v>10</v>
      </c>
      <c r="D648" s="61" t="s">
        <v>817</v>
      </c>
      <c r="E648" s="60" t="s">
        <v>10</v>
      </c>
      <c r="F648" s="50" t="s">
        <v>821</v>
      </c>
      <c r="G648" s="50" t="b">
        <v>0</v>
      </c>
      <c r="H648" s="58">
        <v>43.58</v>
      </c>
      <c r="I648" s="58">
        <v>0</v>
      </c>
      <c r="J648" s="58">
        <v>0</v>
      </c>
      <c r="K648" s="58">
        <v>0</v>
      </c>
      <c r="L648" s="58">
        <v>0</v>
      </c>
      <c r="M648" s="58">
        <v>0</v>
      </c>
      <c r="N648" s="58">
        <v>0</v>
      </c>
      <c r="O648" s="58">
        <v>0</v>
      </c>
      <c r="P648" s="58">
        <v>0</v>
      </c>
      <c r="Q648" s="58">
        <v>0</v>
      </c>
      <c r="R648" s="58">
        <v>0</v>
      </c>
      <c r="S648" s="58">
        <v>0</v>
      </c>
      <c r="T648" s="58">
        <v>0</v>
      </c>
      <c r="U648" s="52">
        <v>57.2</v>
      </c>
      <c r="V648" s="49" t="s">
        <v>820</v>
      </c>
    </row>
    <row r="649" spans="1:23" hidden="1">
      <c r="A649" s="59" t="s">
        <v>819</v>
      </c>
      <c r="B649" s="59" t="s">
        <v>818</v>
      </c>
      <c r="C649" s="61" t="s">
        <v>10</v>
      </c>
      <c r="D649" s="61" t="s">
        <v>817</v>
      </c>
      <c r="E649" s="60" t="s">
        <v>10</v>
      </c>
      <c r="F649" s="50" t="s">
        <v>816</v>
      </c>
      <c r="G649" s="50" t="b">
        <v>0</v>
      </c>
      <c r="H649" s="58">
        <v>46</v>
      </c>
      <c r="I649" s="58">
        <v>0</v>
      </c>
      <c r="J649" s="58">
        <v>0</v>
      </c>
      <c r="K649" s="58">
        <v>0</v>
      </c>
      <c r="L649" s="58">
        <v>0</v>
      </c>
      <c r="M649" s="58">
        <v>0</v>
      </c>
      <c r="N649" s="58">
        <v>0</v>
      </c>
      <c r="O649" s="58">
        <v>0</v>
      </c>
      <c r="P649" s="58">
        <v>0</v>
      </c>
      <c r="Q649" s="58">
        <v>0</v>
      </c>
      <c r="R649" s="58">
        <v>0</v>
      </c>
      <c r="S649" s="58">
        <v>0</v>
      </c>
      <c r="T649" s="58">
        <v>0</v>
      </c>
      <c r="U649" s="52">
        <v>46</v>
      </c>
      <c r="V649" s="49" t="s">
        <v>815</v>
      </c>
    </row>
    <row r="650" spans="1:23" hidden="1">
      <c r="A650" s="59" t="s">
        <v>814</v>
      </c>
      <c r="B650" s="59" t="s">
        <v>813</v>
      </c>
      <c r="C650" s="61" t="s">
        <v>10</v>
      </c>
      <c r="D650" s="61" t="s">
        <v>32</v>
      </c>
      <c r="E650" s="60" t="s">
        <v>10</v>
      </c>
      <c r="F650" s="50" t="s">
        <v>812</v>
      </c>
      <c r="G650" s="50" t="b">
        <v>0</v>
      </c>
      <c r="H650" s="58">
        <v>0</v>
      </c>
      <c r="I650" s="58">
        <v>0.03</v>
      </c>
      <c r="J650" s="58">
        <v>0.4</v>
      </c>
      <c r="K650" s="58">
        <v>0.91</v>
      </c>
      <c r="L650" s="58">
        <v>0.85</v>
      </c>
      <c r="M650" s="58">
        <v>2.35</v>
      </c>
      <c r="N650" s="58">
        <v>2.5299999999999998</v>
      </c>
      <c r="O650" s="58">
        <v>3.11</v>
      </c>
      <c r="P650" s="58">
        <v>1.57</v>
      </c>
      <c r="Q650" s="58">
        <v>0.56999999999999995</v>
      </c>
      <c r="R650" s="58">
        <v>0.32</v>
      </c>
      <c r="S650" s="58">
        <v>0.03</v>
      </c>
      <c r="T650" s="58">
        <v>0</v>
      </c>
      <c r="U650" s="52">
        <v>17.100000000000001</v>
      </c>
      <c r="V650" s="49" t="s">
        <v>811</v>
      </c>
    </row>
  </sheetData>
  <autoFilter ref="A2:V650">
    <filterColumn colId="5">
      <filters>
        <filter val="VARIOUS"/>
      </filters>
    </filterColumn>
  </autoFilter>
  <mergeCells count="2">
    <mergeCell ref="H1:V1"/>
    <mergeCell ref="W1:AI1"/>
  </mergeCells>
  <printOptions horizontalCentered="1" gridLines="1"/>
  <pageMargins left="0.18" right="0.17" top="0.54" bottom="0.59" header="0.23" footer="0.23"/>
  <pageSetup scale="10" fitToHeight="12" orientation="landscape" r:id="rId1"/>
  <headerFooter alignWithMargins="0">
    <oddHeader>&amp;C&amp;A</oddHeader>
    <oddFooter xml:space="preserve">&amp;LPage &amp;P of &amp;N&amp;CCAISO Public 2011 NQC Posting&amp;R&amp;D  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A1:AB164"/>
  <sheetViews>
    <sheetView topLeftCell="A16" zoomScale="85" zoomScaleNormal="85" workbookViewId="0">
      <selection activeCell="C56" sqref="C56"/>
    </sheetView>
  </sheetViews>
  <sheetFormatPr defaultRowHeight="12.75"/>
  <cols>
    <col min="1" max="1" width="9.140625" style="2"/>
    <col min="2" max="2" width="63.140625" style="3" customWidth="1"/>
    <col min="3" max="3" width="10.7109375" style="2" customWidth="1"/>
    <col min="4" max="4" width="10.5703125" style="2" customWidth="1"/>
    <col min="5" max="5" width="14.28515625" style="2" bestFit="1" customWidth="1"/>
    <col min="6" max="6" width="23.140625" style="3" customWidth="1"/>
    <col min="7" max="7" width="8.85546875" style="3" bestFit="1" customWidth="1"/>
    <col min="8" max="8" width="2.7109375" style="2" customWidth="1"/>
    <col min="9" max="16384" width="9.140625" style="2"/>
  </cols>
  <sheetData>
    <row r="1" spans="1:28">
      <c r="G1" s="1"/>
    </row>
    <row r="2" spans="1:28">
      <c r="B2" s="1"/>
      <c r="F2" s="1"/>
      <c r="G2" s="1"/>
    </row>
    <row r="3" spans="1:28">
      <c r="B3" s="1"/>
      <c r="F3" s="1"/>
      <c r="G3" s="1"/>
    </row>
    <row r="4" spans="1:28">
      <c r="B4" s="1"/>
      <c r="F4" s="1"/>
      <c r="G4" s="1"/>
    </row>
    <row r="5" spans="1:28" s="65" customFormat="1">
      <c r="A5" s="83"/>
      <c r="E5" s="8" t="s">
        <v>2139</v>
      </c>
      <c r="R5" s="240"/>
    </row>
    <row r="6" spans="1:28" s="65" customFormat="1">
      <c r="B6" s="2"/>
      <c r="E6" s="111" t="s">
        <v>810</v>
      </c>
      <c r="F6" s="111" t="s">
        <v>114</v>
      </c>
      <c r="G6" s="111" t="s">
        <v>113</v>
      </c>
      <c r="I6" s="112">
        <v>2011</v>
      </c>
      <c r="J6" s="112">
        <v>2012</v>
      </c>
      <c r="K6" s="112">
        <v>2013</v>
      </c>
      <c r="L6" s="112">
        <v>2014</v>
      </c>
      <c r="M6" s="112">
        <v>2015</v>
      </c>
      <c r="N6" s="112">
        <v>2016</v>
      </c>
      <c r="O6" s="112">
        <v>2017</v>
      </c>
      <c r="P6" s="112">
        <v>2018</v>
      </c>
      <c r="Q6" s="112">
        <v>2019</v>
      </c>
      <c r="R6" s="112">
        <v>2020</v>
      </c>
      <c r="S6" s="112">
        <v>2021</v>
      </c>
      <c r="T6" s="112">
        <v>2022</v>
      </c>
      <c r="U6" s="112">
        <v>2023</v>
      </c>
      <c r="V6" s="112">
        <v>2024</v>
      </c>
      <c r="W6" s="112">
        <v>2025</v>
      </c>
      <c r="X6" s="112">
        <v>2026</v>
      </c>
      <c r="Y6" s="112">
        <v>2027</v>
      </c>
      <c r="Z6" s="112">
        <v>2028</v>
      </c>
      <c r="AA6" s="112">
        <v>2029</v>
      </c>
      <c r="AB6" s="112">
        <v>2030</v>
      </c>
    </row>
    <row r="7" spans="1:28" s="65" customFormat="1">
      <c r="B7" s="106"/>
      <c r="E7" s="125" t="s">
        <v>18</v>
      </c>
      <c r="F7" s="126" t="s">
        <v>6</v>
      </c>
      <c r="G7" s="127" t="s">
        <v>2131</v>
      </c>
      <c r="I7" s="137">
        <f t="array" aca="1" ref="I7" ca="1">SUM(IF(OFFSET($E$29,0,0,ctPlants,1)=$E7,IF(OFFSET($F$29,0,0,ctPlants,1)=$F7,OFFSET(I$29,0,0,ctPlants,1))))</f>
        <v>0</v>
      </c>
      <c r="J7" s="138">
        <f t="array" aca="1" ref="J7" ca="1">SUM(IF(OFFSET($E$29,0,0,ctPlants,1)=$E7,IF(OFFSET($F$29,0,0,ctPlants,1)=$F7,OFFSET(J$29,0,0,ctPlants,1))))</f>
        <v>0</v>
      </c>
      <c r="K7" s="138">
        <f t="array" aca="1" ref="K7" ca="1">SUM(IF(OFFSET($E$29,0,0,ctPlants,1)=$E7,IF(OFFSET($F$29,0,0,ctPlants,1)=$F7,OFFSET(K$29,0,0,ctPlants,1))))</f>
        <v>0</v>
      </c>
      <c r="L7" s="138">
        <f t="array" aca="1" ref="L7" ca="1">SUM(IF(OFFSET($E$29,0,0,ctPlants,1)=$E7,IF(OFFSET($F$29,0,0,ctPlants,1)=$F7,OFFSET(L$29,0,0,ctPlants,1))))</f>
        <v>0</v>
      </c>
      <c r="M7" s="138">
        <f t="array" aca="1" ref="M7" ca="1">SUM(IF(OFFSET($E$29,0,0,ctPlants,1)=$E7,IF(OFFSET($F$29,0,0,ctPlants,1)=$F7,OFFSET(M$29,0,0,ctPlants,1))))</f>
        <v>0</v>
      </c>
      <c r="N7" s="138">
        <f t="array" aca="1" ref="N7" ca="1">SUM(IF(OFFSET($E$29,0,0,ctPlants,1)=$E7,IF(OFFSET($F$29,0,0,ctPlants,1)=$F7,OFFSET(N$29,0,0,ctPlants,1))))</f>
        <v>0</v>
      </c>
      <c r="O7" s="138">
        <f t="array" aca="1" ref="O7" ca="1">SUM(IF(OFFSET($E$29,0,0,ctPlants,1)=$E7,IF(OFFSET($F$29,0,0,ctPlants,1)=$F7,OFFSET(O$29,0,0,ctPlants,1))))</f>
        <v>0</v>
      </c>
      <c r="P7" s="138">
        <f t="array" aca="1" ref="P7" ca="1">SUM(IF(OFFSET($E$29,0,0,ctPlants,1)=$E7,IF(OFFSET($F$29,0,0,ctPlants,1)=$F7,OFFSET(P$29,0,0,ctPlants,1))))</f>
        <v>0</v>
      </c>
      <c r="Q7" s="138">
        <f t="array" aca="1" ref="Q7" ca="1">SUM(IF(OFFSET($E$29,0,0,ctPlants,1)=$E7,IF(OFFSET($F$29,0,0,ctPlants,1)=$F7,OFFSET(Q$29,0,0,ctPlants,1))))</f>
        <v>0</v>
      </c>
      <c r="R7" s="138">
        <f t="array" aca="1" ref="R7" ca="1">SUM(IF(OFFSET($E$29,0,0,ctPlants,1)=$E7,IF(OFFSET($F$29,0,0,ctPlants,1)=$F7,OFFSET(R$29,0,0,ctPlants,1))))</f>
        <v>0</v>
      </c>
      <c r="S7" s="138">
        <f t="array" aca="1" ref="S7" ca="1">SUM(IF(OFFSET($E$29,0,0,ctPlants,1)=$E7,IF(OFFSET($F$29,0,0,ctPlants,1)=$F7,OFFSET(S$29,0,0,ctPlants,1))))</f>
        <v>0</v>
      </c>
      <c r="T7" s="138">
        <f t="array" aca="1" ref="T7" ca="1">SUM(IF(OFFSET($E$29,0,0,ctPlants,1)=$E7,IF(OFFSET($F$29,0,0,ctPlants,1)=$F7,OFFSET(T$29,0,0,ctPlants,1))))</f>
        <v>0</v>
      </c>
      <c r="U7" s="138">
        <f t="array" aca="1" ref="U7" ca="1">SUM(IF(OFFSET($E$29,0,0,ctPlants,1)=$E7,IF(OFFSET($F$29,0,0,ctPlants,1)=$F7,OFFSET(U$29,0,0,ctPlants,1))))</f>
        <v>0</v>
      </c>
      <c r="V7" s="138">
        <f t="array" aca="1" ref="V7" ca="1">SUM(IF(OFFSET($E$29,0,0,ctPlants,1)=$E7,IF(OFFSET($F$29,0,0,ctPlants,1)=$F7,OFFSET(V$29,0,0,ctPlants,1))))</f>
        <v>0</v>
      </c>
      <c r="W7" s="138">
        <f t="array" aca="1" ref="W7" ca="1">SUM(IF(OFFSET($E$29,0,0,ctPlants,1)=$E7,IF(OFFSET($F$29,0,0,ctPlants,1)=$F7,OFFSET(W$29,0,0,ctPlants,1))))</f>
        <v>0</v>
      </c>
      <c r="X7" s="138">
        <f t="array" aca="1" ref="X7" ca="1">SUM(IF(OFFSET($E$29,0,0,ctPlants,1)=$E7,IF(OFFSET($F$29,0,0,ctPlants,1)=$F7,OFFSET(X$29,0,0,ctPlants,1))))</f>
        <v>0</v>
      </c>
      <c r="Y7" s="138">
        <f t="array" aca="1" ref="Y7" ca="1">SUM(IF(OFFSET($E$29,0,0,ctPlants,1)=$E7,IF(OFFSET($F$29,0,0,ctPlants,1)=$F7,OFFSET(Y$29,0,0,ctPlants,1))))</f>
        <v>0</v>
      </c>
      <c r="Z7" s="138">
        <f t="array" aca="1" ref="Z7" ca="1">SUM(IF(OFFSET($E$29,0,0,ctPlants,1)=$E7,IF(OFFSET($F$29,0,0,ctPlants,1)=$F7,OFFSET(Z$29,0,0,ctPlants,1))))</f>
        <v>0</v>
      </c>
      <c r="AA7" s="138">
        <f t="array" aca="1" ref="AA7" ca="1">SUM(IF(OFFSET($E$29,0,0,ctPlants,1)=$E7,IF(OFFSET($F$29,0,0,ctPlants,1)=$F7,OFFSET(AA$29,0,0,ctPlants,1))))</f>
        <v>0</v>
      </c>
      <c r="AB7" s="139">
        <f t="array" aca="1" ref="AB7" ca="1">SUM(IF(OFFSET($E$29,0,0,ctPlants,1)=$E7,IF(OFFSET($F$29,0,0,ctPlants,1)=$F7,OFFSET(AB$29,0,0,ctPlants,1))))</f>
        <v>0</v>
      </c>
    </row>
    <row r="8" spans="1:28" s="65" customFormat="1">
      <c r="B8" s="106"/>
      <c r="E8" s="128" t="s">
        <v>21</v>
      </c>
      <c r="F8" s="117" t="s">
        <v>6</v>
      </c>
      <c r="G8" s="129" t="s">
        <v>2131</v>
      </c>
      <c r="I8" s="140">
        <f t="array" aca="1" ref="I8" ca="1">SUM(IF(OFFSET($E$29,0,0,ctPlants,1)=$E8,IF(OFFSET($F$29,0,0,ctPlants,1)=$F8,OFFSET(I$29,0,0,ctPlants,1))))</f>
        <v>0</v>
      </c>
      <c r="J8" s="123">
        <f t="array" aca="1" ref="J8" ca="1">SUM(IF(OFFSET($E$29,0,0,ctPlants,1)=$E8,IF(OFFSET($F$29,0,0,ctPlants,1)=$F8,OFFSET(J$29,0,0,ctPlants,1))))</f>
        <v>0</v>
      </c>
      <c r="K8" s="123">
        <f t="array" aca="1" ref="K8" ca="1">SUM(IF(OFFSET($E$29,0,0,ctPlants,1)=$E8,IF(OFFSET($F$29,0,0,ctPlants,1)=$F8,OFFSET(K$29,0,0,ctPlants,1))))</f>
        <v>0</v>
      </c>
      <c r="L8" s="123">
        <f t="array" aca="1" ref="L8" ca="1">SUM(IF(OFFSET($E$29,0,0,ctPlants,1)=$E8,IF(OFFSET($F$29,0,0,ctPlants,1)=$F8,OFFSET(L$29,0,0,ctPlants,1))))</f>
        <v>0</v>
      </c>
      <c r="M8" s="123">
        <f t="array" aca="1" ref="M8" ca="1">SUM(IF(OFFSET($E$29,0,0,ctPlants,1)=$E8,IF(OFFSET($F$29,0,0,ctPlants,1)=$F8,OFFSET(M$29,0,0,ctPlants,1))))</f>
        <v>0</v>
      </c>
      <c r="N8" s="123">
        <f t="array" aca="1" ref="N8" ca="1">SUM(IF(OFFSET($E$29,0,0,ctPlants,1)=$E8,IF(OFFSET($F$29,0,0,ctPlants,1)=$F8,OFFSET(N$29,0,0,ctPlants,1))))</f>
        <v>0</v>
      </c>
      <c r="O8" s="123">
        <f t="array" aca="1" ref="O8" ca="1">SUM(IF(OFFSET($E$29,0,0,ctPlants,1)=$E8,IF(OFFSET($F$29,0,0,ctPlants,1)=$F8,OFFSET(O$29,0,0,ctPlants,1))))</f>
        <v>0</v>
      </c>
      <c r="P8" s="123">
        <f t="array" aca="1" ref="P8" ca="1">SUM(IF(OFFSET($E$29,0,0,ctPlants,1)=$E8,IF(OFFSET($F$29,0,0,ctPlants,1)=$F8,OFFSET(P$29,0,0,ctPlants,1))))</f>
        <v>0</v>
      </c>
      <c r="Q8" s="123">
        <f t="array" aca="1" ref="Q8" ca="1">SUM(IF(OFFSET($E$29,0,0,ctPlants,1)=$E8,IF(OFFSET($F$29,0,0,ctPlants,1)=$F8,OFFSET(Q$29,0,0,ctPlants,1))))</f>
        <v>0</v>
      </c>
      <c r="R8" s="123">
        <f t="array" aca="1" ref="R8" ca="1">SUM(IF(OFFSET($E$29,0,0,ctPlants,1)=$E8,IF(OFFSET($F$29,0,0,ctPlants,1)=$F8,OFFSET(R$29,0,0,ctPlants,1))))</f>
        <v>0</v>
      </c>
      <c r="S8" s="123">
        <f t="array" aca="1" ref="S8" ca="1">SUM(IF(OFFSET($E$29,0,0,ctPlants,1)=$E8,IF(OFFSET($F$29,0,0,ctPlants,1)=$F8,OFFSET(S$29,0,0,ctPlants,1))))</f>
        <v>0</v>
      </c>
      <c r="T8" s="123">
        <f t="array" aca="1" ref="T8" ca="1">SUM(IF(OFFSET($E$29,0,0,ctPlants,1)=$E8,IF(OFFSET($F$29,0,0,ctPlants,1)=$F8,OFFSET(T$29,0,0,ctPlants,1))))</f>
        <v>0</v>
      </c>
      <c r="U8" s="123">
        <f t="array" aca="1" ref="U8" ca="1">SUM(IF(OFFSET($E$29,0,0,ctPlants,1)=$E8,IF(OFFSET($F$29,0,0,ctPlants,1)=$F8,OFFSET(U$29,0,0,ctPlants,1))))</f>
        <v>0</v>
      </c>
      <c r="V8" s="123">
        <f t="array" aca="1" ref="V8" ca="1">SUM(IF(OFFSET($E$29,0,0,ctPlants,1)=$E8,IF(OFFSET($F$29,0,0,ctPlants,1)=$F8,OFFSET(V$29,0,0,ctPlants,1))))</f>
        <v>0</v>
      </c>
      <c r="W8" s="123">
        <f t="array" aca="1" ref="W8" ca="1">SUM(IF(OFFSET($E$29,0,0,ctPlants,1)=$E8,IF(OFFSET($F$29,0,0,ctPlants,1)=$F8,OFFSET(W$29,0,0,ctPlants,1))))</f>
        <v>0</v>
      </c>
      <c r="X8" s="123">
        <f t="array" aca="1" ref="X8" ca="1">SUM(IF(OFFSET($E$29,0,0,ctPlants,1)=$E8,IF(OFFSET($F$29,0,0,ctPlants,1)=$F8,OFFSET(X$29,0,0,ctPlants,1))))</f>
        <v>0</v>
      </c>
      <c r="Y8" s="123">
        <f t="array" aca="1" ref="Y8" ca="1">SUM(IF(OFFSET($E$29,0,0,ctPlants,1)=$E8,IF(OFFSET($F$29,0,0,ctPlants,1)=$F8,OFFSET(Y$29,0,0,ctPlants,1))))</f>
        <v>0</v>
      </c>
      <c r="Z8" s="123">
        <f t="array" aca="1" ref="Z8" ca="1">SUM(IF(OFFSET($E$29,0,0,ctPlants,1)=$E8,IF(OFFSET($F$29,0,0,ctPlants,1)=$F8,OFFSET(Z$29,0,0,ctPlants,1))))</f>
        <v>0</v>
      </c>
      <c r="AA8" s="123">
        <f t="array" aca="1" ref="AA8" ca="1">SUM(IF(OFFSET($E$29,0,0,ctPlants,1)=$E8,IF(OFFSET($F$29,0,0,ctPlants,1)=$F8,OFFSET(AA$29,0,0,ctPlants,1))))</f>
        <v>0</v>
      </c>
      <c r="AB8" s="141">
        <f t="array" aca="1" ref="AB8" ca="1">SUM(IF(OFFSET($E$29,0,0,ctPlants,1)=$E8,IF(OFFSET($F$29,0,0,ctPlants,1)=$F8,OFFSET(AB$29,0,0,ctPlants,1))))</f>
        <v>0</v>
      </c>
    </row>
    <row r="9" spans="1:28" s="65" customFormat="1">
      <c r="B9" s="106"/>
      <c r="E9" s="128" t="s">
        <v>20</v>
      </c>
      <c r="F9" s="117" t="s">
        <v>6</v>
      </c>
      <c r="G9" s="129" t="s">
        <v>2131</v>
      </c>
      <c r="I9" s="140">
        <f t="array" aca="1" ref="I9" ca="1">SUM(IF(OFFSET($E$29,0,0,ctPlants,1)=$E9,IF(OFFSET($F$29,0,0,ctPlants,1)=$F9,OFFSET(I$29,0,0,ctPlants,1))))</f>
        <v>15</v>
      </c>
      <c r="J9" s="123">
        <f t="array" aca="1" ref="J9" ca="1">SUM(IF(OFFSET($E$29,0,0,ctPlants,1)=$E9,IF(OFFSET($F$29,0,0,ctPlants,1)=$F9,OFFSET(J$29,0,0,ctPlants,1))))</f>
        <v>15</v>
      </c>
      <c r="K9" s="123">
        <f t="array" aca="1" ref="K9" ca="1">SUM(IF(OFFSET($E$29,0,0,ctPlants,1)=$E9,IF(OFFSET($F$29,0,0,ctPlants,1)=$F9,OFFSET(K$29,0,0,ctPlants,1))))</f>
        <v>15</v>
      </c>
      <c r="L9" s="123">
        <f t="array" aca="1" ref="L9" ca="1">SUM(IF(OFFSET($E$29,0,0,ctPlants,1)=$E9,IF(OFFSET($F$29,0,0,ctPlants,1)=$F9,OFFSET(L$29,0,0,ctPlants,1))))</f>
        <v>15</v>
      </c>
      <c r="M9" s="123">
        <f t="array" aca="1" ref="M9" ca="1">SUM(IF(OFFSET($E$29,0,0,ctPlants,1)=$E9,IF(OFFSET($F$29,0,0,ctPlants,1)=$F9,OFFSET(M$29,0,0,ctPlants,1))))</f>
        <v>15</v>
      </c>
      <c r="N9" s="123">
        <f t="array" aca="1" ref="N9" ca="1">SUM(IF(OFFSET($E$29,0,0,ctPlants,1)=$E9,IF(OFFSET($F$29,0,0,ctPlants,1)=$F9,OFFSET(N$29,0,0,ctPlants,1))))</f>
        <v>15</v>
      </c>
      <c r="O9" s="123">
        <f t="array" aca="1" ref="O9" ca="1">SUM(IF(OFFSET($E$29,0,0,ctPlants,1)=$E9,IF(OFFSET($F$29,0,0,ctPlants,1)=$F9,OFFSET(O$29,0,0,ctPlants,1))))</f>
        <v>29</v>
      </c>
      <c r="P9" s="123">
        <f t="array" aca="1" ref="P9" ca="1">SUM(IF(OFFSET($E$29,0,0,ctPlants,1)=$E9,IF(OFFSET($F$29,0,0,ctPlants,1)=$F9,OFFSET(P$29,0,0,ctPlants,1))))</f>
        <v>29</v>
      </c>
      <c r="Q9" s="123">
        <f t="array" aca="1" ref="Q9" ca="1">SUM(IF(OFFSET($E$29,0,0,ctPlants,1)=$E9,IF(OFFSET($F$29,0,0,ctPlants,1)=$F9,OFFSET(Q$29,0,0,ctPlants,1))))</f>
        <v>29</v>
      </c>
      <c r="R9" s="123">
        <f t="array" aca="1" ref="R9" ca="1">SUM(IF(OFFSET($E$29,0,0,ctPlants,1)=$E9,IF(OFFSET($F$29,0,0,ctPlants,1)=$F9,OFFSET(R$29,0,0,ctPlants,1))))</f>
        <v>29</v>
      </c>
      <c r="S9" s="123">
        <f t="array" aca="1" ref="S9" ca="1">SUM(IF(OFFSET($E$29,0,0,ctPlants,1)=$E9,IF(OFFSET($F$29,0,0,ctPlants,1)=$F9,OFFSET(S$29,0,0,ctPlants,1))))</f>
        <v>29</v>
      </c>
      <c r="T9" s="123">
        <f t="array" aca="1" ref="T9" ca="1">SUM(IF(OFFSET($E$29,0,0,ctPlants,1)=$E9,IF(OFFSET($F$29,0,0,ctPlants,1)=$F9,OFFSET(T$29,0,0,ctPlants,1))))</f>
        <v>29</v>
      </c>
      <c r="U9" s="123">
        <f t="array" aca="1" ref="U9" ca="1">SUM(IF(OFFSET($E$29,0,0,ctPlants,1)=$E9,IF(OFFSET($F$29,0,0,ctPlants,1)=$F9,OFFSET(U$29,0,0,ctPlants,1))))</f>
        <v>29</v>
      </c>
      <c r="V9" s="123">
        <f t="array" aca="1" ref="V9" ca="1">SUM(IF(OFFSET($E$29,0,0,ctPlants,1)=$E9,IF(OFFSET($F$29,0,0,ctPlants,1)=$F9,OFFSET(V$29,0,0,ctPlants,1))))</f>
        <v>29</v>
      </c>
      <c r="W9" s="123">
        <f t="array" aca="1" ref="W9" ca="1">SUM(IF(OFFSET($E$29,0,0,ctPlants,1)=$E9,IF(OFFSET($F$29,0,0,ctPlants,1)=$F9,OFFSET(W$29,0,0,ctPlants,1))))</f>
        <v>29</v>
      </c>
      <c r="X9" s="123">
        <f t="array" aca="1" ref="X9" ca="1">SUM(IF(OFFSET($E$29,0,0,ctPlants,1)=$E9,IF(OFFSET($F$29,0,0,ctPlants,1)=$F9,OFFSET(X$29,0,0,ctPlants,1))))</f>
        <v>29</v>
      </c>
      <c r="Y9" s="123">
        <f t="array" aca="1" ref="Y9" ca="1">SUM(IF(OFFSET($E$29,0,0,ctPlants,1)=$E9,IF(OFFSET($F$29,0,0,ctPlants,1)=$F9,OFFSET(Y$29,0,0,ctPlants,1))))</f>
        <v>29</v>
      </c>
      <c r="Z9" s="123">
        <f t="array" aca="1" ref="Z9" ca="1">SUM(IF(OFFSET($E$29,0,0,ctPlants,1)=$E9,IF(OFFSET($F$29,0,0,ctPlants,1)=$F9,OFFSET(Z$29,0,0,ctPlants,1))))</f>
        <v>29</v>
      </c>
      <c r="AA9" s="123">
        <f t="array" aca="1" ref="AA9" ca="1">SUM(IF(OFFSET($E$29,0,0,ctPlants,1)=$E9,IF(OFFSET($F$29,0,0,ctPlants,1)=$F9,OFFSET(AA$29,0,0,ctPlants,1))))</f>
        <v>29</v>
      </c>
      <c r="AB9" s="141">
        <f t="array" aca="1" ref="AB9" ca="1">SUM(IF(OFFSET($E$29,0,0,ctPlants,1)=$E9,IF(OFFSET($F$29,0,0,ctPlants,1)=$F9,OFFSET(AB$29,0,0,ctPlants,1))))</f>
        <v>29</v>
      </c>
    </row>
    <row r="10" spans="1:28" s="65" customFormat="1">
      <c r="B10" s="2"/>
      <c r="E10" s="128" t="s">
        <v>19</v>
      </c>
      <c r="F10" s="117" t="s">
        <v>6</v>
      </c>
      <c r="G10" s="129" t="s">
        <v>2131</v>
      </c>
      <c r="I10" s="140">
        <f t="array" aca="1" ref="I10" ca="1">SUM(IF(OFFSET($E$29,0,0,ctPlants,1)=$E10,IF(OFFSET($F$29,0,0,ctPlants,1)=$F10,OFFSET(I$29,0,0,ctPlants,1))))</f>
        <v>1088.5999999999999</v>
      </c>
      <c r="J10" s="123">
        <f t="array" aca="1" ref="J10" ca="1">SUM(IF(OFFSET($E$29,0,0,ctPlants,1)=$E10,IF(OFFSET($F$29,0,0,ctPlants,1)=$F10,OFFSET(J$29,0,0,ctPlants,1))))</f>
        <v>1088.5999999999999</v>
      </c>
      <c r="K10" s="123">
        <f t="array" aca="1" ref="K10" ca="1">SUM(IF(OFFSET($E$29,0,0,ctPlants,1)=$E10,IF(OFFSET($F$29,0,0,ctPlants,1)=$F10,OFFSET(K$29,0,0,ctPlants,1))))</f>
        <v>1088.5999999999999</v>
      </c>
      <c r="L10" s="123">
        <f t="array" aca="1" ref="L10" ca="1">SUM(IF(OFFSET($E$29,0,0,ctPlants,1)=$E10,IF(OFFSET($F$29,0,0,ctPlants,1)=$F10,OFFSET(L$29,0,0,ctPlants,1))))</f>
        <v>2097.6</v>
      </c>
      <c r="M10" s="123">
        <f t="array" aca="1" ref="M10" ca="1">SUM(IF(OFFSET($E$29,0,0,ctPlants,1)=$E10,IF(OFFSET($F$29,0,0,ctPlants,1)=$F10,OFFSET(M$29,0,0,ctPlants,1))))</f>
        <v>3082.6</v>
      </c>
      <c r="N10" s="123">
        <f t="array" aca="1" ref="N10" ca="1">SUM(IF(OFFSET($E$29,0,0,ctPlants,1)=$E10,IF(OFFSET($F$29,0,0,ctPlants,1)=$F10,OFFSET(N$29,0,0,ctPlants,1))))</f>
        <v>4033.6</v>
      </c>
      <c r="O10" s="123">
        <f t="array" aca="1" ref="O10" ca="1">SUM(IF(OFFSET($E$29,0,0,ctPlants,1)=$E10,IF(OFFSET($F$29,0,0,ctPlants,1)=$F10,OFFSET(O$29,0,0,ctPlants,1))))</f>
        <v>8069.63</v>
      </c>
      <c r="P10" s="123">
        <f t="array" aca="1" ref="P10" ca="1">SUM(IF(OFFSET($E$29,0,0,ctPlants,1)=$E10,IF(OFFSET($F$29,0,0,ctPlants,1)=$F10,OFFSET(P$29,0,0,ctPlants,1))))</f>
        <v>9020.630000000001</v>
      </c>
      <c r="Q10" s="123">
        <f t="array" aca="1" ref="Q10" ca="1">SUM(IF(OFFSET($E$29,0,0,ctPlants,1)=$E10,IF(OFFSET($F$29,0,0,ctPlants,1)=$F10,OFFSET(Q$29,0,0,ctPlants,1))))</f>
        <v>9971.630000000001</v>
      </c>
      <c r="R10" s="123">
        <f t="array" aca="1" ref="R10" ca="1">SUM(IF(OFFSET($E$29,0,0,ctPlants,1)=$E10,IF(OFFSET($F$29,0,0,ctPlants,1)=$F10,OFFSET(R$29,0,0,ctPlants,1))))</f>
        <v>12048.19</v>
      </c>
      <c r="S10" s="123">
        <f t="array" aca="1" ref="S10" ca="1">SUM(IF(OFFSET($E$29,0,0,ctPlants,1)=$E10,IF(OFFSET($F$29,0,0,ctPlants,1)=$F10,OFFSET(S$29,0,0,ctPlants,1))))</f>
        <v>12048.19</v>
      </c>
      <c r="T10" s="123">
        <f t="array" aca="1" ref="T10" ca="1">SUM(IF(OFFSET($E$29,0,0,ctPlants,1)=$E10,IF(OFFSET($F$29,0,0,ctPlants,1)=$F10,OFFSET(T$29,0,0,ctPlants,1))))</f>
        <v>12048.19</v>
      </c>
      <c r="U10" s="123">
        <f t="array" aca="1" ref="U10" ca="1">SUM(IF(OFFSET($E$29,0,0,ctPlants,1)=$E10,IF(OFFSET($F$29,0,0,ctPlants,1)=$F10,OFFSET(U$29,0,0,ctPlants,1))))</f>
        <v>12048.19</v>
      </c>
      <c r="V10" s="123">
        <f t="array" aca="1" ref="V10" ca="1">SUM(IF(OFFSET($E$29,0,0,ctPlants,1)=$E10,IF(OFFSET($F$29,0,0,ctPlants,1)=$F10,OFFSET(V$29,0,0,ctPlants,1))))</f>
        <v>12048.19</v>
      </c>
      <c r="W10" s="123">
        <f t="array" aca="1" ref="W10" ca="1">SUM(IF(OFFSET($E$29,0,0,ctPlants,1)=$E10,IF(OFFSET($F$29,0,0,ctPlants,1)=$F10,OFFSET(W$29,0,0,ctPlants,1))))</f>
        <v>12048.19</v>
      </c>
      <c r="X10" s="123">
        <f t="array" aca="1" ref="X10" ca="1">SUM(IF(OFFSET($E$29,0,0,ctPlants,1)=$E10,IF(OFFSET($F$29,0,0,ctPlants,1)=$F10,OFFSET(X$29,0,0,ctPlants,1))))</f>
        <v>12048.19</v>
      </c>
      <c r="Y10" s="123">
        <f t="array" aca="1" ref="Y10" ca="1">SUM(IF(OFFSET($E$29,0,0,ctPlants,1)=$E10,IF(OFFSET($F$29,0,0,ctPlants,1)=$F10,OFFSET(Y$29,0,0,ctPlants,1))))</f>
        <v>12048.19</v>
      </c>
      <c r="Z10" s="123">
        <f t="array" aca="1" ref="Z10" ca="1">SUM(IF(OFFSET($E$29,0,0,ctPlants,1)=$E10,IF(OFFSET($F$29,0,0,ctPlants,1)=$F10,OFFSET(Z$29,0,0,ctPlants,1))))</f>
        <v>12048.19</v>
      </c>
      <c r="AA10" s="123">
        <f t="array" aca="1" ref="AA10" ca="1">SUM(IF(OFFSET($E$29,0,0,ctPlants,1)=$E10,IF(OFFSET($F$29,0,0,ctPlants,1)=$F10,OFFSET(AA$29,0,0,ctPlants,1))))</f>
        <v>12048.19</v>
      </c>
      <c r="AB10" s="141">
        <f t="array" aca="1" ref="AB10" ca="1">SUM(IF(OFFSET($E$29,0,0,ctPlants,1)=$E10,IF(OFFSET($F$29,0,0,ctPlants,1)=$F10,OFFSET(AB$29,0,0,ctPlants,1))))</f>
        <v>12048.19</v>
      </c>
    </row>
    <row r="11" spans="1:28" s="65" customFormat="1">
      <c r="E11" s="130" t="s">
        <v>18</v>
      </c>
      <c r="F11" s="114" t="s">
        <v>23</v>
      </c>
      <c r="G11" s="131" t="s">
        <v>2131</v>
      </c>
      <c r="H11" s="115"/>
      <c r="I11" s="142">
        <f t="array" aca="1" ref="I11" ca="1">SUM(IF(OFFSET($E$29,0,0,ctPlants,1)=$E11,IF(OFFSET($F$29,0,0,ctPlants,1)=$F11,OFFSET(I$29,0,0,ctPlants,1))))</f>
        <v>0</v>
      </c>
      <c r="J11" s="122">
        <f t="array" aca="1" ref="J11" ca="1">SUM(IF(OFFSET($E$29,0,0,ctPlants,1)=$E11,IF(OFFSET($F$29,0,0,ctPlants,1)=$F11,OFFSET(J$29,0,0,ctPlants,1))))</f>
        <v>0</v>
      </c>
      <c r="K11" s="122">
        <f t="array" aca="1" ref="K11" ca="1">SUM(IF(OFFSET($E$29,0,0,ctPlants,1)=$E11,IF(OFFSET($F$29,0,0,ctPlants,1)=$F11,OFFSET(K$29,0,0,ctPlants,1))))</f>
        <v>0</v>
      </c>
      <c r="L11" s="122">
        <f t="array" aca="1" ref="L11" ca="1">SUM(IF(OFFSET($E$29,0,0,ctPlants,1)=$E11,IF(OFFSET($F$29,0,0,ctPlants,1)=$F11,OFFSET(L$29,0,0,ctPlants,1))))</f>
        <v>0</v>
      </c>
      <c r="M11" s="122">
        <f t="array" aca="1" ref="M11" ca="1">SUM(IF(OFFSET($E$29,0,0,ctPlants,1)=$E11,IF(OFFSET($F$29,0,0,ctPlants,1)=$F11,OFFSET(M$29,0,0,ctPlants,1))))</f>
        <v>0</v>
      </c>
      <c r="N11" s="122">
        <f t="array" aca="1" ref="N11" ca="1">SUM(IF(OFFSET($E$29,0,0,ctPlants,1)=$E11,IF(OFFSET($F$29,0,0,ctPlants,1)=$F11,OFFSET(N$29,0,0,ctPlants,1))))</f>
        <v>0</v>
      </c>
      <c r="O11" s="122">
        <f t="array" aca="1" ref="O11" ca="1">SUM(IF(OFFSET($E$29,0,0,ctPlants,1)=$E11,IF(OFFSET($F$29,0,0,ctPlants,1)=$F11,OFFSET(O$29,0,0,ctPlants,1))))</f>
        <v>0</v>
      </c>
      <c r="P11" s="122">
        <f t="array" aca="1" ref="P11" ca="1">SUM(IF(OFFSET($E$29,0,0,ctPlants,1)=$E11,IF(OFFSET($F$29,0,0,ctPlants,1)=$F11,OFFSET(P$29,0,0,ctPlants,1))))</f>
        <v>0</v>
      </c>
      <c r="Q11" s="122">
        <f t="array" aca="1" ref="Q11" ca="1">SUM(IF(OFFSET($E$29,0,0,ctPlants,1)=$E11,IF(OFFSET($F$29,0,0,ctPlants,1)=$F11,OFFSET(Q$29,0,0,ctPlants,1))))</f>
        <v>0</v>
      </c>
      <c r="R11" s="122">
        <f t="array" aca="1" ref="R11" ca="1">SUM(IF(OFFSET($E$29,0,0,ctPlants,1)=$E11,IF(OFFSET($F$29,0,0,ctPlants,1)=$F11,OFFSET(R$29,0,0,ctPlants,1))))</f>
        <v>0</v>
      </c>
      <c r="S11" s="122">
        <f t="array" aca="1" ref="S11" ca="1">SUM(IF(OFFSET($E$29,0,0,ctPlants,1)=$E11,IF(OFFSET($F$29,0,0,ctPlants,1)=$F11,OFFSET(S$29,0,0,ctPlants,1))))</f>
        <v>0</v>
      </c>
      <c r="T11" s="122">
        <f t="array" aca="1" ref="T11" ca="1">SUM(IF(OFFSET($E$29,0,0,ctPlants,1)=$E11,IF(OFFSET($F$29,0,0,ctPlants,1)=$F11,OFFSET(T$29,0,0,ctPlants,1))))</f>
        <v>0</v>
      </c>
      <c r="U11" s="122">
        <f t="array" aca="1" ref="U11" ca="1">SUM(IF(OFFSET($E$29,0,0,ctPlants,1)=$E11,IF(OFFSET($F$29,0,0,ctPlants,1)=$F11,OFFSET(U$29,0,0,ctPlants,1))))</f>
        <v>0</v>
      </c>
      <c r="V11" s="122">
        <f t="array" aca="1" ref="V11" ca="1">SUM(IF(OFFSET($E$29,0,0,ctPlants,1)=$E11,IF(OFFSET($F$29,0,0,ctPlants,1)=$F11,OFFSET(V$29,0,0,ctPlants,1))))</f>
        <v>0</v>
      </c>
      <c r="W11" s="122">
        <f t="array" aca="1" ref="W11" ca="1">SUM(IF(OFFSET($E$29,0,0,ctPlants,1)=$E11,IF(OFFSET($F$29,0,0,ctPlants,1)=$F11,OFFSET(W$29,0,0,ctPlants,1))))</f>
        <v>0</v>
      </c>
      <c r="X11" s="122">
        <f t="array" aca="1" ref="X11" ca="1">SUM(IF(OFFSET($E$29,0,0,ctPlants,1)=$E11,IF(OFFSET($F$29,0,0,ctPlants,1)=$F11,OFFSET(X$29,0,0,ctPlants,1))))</f>
        <v>0</v>
      </c>
      <c r="Y11" s="122">
        <f t="array" aca="1" ref="Y11" ca="1">SUM(IF(OFFSET($E$29,0,0,ctPlants,1)=$E11,IF(OFFSET($F$29,0,0,ctPlants,1)=$F11,OFFSET(Y$29,0,0,ctPlants,1))))</f>
        <v>0</v>
      </c>
      <c r="Z11" s="122">
        <f t="array" aca="1" ref="Z11" ca="1">SUM(IF(OFFSET($E$29,0,0,ctPlants,1)=$E11,IF(OFFSET($F$29,0,0,ctPlants,1)=$F11,OFFSET(Z$29,0,0,ctPlants,1))))</f>
        <v>0</v>
      </c>
      <c r="AA11" s="122">
        <f t="array" aca="1" ref="AA11" ca="1">SUM(IF(OFFSET($E$29,0,0,ctPlants,1)=$E11,IF(OFFSET($F$29,0,0,ctPlants,1)=$F11,OFFSET(AA$29,0,0,ctPlants,1))))</f>
        <v>0</v>
      </c>
      <c r="AB11" s="143">
        <f t="array" aca="1" ref="AB11" ca="1">SUM(IF(OFFSET($E$29,0,0,ctPlants,1)=$E11,IF(OFFSET($F$29,0,0,ctPlants,1)=$F11,OFFSET(AB$29,0,0,ctPlants,1))))</f>
        <v>0</v>
      </c>
    </row>
    <row r="12" spans="1:28" s="65" customFormat="1">
      <c r="E12" s="128" t="s">
        <v>21</v>
      </c>
      <c r="F12" s="117" t="s">
        <v>23</v>
      </c>
      <c r="G12" s="129" t="s">
        <v>2131</v>
      </c>
      <c r="I12" s="140">
        <f t="array" aca="1" ref="I12" ca="1">SUM(IF(OFFSET($E$29,0,0,ctPlants,1)=$E12,IF(OFFSET($F$29,0,0,ctPlants,1)=$F12,OFFSET(I$29,0,0,ctPlants,1))))</f>
        <v>0</v>
      </c>
      <c r="J12" s="123">
        <f t="array" aca="1" ref="J12" ca="1">SUM(IF(OFFSET($E$29,0,0,ctPlants,1)=$E12,IF(OFFSET($F$29,0,0,ctPlants,1)=$F12,OFFSET(J$29,0,0,ctPlants,1))))</f>
        <v>0</v>
      </c>
      <c r="K12" s="123">
        <f t="array" aca="1" ref="K12" ca="1">SUM(IF(OFFSET($E$29,0,0,ctPlants,1)=$E12,IF(OFFSET($F$29,0,0,ctPlants,1)=$F12,OFFSET(K$29,0,0,ctPlants,1))))</f>
        <v>0</v>
      </c>
      <c r="L12" s="123">
        <f t="array" aca="1" ref="L12" ca="1">SUM(IF(OFFSET($E$29,0,0,ctPlants,1)=$E12,IF(OFFSET($F$29,0,0,ctPlants,1)=$F12,OFFSET(L$29,0,0,ctPlants,1))))</f>
        <v>0</v>
      </c>
      <c r="M12" s="123">
        <f t="array" aca="1" ref="M12" ca="1">SUM(IF(OFFSET($E$29,0,0,ctPlants,1)=$E12,IF(OFFSET($F$29,0,0,ctPlants,1)=$F12,OFFSET(M$29,0,0,ctPlants,1))))</f>
        <v>0</v>
      </c>
      <c r="N12" s="123">
        <f t="array" aca="1" ref="N12" ca="1">SUM(IF(OFFSET($E$29,0,0,ctPlants,1)=$E12,IF(OFFSET($F$29,0,0,ctPlants,1)=$F12,OFFSET(N$29,0,0,ctPlants,1))))</f>
        <v>0</v>
      </c>
      <c r="O12" s="123">
        <f t="array" aca="1" ref="O12" ca="1">SUM(IF(OFFSET($E$29,0,0,ctPlants,1)=$E12,IF(OFFSET($F$29,0,0,ctPlants,1)=$F12,OFFSET(O$29,0,0,ctPlants,1))))</f>
        <v>0</v>
      </c>
      <c r="P12" s="123">
        <f t="array" aca="1" ref="P12" ca="1">SUM(IF(OFFSET($E$29,0,0,ctPlants,1)=$E12,IF(OFFSET($F$29,0,0,ctPlants,1)=$F12,OFFSET(P$29,0,0,ctPlants,1))))</f>
        <v>0</v>
      </c>
      <c r="Q12" s="123">
        <f t="array" aca="1" ref="Q12" ca="1">SUM(IF(OFFSET($E$29,0,0,ctPlants,1)=$E12,IF(OFFSET($F$29,0,0,ctPlants,1)=$F12,OFFSET(Q$29,0,0,ctPlants,1))))</f>
        <v>0</v>
      </c>
      <c r="R12" s="123">
        <f t="array" aca="1" ref="R12" ca="1">SUM(IF(OFFSET($E$29,0,0,ctPlants,1)=$E12,IF(OFFSET($F$29,0,0,ctPlants,1)=$F12,OFFSET(R$29,0,0,ctPlants,1))))</f>
        <v>0</v>
      </c>
      <c r="S12" s="123">
        <f t="array" aca="1" ref="S12" ca="1">SUM(IF(OFFSET($E$29,0,0,ctPlants,1)=$E12,IF(OFFSET($F$29,0,0,ctPlants,1)=$F12,OFFSET(S$29,0,0,ctPlants,1))))</f>
        <v>0</v>
      </c>
      <c r="T12" s="123">
        <f t="array" aca="1" ref="T12" ca="1">SUM(IF(OFFSET($E$29,0,0,ctPlants,1)=$E12,IF(OFFSET($F$29,0,0,ctPlants,1)=$F12,OFFSET(T$29,0,0,ctPlants,1))))</f>
        <v>0</v>
      </c>
      <c r="U12" s="123">
        <f t="array" aca="1" ref="U12" ca="1">SUM(IF(OFFSET($E$29,0,0,ctPlants,1)=$E12,IF(OFFSET($F$29,0,0,ctPlants,1)=$F12,OFFSET(U$29,0,0,ctPlants,1))))</f>
        <v>0</v>
      </c>
      <c r="V12" s="123">
        <f t="array" aca="1" ref="V12" ca="1">SUM(IF(OFFSET($E$29,0,0,ctPlants,1)=$E12,IF(OFFSET($F$29,0,0,ctPlants,1)=$F12,OFFSET(V$29,0,0,ctPlants,1))))</f>
        <v>0</v>
      </c>
      <c r="W12" s="123">
        <f t="array" aca="1" ref="W12" ca="1">SUM(IF(OFFSET($E$29,0,0,ctPlants,1)=$E12,IF(OFFSET($F$29,0,0,ctPlants,1)=$F12,OFFSET(W$29,0,0,ctPlants,1))))</f>
        <v>0</v>
      </c>
      <c r="X12" s="123">
        <f t="array" aca="1" ref="X12" ca="1">SUM(IF(OFFSET($E$29,0,0,ctPlants,1)=$E12,IF(OFFSET($F$29,0,0,ctPlants,1)=$F12,OFFSET(X$29,0,0,ctPlants,1))))</f>
        <v>0</v>
      </c>
      <c r="Y12" s="123">
        <f t="array" aca="1" ref="Y12" ca="1">SUM(IF(OFFSET($E$29,0,0,ctPlants,1)=$E12,IF(OFFSET($F$29,0,0,ctPlants,1)=$F12,OFFSET(Y$29,0,0,ctPlants,1))))</f>
        <v>0</v>
      </c>
      <c r="Z12" s="123">
        <f t="array" aca="1" ref="Z12" ca="1">SUM(IF(OFFSET($E$29,0,0,ctPlants,1)=$E12,IF(OFFSET($F$29,0,0,ctPlants,1)=$F12,OFFSET(Z$29,0,0,ctPlants,1))))</f>
        <v>0</v>
      </c>
      <c r="AA12" s="123">
        <f t="array" aca="1" ref="AA12" ca="1">SUM(IF(OFFSET($E$29,0,0,ctPlants,1)=$E12,IF(OFFSET($F$29,0,0,ctPlants,1)=$F12,OFFSET(AA$29,0,0,ctPlants,1))))</f>
        <v>0</v>
      </c>
      <c r="AB12" s="141">
        <f t="array" aca="1" ref="AB12" ca="1">SUM(IF(OFFSET($E$29,0,0,ctPlants,1)=$E12,IF(OFFSET($F$29,0,0,ctPlants,1)=$F12,OFFSET(AB$29,0,0,ctPlants,1))))</f>
        <v>0</v>
      </c>
    </row>
    <row r="13" spans="1:28" s="65" customFormat="1">
      <c r="E13" s="128" t="s">
        <v>20</v>
      </c>
      <c r="F13" s="117" t="s">
        <v>23</v>
      </c>
      <c r="G13" s="129" t="s">
        <v>2131</v>
      </c>
      <c r="I13" s="140">
        <f t="array" aca="1" ref="I13" ca="1">SUM(IF(OFFSET($E$29,0,0,ctPlants,1)=$E13,IF(OFFSET($F$29,0,0,ctPlants,1)=$F13,OFFSET(I$29,0,0,ctPlants,1))))</f>
        <v>156</v>
      </c>
      <c r="J13" s="123">
        <f t="array" aca="1" ref="J13" ca="1">SUM(IF(OFFSET($E$29,0,0,ctPlants,1)=$E13,IF(OFFSET($F$29,0,0,ctPlants,1)=$F13,OFFSET(J$29,0,0,ctPlants,1))))</f>
        <v>321</v>
      </c>
      <c r="K13" s="123">
        <f t="array" aca="1" ref="K13" ca="1">SUM(IF(OFFSET($E$29,0,0,ctPlants,1)=$E13,IF(OFFSET($F$29,0,0,ctPlants,1)=$F13,OFFSET(K$29,0,0,ctPlants,1))))</f>
        <v>321</v>
      </c>
      <c r="L13" s="123">
        <f t="array" aca="1" ref="L13" ca="1">SUM(IF(OFFSET($E$29,0,0,ctPlants,1)=$E13,IF(OFFSET($F$29,0,0,ctPlants,1)=$F13,OFFSET(L$29,0,0,ctPlants,1))))</f>
        <v>321</v>
      </c>
      <c r="M13" s="123">
        <f t="array" aca="1" ref="M13" ca="1">SUM(IF(OFFSET($E$29,0,0,ctPlants,1)=$E13,IF(OFFSET($F$29,0,0,ctPlants,1)=$F13,OFFSET(M$29,0,0,ctPlants,1))))</f>
        <v>321</v>
      </c>
      <c r="N13" s="123">
        <f t="array" aca="1" ref="N13" ca="1">SUM(IF(OFFSET($E$29,0,0,ctPlants,1)=$E13,IF(OFFSET($F$29,0,0,ctPlants,1)=$F13,OFFSET(N$29,0,0,ctPlants,1))))</f>
        <v>321</v>
      </c>
      <c r="O13" s="123">
        <f t="array" aca="1" ref="O13" ca="1">SUM(IF(OFFSET($E$29,0,0,ctPlants,1)=$E13,IF(OFFSET($F$29,0,0,ctPlants,1)=$F13,OFFSET(O$29,0,0,ctPlants,1))))</f>
        <v>321</v>
      </c>
      <c r="P13" s="123">
        <f t="array" aca="1" ref="P13" ca="1">SUM(IF(OFFSET($E$29,0,0,ctPlants,1)=$E13,IF(OFFSET($F$29,0,0,ctPlants,1)=$F13,OFFSET(P$29,0,0,ctPlants,1))))</f>
        <v>321</v>
      </c>
      <c r="Q13" s="123">
        <f t="array" aca="1" ref="Q13" ca="1">SUM(IF(OFFSET($E$29,0,0,ctPlants,1)=$E13,IF(OFFSET($F$29,0,0,ctPlants,1)=$F13,OFFSET(Q$29,0,0,ctPlants,1))))</f>
        <v>321</v>
      </c>
      <c r="R13" s="123">
        <f t="array" aca="1" ref="R13" ca="1">SUM(IF(OFFSET($E$29,0,0,ctPlants,1)=$E13,IF(OFFSET($F$29,0,0,ctPlants,1)=$F13,OFFSET(R$29,0,0,ctPlants,1))))</f>
        <v>321</v>
      </c>
      <c r="S13" s="123">
        <f t="array" aca="1" ref="S13" ca="1">SUM(IF(OFFSET($E$29,0,0,ctPlants,1)=$E13,IF(OFFSET($F$29,0,0,ctPlants,1)=$F13,OFFSET(S$29,0,0,ctPlants,1))))</f>
        <v>321</v>
      </c>
      <c r="T13" s="123">
        <f t="array" aca="1" ref="T13" ca="1">SUM(IF(OFFSET($E$29,0,0,ctPlants,1)=$E13,IF(OFFSET($F$29,0,0,ctPlants,1)=$F13,OFFSET(T$29,0,0,ctPlants,1))))</f>
        <v>321</v>
      </c>
      <c r="U13" s="123">
        <f t="array" aca="1" ref="U13" ca="1">SUM(IF(OFFSET($E$29,0,0,ctPlants,1)=$E13,IF(OFFSET($F$29,0,0,ctPlants,1)=$F13,OFFSET(U$29,0,0,ctPlants,1))))</f>
        <v>321</v>
      </c>
      <c r="V13" s="123">
        <f t="array" aca="1" ref="V13" ca="1">SUM(IF(OFFSET($E$29,0,0,ctPlants,1)=$E13,IF(OFFSET($F$29,0,0,ctPlants,1)=$F13,OFFSET(V$29,0,0,ctPlants,1))))</f>
        <v>321</v>
      </c>
      <c r="W13" s="123">
        <f t="array" aca="1" ref="W13" ca="1">SUM(IF(OFFSET($E$29,0,0,ctPlants,1)=$E13,IF(OFFSET($F$29,0,0,ctPlants,1)=$F13,OFFSET(W$29,0,0,ctPlants,1))))</f>
        <v>321</v>
      </c>
      <c r="X13" s="123">
        <f t="array" aca="1" ref="X13" ca="1">SUM(IF(OFFSET($E$29,0,0,ctPlants,1)=$E13,IF(OFFSET($F$29,0,0,ctPlants,1)=$F13,OFFSET(X$29,0,0,ctPlants,1))))</f>
        <v>321</v>
      </c>
      <c r="Y13" s="123">
        <f t="array" aca="1" ref="Y13" ca="1">SUM(IF(OFFSET($E$29,0,0,ctPlants,1)=$E13,IF(OFFSET($F$29,0,0,ctPlants,1)=$F13,OFFSET(Y$29,0,0,ctPlants,1))))</f>
        <v>321</v>
      </c>
      <c r="Z13" s="123">
        <f t="array" aca="1" ref="Z13" ca="1">SUM(IF(OFFSET($E$29,0,0,ctPlants,1)=$E13,IF(OFFSET($F$29,0,0,ctPlants,1)=$F13,OFFSET(Z$29,0,0,ctPlants,1))))</f>
        <v>321</v>
      </c>
      <c r="AA13" s="123">
        <f t="array" aca="1" ref="AA13" ca="1">SUM(IF(OFFSET($E$29,0,0,ctPlants,1)=$E13,IF(OFFSET($F$29,0,0,ctPlants,1)=$F13,OFFSET(AA$29,0,0,ctPlants,1))))</f>
        <v>321</v>
      </c>
      <c r="AB13" s="141">
        <f t="array" aca="1" ref="AB13" ca="1">SUM(IF(OFFSET($E$29,0,0,ctPlants,1)=$E13,IF(OFFSET($F$29,0,0,ctPlants,1)=$F13,OFFSET(AB$29,0,0,ctPlants,1))))</f>
        <v>321</v>
      </c>
    </row>
    <row r="14" spans="1:28" s="65" customFormat="1">
      <c r="B14" s="2"/>
      <c r="E14" s="128" t="s">
        <v>19</v>
      </c>
      <c r="F14" s="117" t="s">
        <v>23</v>
      </c>
      <c r="G14" s="129" t="s">
        <v>2131</v>
      </c>
      <c r="I14" s="140">
        <f t="array" aca="1" ref="I14" ca="1">SUM(IF(OFFSET($E$29,0,0,ctPlants,1)=$E14,IF(OFFSET($F$29,0,0,ctPlants,1)=$F14,OFFSET(I$29,0,0,ctPlants,1))))</f>
        <v>0</v>
      </c>
      <c r="J14" s="123">
        <f t="array" aca="1" ref="J14" ca="1">SUM(IF(OFFSET($E$29,0,0,ctPlants,1)=$E14,IF(OFFSET($F$29,0,0,ctPlants,1)=$F14,OFFSET(J$29,0,0,ctPlants,1))))</f>
        <v>0</v>
      </c>
      <c r="K14" s="123">
        <f t="array" aca="1" ref="K14" ca="1">SUM(IF(OFFSET($E$29,0,0,ctPlants,1)=$E14,IF(OFFSET($F$29,0,0,ctPlants,1)=$F14,OFFSET(K$29,0,0,ctPlants,1))))</f>
        <v>0</v>
      </c>
      <c r="L14" s="123">
        <f t="array" aca="1" ref="L14" ca="1">SUM(IF(OFFSET($E$29,0,0,ctPlants,1)=$E14,IF(OFFSET($F$29,0,0,ctPlants,1)=$F14,OFFSET(L$29,0,0,ctPlants,1))))</f>
        <v>0</v>
      </c>
      <c r="M14" s="123">
        <f t="array" aca="1" ref="M14" ca="1">SUM(IF(OFFSET($E$29,0,0,ctPlants,1)=$E14,IF(OFFSET($F$29,0,0,ctPlants,1)=$F14,OFFSET(M$29,0,0,ctPlants,1))))</f>
        <v>784.5</v>
      </c>
      <c r="N14" s="123">
        <f t="array" aca="1" ref="N14" ca="1">SUM(IF(OFFSET($E$29,0,0,ctPlants,1)=$E14,IF(OFFSET($F$29,0,0,ctPlants,1)=$F14,OFFSET(N$29,0,0,ctPlants,1))))</f>
        <v>784.5</v>
      </c>
      <c r="O14" s="123">
        <f t="array" aca="1" ref="O14" ca="1">SUM(IF(OFFSET($E$29,0,0,ctPlants,1)=$E14,IF(OFFSET($F$29,0,0,ctPlants,1)=$F14,OFFSET(O$29,0,0,ctPlants,1))))</f>
        <v>1466.5</v>
      </c>
      <c r="P14" s="123">
        <f t="array" aca="1" ref="P14" ca="1">SUM(IF(OFFSET($E$29,0,0,ctPlants,1)=$E14,IF(OFFSET($F$29,0,0,ctPlants,1)=$F14,OFFSET(P$29,0,0,ctPlants,1))))</f>
        <v>1466.5</v>
      </c>
      <c r="Q14" s="123">
        <f t="array" aca="1" ref="Q14" ca="1">SUM(IF(OFFSET($E$29,0,0,ctPlants,1)=$E14,IF(OFFSET($F$29,0,0,ctPlants,1)=$F14,OFFSET(Q$29,0,0,ctPlants,1))))</f>
        <v>1466.5</v>
      </c>
      <c r="R14" s="123">
        <f t="array" aca="1" ref="R14" ca="1">SUM(IF(OFFSET($E$29,0,0,ctPlants,1)=$E14,IF(OFFSET($F$29,0,0,ctPlants,1)=$F14,OFFSET(R$29,0,0,ctPlants,1))))</f>
        <v>1466.5</v>
      </c>
      <c r="S14" s="123">
        <f t="array" aca="1" ref="S14" ca="1">SUM(IF(OFFSET($E$29,0,0,ctPlants,1)=$E14,IF(OFFSET($F$29,0,0,ctPlants,1)=$F14,OFFSET(S$29,0,0,ctPlants,1))))</f>
        <v>1466.5</v>
      </c>
      <c r="T14" s="123">
        <f t="array" aca="1" ref="T14" ca="1">SUM(IF(OFFSET($E$29,0,0,ctPlants,1)=$E14,IF(OFFSET($F$29,0,0,ctPlants,1)=$F14,OFFSET(T$29,0,0,ctPlants,1))))</f>
        <v>1466.5</v>
      </c>
      <c r="U14" s="123">
        <f t="array" aca="1" ref="U14" ca="1">SUM(IF(OFFSET($E$29,0,0,ctPlants,1)=$E14,IF(OFFSET($F$29,0,0,ctPlants,1)=$F14,OFFSET(U$29,0,0,ctPlants,1))))</f>
        <v>1466.5</v>
      </c>
      <c r="V14" s="123">
        <f t="array" aca="1" ref="V14" ca="1">SUM(IF(OFFSET($E$29,0,0,ctPlants,1)=$E14,IF(OFFSET($F$29,0,0,ctPlants,1)=$F14,OFFSET(V$29,0,0,ctPlants,1))))</f>
        <v>1466.5</v>
      </c>
      <c r="W14" s="123">
        <f t="array" aca="1" ref="W14" ca="1">SUM(IF(OFFSET($E$29,0,0,ctPlants,1)=$E14,IF(OFFSET($F$29,0,0,ctPlants,1)=$F14,OFFSET(W$29,0,0,ctPlants,1))))</f>
        <v>1466.5</v>
      </c>
      <c r="X14" s="123">
        <f t="array" aca="1" ref="X14" ca="1">SUM(IF(OFFSET($E$29,0,0,ctPlants,1)=$E14,IF(OFFSET($F$29,0,0,ctPlants,1)=$F14,OFFSET(X$29,0,0,ctPlants,1))))</f>
        <v>1466.5</v>
      </c>
      <c r="Y14" s="123">
        <f t="array" aca="1" ref="Y14" ca="1">SUM(IF(OFFSET($E$29,0,0,ctPlants,1)=$E14,IF(OFFSET($F$29,0,0,ctPlants,1)=$F14,OFFSET(Y$29,0,0,ctPlants,1))))</f>
        <v>1466.5</v>
      </c>
      <c r="Z14" s="123">
        <f t="array" aca="1" ref="Z14" ca="1">SUM(IF(OFFSET($E$29,0,0,ctPlants,1)=$E14,IF(OFFSET($F$29,0,0,ctPlants,1)=$F14,OFFSET(Z$29,0,0,ctPlants,1))))</f>
        <v>1466.5</v>
      </c>
      <c r="AA14" s="123">
        <f t="array" aca="1" ref="AA14" ca="1">SUM(IF(OFFSET($E$29,0,0,ctPlants,1)=$E14,IF(OFFSET($F$29,0,0,ctPlants,1)=$F14,OFFSET(AA$29,0,0,ctPlants,1))))</f>
        <v>1466.5</v>
      </c>
      <c r="AB14" s="141">
        <f t="array" aca="1" ref="AB14" ca="1">SUM(IF(OFFSET($E$29,0,0,ctPlants,1)=$E14,IF(OFFSET($F$29,0,0,ctPlants,1)=$F14,OFFSET(AB$29,0,0,ctPlants,1))))</f>
        <v>1466.5</v>
      </c>
    </row>
    <row r="15" spans="1:28" s="65" customFormat="1">
      <c r="E15" s="130" t="s">
        <v>18</v>
      </c>
      <c r="F15" s="116" t="s">
        <v>129</v>
      </c>
      <c r="G15" s="131" t="s">
        <v>2131</v>
      </c>
      <c r="H15" s="115"/>
      <c r="I15" s="142">
        <f t="array" aca="1" ref="I15" ca="1">SUM(IF(OFFSET($E$29,0,0,ctPlants,1)=$E15,IF(OFFSET($F$29,0,0,ctPlants,1)=$F15,OFFSET(I$29,0,0,ctPlants,1))))</f>
        <v>40</v>
      </c>
      <c r="J15" s="122">
        <f t="array" aca="1" ref="J15" ca="1">SUM(IF(OFFSET($E$29,0,0,ctPlants,1)=$E15,IF(OFFSET($F$29,0,0,ctPlants,1)=$F15,OFFSET(J$29,0,0,ctPlants,1))))</f>
        <v>40</v>
      </c>
      <c r="K15" s="122">
        <f t="array" aca="1" ref="K15" ca="1">SUM(IF(OFFSET($E$29,0,0,ctPlants,1)=$E15,IF(OFFSET($F$29,0,0,ctPlants,1)=$F15,OFFSET(K$29,0,0,ctPlants,1))))</f>
        <v>40</v>
      </c>
      <c r="L15" s="122">
        <f t="array" aca="1" ref="L15" ca="1">SUM(IF(OFFSET($E$29,0,0,ctPlants,1)=$E15,IF(OFFSET($F$29,0,0,ctPlants,1)=$F15,OFFSET(L$29,0,0,ctPlants,1))))</f>
        <v>40</v>
      </c>
      <c r="M15" s="122">
        <f t="array" aca="1" ref="M15" ca="1">SUM(IF(OFFSET($E$29,0,0,ctPlants,1)=$E15,IF(OFFSET($F$29,0,0,ctPlants,1)=$F15,OFFSET(M$29,0,0,ctPlants,1))))</f>
        <v>40</v>
      </c>
      <c r="N15" s="122">
        <f t="array" aca="1" ref="N15" ca="1">SUM(IF(OFFSET($E$29,0,0,ctPlants,1)=$E15,IF(OFFSET($F$29,0,0,ctPlants,1)=$F15,OFFSET(N$29,0,0,ctPlants,1))))</f>
        <v>40</v>
      </c>
      <c r="O15" s="122">
        <f t="array" aca="1" ref="O15" ca="1">SUM(IF(OFFSET($E$29,0,0,ctPlants,1)=$E15,IF(OFFSET($F$29,0,0,ctPlants,1)=$F15,OFFSET(O$29,0,0,ctPlants,1))))</f>
        <v>40</v>
      </c>
      <c r="P15" s="122">
        <f t="array" aca="1" ref="P15" ca="1">SUM(IF(OFFSET($E$29,0,0,ctPlants,1)=$E15,IF(OFFSET($F$29,0,0,ctPlants,1)=$F15,OFFSET(P$29,0,0,ctPlants,1))))</f>
        <v>40</v>
      </c>
      <c r="Q15" s="122">
        <f t="array" aca="1" ref="Q15" ca="1">SUM(IF(OFFSET($E$29,0,0,ctPlants,1)=$E15,IF(OFFSET($F$29,0,0,ctPlants,1)=$F15,OFFSET(Q$29,0,0,ctPlants,1))))</f>
        <v>40</v>
      </c>
      <c r="R15" s="122">
        <f t="array" aca="1" ref="R15" ca="1">SUM(IF(OFFSET($E$29,0,0,ctPlants,1)=$E15,IF(OFFSET($F$29,0,0,ctPlants,1)=$F15,OFFSET(R$29,0,0,ctPlants,1))))</f>
        <v>40</v>
      </c>
      <c r="S15" s="122">
        <f t="array" aca="1" ref="S15" ca="1">SUM(IF(OFFSET($E$29,0,0,ctPlants,1)=$E15,IF(OFFSET($F$29,0,0,ctPlants,1)=$F15,OFFSET(S$29,0,0,ctPlants,1))))</f>
        <v>40</v>
      </c>
      <c r="T15" s="122">
        <f t="array" aca="1" ref="T15" ca="1">SUM(IF(OFFSET($E$29,0,0,ctPlants,1)=$E15,IF(OFFSET($F$29,0,0,ctPlants,1)=$F15,OFFSET(T$29,0,0,ctPlants,1))))</f>
        <v>40</v>
      </c>
      <c r="U15" s="122">
        <f t="array" aca="1" ref="U15" ca="1">SUM(IF(OFFSET($E$29,0,0,ctPlants,1)=$E15,IF(OFFSET($F$29,0,0,ctPlants,1)=$F15,OFFSET(U$29,0,0,ctPlants,1))))</f>
        <v>40</v>
      </c>
      <c r="V15" s="122">
        <f t="array" aca="1" ref="V15" ca="1">SUM(IF(OFFSET($E$29,0,0,ctPlants,1)=$E15,IF(OFFSET($F$29,0,0,ctPlants,1)=$F15,OFFSET(V$29,0,0,ctPlants,1))))</f>
        <v>40</v>
      </c>
      <c r="W15" s="122">
        <f t="array" aca="1" ref="W15" ca="1">SUM(IF(OFFSET($E$29,0,0,ctPlants,1)=$E15,IF(OFFSET($F$29,0,0,ctPlants,1)=$F15,OFFSET(W$29,0,0,ctPlants,1))))</f>
        <v>40</v>
      </c>
      <c r="X15" s="122">
        <f t="array" aca="1" ref="X15" ca="1">SUM(IF(OFFSET($E$29,0,0,ctPlants,1)=$E15,IF(OFFSET($F$29,0,0,ctPlants,1)=$F15,OFFSET(X$29,0,0,ctPlants,1))))</f>
        <v>40</v>
      </c>
      <c r="Y15" s="122">
        <f t="array" aca="1" ref="Y15" ca="1">SUM(IF(OFFSET($E$29,0,0,ctPlants,1)=$E15,IF(OFFSET($F$29,0,0,ctPlants,1)=$F15,OFFSET(Y$29,0,0,ctPlants,1))))</f>
        <v>40</v>
      </c>
      <c r="Z15" s="122">
        <f t="array" aca="1" ref="Z15" ca="1">SUM(IF(OFFSET($E$29,0,0,ctPlants,1)=$E15,IF(OFFSET($F$29,0,0,ctPlants,1)=$F15,OFFSET(Z$29,0,0,ctPlants,1))))</f>
        <v>40</v>
      </c>
      <c r="AA15" s="122">
        <f t="array" aca="1" ref="AA15" ca="1">SUM(IF(OFFSET($E$29,0,0,ctPlants,1)=$E15,IF(OFFSET($F$29,0,0,ctPlants,1)=$F15,OFFSET(AA$29,0,0,ctPlants,1))))</f>
        <v>40</v>
      </c>
      <c r="AB15" s="143">
        <f t="array" aca="1" ref="AB15" ca="1">SUM(IF(OFFSET($E$29,0,0,ctPlants,1)=$E15,IF(OFFSET($F$29,0,0,ctPlants,1)=$F15,OFFSET(AB$29,0,0,ctPlants,1))))</f>
        <v>40</v>
      </c>
    </row>
    <row r="16" spans="1:28" s="65" customFormat="1">
      <c r="E16" s="128" t="s">
        <v>21</v>
      </c>
      <c r="F16" s="118" t="s">
        <v>129</v>
      </c>
      <c r="G16" s="129" t="s">
        <v>2131</v>
      </c>
      <c r="H16" s="119"/>
      <c r="I16" s="140">
        <f t="array" aca="1" ref="I16" ca="1">SUM(IF(OFFSET($E$29,0,0,ctPlants,1)=$E16,IF(OFFSET($F$29,0,0,ctPlants,1)=$F16,OFFSET(I$29,0,0,ctPlants,1))))</f>
        <v>0</v>
      </c>
      <c r="J16" s="123">
        <f t="array" aca="1" ref="J16" ca="1">SUM(IF(OFFSET($E$29,0,0,ctPlants,1)=$E16,IF(OFFSET($F$29,0,0,ctPlants,1)=$F16,OFFSET(J$29,0,0,ctPlants,1))))</f>
        <v>0</v>
      </c>
      <c r="K16" s="123">
        <f t="array" aca="1" ref="K16" ca="1">SUM(IF(OFFSET($E$29,0,0,ctPlants,1)=$E16,IF(OFFSET($F$29,0,0,ctPlants,1)=$F16,OFFSET(K$29,0,0,ctPlants,1))))</f>
        <v>0</v>
      </c>
      <c r="L16" s="123">
        <f t="array" aca="1" ref="L16" ca="1">SUM(IF(OFFSET($E$29,0,0,ctPlants,1)=$E16,IF(OFFSET($F$29,0,0,ctPlants,1)=$F16,OFFSET(L$29,0,0,ctPlants,1))))</f>
        <v>0</v>
      </c>
      <c r="M16" s="123">
        <f t="array" aca="1" ref="M16" ca="1">SUM(IF(OFFSET($E$29,0,0,ctPlants,1)=$E16,IF(OFFSET($F$29,0,0,ctPlants,1)=$F16,OFFSET(M$29,0,0,ctPlants,1))))</f>
        <v>0</v>
      </c>
      <c r="N16" s="123">
        <f t="array" aca="1" ref="N16" ca="1">SUM(IF(OFFSET($E$29,0,0,ctPlants,1)=$E16,IF(OFFSET($F$29,0,0,ctPlants,1)=$F16,OFFSET(N$29,0,0,ctPlants,1))))</f>
        <v>0</v>
      </c>
      <c r="O16" s="123">
        <f t="array" aca="1" ref="O16" ca="1">SUM(IF(OFFSET($E$29,0,0,ctPlants,1)=$E16,IF(OFFSET($F$29,0,0,ctPlants,1)=$F16,OFFSET(O$29,0,0,ctPlants,1))))</f>
        <v>0</v>
      </c>
      <c r="P16" s="123">
        <f t="array" aca="1" ref="P16" ca="1">SUM(IF(OFFSET($E$29,0,0,ctPlants,1)=$E16,IF(OFFSET($F$29,0,0,ctPlants,1)=$F16,OFFSET(P$29,0,0,ctPlants,1))))</f>
        <v>0</v>
      </c>
      <c r="Q16" s="123">
        <f t="array" aca="1" ref="Q16" ca="1">SUM(IF(OFFSET($E$29,0,0,ctPlants,1)=$E16,IF(OFFSET($F$29,0,0,ctPlants,1)=$F16,OFFSET(Q$29,0,0,ctPlants,1))))</f>
        <v>0</v>
      </c>
      <c r="R16" s="123">
        <f t="array" aca="1" ref="R16" ca="1">SUM(IF(OFFSET($E$29,0,0,ctPlants,1)=$E16,IF(OFFSET($F$29,0,0,ctPlants,1)=$F16,OFFSET(R$29,0,0,ctPlants,1))))</f>
        <v>0</v>
      </c>
      <c r="S16" s="123">
        <f t="array" aca="1" ref="S16" ca="1">SUM(IF(OFFSET($E$29,0,0,ctPlants,1)=$E16,IF(OFFSET($F$29,0,0,ctPlants,1)=$F16,OFFSET(S$29,0,0,ctPlants,1))))</f>
        <v>0</v>
      </c>
      <c r="T16" s="123">
        <f t="array" aca="1" ref="T16" ca="1">SUM(IF(OFFSET($E$29,0,0,ctPlants,1)=$E16,IF(OFFSET($F$29,0,0,ctPlants,1)=$F16,OFFSET(T$29,0,0,ctPlants,1))))</f>
        <v>0</v>
      </c>
      <c r="U16" s="123">
        <f t="array" aca="1" ref="U16" ca="1">SUM(IF(OFFSET($E$29,0,0,ctPlants,1)=$E16,IF(OFFSET($F$29,0,0,ctPlants,1)=$F16,OFFSET(U$29,0,0,ctPlants,1))))</f>
        <v>0</v>
      </c>
      <c r="V16" s="123">
        <f t="array" aca="1" ref="V16" ca="1">SUM(IF(OFFSET($E$29,0,0,ctPlants,1)=$E16,IF(OFFSET($F$29,0,0,ctPlants,1)=$F16,OFFSET(V$29,0,0,ctPlants,1))))</f>
        <v>0</v>
      </c>
      <c r="W16" s="123">
        <f t="array" aca="1" ref="W16" ca="1">SUM(IF(OFFSET($E$29,0,0,ctPlants,1)=$E16,IF(OFFSET($F$29,0,0,ctPlants,1)=$F16,OFFSET(W$29,0,0,ctPlants,1))))</f>
        <v>0</v>
      </c>
      <c r="X16" s="123">
        <f t="array" aca="1" ref="X16" ca="1">SUM(IF(OFFSET($E$29,0,0,ctPlants,1)=$E16,IF(OFFSET($F$29,0,0,ctPlants,1)=$F16,OFFSET(X$29,0,0,ctPlants,1))))</f>
        <v>0</v>
      </c>
      <c r="Y16" s="123">
        <f t="array" aca="1" ref="Y16" ca="1">SUM(IF(OFFSET($E$29,0,0,ctPlants,1)=$E16,IF(OFFSET($F$29,0,0,ctPlants,1)=$F16,OFFSET(Y$29,0,0,ctPlants,1))))</f>
        <v>0</v>
      </c>
      <c r="Z16" s="123">
        <f t="array" aca="1" ref="Z16" ca="1">SUM(IF(OFFSET($E$29,0,0,ctPlants,1)=$E16,IF(OFFSET($F$29,0,0,ctPlants,1)=$F16,OFFSET(Z$29,0,0,ctPlants,1))))</f>
        <v>0</v>
      </c>
      <c r="AA16" s="123">
        <f t="array" aca="1" ref="AA16" ca="1">SUM(IF(OFFSET($E$29,0,0,ctPlants,1)=$E16,IF(OFFSET($F$29,0,0,ctPlants,1)=$F16,OFFSET(AA$29,0,0,ctPlants,1))))</f>
        <v>0</v>
      </c>
      <c r="AB16" s="141">
        <f t="array" aca="1" ref="AB16" ca="1">SUM(IF(OFFSET($E$29,0,0,ctPlants,1)=$E16,IF(OFFSET($F$29,0,0,ctPlants,1)=$F16,OFFSET(AB$29,0,0,ctPlants,1))))</f>
        <v>0</v>
      </c>
    </row>
    <row r="17" spans="1:28" s="65" customFormat="1">
      <c r="E17" s="128" t="s">
        <v>20</v>
      </c>
      <c r="F17" s="118" t="s">
        <v>129</v>
      </c>
      <c r="G17" s="129" t="s">
        <v>2131</v>
      </c>
      <c r="H17" s="119"/>
      <c r="I17" s="140">
        <f t="array" aca="1" ref="I17" ca="1">SUM(IF(OFFSET($E$29,0,0,ctPlants,1)=$E17,IF(OFFSET($F$29,0,0,ctPlants,1)=$F17,OFFSET(I$29,0,0,ctPlants,1))))</f>
        <v>259</v>
      </c>
      <c r="J17" s="123">
        <f t="array" aca="1" ref="J17" ca="1">SUM(IF(OFFSET($E$29,0,0,ctPlants,1)=$E17,IF(OFFSET($F$29,0,0,ctPlants,1)=$F17,OFFSET(J$29,0,0,ctPlants,1))))</f>
        <v>459</v>
      </c>
      <c r="K17" s="123">
        <f t="array" aca="1" ref="K17" ca="1">SUM(IF(OFFSET($E$29,0,0,ctPlants,1)=$E17,IF(OFFSET($F$29,0,0,ctPlants,1)=$F17,OFFSET(K$29,0,0,ctPlants,1))))</f>
        <v>459</v>
      </c>
      <c r="L17" s="123">
        <f t="array" aca="1" ref="L17" ca="1">SUM(IF(OFFSET($E$29,0,0,ctPlants,1)=$E17,IF(OFFSET($F$29,0,0,ctPlants,1)=$F17,OFFSET(L$29,0,0,ctPlants,1))))</f>
        <v>459</v>
      </c>
      <c r="M17" s="123">
        <f t="array" aca="1" ref="M17" ca="1">SUM(IF(OFFSET($E$29,0,0,ctPlants,1)=$E17,IF(OFFSET($F$29,0,0,ctPlants,1)=$F17,OFFSET(M$29,0,0,ctPlants,1))))</f>
        <v>459</v>
      </c>
      <c r="N17" s="123">
        <f t="array" aca="1" ref="N17" ca="1">SUM(IF(OFFSET($E$29,0,0,ctPlants,1)=$E17,IF(OFFSET($F$29,0,0,ctPlants,1)=$F17,OFFSET(N$29,0,0,ctPlants,1))))</f>
        <v>459</v>
      </c>
      <c r="O17" s="123">
        <f t="array" aca="1" ref="O17" ca="1">SUM(IF(OFFSET($E$29,0,0,ctPlants,1)=$E17,IF(OFFSET($F$29,0,0,ctPlants,1)=$F17,OFFSET(O$29,0,0,ctPlants,1))))</f>
        <v>459</v>
      </c>
      <c r="P17" s="123">
        <f t="array" aca="1" ref="P17" ca="1">SUM(IF(OFFSET($E$29,0,0,ctPlants,1)=$E17,IF(OFFSET($F$29,0,0,ctPlants,1)=$F17,OFFSET(P$29,0,0,ctPlants,1))))</f>
        <v>459</v>
      </c>
      <c r="Q17" s="123">
        <f t="array" aca="1" ref="Q17" ca="1">SUM(IF(OFFSET($E$29,0,0,ctPlants,1)=$E17,IF(OFFSET($F$29,0,0,ctPlants,1)=$F17,OFFSET(Q$29,0,0,ctPlants,1))))</f>
        <v>459</v>
      </c>
      <c r="R17" s="123">
        <f t="array" aca="1" ref="R17" ca="1">SUM(IF(OFFSET($E$29,0,0,ctPlants,1)=$E17,IF(OFFSET($F$29,0,0,ctPlants,1)=$F17,OFFSET(R$29,0,0,ctPlants,1))))</f>
        <v>459</v>
      </c>
      <c r="S17" s="123">
        <f t="array" aca="1" ref="S17" ca="1">SUM(IF(OFFSET($E$29,0,0,ctPlants,1)=$E17,IF(OFFSET($F$29,0,0,ctPlants,1)=$F17,OFFSET(S$29,0,0,ctPlants,1))))</f>
        <v>459</v>
      </c>
      <c r="T17" s="123">
        <f t="array" aca="1" ref="T17" ca="1">SUM(IF(OFFSET($E$29,0,0,ctPlants,1)=$E17,IF(OFFSET($F$29,0,0,ctPlants,1)=$F17,OFFSET(T$29,0,0,ctPlants,1))))</f>
        <v>459</v>
      </c>
      <c r="U17" s="123">
        <f t="array" aca="1" ref="U17" ca="1">SUM(IF(OFFSET($E$29,0,0,ctPlants,1)=$E17,IF(OFFSET($F$29,0,0,ctPlants,1)=$F17,OFFSET(U$29,0,0,ctPlants,1))))</f>
        <v>459</v>
      </c>
      <c r="V17" s="123">
        <f t="array" aca="1" ref="V17" ca="1">SUM(IF(OFFSET($E$29,0,0,ctPlants,1)=$E17,IF(OFFSET($F$29,0,0,ctPlants,1)=$F17,OFFSET(V$29,0,0,ctPlants,1))))</f>
        <v>459</v>
      </c>
      <c r="W17" s="123">
        <f t="array" aca="1" ref="W17" ca="1">SUM(IF(OFFSET($E$29,0,0,ctPlants,1)=$E17,IF(OFFSET($F$29,0,0,ctPlants,1)=$F17,OFFSET(W$29,0,0,ctPlants,1))))</f>
        <v>459</v>
      </c>
      <c r="X17" s="123">
        <f t="array" aca="1" ref="X17" ca="1">SUM(IF(OFFSET($E$29,0,0,ctPlants,1)=$E17,IF(OFFSET($F$29,0,0,ctPlants,1)=$F17,OFFSET(X$29,0,0,ctPlants,1))))</f>
        <v>459</v>
      </c>
      <c r="Y17" s="123">
        <f t="array" aca="1" ref="Y17" ca="1">SUM(IF(OFFSET($E$29,0,0,ctPlants,1)=$E17,IF(OFFSET($F$29,0,0,ctPlants,1)=$F17,OFFSET(Y$29,0,0,ctPlants,1))))</f>
        <v>459</v>
      </c>
      <c r="Z17" s="123">
        <f t="array" aca="1" ref="Z17" ca="1">SUM(IF(OFFSET($E$29,0,0,ctPlants,1)=$E17,IF(OFFSET($F$29,0,0,ctPlants,1)=$F17,OFFSET(Z$29,0,0,ctPlants,1))))</f>
        <v>459</v>
      </c>
      <c r="AA17" s="123">
        <f t="array" aca="1" ref="AA17" ca="1">SUM(IF(OFFSET($E$29,0,0,ctPlants,1)=$E17,IF(OFFSET($F$29,0,0,ctPlants,1)=$F17,OFFSET(AA$29,0,0,ctPlants,1))))</f>
        <v>459</v>
      </c>
      <c r="AB17" s="141">
        <f t="array" aca="1" ref="AB17" ca="1">SUM(IF(OFFSET($E$29,0,0,ctPlants,1)=$E17,IF(OFFSET($F$29,0,0,ctPlants,1)=$F17,OFFSET(AB$29,0,0,ctPlants,1))))</f>
        <v>459</v>
      </c>
    </row>
    <row r="18" spans="1:28" s="65" customFormat="1">
      <c r="E18" s="132" t="s">
        <v>19</v>
      </c>
      <c r="F18" s="120" t="s">
        <v>129</v>
      </c>
      <c r="G18" s="133" t="s">
        <v>2131</v>
      </c>
      <c r="H18" s="121"/>
      <c r="I18" s="144">
        <f t="array" aca="1" ref="I18" ca="1">SUM(IF(OFFSET($E$29,0,0,ctPlants,1)=$E18,IF(OFFSET($F$29,0,0,ctPlants,1)=$F18,OFFSET(I$29,0,0,ctPlants,1))))</f>
        <v>1223</v>
      </c>
      <c r="J18" s="124">
        <f t="array" aca="1" ref="J18" ca="1">SUM(IF(OFFSET($E$29,0,0,ctPlants,1)=$E18,IF(OFFSET($F$29,0,0,ctPlants,1)=$F18,OFFSET(J$29,0,0,ctPlants,1))))</f>
        <v>2078</v>
      </c>
      <c r="K18" s="124">
        <f t="array" aca="1" ref="K18" ca="1">SUM(IF(OFFSET($E$29,0,0,ctPlants,1)=$E18,IF(OFFSET($F$29,0,0,ctPlants,1)=$F18,OFFSET(K$29,0,0,ctPlants,1))))</f>
        <v>3158</v>
      </c>
      <c r="L18" s="124">
        <f t="array" aca="1" ref="L18" ca="1">SUM(IF(OFFSET($E$29,0,0,ctPlants,1)=$E18,IF(OFFSET($F$29,0,0,ctPlants,1)=$F18,OFFSET(L$29,0,0,ctPlants,1))))</f>
        <v>3158</v>
      </c>
      <c r="M18" s="124">
        <f t="array" aca="1" ref="M18" ca="1">SUM(IF(OFFSET($E$29,0,0,ctPlants,1)=$E18,IF(OFFSET($F$29,0,0,ctPlants,1)=$F18,OFFSET(M$29,0,0,ctPlants,1))))</f>
        <v>3158</v>
      </c>
      <c r="N18" s="124">
        <f t="array" aca="1" ref="N18" ca="1">SUM(IF(OFFSET($E$29,0,0,ctPlants,1)=$E18,IF(OFFSET($F$29,0,0,ctPlants,1)=$F18,OFFSET(N$29,0,0,ctPlants,1))))</f>
        <v>3158</v>
      </c>
      <c r="O18" s="124">
        <f t="array" aca="1" ref="O18" ca="1">SUM(IF(OFFSET($E$29,0,0,ctPlants,1)=$E18,IF(OFFSET($F$29,0,0,ctPlants,1)=$F18,OFFSET(O$29,0,0,ctPlants,1))))</f>
        <v>3158</v>
      </c>
      <c r="P18" s="124">
        <f t="array" aca="1" ref="P18" ca="1">SUM(IF(OFFSET($E$29,0,0,ctPlants,1)=$E18,IF(OFFSET($F$29,0,0,ctPlants,1)=$F18,OFFSET(P$29,0,0,ctPlants,1))))</f>
        <v>3158</v>
      </c>
      <c r="Q18" s="124">
        <f t="array" aca="1" ref="Q18" ca="1">SUM(IF(OFFSET($E$29,0,0,ctPlants,1)=$E18,IF(OFFSET($F$29,0,0,ctPlants,1)=$F18,OFFSET(Q$29,0,0,ctPlants,1))))</f>
        <v>3158</v>
      </c>
      <c r="R18" s="124">
        <f t="array" aca="1" ref="R18" ca="1">SUM(IF(OFFSET($E$29,0,0,ctPlants,1)=$E18,IF(OFFSET($F$29,0,0,ctPlants,1)=$F18,OFFSET(R$29,0,0,ctPlants,1))))</f>
        <v>3158</v>
      </c>
      <c r="S18" s="124">
        <f t="array" aca="1" ref="S18" ca="1">SUM(IF(OFFSET($E$29,0,0,ctPlants,1)=$E18,IF(OFFSET($F$29,0,0,ctPlants,1)=$F18,OFFSET(S$29,0,0,ctPlants,1))))</f>
        <v>3158</v>
      </c>
      <c r="T18" s="124">
        <f t="array" aca="1" ref="T18" ca="1">SUM(IF(OFFSET($E$29,0,0,ctPlants,1)=$E18,IF(OFFSET($F$29,0,0,ctPlants,1)=$F18,OFFSET(T$29,0,0,ctPlants,1))))</f>
        <v>3158</v>
      </c>
      <c r="U18" s="124">
        <f t="array" aca="1" ref="U18" ca="1">SUM(IF(OFFSET($E$29,0,0,ctPlants,1)=$E18,IF(OFFSET($F$29,0,0,ctPlants,1)=$F18,OFFSET(U$29,0,0,ctPlants,1))))</f>
        <v>3158</v>
      </c>
      <c r="V18" s="124">
        <f t="array" aca="1" ref="V18" ca="1">SUM(IF(OFFSET($E$29,0,0,ctPlants,1)=$E18,IF(OFFSET($F$29,0,0,ctPlants,1)=$F18,OFFSET(V$29,0,0,ctPlants,1))))</f>
        <v>3158</v>
      </c>
      <c r="W18" s="124">
        <f t="array" aca="1" ref="W18" ca="1">SUM(IF(OFFSET($E$29,0,0,ctPlants,1)=$E18,IF(OFFSET($F$29,0,0,ctPlants,1)=$F18,OFFSET(W$29,0,0,ctPlants,1))))</f>
        <v>3158</v>
      </c>
      <c r="X18" s="124">
        <f t="array" aca="1" ref="X18" ca="1">SUM(IF(OFFSET($E$29,0,0,ctPlants,1)=$E18,IF(OFFSET($F$29,0,0,ctPlants,1)=$F18,OFFSET(X$29,0,0,ctPlants,1))))</f>
        <v>3158</v>
      </c>
      <c r="Y18" s="124">
        <f t="array" aca="1" ref="Y18" ca="1">SUM(IF(OFFSET($E$29,0,0,ctPlants,1)=$E18,IF(OFFSET($F$29,0,0,ctPlants,1)=$F18,OFFSET(Y$29,0,0,ctPlants,1))))</f>
        <v>3158</v>
      </c>
      <c r="Z18" s="124">
        <f t="array" aca="1" ref="Z18" ca="1">SUM(IF(OFFSET($E$29,0,0,ctPlants,1)=$E18,IF(OFFSET($F$29,0,0,ctPlants,1)=$F18,OFFSET(Z$29,0,0,ctPlants,1))))</f>
        <v>3158</v>
      </c>
      <c r="AA18" s="124">
        <f t="array" aca="1" ref="AA18" ca="1">SUM(IF(OFFSET($E$29,0,0,ctPlants,1)=$E18,IF(OFFSET($F$29,0,0,ctPlants,1)=$F18,OFFSET(AA$29,0,0,ctPlants,1))))</f>
        <v>3158</v>
      </c>
      <c r="AB18" s="145">
        <f t="array" aca="1" ref="AB18" ca="1">SUM(IF(OFFSET($E$29,0,0,ctPlants,1)=$E18,IF(OFFSET($F$29,0,0,ctPlants,1)=$F18,OFFSET(AB$29,0,0,ctPlants,1))))</f>
        <v>3158</v>
      </c>
    </row>
    <row r="19" spans="1:28" s="65" customFormat="1">
      <c r="E19" s="130" t="s">
        <v>18</v>
      </c>
      <c r="F19" s="116" t="s">
        <v>130</v>
      </c>
      <c r="G19" s="131" t="s">
        <v>2131</v>
      </c>
      <c r="H19" s="115"/>
      <c r="I19" s="142">
        <f t="array" aca="1" ref="I19" ca="1">SUM(IF(OFFSET($E$29,0,0,ctPlants,1)=$E19,IF(OFFSET($F$29,0,0,ctPlants,1)=$F19,OFFSET(I$29,0,0,ctPlants,1))))</f>
        <v>0</v>
      </c>
      <c r="J19" s="122">
        <f t="array" aca="1" ref="J19" ca="1">SUM(IF(OFFSET($E$29,0,0,ctPlants,1)=$E19,IF(OFFSET($F$29,0,0,ctPlants,1)=$F19,OFFSET(J$29,0,0,ctPlants,1))))</f>
        <v>0</v>
      </c>
      <c r="K19" s="122">
        <f t="array" aca="1" ref="K19" ca="1">SUM(IF(OFFSET($E$29,0,0,ctPlants,1)=$E19,IF(OFFSET($F$29,0,0,ctPlants,1)=$F19,OFFSET(K$29,0,0,ctPlants,1))))</f>
        <v>0</v>
      </c>
      <c r="L19" s="122">
        <f t="array" aca="1" ref="L19" ca="1">SUM(IF(OFFSET($E$29,0,0,ctPlants,1)=$E19,IF(OFFSET($F$29,0,0,ctPlants,1)=$F19,OFFSET(L$29,0,0,ctPlants,1))))</f>
        <v>0</v>
      </c>
      <c r="M19" s="122">
        <f t="array" aca="1" ref="M19" ca="1">SUM(IF(OFFSET($E$29,0,0,ctPlants,1)=$E19,IF(OFFSET($F$29,0,0,ctPlants,1)=$F19,OFFSET(M$29,0,0,ctPlants,1))))</f>
        <v>0</v>
      </c>
      <c r="N19" s="122">
        <f t="array" aca="1" ref="N19" ca="1">SUM(IF(OFFSET($E$29,0,0,ctPlants,1)=$E19,IF(OFFSET($F$29,0,0,ctPlants,1)=$F19,OFFSET(N$29,0,0,ctPlants,1))))</f>
        <v>0</v>
      </c>
      <c r="O19" s="122">
        <f t="array" aca="1" ref="O19" ca="1">SUM(IF(OFFSET($E$29,0,0,ctPlants,1)=$E19,IF(OFFSET($F$29,0,0,ctPlants,1)=$F19,OFFSET(O$29,0,0,ctPlants,1))))</f>
        <v>0</v>
      </c>
      <c r="P19" s="122">
        <f t="array" aca="1" ref="P19" ca="1">SUM(IF(OFFSET($E$29,0,0,ctPlants,1)=$E19,IF(OFFSET($F$29,0,0,ctPlants,1)=$F19,OFFSET(P$29,0,0,ctPlants,1))))</f>
        <v>0</v>
      </c>
      <c r="Q19" s="122">
        <f t="array" aca="1" ref="Q19" ca="1">SUM(IF(OFFSET($E$29,0,0,ctPlants,1)=$E19,IF(OFFSET($F$29,0,0,ctPlants,1)=$F19,OFFSET(Q$29,0,0,ctPlants,1))))</f>
        <v>0</v>
      </c>
      <c r="R19" s="122">
        <f t="array" aca="1" ref="R19" ca="1">SUM(IF(OFFSET($E$29,0,0,ctPlants,1)=$E19,IF(OFFSET($F$29,0,0,ctPlants,1)=$F19,OFFSET(R$29,0,0,ctPlants,1))))</f>
        <v>0</v>
      </c>
      <c r="S19" s="122">
        <f t="array" aca="1" ref="S19" ca="1">SUM(IF(OFFSET($E$29,0,0,ctPlants,1)=$E19,IF(OFFSET($F$29,0,0,ctPlants,1)=$F19,OFFSET(S$29,0,0,ctPlants,1))))</f>
        <v>0</v>
      </c>
      <c r="T19" s="122">
        <f t="array" aca="1" ref="T19" ca="1">SUM(IF(OFFSET($E$29,0,0,ctPlants,1)=$E19,IF(OFFSET($F$29,0,0,ctPlants,1)=$F19,OFFSET(T$29,0,0,ctPlants,1))))</f>
        <v>0</v>
      </c>
      <c r="U19" s="122">
        <f t="array" aca="1" ref="U19" ca="1">SUM(IF(OFFSET($E$29,0,0,ctPlants,1)=$E19,IF(OFFSET($F$29,0,0,ctPlants,1)=$F19,OFFSET(U$29,0,0,ctPlants,1))))</f>
        <v>0</v>
      </c>
      <c r="V19" s="122">
        <f t="array" aca="1" ref="V19" ca="1">SUM(IF(OFFSET($E$29,0,0,ctPlants,1)=$E19,IF(OFFSET($F$29,0,0,ctPlants,1)=$F19,OFFSET(V$29,0,0,ctPlants,1))))</f>
        <v>0</v>
      </c>
      <c r="W19" s="122">
        <f t="array" aca="1" ref="W19" ca="1">SUM(IF(OFFSET($E$29,0,0,ctPlants,1)=$E19,IF(OFFSET($F$29,0,0,ctPlants,1)=$F19,OFFSET(W$29,0,0,ctPlants,1))))</f>
        <v>0</v>
      </c>
      <c r="X19" s="122">
        <f t="array" aca="1" ref="X19" ca="1">SUM(IF(OFFSET($E$29,0,0,ctPlants,1)=$E19,IF(OFFSET($F$29,0,0,ctPlants,1)=$F19,OFFSET(X$29,0,0,ctPlants,1))))</f>
        <v>0</v>
      </c>
      <c r="Y19" s="122">
        <f t="array" aca="1" ref="Y19" ca="1">SUM(IF(OFFSET($E$29,0,0,ctPlants,1)=$E19,IF(OFFSET($F$29,0,0,ctPlants,1)=$F19,OFFSET(Y$29,0,0,ctPlants,1))))</f>
        <v>0</v>
      </c>
      <c r="Z19" s="122">
        <f t="array" aca="1" ref="Z19" ca="1">SUM(IF(OFFSET($E$29,0,0,ctPlants,1)=$E19,IF(OFFSET($F$29,0,0,ctPlants,1)=$F19,OFFSET(Z$29,0,0,ctPlants,1))))</f>
        <v>0</v>
      </c>
      <c r="AA19" s="122">
        <f t="array" aca="1" ref="AA19" ca="1">SUM(IF(OFFSET($E$29,0,0,ctPlants,1)=$E19,IF(OFFSET($F$29,0,0,ctPlants,1)=$F19,OFFSET(AA$29,0,0,ctPlants,1))))</f>
        <v>0</v>
      </c>
      <c r="AB19" s="143">
        <f t="array" aca="1" ref="AB19" ca="1">SUM(IF(OFFSET($E$29,0,0,ctPlants,1)=$E19,IF(OFFSET($F$29,0,0,ctPlants,1)=$F19,OFFSET(AB$29,0,0,ctPlants,1))))</f>
        <v>0</v>
      </c>
    </row>
    <row r="20" spans="1:28" s="65" customFormat="1">
      <c r="B20" s="4"/>
      <c r="E20" s="128" t="s">
        <v>21</v>
      </c>
      <c r="F20" s="118" t="s">
        <v>130</v>
      </c>
      <c r="G20" s="129" t="s">
        <v>2131</v>
      </c>
      <c r="H20" s="119"/>
      <c r="I20" s="140">
        <f t="array" aca="1" ref="I20" ca="1">SUM(IF(OFFSET($E$29,0,0,ctPlants,1)=$E20,IF(OFFSET($F$29,0,0,ctPlants,1)=$F20,OFFSET(I$29,0,0,ctPlants,1))))</f>
        <v>0</v>
      </c>
      <c r="J20" s="123">
        <f t="array" aca="1" ref="J20" ca="1">SUM(IF(OFFSET($E$29,0,0,ctPlants,1)=$E20,IF(OFFSET($F$29,0,0,ctPlants,1)=$F20,OFFSET(J$29,0,0,ctPlants,1))))</f>
        <v>0</v>
      </c>
      <c r="K20" s="123">
        <f t="array" aca="1" ref="K20" ca="1">SUM(IF(OFFSET($E$29,0,0,ctPlants,1)=$E20,IF(OFFSET($F$29,0,0,ctPlants,1)=$F20,OFFSET(K$29,0,0,ctPlants,1))))</f>
        <v>0</v>
      </c>
      <c r="L20" s="123">
        <f t="array" aca="1" ref="L20" ca="1">SUM(IF(OFFSET($E$29,0,0,ctPlants,1)=$E20,IF(OFFSET($F$29,0,0,ctPlants,1)=$F20,OFFSET(L$29,0,0,ctPlants,1))))</f>
        <v>0</v>
      </c>
      <c r="M20" s="123">
        <f t="array" aca="1" ref="M20" ca="1">SUM(IF(OFFSET($E$29,0,0,ctPlants,1)=$E20,IF(OFFSET($F$29,0,0,ctPlants,1)=$F20,OFFSET(M$29,0,0,ctPlants,1))))</f>
        <v>0</v>
      </c>
      <c r="N20" s="123">
        <f t="array" aca="1" ref="N20" ca="1">SUM(IF(OFFSET($E$29,0,0,ctPlants,1)=$E20,IF(OFFSET($F$29,0,0,ctPlants,1)=$F20,OFFSET(N$29,0,0,ctPlants,1))))</f>
        <v>0</v>
      </c>
      <c r="O20" s="123">
        <f t="array" aca="1" ref="O20" ca="1">SUM(IF(OFFSET($E$29,0,0,ctPlants,1)=$E20,IF(OFFSET($F$29,0,0,ctPlants,1)=$F20,OFFSET(O$29,0,0,ctPlants,1))))</f>
        <v>0</v>
      </c>
      <c r="P20" s="123">
        <f t="array" aca="1" ref="P20" ca="1">SUM(IF(OFFSET($E$29,0,0,ctPlants,1)=$E20,IF(OFFSET($F$29,0,0,ctPlants,1)=$F20,OFFSET(P$29,0,0,ctPlants,1))))</f>
        <v>0</v>
      </c>
      <c r="Q20" s="123">
        <f t="array" aca="1" ref="Q20" ca="1">SUM(IF(OFFSET($E$29,0,0,ctPlants,1)=$E20,IF(OFFSET($F$29,0,0,ctPlants,1)=$F20,OFFSET(Q$29,0,0,ctPlants,1))))</f>
        <v>0</v>
      </c>
      <c r="R20" s="123">
        <f t="array" aca="1" ref="R20" ca="1">SUM(IF(OFFSET($E$29,0,0,ctPlants,1)=$E20,IF(OFFSET($F$29,0,0,ctPlants,1)=$F20,OFFSET(R$29,0,0,ctPlants,1))))</f>
        <v>0</v>
      </c>
      <c r="S20" s="123">
        <f t="array" aca="1" ref="S20" ca="1">SUM(IF(OFFSET($E$29,0,0,ctPlants,1)=$E20,IF(OFFSET($F$29,0,0,ctPlants,1)=$F20,OFFSET(S$29,0,0,ctPlants,1))))</f>
        <v>0</v>
      </c>
      <c r="T20" s="123">
        <f t="array" aca="1" ref="T20" ca="1">SUM(IF(OFFSET($E$29,0,0,ctPlants,1)=$E20,IF(OFFSET($F$29,0,0,ctPlants,1)=$F20,OFFSET(T$29,0,0,ctPlants,1))))</f>
        <v>0</v>
      </c>
      <c r="U20" s="123">
        <f t="array" aca="1" ref="U20" ca="1">SUM(IF(OFFSET($E$29,0,0,ctPlants,1)=$E20,IF(OFFSET($F$29,0,0,ctPlants,1)=$F20,OFFSET(U$29,0,0,ctPlants,1))))</f>
        <v>0</v>
      </c>
      <c r="V20" s="123">
        <f t="array" aca="1" ref="V20" ca="1">SUM(IF(OFFSET($E$29,0,0,ctPlants,1)=$E20,IF(OFFSET($F$29,0,0,ctPlants,1)=$F20,OFFSET(V$29,0,0,ctPlants,1))))</f>
        <v>0</v>
      </c>
      <c r="W20" s="123">
        <f t="array" aca="1" ref="W20" ca="1">SUM(IF(OFFSET($E$29,0,0,ctPlants,1)=$E20,IF(OFFSET($F$29,0,0,ctPlants,1)=$F20,OFFSET(W$29,0,0,ctPlants,1))))</f>
        <v>0</v>
      </c>
      <c r="X20" s="123">
        <f t="array" aca="1" ref="X20" ca="1">SUM(IF(OFFSET($E$29,0,0,ctPlants,1)=$E20,IF(OFFSET($F$29,0,0,ctPlants,1)=$F20,OFFSET(X$29,0,0,ctPlants,1))))</f>
        <v>0</v>
      </c>
      <c r="Y20" s="123">
        <f t="array" aca="1" ref="Y20" ca="1">SUM(IF(OFFSET($E$29,0,0,ctPlants,1)=$E20,IF(OFFSET($F$29,0,0,ctPlants,1)=$F20,OFFSET(Y$29,0,0,ctPlants,1))))</f>
        <v>0</v>
      </c>
      <c r="Z20" s="123">
        <f t="array" aca="1" ref="Z20" ca="1">SUM(IF(OFFSET($E$29,0,0,ctPlants,1)=$E20,IF(OFFSET($F$29,0,0,ctPlants,1)=$F20,OFFSET(Z$29,0,0,ctPlants,1))))</f>
        <v>0</v>
      </c>
      <c r="AA20" s="123">
        <f t="array" aca="1" ref="AA20" ca="1">SUM(IF(OFFSET($E$29,0,0,ctPlants,1)=$E20,IF(OFFSET($F$29,0,0,ctPlants,1)=$F20,OFFSET(AA$29,0,0,ctPlants,1))))</f>
        <v>0</v>
      </c>
      <c r="AB20" s="141">
        <f t="array" aca="1" ref="AB20" ca="1">SUM(IF(OFFSET($E$29,0,0,ctPlants,1)=$E20,IF(OFFSET($F$29,0,0,ctPlants,1)=$F20,OFFSET(AB$29,0,0,ctPlants,1))))</f>
        <v>0</v>
      </c>
    </row>
    <row r="21" spans="1:28" s="65" customFormat="1">
      <c r="E21" s="128" t="s">
        <v>20</v>
      </c>
      <c r="F21" s="118" t="s">
        <v>130</v>
      </c>
      <c r="G21" s="129" t="s">
        <v>2131</v>
      </c>
      <c r="H21" s="119"/>
      <c r="I21" s="140">
        <f t="array" aca="1" ref="I21" ca="1">SUM(IF(OFFSET($E$29,0,0,ctPlants,1)=$E21,IF(OFFSET($F$29,0,0,ctPlants,1)=$F21,OFFSET(I$29,0,0,ctPlants,1))))</f>
        <v>0</v>
      </c>
      <c r="J21" s="123">
        <f t="array" aca="1" ref="J21" ca="1">SUM(IF(OFFSET($E$29,0,0,ctPlants,1)=$E21,IF(OFFSET($F$29,0,0,ctPlants,1)=$F21,OFFSET(J$29,0,0,ctPlants,1))))</f>
        <v>684</v>
      </c>
      <c r="K21" s="123">
        <f t="array" aca="1" ref="K21" ca="1">SUM(IF(OFFSET($E$29,0,0,ctPlants,1)=$E21,IF(OFFSET($F$29,0,0,ctPlants,1)=$F21,OFFSET(K$29,0,0,ctPlants,1))))</f>
        <v>684</v>
      </c>
      <c r="L21" s="123">
        <f t="array" aca="1" ref="L21" ca="1">SUM(IF(OFFSET($E$29,0,0,ctPlants,1)=$E21,IF(OFFSET($F$29,0,0,ctPlants,1)=$F21,OFFSET(L$29,0,0,ctPlants,1))))</f>
        <v>684</v>
      </c>
      <c r="M21" s="123">
        <f t="array" aca="1" ref="M21" ca="1">SUM(IF(OFFSET($E$29,0,0,ctPlants,1)=$E21,IF(OFFSET($F$29,0,0,ctPlants,1)=$F21,OFFSET(M$29,0,0,ctPlants,1))))</f>
        <v>1582.5</v>
      </c>
      <c r="N21" s="123">
        <f t="array" aca="1" ref="N21" ca="1">SUM(IF(OFFSET($E$29,0,0,ctPlants,1)=$E21,IF(OFFSET($F$29,0,0,ctPlants,1)=$F21,OFFSET(N$29,0,0,ctPlants,1))))</f>
        <v>1582.5</v>
      </c>
      <c r="O21" s="123">
        <f t="array" aca="1" ref="O21" ca="1">SUM(IF(OFFSET($E$29,0,0,ctPlants,1)=$E21,IF(OFFSET($F$29,0,0,ctPlants,1)=$F21,OFFSET(O$29,0,0,ctPlants,1))))</f>
        <v>1582.5</v>
      </c>
      <c r="P21" s="123">
        <f t="array" aca="1" ref="P21" ca="1">SUM(IF(OFFSET($E$29,0,0,ctPlants,1)=$E21,IF(OFFSET($F$29,0,0,ctPlants,1)=$F21,OFFSET(P$29,0,0,ctPlants,1))))</f>
        <v>1582.5</v>
      </c>
      <c r="Q21" s="123">
        <f t="array" aca="1" ref="Q21" ca="1">SUM(IF(OFFSET($E$29,0,0,ctPlants,1)=$E21,IF(OFFSET($F$29,0,0,ctPlants,1)=$F21,OFFSET(Q$29,0,0,ctPlants,1))))</f>
        <v>1582.5</v>
      </c>
      <c r="R21" s="123">
        <f t="array" aca="1" ref="R21" ca="1">SUM(IF(OFFSET($E$29,0,0,ctPlants,1)=$E21,IF(OFFSET($F$29,0,0,ctPlants,1)=$F21,OFFSET(R$29,0,0,ctPlants,1))))</f>
        <v>1582.5</v>
      </c>
      <c r="S21" s="123">
        <f t="array" aca="1" ref="S21" ca="1">SUM(IF(OFFSET($E$29,0,0,ctPlants,1)=$E21,IF(OFFSET($F$29,0,0,ctPlants,1)=$F21,OFFSET(S$29,0,0,ctPlants,1))))</f>
        <v>1582.5</v>
      </c>
      <c r="T21" s="123">
        <f t="array" aca="1" ref="T21" ca="1">SUM(IF(OFFSET($E$29,0,0,ctPlants,1)=$E21,IF(OFFSET($F$29,0,0,ctPlants,1)=$F21,OFFSET(T$29,0,0,ctPlants,1))))</f>
        <v>1582.5</v>
      </c>
      <c r="U21" s="123">
        <f t="array" aca="1" ref="U21" ca="1">SUM(IF(OFFSET($E$29,0,0,ctPlants,1)=$E21,IF(OFFSET($F$29,0,0,ctPlants,1)=$F21,OFFSET(U$29,0,0,ctPlants,1))))</f>
        <v>1582.5</v>
      </c>
      <c r="V21" s="123">
        <f t="array" aca="1" ref="V21" ca="1">SUM(IF(OFFSET($E$29,0,0,ctPlants,1)=$E21,IF(OFFSET($F$29,0,0,ctPlants,1)=$F21,OFFSET(V$29,0,0,ctPlants,1))))</f>
        <v>1582.5</v>
      </c>
      <c r="W21" s="123">
        <f t="array" aca="1" ref="W21" ca="1">SUM(IF(OFFSET($E$29,0,0,ctPlants,1)=$E21,IF(OFFSET($F$29,0,0,ctPlants,1)=$F21,OFFSET(W$29,0,0,ctPlants,1))))</f>
        <v>1582.5</v>
      </c>
      <c r="X21" s="123">
        <f t="array" aca="1" ref="X21" ca="1">SUM(IF(OFFSET($E$29,0,0,ctPlants,1)=$E21,IF(OFFSET($F$29,0,0,ctPlants,1)=$F21,OFFSET(X$29,0,0,ctPlants,1))))</f>
        <v>1582.5</v>
      </c>
      <c r="Y21" s="123">
        <f t="array" aca="1" ref="Y21" ca="1">SUM(IF(OFFSET($E$29,0,0,ctPlants,1)=$E21,IF(OFFSET($F$29,0,0,ctPlants,1)=$F21,OFFSET(Y$29,0,0,ctPlants,1))))</f>
        <v>1582.5</v>
      </c>
      <c r="Z21" s="123">
        <f t="array" aca="1" ref="Z21" ca="1">SUM(IF(OFFSET($E$29,0,0,ctPlants,1)=$E21,IF(OFFSET($F$29,0,0,ctPlants,1)=$F21,OFFSET(Z$29,0,0,ctPlants,1))))</f>
        <v>1582.5</v>
      </c>
      <c r="AA21" s="123">
        <f t="array" aca="1" ref="AA21" ca="1">SUM(IF(OFFSET($E$29,0,0,ctPlants,1)=$E21,IF(OFFSET($F$29,0,0,ctPlants,1)=$F21,OFFSET(AA$29,0,0,ctPlants,1))))</f>
        <v>1582.5</v>
      </c>
      <c r="AB21" s="141">
        <f t="array" aca="1" ref="AB21" ca="1">SUM(IF(OFFSET($E$29,0,0,ctPlants,1)=$E21,IF(OFFSET($F$29,0,0,ctPlants,1)=$F21,OFFSET(AB$29,0,0,ctPlants,1))))</f>
        <v>1582.5</v>
      </c>
    </row>
    <row r="22" spans="1:28" s="65" customFormat="1">
      <c r="A22" s="65">
        <f>1178.66-287.97</f>
        <v>890.69</v>
      </c>
      <c r="E22" s="132" t="s">
        <v>19</v>
      </c>
      <c r="F22" s="120" t="s">
        <v>130</v>
      </c>
      <c r="G22" s="133" t="s">
        <v>2131</v>
      </c>
      <c r="H22" s="121"/>
      <c r="I22" s="144">
        <f t="array" aca="1" ref="I22" ca="1">SUM(IF(OFFSET($E$29,0,0,ctPlants,1)=$E22,IF(OFFSET($F$29,0,0,ctPlants,1)=$F22,OFFSET(I$29,0,0,ctPlants,1))))</f>
        <v>0</v>
      </c>
      <c r="J22" s="124">
        <f t="array" aca="1" ref="J22" ca="1">SUM(IF(OFFSET($E$29,0,0,ctPlants,1)=$E22,IF(OFFSET($F$29,0,0,ctPlants,1)=$F22,OFFSET(J$29,0,0,ctPlants,1))))</f>
        <v>600</v>
      </c>
      <c r="K22" s="124">
        <f t="array" aca="1" ref="K22" ca="1">SUM(IF(OFFSET($E$29,0,0,ctPlants,1)=$E22,IF(OFFSET($F$29,0,0,ctPlants,1)=$F22,OFFSET(K$29,0,0,ctPlants,1))))</f>
        <v>600</v>
      </c>
      <c r="L22" s="124">
        <f t="array" aca="1" ref="L22" ca="1">SUM(IF(OFFSET($E$29,0,0,ctPlants,1)=$E22,IF(OFFSET($F$29,0,0,ctPlants,1)=$F22,OFFSET(L$29,0,0,ctPlants,1))))</f>
        <v>600</v>
      </c>
      <c r="M22" s="124">
        <f t="array" aca="1" ref="M22" ca="1">SUM(IF(OFFSET($E$29,0,0,ctPlants,1)=$E22,IF(OFFSET($F$29,0,0,ctPlants,1)=$F22,OFFSET(M$29,0,0,ctPlants,1))))</f>
        <v>600</v>
      </c>
      <c r="N22" s="124">
        <f t="array" aca="1" ref="N22" ca="1">SUM(IF(OFFSET($E$29,0,0,ctPlants,1)=$E22,IF(OFFSET($F$29,0,0,ctPlants,1)=$F22,OFFSET(N$29,0,0,ctPlants,1))))</f>
        <v>600</v>
      </c>
      <c r="O22" s="124">
        <f t="array" aca="1" ref="O22" ca="1">SUM(IF(OFFSET($E$29,0,0,ctPlants,1)=$E22,IF(OFFSET($F$29,0,0,ctPlants,1)=$F22,OFFSET(O$29,0,0,ctPlants,1))))</f>
        <v>600</v>
      </c>
      <c r="P22" s="124">
        <f t="array" aca="1" ref="P22" ca="1">SUM(IF(OFFSET($E$29,0,0,ctPlants,1)=$E22,IF(OFFSET($F$29,0,0,ctPlants,1)=$F22,OFFSET(P$29,0,0,ctPlants,1))))</f>
        <v>600</v>
      </c>
      <c r="Q22" s="124">
        <f t="array" aca="1" ref="Q22" ca="1">SUM(IF(OFFSET($E$29,0,0,ctPlants,1)=$E22,IF(OFFSET($F$29,0,0,ctPlants,1)=$F22,OFFSET(Q$29,0,0,ctPlants,1))))</f>
        <v>600</v>
      </c>
      <c r="R22" s="124">
        <f t="array" aca="1" ref="R22" ca="1">SUM(IF(OFFSET($E$29,0,0,ctPlants,1)=$E22,IF(OFFSET($F$29,0,0,ctPlants,1)=$F22,OFFSET(R$29,0,0,ctPlants,1))))</f>
        <v>600</v>
      </c>
      <c r="S22" s="124">
        <f t="array" aca="1" ref="S22" ca="1">SUM(IF(OFFSET($E$29,0,0,ctPlants,1)=$E22,IF(OFFSET($F$29,0,0,ctPlants,1)=$F22,OFFSET(S$29,0,0,ctPlants,1))))</f>
        <v>600</v>
      </c>
      <c r="T22" s="124">
        <f t="array" aca="1" ref="T22" ca="1">SUM(IF(OFFSET($E$29,0,0,ctPlants,1)=$E22,IF(OFFSET($F$29,0,0,ctPlants,1)=$F22,OFFSET(T$29,0,0,ctPlants,1))))</f>
        <v>600</v>
      </c>
      <c r="U22" s="124">
        <f t="array" aca="1" ref="U22" ca="1">SUM(IF(OFFSET($E$29,0,0,ctPlants,1)=$E22,IF(OFFSET($F$29,0,0,ctPlants,1)=$F22,OFFSET(U$29,0,0,ctPlants,1))))</f>
        <v>600</v>
      </c>
      <c r="V22" s="124">
        <f t="array" aca="1" ref="V22" ca="1">SUM(IF(OFFSET($E$29,0,0,ctPlants,1)=$E22,IF(OFFSET($F$29,0,0,ctPlants,1)=$F22,OFFSET(V$29,0,0,ctPlants,1))))</f>
        <v>600</v>
      </c>
      <c r="W22" s="124">
        <f t="array" aca="1" ref="W22" ca="1">SUM(IF(OFFSET($E$29,0,0,ctPlants,1)=$E22,IF(OFFSET($F$29,0,0,ctPlants,1)=$F22,OFFSET(W$29,0,0,ctPlants,1))))</f>
        <v>600</v>
      </c>
      <c r="X22" s="124">
        <f t="array" aca="1" ref="X22" ca="1">SUM(IF(OFFSET($E$29,0,0,ctPlants,1)=$E22,IF(OFFSET($F$29,0,0,ctPlants,1)=$F22,OFFSET(X$29,0,0,ctPlants,1))))</f>
        <v>600</v>
      </c>
      <c r="Y22" s="124">
        <f t="array" aca="1" ref="Y22" ca="1">SUM(IF(OFFSET($E$29,0,0,ctPlants,1)=$E22,IF(OFFSET($F$29,0,0,ctPlants,1)=$F22,OFFSET(Y$29,0,0,ctPlants,1))))</f>
        <v>600</v>
      </c>
      <c r="Z22" s="124">
        <f t="array" aca="1" ref="Z22" ca="1">SUM(IF(OFFSET($E$29,0,0,ctPlants,1)=$E22,IF(OFFSET($F$29,0,0,ctPlants,1)=$F22,OFFSET(Z$29,0,0,ctPlants,1))))</f>
        <v>600</v>
      </c>
      <c r="AA22" s="124">
        <f t="array" aca="1" ref="AA22" ca="1">SUM(IF(OFFSET($E$29,0,0,ctPlants,1)=$E22,IF(OFFSET($F$29,0,0,ctPlants,1)=$F22,OFFSET(AA$29,0,0,ctPlants,1))))</f>
        <v>600</v>
      </c>
      <c r="AB22" s="145">
        <f t="array" aca="1" ref="AB22" ca="1">SUM(IF(OFFSET($E$29,0,0,ctPlants,1)=$E22,IF(OFFSET($F$29,0,0,ctPlants,1)=$F22,OFFSET(AB$29,0,0,ctPlants,1))))</f>
        <v>600</v>
      </c>
    </row>
    <row r="23" spans="1:28" s="65" customFormat="1">
      <c r="E23" s="128" t="s">
        <v>18</v>
      </c>
      <c r="F23" s="118" t="s">
        <v>131</v>
      </c>
      <c r="G23" s="129" t="s">
        <v>2131</v>
      </c>
      <c r="I23" s="140">
        <f t="array" aca="1" ref="I23" ca="1">SUM(IF(OFFSET($E$29,0,0,ctPlants,1)=$E23,IF(OFFSET($F$29,0,0,ctPlants,1)=$F23,OFFSET(I$29,0,0,ctPlants,1))))</f>
        <v>0</v>
      </c>
      <c r="J23" s="123">
        <f t="array" aca="1" ref="J23" ca="1">SUM(IF(OFFSET($E$29,0,0,ctPlants,1)=$E23,IF(OFFSET($F$29,0,0,ctPlants,1)=$F23,OFFSET(J$29,0,0,ctPlants,1))))</f>
        <v>0</v>
      </c>
      <c r="K23" s="123">
        <f t="array" aca="1" ref="K23" ca="1">SUM(IF(OFFSET($E$29,0,0,ctPlants,1)=$E23,IF(OFFSET($F$29,0,0,ctPlants,1)=$F23,OFFSET(K$29,0,0,ctPlants,1))))</f>
        <v>0</v>
      </c>
      <c r="L23" s="123">
        <f t="array" aca="1" ref="L23" ca="1">SUM(IF(OFFSET($E$29,0,0,ctPlants,1)=$E23,IF(OFFSET($F$29,0,0,ctPlants,1)=$F23,OFFSET(L$29,0,0,ctPlants,1))))</f>
        <v>0</v>
      </c>
      <c r="M23" s="123">
        <f t="array" aca="1" ref="M23" ca="1">SUM(IF(OFFSET($E$29,0,0,ctPlants,1)=$E23,IF(OFFSET($F$29,0,0,ctPlants,1)=$F23,OFFSET(M$29,0,0,ctPlants,1))))</f>
        <v>0</v>
      </c>
      <c r="N23" s="123">
        <f t="array" aca="1" ref="N23" ca="1">SUM(IF(OFFSET($E$29,0,0,ctPlants,1)=$E23,IF(OFFSET($F$29,0,0,ctPlants,1)=$F23,OFFSET(N$29,0,0,ctPlants,1))))</f>
        <v>0</v>
      </c>
      <c r="O23" s="123">
        <f t="array" aca="1" ref="O23" ca="1">SUM(IF(OFFSET($E$29,0,0,ctPlants,1)=$E23,IF(OFFSET($F$29,0,0,ctPlants,1)=$F23,OFFSET(O$29,0,0,ctPlants,1))))</f>
        <v>0</v>
      </c>
      <c r="P23" s="123">
        <f t="array" aca="1" ref="P23" ca="1">SUM(IF(OFFSET($E$29,0,0,ctPlants,1)=$E23,IF(OFFSET($F$29,0,0,ctPlants,1)=$F23,OFFSET(P$29,0,0,ctPlants,1))))</f>
        <v>0</v>
      </c>
      <c r="Q23" s="123">
        <f t="array" aca="1" ref="Q23" ca="1">SUM(IF(OFFSET($E$29,0,0,ctPlants,1)=$E23,IF(OFFSET($F$29,0,0,ctPlants,1)=$F23,OFFSET(Q$29,0,0,ctPlants,1))))</f>
        <v>0</v>
      </c>
      <c r="R23" s="123">
        <f t="array" aca="1" ref="R23" ca="1">SUM(IF(OFFSET($E$29,0,0,ctPlants,1)=$E23,IF(OFFSET($F$29,0,0,ctPlants,1)=$F23,OFFSET(R$29,0,0,ctPlants,1))))</f>
        <v>0</v>
      </c>
      <c r="S23" s="123">
        <f t="array" aca="1" ref="S23" ca="1">SUM(IF(OFFSET($E$29,0,0,ctPlants,1)=$E23,IF(OFFSET($F$29,0,0,ctPlants,1)=$F23,OFFSET(S$29,0,0,ctPlants,1))))</f>
        <v>0</v>
      </c>
      <c r="T23" s="123">
        <f t="array" aca="1" ref="T23" ca="1">SUM(IF(OFFSET($E$29,0,0,ctPlants,1)=$E23,IF(OFFSET($F$29,0,0,ctPlants,1)=$F23,OFFSET(T$29,0,0,ctPlants,1))))</f>
        <v>0</v>
      </c>
      <c r="U23" s="123">
        <f t="array" aca="1" ref="U23" ca="1">SUM(IF(OFFSET($E$29,0,0,ctPlants,1)=$E23,IF(OFFSET($F$29,0,0,ctPlants,1)=$F23,OFFSET(U$29,0,0,ctPlants,1))))</f>
        <v>0</v>
      </c>
      <c r="V23" s="123">
        <f t="array" aca="1" ref="V23" ca="1">SUM(IF(OFFSET($E$29,0,0,ctPlants,1)=$E23,IF(OFFSET($F$29,0,0,ctPlants,1)=$F23,OFFSET(V$29,0,0,ctPlants,1))))</f>
        <v>0</v>
      </c>
      <c r="W23" s="123">
        <f t="array" aca="1" ref="W23" ca="1">SUM(IF(OFFSET($E$29,0,0,ctPlants,1)=$E23,IF(OFFSET($F$29,0,0,ctPlants,1)=$F23,OFFSET(W$29,0,0,ctPlants,1))))</f>
        <v>0</v>
      </c>
      <c r="X23" s="123">
        <f t="array" aca="1" ref="X23" ca="1">SUM(IF(OFFSET($E$29,0,0,ctPlants,1)=$E23,IF(OFFSET($F$29,0,0,ctPlants,1)=$F23,OFFSET(X$29,0,0,ctPlants,1))))</f>
        <v>0</v>
      </c>
      <c r="Y23" s="123">
        <f t="array" aca="1" ref="Y23" ca="1">SUM(IF(OFFSET($E$29,0,0,ctPlants,1)=$E23,IF(OFFSET($F$29,0,0,ctPlants,1)=$F23,OFFSET(Y$29,0,0,ctPlants,1))))</f>
        <v>0</v>
      </c>
      <c r="Z23" s="123">
        <f t="array" aca="1" ref="Z23" ca="1">SUM(IF(OFFSET($E$29,0,0,ctPlants,1)=$E23,IF(OFFSET($F$29,0,0,ctPlants,1)=$F23,OFFSET(Z$29,0,0,ctPlants,1))))</f>
        <v>0</v>
      </c>
      <c r="AA23" s="123">
        <f t="array" aca="1" ref="AA23" ca="1">SUM(IF(OFFSET($E$29,0,0,ctPlants,1)=$E23,IF(OFFSET($F$29,0,0,ctPlants,1)=$F23,OFFSET(AA$29,0,0,ctPlants,1))))</f>
        <v>0</v>
      </c>
      <c r="AB23" s="141">
        <f t="array" aca="1" ref="AB23" ca="1">SUM(IF(OFFSET($E$29,0,0,ctPlants,1)=$E23,IF(OFFSET($F$29,0,0,ctPlants,1)=$F23,OFFSET(AB$29,0,0,ctPlants,1))))</f>
        <v>0</v>
      </c>
    </row>
    <row r="24" spans="1:28" s="65" customFormat="1">
      <c r="B24" s="4"/>
      <c r="E24" s="128" t="s">
        <v>21</v>
      </c>
      <c r="F24" s="118" t="s">
        <v>131</v>
      </c>
      <c r="G24" s="129" t="s">
        <v>2131</v>
      </c>
      <c r="I24" s="140">
        <f t="array" aca="1" ref="I24" ca="1">SUM(IF(OFFSET($E$29,0,0,ctPlants,1)=$E24,IF(OFFSET($F$29,0,0,ctPlants,1)=$F24,OFFSET(I$29,0,0,ctPlants,1))))</f>
        <v>0</v>
      </c>
      <c r="J24" s="123">
        <f t="array" aca="1" ref="J24" ca="1">SUM(IF(OFFSET($E$29,0,0,ctPlants,1)=$E24,IF(OFFSET($F$29,0,0,ctPlants,1)=$F24,OFFSET(J$29,0,0,ctPlants,1))))</f>
        <v>0</v>
      </c>
      <c r="K24" s="123">
        <f t="array" aca="1" ref="K24" ca="1">SUM(IF(OFFSET($E$29,0,0,ctPlants,1)=$E24,IF(OFFSET($F$29,0,0,ctPlants,1)=$F24,OFFSET(K$29,0,0,ctPlants,1))))</f>
        <v>0</v>
      </c>
      <c r="L24" s="123">
        <f t="array" aca="1" ref="L24" ca="1">SUM(IF(OFFSET($E$29,0,0,ctPlants,1)=$E24,IF(OFFSET($F$29,0,0,ctPlants,1)=$F24,OFFSET(L$29,0,0,ctPlants,1))))</f>
        <v>0</v>
      </c>
      <c r="M24" s="123">
        <f t="array" aca="1" ref="M24" ca="1">SUM(IF(OFFSET($E$29,0,0,ctPlants,1)=$E24,IF(OFFSET($F$29,0,0,ctPlants,1)=$F24,OFFSET(M$29,0,0,ctPlants,1))))</f>
        <v>0</v>
      </c>
      <c r="N24" s="123">
        <f t="array" aca="1" ref="N24" ca="1">SUM(IF(OFFSET($E$29,0,0,ctPlants,1)=$E24,IF(OFFSET($F$29,0,0,ctPlants,1)=$F24,OFFSET(N$29,0,0,ctPlants,1))))</f>
        <v>0</v>
      </c>
      <c r="O24" s="123">
        <f t="array" aca="1" ref="O24" ca="1">SUM(IF(OFFSET($E$29,0,0,ctPlants,1)=$E24,IF(OFFSET($F$29,0,0,ctPlants,1)=$F24,OFFSET(O$29,0,0,ctPlants,1))))</f>
        <v>0</v>
      </c>
      <c r="P24" s="123">
        <f t="array" aca="1" ref="P24" ca="1">SUM(IF(OFFSET($E$29,0,0,ctPlants,1)=$E24,IF(OFFSET($F$29,0,0,ctPlants,1)=$F24,OFFSET(P$29,0,0,ctPlants,1))))</f>
        <v>0</v>
      </c>
      <c r="Q24" s="123">
        <f t="array" aca="1" ref="Q24" ca="1">SUM(IF(OFFSET($E$29,0,0,ctPlants,1)=$E24,IF(OFFSET($F$29,0,0,ctPlants,1)=$F24,OFFSET(Q$29,0,0,ctPlants,1))))</f>
        <v>0</v>
      </c>
      <c r="R24" s="123">
        <f t="array" aca="1" ref="R24" ca="1">SUM(IF(OFFSET($E$29,0,0,ctPlants,1)=$E24,IF(OFFSET($F$29,0,0,ctPlants,1)=$F24,OFFSET(R$29,0,0,ctPlants,1))))</f>
        <v>0</v>
      </c>
      <c r="S24" s="123">
        <f t="array" aca="1" ref="S24" ca="1">SUM(IF(OFFSET($E$29,0,0,ctPlants,1)=$E24,IF(OFFSET($F$29,0,0,ctPlants,1)=$F24,OFFSET(S$29,0,0,ctPlants,1))))</f>
        <v>0</v>
      </c>
      <c r="T24" s="123">
        <f t="array" aca="1" ref="T24" ca="1">SUM(IF(OFFSET($E$29,0,0,ctPlants,1)=$E24,IF(OFFSET($F$29,0,0,ctPlants,1)=$F24,OFFSET(T$29,0,0,ctPlants,1))))</f>
        <v>0</v>
      </c>
      <c r="U24" s="123">
        <f t="array" aca="1" ref="U24" ca="1">SUM(IF(OFFSET($E$29,0,0,ctPlants,1)=$E24,IF(OFFSET($F$29,0,0,ctPlants,1)=$F24,OFFSET(U$29,0,0,ctPlants,1))))</f>
        <v>0</v>
      </c>
      <c r="V24" s="123">
        <f t="array" aca="1" ref="V24" ca="1">SUM(IF(OFFSET($E$29,0,0,ctPlants,1)=$E24,IF(OFFSET($F$29,0,0,ctPlants,1)=$F24,OFFSET(V$29,0,0,ctPlants,1))))</f>
        <v>0</v>
      </c>
      <c r="W24" s="123">
        <f t="array" aca="1" ref="W24" ca="1">SUM(IF(OFFSET($E$29,0,0,ctPlants,1)=$E24,IF(OFFSET($F$29,0,0,ctPlants,1)=$F24,OFFSET(W$29,0,0,ctPlants,1))))</f>
        <v>0</v>
      </c>
      <c r="X24" s="123">
        <f t="array" aca="1" ref="X24" ca="1">SUM(IF(OFFSET($E$29,0,0,ctPlants,1)=$E24,IF(OFFSET($F$29,0,0,ctPlants,1)=$F24,OFFSET(X$29,0,0,ctPlants,1))))</f>
        <v>0</v>
      </c>
      <c r="Y24" s="123">
        <f t="array" aca="1" ref="Y24" ca="1">SUM(IF(OFFSET($E$29,0,0,ctPlants,1)=$E24,IF(OFFSET($F$29,0,0,ctPlants,1)=$F24,OFFSET(Y$29,0,0,ctPlants,1))))</f>
        <v>0</v>
      </c>
      <c r="Z24" s="123">
        <f t="array" aca="1" ref="Z24" ca="1">SUM(IF(OFFSET($E$29,0,0,ctPlants,1)=$E24,IF(OFFSET($F$29,0,0,ctPlants,1)=$F24,OFFSET(Z$29,0,0,ctPlants,1))))</f>
        <v>0</v>
      </c>
      <c r="AA24" s="123">
        <f t="array" aca="1" ref="AA24" ca="1">SUM(IF(OFFSET($E$29,0,0,ctPlants,1)=$E24,IF(OFFSET($F$29,0,0,ctPlants,1)=$F24,OFFSET(AA$29,0,0,ctPlants,1))))</f>
        <v>0</v>
      </c>
      <c r="AB24" s="141">
        <f t="array" aca="1" ref="AB24" ca="1">SUM(IF(OFFSET($E$29,0,0,ctPlants,1)=$E24,IF(OFFSET($F$29,0,0,ctPlants,1)=$F24,OFFSET(AB$29,0,0,ctPlants,1))))</f>
        <v>0</v>
      </c>
    </row>
    <row r="25" spans="1:28" s="65" customFormat="1">
      <c r="E25" s="128" t="s">
        <v>20</v>
      </c>
      <c r="F25" s="118" t="s">
        <v>131</v>
      </c>
      <c r="G25" s="129" t="s">
        <v>2131</v>
      </c>
      <c r="I25" s="140">
        <f t="array" aca="1" ref="I25" ca="1">SUM(IF(OFFSET($E$29,0,0,ctPlants,1)=$E25,IF(OFFSET($F$29,0,0,ctPlants,1)=$F25,OFFSET(I$29,0,0,ctPlants,1))))</f>
        <v>0</v>
      </c>
      <c r="J25" s="123">
        <f t="array" aca="1" ref="J25" ca="1">SUM(IF(OFFSET($E$29,0,0,ctPlants,1)=$E25,IF(OFFSET($F$29,0,0,ctPlants,1)=$F25,OFFSET(J$29,0,0,ctPlants,1))))</f>
        <v>0</v>
      </c>
      <c r="K25" s="123">
        <f t="array" aca="1" ref="K25" ca="1">SUM(IF(OFFSET($E$29,0,0,ctPlants,1)=$E25,IF(OFFSET($F$29,0,0,ctPlants,1)=$F25,OFFSET(K$29,0,0,ctPlants,1))))</f>
        <v>109</v>
      </c>
      <c r="L25" s="123">
        <f t="array" aca="1" ref="L25" ca="1">SUM(IF(OFFSET($E$29,0,0,ctPlants,1)=$E25,IF(OFFSET($F$29,0,0,ctPlants,1)=$F25,OFFSET(L$29,0,0,ctPlants,1))))</f>
        <v>109</v>
      </c>
      <c r="M25" s="123">
        <f t="array" aca="1" ref="M25" ca="1">SUM(IF(OFFSET($E$29,0,0,ctPlants,1)=$E25,IF(OFFSET($F$29,0,0,ctPlants,1)=$F25,OFFSET(M$29,0,0,ctPlants,1))))</f>
        <v>109</v>
      </c>
      <c r="N25" s="123">
        <f t="array" aca="1" ref="N25" ca="1">SUM(IF(OFFSET($E$29,0,0,ctPlants,1)=$E25,IF(OFFSET($F$29,0,0,ctPlants,1)=$F25,OFFSET(N$29,0,0,ctPlants,1))))</f>
        <v>109</v>
      </c>
      <c r="O25" s="123">
        <f t="array" aca="1" ref="O25" ca="1">SUM(IF(OFFSET($E$29,0,0,ctPlants,1)=$E25,IF(OFFSET($F$29,0,0,ctPlants,1)=$F25,OFFSET(O$29,0,0,ctPlants,1))))</f>
        <v>109</v>
      </c>
      <c r="P25" s="123">
        <f t="array" aca="1" ref="P25" ca="1">SUM(IF(OFFSET($E$29,0,0,ctPlants,1)=$E25,IF(OFFSET($F$29,0,0,ctPlants,1)=$F25,OFFSET(P$29,0,0,ctPlants,1))))</f>
        <v>109</v>
      </c>
      <c r="Q25" s="123">
        <f t="array" aca="1" ref="Q25" ca="1">SUM(IF(OFFSET($E$29,0,0,ctPlants,1)=$E25,IF(OFFSET($F$29,0,0,ctPlants,1)=$F25,OFFSET(Q$29,0,0,ctPlants,1))))</f>
        <v>109</v>
      </c>
      <c r="R25" s="123">
        <f t="array" aca="1" ref="R25" ca="1">SUM(IF(OFFSET($E$29,0,0,ctPlants,1)=$E25,IF(OFFSET($F$29,0,0,ctPlants,1)=$F25,OFFSET(R$29,0,0,ctPlants,1))))</f>
        <v>109</v>
      </c>
      <c r="S25" s="123">
        <f t="array" aca="1" ref="S25" ca="1">SUM(IF(OFFSET($E$29,0,0,ctPlants,1)=$E25,IF(OFFSET($F$29,0,0,ctPlants,1)=$F25,OFFSET(S$29,0,0,ctPlants,1))))</f>
        <v>109</v>
      </c>
      <c r="T25" s="123">
        <f t="array" aca="1" ref="T25" ca="1">SUM(IF(OFFSET($E$29,0,0,ctPlants,1)=$E25,IF(OFFSET($F$29,0,0,ctPlants,1)=$F25,OFFSET(T$29,0,0,ctPlants,1))))</f>
        <v>109</v>
      </c>
      <c r="U25" s="123">
        <f t="array" aca="1" ref="U25" ca="1">SUM(IF(OFFSET($E$29,0,0,ctPlants,1)=$E25,IF(OFFSET($F$29,0,0,ctPlants,1)=$F25,OFFSET(U$29,0,0,ctPlants,1))))</f>
        <v>109</v>
      </c>
      <c r="V25" s="123">
        <f t="array" aca="1" ref="V25" ca="1">SUM(IF(OFFSET($E$29,0,0,ctPlants,1)=$E25,IF(OFFSET($F$29,0,0,ctPlants,1)=$F25,OFFSET(V$29,0,0,ctPlants,1))))</f>
        <v>109</v>
      </c>
      <c r="W25" s="123">
        <f t="array" aca="1" ref="W25" ca="1">SUM(IF(OFFSET($E$29,0,0,ctPlants,1)=$E25,IF(OFFSET($F$29,0,0,ctPlants,1)=$F25,OFFSET(W$29,0,0,ctPlants,1))))</f>
        <v>109</v>
      </c>
      <c r="X25" s="123">
        <f t="array" aca="1" ref="X25" ca="1">SUM(IF(OFFSET($E$29,0,0,ctPlants,1)=$E25,IF(OFFSET($F$29,0,0,ctPlants,1)=$F25,OFFSET(X$29,0,0,ctPlants,1))))</f>
        <v>109</v>
      </c>
      <c r="Y25" s="123">
        <f t="array" aca="1" ref="Y25" ca="1">SUM(IF(OFFSET($E$29,0,0,ctPlants,1)=$E25,IF(OFFSET($F$29,0,0,ctPlants,1)=$F25,OFFSET(Y$29,0,0,ctPlants,1))))</f>
        <v>109</v>
      </c>
      <c r="Z25" s="123">
        <f t="array" aca="1" ref="Z25" ca="1">SUM(IF(OFFSET($E$29,0,0,ctPlants,1)=$E25,IF(OFFSET($F$29,0,0,ctPlants,1)=$F25,OFFSET(Z$29,0,0,ctPlants,1))))</f>
        <v>109</v>
      </c>
      <c r="AA25" s="123">
        <f t="array" aca="1" ref="AA25" ca="1">SUM(IF(OFFSET($E$29,0,0,ctPlants,1)=$E25,IF(OFFSET($F$29,0,0,ctPlants,1)=$F25,OFFSET(AA$29,0,0,ctPlants,1))))</f>
        <v>109</v>
      </c>
      <c r="AB25" s="141">
        <f t="array" aca="1" ref="AB25" ca="1">SUM(IF(OFFSET($E$29,0,0,ctPlants,1)=$E25,IF(OFFSET($F$29,0,0,ctPlants,1)=$F25,OFFSET(AB$29,0,0,ctPlants,1))))</f>
        <v>109</v>
      </c>
    </row>
    <row r="26" spans="1:28" s="65" customFormat="1">
      <c r="E26" s="134" t="s">
        <v>19</v>
      </c>
      <c r="F26" s="135" t="s">
        <v>131</v>
      </c>
      <c r="G26" s="136" t="s">
        <v>2131</v>
      </c>
      <c r="I26" s="146">
        <f t="array" aca="1" ref="I26" ca="1">SUM(IF(OFFSET($E$29,0,0,ctPlants,1)=$E26,IF(OFFSET($F$29,0,0,ctPlants,1)=$F26,OFFSET(I$29,0,0,ctPlants,1))))</f>
        <v>0</v>
      </c>
      <c r="J26" s="147">
        <f t="array" aca="1" ref="J26" ca="1">SUM(IF(OFFSET($E$29,0,0,ctPlants,1)=$E26,IF(OFFSET($F$29,0,0,ctPlants,1)=$F26,OFFSET(J$29,0,0,ctPlants,1))))</f>
        <v>145</v>
      </c>
      <c r="K26" s="147">
        <f t="array" aca="1" ref="K26" ca="1">SUM(IF(OFFSET($E$29,0,0,ctPlants,1)=$E26,IF(OFFSET($F$29,0,0,ctPlants,1)=$F26,OFFSET(K$29,0,0,ctPlants,1))))</f>
        <v>864</v>
      </c>
      <c r="L26" s="147">
        <f t="array" aca="1" ref="L26" ca="1">SUM(IF(OFFSET($E$29,0,0,ctPlants,1)=$E26,IF(OFFSET($F$29,0,0,ctPlants,1)=$F26,OFFSET(L$29,0,0,ctPlants,1))))</f>
        <v>864</v>
      </c>
      <c r="M26" s="147">
        <f t="array" aca="1" ref="M26" ca="1">SUM(IF(OFFSET($E$29,0,0,ctPlants,1)=$E26,IF(OFFSET($F$29,0,0,ctPlants,1)=$F26,OFFSET(M$29,0,0,ctPlants,1))))</f>
        <v>864</v>
      </c>
      <c r="N26" s="147">
        <f t="array" aca="1" ref="N26" ca="1">SUM(IF(OFFSET($E$29,0,0,ctPlants,1)=$E26,IF(OFFSET($F$29,0,0,ctPlants,1)=$F26,OFFSET(N$29,0,0,ctPlants,1))))</f>
        <v>864</v>
      </c>
      <c r="O26" s="147">
        <f t="array" aca="1" ref="O26" ca="1">SUM(IF(OFFSET($E$29,0,0,ctPlants,1)=$E26,IF(OFFSET($F$29,0,0,ctPlants,1)=$F26,OFFSET(O$29,0,0,ctPlants,1))))</f>
        <v>864</v>
      </c>
      <c r="P26" s="147">
        <f t="array" aca="1" ref="P26" ca="1">SUM(IF(OFFSET($E$29,0,0,ctPlants,1)=$E26,IF(OFFSET($F$29,0,0,ctPlants,1)=$F26,OFFSET(P$29,0,0,ctPlants,1))))</f>
        <v>864</v>
      </c>
      <c r="Q26" s="147">
        <f t="array" aca="1" ref="Q26" ca="1">SUM(IF(OFFSET($E$29,0,0,ctPlants,1)=$E26,IF(OFFSET($F$29,0,0,ctPlants,1)=$F26,OFFSET(Q$29,0,0,ctPlants,1))))</f>
        <v>864</v>
      </c>
      <c r="R26" s="147">
        <f t="array" aca="1" ref="R26" ca="1">SUM(IF(OFFSET($E$29,0,0,ctPlants,1)=$E26,IF(OFFSET($F$29,0,0,ctPlants,1)=$F26,OFFSET(R$29,0,0,ctPlants,1))))</f>
        <v>864</v>
      </c>
      <c r="S26" s="147">
        <f t="array" aca="1" ref="S26" ca="1">SUM(IF(OFFSET($E$29,0,0,ctPlants,1)=$E26,IF(OFFSET($F$29,0,0,ctPlants,1)=$F26,OFFSET(S$29,0,0,ctPlants,1))))</f>
        <v>864</v>
      </c>
      <c r="T26" s="147">
        <f t="array" aca="1" ref="T26" ca="1">SUM(IF(OFFSET($E$29,0,0,ctPlants,1)=$E26,IF(OFFSET($F$29,0,0,ctPlants,1)=$F26,OFFSET(T$29,0,0,ctPlants,1))))</f>
        <v>864</v>
      </c>
      <c r="U26" s="147">
        <f t="array" aca="1" ref="U26" ca="1">SUM(IF(OFFSET($E$29,0,0,ctPlants,1)=$E26,IF(OFFSET($F$29,0,0,ctPlants,1)=$F26,OFFSET(U$29,0,0,ctPlants,1))))</f>
        <v>864</v>
      </c>
      <c r="V26" s="147">
        <f t="array" aca="1" ref="V26" ca="1">SUM(IF(OFFSET($E$29,0,0,ctPlants,1)=$E26,IF(OFFSET($F$29,0,0,ctPlants,1)=$F26,OFFSET(V$29,0,0,ctPlants,1))))</f>
        <v>864</v>
      </c>
      <c r="W26" s="147">
        <f t="array" aca="1" ref="W26" ca="1">SUM(IF(OFFSET($E$29,0,0,ctPlants,1)=$E26,IF(OFFSET($F$29,0,0,ctPlants,1)=$F26,OFFSET(W$29,0,0,ctPlants,1))))</f>
        <v>864</v>
      </c>
      <c r="X26" s="147">
        <f t="array" aca="1" ref="X26" ca="1">SUM(IF(OFFSET($E$29,0,0,ctPlants,1)=$E26,IF(OFFSET($F$29,0,0,ctPlants,1)=$F26,OFFSET(X$29,0,0,ctPlants,1))))</f>
        <v>864</v>
      </c>
      <c r="Y26" s="147">
        <f t="array" aca="1" ref="Y26" ca="1">SUM(IF(OFFSET($E$29,0,0,ctPlants,1)=$E26,IF(OFFSET($F$29,0,0,ctPlants,1)=$F26,OFFSET(Y$29,0,0,ctPlants,1))))</f>
        <v>864</v>
      </c>
      <c r="Z26" s="147">
        <f t="array" aca="1" ref="Z26" ca="1">SUM(IF(OFFSET($E$29,0,0,ctPlants,1)=$E26,IF(OFFSET($F$29,0,0,ctPlants,1)=$F26,OFFSET(Z$29,0,0,ctPlants,1))))</f>
        <v>864</v>
      </c>
      <c r="AA26" s="147">
        <f t="array" aca="1" ref="AA26" ca="1">SUM(IF(OFFSET($E$29,0,0,ctPlants,1)=$E26,IF(OFFSET($F$29,0,0,ctPlants,1)=$F26,OFFSET(AA$29,0,0,ctPlants,1))))</f>
        <v>864</v>
      </c>
      <c r="AB26" s="148">
        <f t="array" aca="1" ref="AB26" ca="1">SUM(IF(OFFSET($E$29,0,0,ctPlants,1)=$E26,IF(OFFSET($F$29,0,0,ctPlants,1)=$F26,OFFSET(AB$29,0,0,ctPlants,1))))</f>
        <v>864</v>
      </c>
    </row>
    <row r="27" spans="1:28" s="65" customFormat="1">
      <c r="E27" s="106"/>
    </row>
    <row r="28" spans="1:28" s="3" customFormat="1" ht="38.25">
      <c r="A28" s="111" t="s">
        <v>2084</v>
      </c>
      <c r="B28" s="111" t="s">
        <v>30</v>
      </c>
      <c r="C28" s="112" t="s">
        <v>2136</v>
      </c>
      <c r="D28" s="111" t="s">
        <v>115</v>
      </c>
      <c r="E28" s="111" t="s">
        <v>810</v>
      </c>
      <c r="F28" s="111" t="s">
        <v>114</v>
      </c>
      <c r="G28" s="111" t="s">
        <v>113</v>
      </c>
      <c r="I28" s="112">
        <v>2011</v>
      </c>
      <c r="J28" s="112">
        <v>2012</v>
      </c>
      <c r="K28" s="112">
        <v>2013</v>
      </c>
      <c r="L28" s="112">
        <v>2014</v>
      </c>
      <c r="M28" s="112">
        <v>2015</v>
      </c>
      <c r="N28" s="112">
        <v>2016</v>
      </c>
      <c r="O28" s="112">
        <v>2017</v>
      </c>
      <c r="P28" s="112">
        <v>2018</v>
      </c>
      <c r="Q28" s="112">
        <v>2019</v>
      </c>
      <c r="R28" s="112">
        <v>2020</v>
      </c>
      <c r="S28" s="112">
        <v>2021</v>
      </c>
      <c r="T28" s="112">
        <v>2022</v>
      </c>
      <c r="U28" s="112">
        <v>2023</v>
      </c>
      <c r="V28" s="112">
        <v>2024</v>
      </c>
      <c r="W28" s="112">
        <v>2025</v>
      </c>
      <c r="X28" s="112">
        <v>2026</v>
      </c>
      <c r="Y28" s="112">
        <v>2027</v>
      </c>
      <c r="Z28" s="112">
        <v>2028</v>
      </c>
      <c r="AA28" s="112">
        <v>2029</v>
      </c>
      <c r="AB28" s="112">
        <v>2030</v>
      </c>
    </row>
    <row r="29" spans="1:28">
      <c r="A29" s="113">
        <v>0</v>
      </c>
      <c r="B29" s="4" t="s">
        <v>31</v>
      </c>
      <c r="C29" s="4">
        <v>206</v>
      </c>
      <c r="D29" s="4">
        <v>2010</v>
      </c>
      <c r="E29" s="2" t="s">
        <v>19</v>
      </c>
      <c r="F29" s="3" t="s">
        <v>6</v>
      </c>
      <c r="G29" s="4" t="s">
        <v>10</v>
      </c>
      <c r="I29" s="110">
        <f t="shared" ref="I29:R38" ca="1" si="0">IF(AND(OR($A29=0,$A29=scenGen),$D29&lt;=I$28),$C29,0)</f>
        <v>206</v>
      </c>
      <c r="J29" s="110">
        <f t="shared" ca="1" si="0"/>
        <v>206</v>
      </c>
      <c r="K29" s="110">
        <f t="shared" ca="1" si="0"/>
        <v>206</v>
      </c>
      <c r="L29" s="110">
        <f t="shared" ca="1" si="0"/>
        <v>206</v>
      </c>
      <c r="M29" s="110">
        <f t="shared" ca="1" si="0"/>
        <v>206</v>
      </c>
      <c r="N29" s="110">
        <f t="shared" ca="1" si="0"/>
        <v>206</v>
      </c>
      <c r="O29" s="110">
        <f t="shared" ca="1" si="0"/>
        <v>206</v>
      </c>
      <c r="P29" s="110">
        <f t="shared" ca="1" si="0"/>
        <v>206</v>
      </c>
      <c r="Q29" s="110">
        <f t="shared" ca="1" si="0"/>
        <v>206</v>
      </c>
      <c r="R29" s="110">
        <f t="shared" ca="1" si="0"/>
        <v>206</v>
      </c>
      <c r="S29" s="110">
        <f t="shared" ref="S29:AB38" ca="1" si="1">IF(AND(OR($A29=0,$A29=scenGen),$D29&lt;=S$28),$C29,0)</f>
        <v>206</v>
      </c>
      <c r="T29" s="110">
        <f t="shared" ca="1" si="1"/>
        <v>206</v>
      </c>
      <c r="U29" s="110">
        <f t="shared" ca="1" si="1"/>
        <v>206</v>
      </c>
      <c r="V29" s="110">
        <f t="shared" ca="1" si="1"/>
        <v>206</v>
      </c>
      <c r="W29" s="110">
        <f t="shared" ca="1" si="1"/>
        <v>206</v>
      </c>
      <c r="X29" s="110">
        <f t="shared" ca="1" si="1"/>
        <v>206</v>
      </c>
      <c r="Y29" s="110">
        <f t="shared" ca="1" si="1"/>
        <v>206</v>
      </c>
      <c r="Z29" s="110">
        <f t="shared" ca="1" si="1"/>
        <v>206</v>
      </c>
      <c r="AA29" s="110">
        <f t="shared" ca="1" si="1"/>
        <v>206</v>
      </c>
      <c r="AB29" s="110">
        <f t="shared" ca="1" si="1"/>
        <v>206</v>
      </c>
    </row>
    <row r="30" spans="1:28">
      <c r="A30" s="113">
        <v>0</v>
      </c>
      <c r="B30" s="4" t="s">
        <v>33</v>
      </c>
      <c r="C30" s="4">
        <v>135</v>
      </c>
      <c r="D30" s="4">
        <v>2010</v>
      </c>
      <c r="E30" s="2" t="s">
        <v>19</v>
      </c>
      <c r="F30" s="3" t="s">
        <v>6</v>
      </c>
      <c r="G30" s="4" t="s">
        <v>10</v>
      </c>
      <c r="I30" s="110">
        <f t="shared" ca="1" si="0"/>
        <v>135</v>
      </c>
      <c r="J30" s="110">
        <f t="shared" ca="1" si="0"/>
        <v>135</v>
      </c>
      <c r="K30" s="110">
        <f t="shared" ca="1" si="0"/>
        <v>135</v>
      </c>
      <c r="L30" s="110">
        <f t="shared" ca="1" si="0"/>
        <v>135</v>
      </c>
      <c r="M30" s="110">
        <f t="shared" ca="1" si="0"/>
        <v>135</v>
      </c>
      <c r="N30" s="110">
        <f t="shared" ca="1" si="0"/>
        <v>135</v>
      </c>
      <c r="O30" s="110">
        <f t="shared" ca="1" si="0"/>
        <v>135</v>
      </c>
      <c r="P30" s="110">
        <f t="shared" ca="1" si="0"/>
        <v>135</v>
      </c>
      <c r="Q30" s="110">
        <f t="shared" ca="1" si="0"/>
        <v>135</v>
      </c>
      <c r="R30" s="110">
        <f t="shared" ca="1" si="0"/>
        <v>135</v>
      </c>
      <c r="S30" s="110">
        <f t="shared" ca="1" si="1"/>
        <v>135</v>
      </c>
      <c r="T30" s="110">
        <f t="shared" ca="1" si="1"/>
        <v>135</v>
      </c>
      <c r="U30" s="110">
        <f t="shared" ca="1" si="1"/>
        <v>135</v>
      </c>
      <c r="V30" s="110">
        <f t="shared" ca="1" si="1"/>
        <v>135</v>
      </c>
      <c r="W30" s="110">
        <f t="shared" ca="1" si="1"/>
        <v>135</v>
      </c>
      <c r="X30" s="110">
        <f t="shared" ca="1" si="1"/>
        <v>135</v>
      </c>
      <c r="Y30" s="110">
        <f t="shared" ca="1" si="1"/>
        <v>135</v>
      </c>
      <c r="Z30" s="110">
        <f t="shared" ca="1" si="1"/>
        <v>135</v>
      </c>
      <c r="AA30" s="110">
        <f t="shared" ca="1" si="1"/>
        <v>135</v>
      </c>
      <c r="AB30" s="110">
        <f t="shared" ca="1" si="1"/>
        <v>135</v>
      </c>
    </row>
    <row r="31" spans="1:28">
      <c r="A31" s="113">
        <v>0</v>
      </c>
      <c r="B31" s="4" t="s">
        <v>34</v>
      </c>
      <c r="C31" s="4">
        <v>337</v>
      </c>
      <c r="D31" s="4">
        <v>2014</v>
      </c>
      <c r="E31" s="2" t="s">
        <v>19</v>
      </c>
      <c r="F31" s="3" t="s">
        <v>6</v>
      </c>
      <c r="G31" s="4" t="s">
        <v>10</v>
      </c>
      <c r="I31" s="110">
        <f t="shared" ca="1" si="0"/>
        <v>0</v>
      </c>
      <c r="J31" s="110">
        <f t="shared" ca="1" si="0"/>
        <v>0</v>
      </c>
      <c r="K31" s="110">
        <f t="shared" ca="1" si="0"/>
        <v>0</v>
      </c>
      <c r="L31" s="110">
        <f t="shared" ca="1" si="0"/>
        <v>337</v>
      </c>
      <c r="M31" s="110">
        <f t="shared" ca="1" si="0"/>
        <v>337</v>
      </c>
      <c r="N31" s="110">
        <f t="shared" ca="1" si="0"/>
        <v>337</v>
      </c>
      <c r="O31" s="110">
        <f t="shared" ca="1" si="0"/>
        <v>337</v>
      </c>
      <c r="P31" s="110">
        <f t="shared" ca="1" si="0"/>
        <v>337</v>
      </c>
      <c r="Q31" s="110">
        <f t="shared" ca="1" si="0"/>
        <v>337</v>
      </c>
      <c r="R31" s="110">
        <f t="shared" ca="1" si="0"/>
        <v>337</v>
      </c>
      <c r="S31" s="110">
        <f t="shared" ca="1" si="1"/>
        <v>337</v>
      </c>
      <c r="T31" s="110">
        <f t="shared" ca="1" si="1"/>
        <v>337</v>
      </c>
      <c r="U31" s="110">
        <f t="shared" ca="1" si="1"/>
        <v>337</v>
      </c>
      <c r="V31" s="110">
        <f t="shared" ca="1" si="1"/>
        <v>337</v>
      </c>
      <c r="W31" s="110">
        <f t="shared" ca="1" si="1"/>
        <v>337</v>
      </c>
      <c r="X31" s="110">
        <f t="shared" ca="1" si="1"/>
        <v>337</v>
      </c>
      <c r="Y31" s="110">
        <f t="shared" ca="1" si="1"/>
        <v>337</v>
      </c>
      <c r="Z31" s="110">
        <f t="shared" ca="1" si="1"/>
        <v>337</v>
      </c>
      <c r="AA31" s="110">
        <f t="shared" ca="1" si="1"/>
        <v>337</v>
      </c>
      <c r="AB31" s="110">
        <f t="shared" ca="1" si="1"/>
        <v>337</v>
      </c>
    </row>
    <row r="32" spans="1:28">
      <c r="A32" s="113">
        <v>0</v>
      </c>
      <c r="B32" s="4" t="s">
        <v>35</v>
      </c>
      <c r="C32" s="4">
        <v>337</v>
      </c>
      <c r="D32" s="4">
        <v>2014</v>
      </c>
      <c r="E32" s="2" t="s">
        <v>19</v>
      </c>
      <c r="F32" s="3" t="s">
        <v>6</v>
      </c>
      <c r="G32" s="4" t="s">
        <v>10</v>
      </c>
      <c r="I32" s="110">
        <f t="shared" ca="1" si="0"/>
        <v>0</v>
      </c>
      <c r="J32" s="110">
        <f t="shared" ca="1" si="0"/>
        <v>0</v>
      </c>
      <c r="K32" s="110">
        <f t="shared" ca="1" si="0"/>
        <v>0</v>
      </c>
      <c r="L32" s="110">
        <f t="shared" ca="1" si="0"/>
        <v>337</v>
      </c>
      <c r="M32" s="110">
        <f t="shared" ca="1" si="0"/>
        <v>337</v>
      </c>
      <c r="N32" s="110">
        <f t="shared" ca="1" si="0"/>
        <v>337</v>
      </c>
      <c r="O32" s="110">
        <f t="shared" ca="1" si="0"/>
        <v>337</v>
      </c>
      <c r="P32" s="110">
        <f t="shared" ca="1" si="0"/>
        <v>337</v>
      </c>
      <c r="Q32" s="110">
        <f t="shared" ca="1" si="0"/>
        <v>337</v>
      </c>
      <c r="R32" s="110">
        <f t="shared" ca="1" si="0"/>
        <v>337</v>
      </c>
      <c r="S32" s="110">
        <f t="shared" ca="1" si="1"/>
        <v>337</v>
      </c>
      <c r="T32" s="110">
        <f t="shared" ca="1" si="1"/>
        <v>337</v>
      </c>
      <c r="U32" s="110">
        <f t="shared" ca="1" si="1"/>
        <v>337</v>
      </c>
      <c r="V32" s="110">
        <f t="shared" ca="1" si="1"/>
        <v>337</v>
      </c>
      <c r="W32" s="110">
        <f t="shared" ca="1" si="1"/>
        <v>337</v>
      </c>
      <c r="X32" s="110">
        <f t="shared" ca="1" si="1"/>
        <v>337</v>
      </c>
      <c r="Y32" s="110">
        <f t="shared" ca="1" si="1"/>
        <v>337</v>
      </c>
      <c r="Z32" s="110">
        <f t="shared" ca="1" si="1"/>
        <v>337</v>
      </c>
      <c r="AA32" s="110">
        <f t="shared" ca="1" si="1"/>
        <v>337</v>
      </c>
      <c r="AB32" s="110">
        <f t="shared" ca="1" si="1"/>
        <v>337</v>
      </c>
    </row>
    <row r="33" spans="1:28">
      <c r="A33" s="113">
        <v>0</v>
      </c>
      <c r="B33" s="4" t="s">
        <v>36</v>
      </c>
      <c r="C33" s="4">
        <v>325</v>
      </c>
      <c r="D33" s="4">
        <v>2015</v>
      </c>
      <c r="E33" s="2" t="s">
        <v>19</v>
      </c>
      <c r="F33" s="3" t="s">
        <v>6</v>
      </c>
      <c r="G33" s="4" t="s">
        <v>10</v>
      </c>
      <c r="I33" s="110">
        <f t="shared" ca="1" si="0"/>
        <v>0</v>
      </c>
      <c r="J33" s="110">
        <f t="shared" ca="1" si="0"/>
        <v>0</v>
      </c>
      <c r="K33" s="110">
        <f t="shared" ca="1" si="0"/>
        <v>0</v>
      </c>
      <c r="L33" s="110">
        <f t="shared" ca="1" si="0"/>
        <v>0</v>
      </c>
      <c r="M33" s="110">
        <f t="shared" ca="1" si="0"/>
        <v>325</v>
      </c>
      <c r="N33" s="110">
        <f t="shared" ca="1" si="0"/>
        <v>325</v>
      </c>
      <c r="O33" s="110">
        <f t="shared" ca="1" si="0"/>
        <v>325</v>
      </c>
      <c r="P33" s="110">
        <f t="shared" ca="1" si="0"/>
        <v>325</v>
      </c>
      <c r="Q33" s="110">
        <f t="shared" ca="1" si="0"/>
        <v>325</v>
      </c>
      <c r="R33" s="110">
        <f t="shared" ca="1" si="0"/>
        <v>325</v>
      </c>
      <c r="S33" s="110">
        <f t="shared" ca="1" si="1"/>
        <v>325</v>
      </c>
      <c r="T33" s="110">
        <f t="shared" ca="1" si="1"/>
        <v>325</v>
      </c>
      <c r="U33" s="110">
        <f t="shared" ca="1" si="1"/>
        <v>325</v>
      </c>
      <c r="V33" s="110">
        <f t="shared" ca="1" si="1"/>
        <v>325</v>
      </c>
      <c r="W33" s="110">
        <f t="shared" ca="1" si="1"/>
        <v>325</v>
      </c>
      <c r="X33" s="110">
        <f t="shared" ca="1" si="1"/>
        <v>325</v>
      </c>
      <c r="Y33" s="110">
        <f t="shared" ca="1" si="1"/>
        <v>325</v>
      </c>
      <c r="Z33" s="110">
        <f t="shared" ca="1" si="1"/>
        <v>325</v>
      </c>
      <c r="AA33" s="110">
        <f t="shared" ca="1" si="1"/>
        <v>325</v>
      </c>
      <c r="AB33" s="110">
        <f t="shared" ca="1" si="1"/>
        <v>325</v>
      </c>
    </row>
    <row r="34" spans="1:28">
      <c r="A34" s="113">
        <v>0</v>
      </c>
      <c r="B34" s="4" t="s">
        <v>37</v>
      </c>
      <c r="C34" s="4">
        <v>325</v>
      </c>
      <c r="D34" s="4">
        <v>2015</v>
      </c>
      <c r="E34" s="2" t="s">
        <v>19</v>
      </c>
      <c r="F34" s="3" t="s">
        <v>6</v>
      </c>
      <c r="G34" s="4" t="s">
        <v>10</v>
      </c>
      <c r="I34" s="110">
        <f t="shared" ca="1" si="0"/>
        <v>0</v>
      </c>
      <c r="J34" s="110">
        <f t="shared" ca="1" si="0"/>
        <v>0</v>
      </c>
      <c r="K34" s="110">
        <f t="shared" ca="1" si="0"/>
        <v>0</v>
      </c>
      <c r="L34" s="110">
        <f t="shared" ca="1" si="0"/>
        <v>0</v>
      </c>
      <c r="M34" s="110">
        <f t="shared" ca="1" si="0"/>
        <v>325</v>
      </c>
      <c r="N34" s="110">
        <f t="shared" ca="1" si="0"/>
        <v>325</v>
      </c>
      <c r="O34" s="110">
        <f t="shared" ca="1" si="0"/>
        <v>325</v>
      </c>
      <c r="P34" s="110">
        <f t="shared" ca="1" si="0"/>
        <v>325</v>
      </c>
      <c r="Q34" s="110">
        <f t="shared" ca="1" si="0"/>
        <v>325</v>
      </c>
      <c r="R34" s="110">
        <f t="shared" ca="1" si="0"/>
        <v>325</v>
      </c>
      <c r="S34" s="110">
        <f t="shared" ca="1" si="1"/>
        <v>325</v>
      </c>
      <c r="T34" s="110">
        <f t="shared" ca="1" si="1"/>
        <v>325</v>
      </c>
      <c r="U34" s="110">
        <f t="shared" ca="1" si="1"/>
        <v>325</v>
      </c>
      <c r="V34" s="110">
        <f t="shared" ca="1" si="1"/>
        <v>325</v>
      </c>
      <c r="W34" s="110">
        <f t="shared" ca="1" si="1"/>
        <v>325</v>
      </c>
      <c r="X34" s="110">
        <f t="shared" ca="1" si="1"/>
        <v>325</v>
      </c>
      <c r="Y34" s="110">
        <f t="shared" ca="1" si="1"/>
        <v>325</v>
      </c>
      <c r="Z34" s="110">
        <f t="shared" ca="1" si="1"/>
        <v>325</v>
      </c>
      <c r="AA34" s="110">
        <f t="shared" ca="1" si="1"/>
        <v>325</v>
      </c>
      <c r="AB34" s="110">
        <f t="shared" ca="1" si="1"/>
        <v>325</v>
      </c>
    </row>
    <row r="35" spans="1:28">
      <c r="A35" s="113">
        <v>0</v>
      </c>
      <c r="B35" s="4" t="s">
        <v>38</v>
      </c>
      <c r="C35" s="4">
        <v>312</v>
      </c>
      <c r="D35" s="4">
        <v>2017</v>
      </c>
      <c r="E35" s="2" t="s">
        <v>19</v>
      </c>
      <c r="F35" s="3" t="s">
        <v>6</v>
      </c>
      <c r="G35" s="4" t="s">
        <v>10</v>
      </c>
      <c r="I35" s="110">
        <f t="shared" ca="1" si="0"/>
        <v>0</v>
      </c>
      <c r="J35" s="110">
        <f t="shared" ca="1" si="0"/>
        <v>0</v>
      </c>
      <c r="K35" s="110">
        <f t="shared" ca="1" si="0"/>
        <v>0</v>
      </c>
      <c r="L35" s="110">
        <f t="shared" ca="1" si="0"/>
        <v>0</v>
      </c>
      <c r="M35" s="110">
        <f t="shared" ca="1" si="0"/>
        <v>0</v>
      </c>
      <c r="N35" s="110">
        <f t="shared" ca="1" si="0"/>
        <v>0</v>
      </c>
      <c r="O35" s="110">
        <f t="shared" ca="1" si="0"/>
        <v>312</v>
      </c>
      <c r="P35" s="110">
        <f t="shared" ca="1" si="0"/>
        <v>312</v>
      </c>
      <c r="Q35" s="110">
        <f t="shared" ca="1" si="0"/>
        <v>312</v>
      </c>
      <c r="R35" s="110">
        <f t="shared" ca="1" si="0"/>
        <v>312</v>
      </c>
      <c r="S35" s="110">
        <f t="shared" ca="1" si="1"/>
        <v>312</v>
      </c>
      <c r="T35" s="110">
        <f t="shared" ca="1" si="1"/>
        <v>312</v>
      </c>
      <c r="U35" s="110">
        <f t="shared" ca="1" si="1"/>
        <v>312</v>
      </c>
      <c r="V35" s="110">
        <f t="shared" ca="1" si="1"/>
        <v>312</v>
      </c>
      <c r="W35" s="110">
        <f t="shared" ca="1" si="1"/>
        <v>312</v>
      </c>
      <c r="X35" s="110">
        <f t="shared" ca="1" si="1"/>
        <v>312</v>
      </c>
      <c r="Y35" s="110">
        <f t="shared" ca="1" si="1"/>
        <v>312</v>
      </c>
      <c r="Z35" s="110">
        <f t="shared" ca="1" si="1"/>
        <v>312</v>
      </c>
      <c r="AA35" s="110">
        <f t="shared" ca="1" si="1"/>
        <v>312</v>
      </c>
      <c r="AB35" s="110">
        <f t="shared" ca="1" si="1"/>
        <v>312</v>
      </c>
    </row>
    <row r="36" spans="1:28">
      <c r="A36" s="113">
        <v>0</v>
      </c>
      <c r="B36" s="4" t="s">
        <v>39</v>
      </c>
      <c r="C36" s="4">
        <v>317</v>
      </c>
      <c r="D36" s="4">
        <v>2017</v>
      </c>
      <c r="E36" s="2" t="s">
        <v>19</v>
      </c>
      <c r="F36" s="3" t="s">
        <v>6</v>
      </c>
      <c r="G36" s="4" t="s">
        <v>10</v>
      </c>
      <c r="I36" s="110">
        <f t="shared" ca="1" si="0"/>
        <v>0</v>
      </c>
      <c r="J36" s="110">
        <f t="shared" ca="1" si="0"/>
        <v>0</v>
      </c>
      <c r="K36" s="110">
        <f t="shared" ca="1" si="0"/>
        <v>0</v>
      </c>
      <c r="L36" s="110">
        <f t="shared" ca="1" si="0"/>
        <v>0</v>
      </c>
      <c r="M36" s="110">
        <f t="shared" ca="1" si="0"/>
        <v>0</v>
      </c>
      <c r="N36" s="110">
        <f t="shared" ca="1" si="0"/>
        <v>0</v>
      </c>
      <c r="O36" s="110">
        <f t="shared" ca="1" si="0"/>
        <v>317</v>
      </c>
      <c r="P36" s="110">
        <f t="shared" ca="1" si="0"/>
        <v>317</v>
      </c>
      <c r="Q36" s="110">
        <f t="shared" ca="1" si="0"/>
        <v>317</v>
      </c>
      <c r="R36" s="110">
        <f t="shared" ca="1" si="0"/>
        <v>317</v>
      </c>
      <c r="S36" s="110">
        <f t="shared" ca="1" si="1"/>
        <v>317</v>
      </c>
      <c r="T36" s="110">
        <f t="shared" ca="1" si="1"/>
        <v>317</v>
      </c>
      <c r="U36" s="110">
        <f t="shared" ca="1" si="1"/>
        <v>317</v>
      </c>
      <c r="V36" s="110">
        <f t="shared" ca="1" si="1"/>
        <v>317</v>
      </c>
      <c r="W36" s="110">
        <f t="shared" ca="1" si="1"/>
        <v>317</v>
      </c>
      <c r="X36" s="110">
        <f t="shared" ca="1" si="1"/>
        <v>317</v>
      </c>
      <c r="Y36" s="110">
        <f t="shared" ca="1" si="1"/>
        <v>317</v>
      </c>
      <c r="Z36" s="110">
        <f t="shared" ca="1" si="1"/>
        <v>317</v>
      </c>
      <c r="AA36" s="110">
        <f t="shared" ca="1" si="1"/>
        <v>317</v>
      </c>
      <c r="AB36" s="110">
        <f t="shared" ca="1" si="1"/>
        <v>317</v>
      </c>
    </row>
    <row r="37" spans="1:28">
      <c r="A37" s="113">
        <v>0</v>
      </c>
      <c r="B37" s="4" t="s">
        <v>40</v>
      </c>
      <c r="C37" s="4">
        <v>754.33</v>
      </c>
      <c r="D37" s="4">
        <v>2017</v>
      </c>
      <c r="E37" s="2" t="s">
        <v>19</v>
      </c>
      <c r="F37" s="3" t="s">
        <v>6</v>
      </c>
      <c r="G37" s="4" t="s">
        <v>10</v>
      </c>
      <c r="I37" s="110">
        <f t="shared" ca="1" si="0"/>
        <v>0</v>
      </c>
      <c r="J37" s="110">
        <f t="shared" ca="1" si="0"/>
        <v>0</v>
      </c>
      <c r="K37" s="110">
        <f t="shared" ca="1" si="0"/>
        <v>0</v>
      </c>
      <c r="L37" s="110">
        <f t="shared" ca="1" si="0"/>
        <v>0</v>
      </c>
      <c r="M37" s="110">
        <f t="shared" ca="1" si="0"/>
        <v>0</v>
      </c>
      <c r="N37" s="110">
        <f t="shared" ca="1" si="0"/>
        <v>0</v>
      </c>
      <c r="O37" s="110">
        <f t="shared" ca="1" si="0"/>
        <v>754.33</v>
      </c>
      <c r="P37" s="110">
        <f t="shared" ca="1" si="0"/>
        <v>754.33</v>
      </c>
      <c r="Q37" s="110">
        <f t="shared" ca="1" si="0"/>
        <v>754.33</v>
      </c>
      <c r="R37" s="110">
        <f t="shared" ca="1" si="0"/>
        <v>754.33</v>
      </c>
      <c r="S37" s="110">
        <f t="shared" ca="1" si="1"/>
        <v>754.33</v>
      </c>
      <c r="T37" s="110">
        <f t="shared" ca="1" si="1"/>
        <v>754.33</v>
      </c>
      <c r="U37" s="110">
        <f t="shared" ca="1" si="1"/>
        <v>754.33</v>
      </c>
      <c r="V37" s="110">
        <f t="shared" ca="1" si="1"/>
        <v>754.33</v>
      </c>
      <c r="W37" s="110">
        <f t="shared" ca="1" si="1"/>
        <v>754.33</v>
      </c>
      <c r="X37" s="110">
        <f t="shared" ca="1" si="1"/>
        <v>754.33</v>
      </c>
      <c r="Y37" s="110">
        <f t="shared" ca="1" si="1"/>
        <v>754.33</v>
      </c>
      <c r="Z37" s="110">
        <f t="shared" ca="1" si="1"/>
        <v>754.33</v>
      </c>
      <c r="AA37" s="110">
        <f t="shared" ca="1" si="1"/>
        <v>754.33</v>
      </c>
      <c r="AB37" s="110">
        <f t="shared" ca="1" si="1"/>
        <v>754.33</v>
      </c>
    </row>
    <row r="38" spans="1:28">
      <c r="A38" s="113">
        <v>0</v>
      </c>
      <c r="B38" s="4" t="s">
        <v>41</v>
      </c>
      <c r="C38" s="4">
        <v>755.7</v>
      </c>
      <c r="D38" s="4">
        <v>2017</v>
      </c>
      <c r="E38" s="2" t="s">
        <v>19</v>
      </c>
      <c r="F38" s="3" t="s">
        <v>6</v>
      </c>
      <c r="G38" s="4" t="s">
        <v>10</v>
      </c>
      <c r="I38" s="110">
        <f t="shared" ca="1" si="0"/>
        <v>0</v>
      </c>
      <c r="J38" s="110">
        <f t="shared" ca="1" si="0"/>
        <v>0</v>
      </c>
      <c r="K38" s="110">
        <f t="shared" ca="1" si="0"/>
        <v>0</v>
      </c>
      <c r="L38" s="110">
        <f t="shared" ca="1" si="0"/>
        <v>0</v>
      </c>
      <c r="M38" s="110">
        <f t="shared" ca="1" si="0"/>
        <v>0</v>
      </c>
      <c r="N38" s="110">
        <f t="shared" ca="1" si="0"/>
        <v>0</v>
      </c>
      <c r="O38" s="110">
        <f t="shared" ca="1" si="0"/>
        <v>755.7</v>
      </c>
      <c r="P38" s="110">
        <f t="shared" ca="1" si="0"/>
        <v>755.7</v>
      </c>
      <c r="Q38" s="110">
        <f t="shared" ca="1" si="0"/>
        <v>755.7</v>
      </c>
      <c r="R38" s="110">
        <f t="shared" ca="1" si="0"/>
        <v>755.7</v>
      </c>
      <c r="S38" s="110">
        <f t="shared" ca="1" si="1"/>
        <v>755.7</v>
      </c>
      <c r="T38" s="110">
        <f t="shared" ca="1" si="1"/>
        <v>755.7</v>
      </c>
      <c r="U38" s="110">
        <f t="shared" ca="1" si="1"/>
        <v>755.7</v>
      </c>
      <c r="V38" s="110">
        <f t="shared" ca="1" si="1"/>
        <v>755.7</v>
      </c>
      <c r="W38" s="110">
        <f t="shared" ca="1" si="1"/>
        <v>755.7</v>
      </c>
      <c r="X38" s="110">
        <f t="shared" ca="1" si="1"/>
        <v>755.7</v>
      </c>
      <c r="Y38" s="110">
        <f t="shared" ca="1" si="1"/>
        <v>755.7</v>
      </c>
      <c r="Z38" s="110">
        <f t="shared" ca="1" si="1"/>
        <v>755.7</v>
      </c>
      <c r="AA38" s="110">
        <f t="shared" ca="1" si="1"/>
        <v>755.7</v>
      </c>
      <c r="AB38" s="110">
        <f t="shared" ca="1" si="1"/>
        <v>755.7</v>
      </c>
    </row>
    <row r="39" spans="1:28">
      <c r="A39" s="113">
        <v>0</v>
      </c>
      <c r="B39" s="4" t="s">
        <v>42</v>
      </c>
      <c r="C39" s="4">
        <v>1122</v>
      </c>
      <c r="D39" s="4">
        <v>2099</v>
      </c>
      <c r="E39" s="2" t="s">
        <v>21</v>
      </c>
      <c r="F39" s="3" t="s">
        <v>6</v>
      </c>
      <c r="G39" s="4" t="s">
        <v>10</v>
      </c>
      <c r="I39" s="110">
        <f t="shared" ref="I39:R48" ca="1" si="2">IF(AND(OR($A39=0,$A39=scenGen),$D39&lt;=I$28),$C39,0)</f>
        <v>0</v>
      </c>
      <c r="J39" s="110">
        <f t="shared" ca="1" si="2"/>
        <v>0</v>
      </c>
      <c r="K39" s="110">
        <f t="shared" ca="1" si="2"/>
        <v>0</v>
      </c>
      <c r="L39" s="110">
        <f t="shared" ca="1" si="2"/>
        <v>0</v>
      </c>
      <c r="M39" s="110">
        <f t="shared" ca="1" si="2"/>
        <v>0</v>
      </c>
      <c r="N39" s="110">
        <f t="shared" ca="1" si="2"/>
        <v>0</v>
      </c>
      <c r="O39" s="110">
        <f t="shared" ca="1" si="2"/>
        <v>0</v>
      </c>
      <c r="P39" s="110">
        <f t="shared" ca="1" si="2"/>
        <v>0</v>
      </c>
      <c r="Q39" s="110">
        <f t="shared" ca="1" si="2"/>
        <v>0</v>
      </c>
      <c r="R39" s="110">
        <f t="shared" ca="1" si="2"/>
        <v>0</v>
      </c>
      <c r="S39" s="110">
        <f t="shared" ref="S39:AB48" ca="1" si="3">IF(AND(OR($A39=0,$A39=scenGen),$D39&lt;=S$28),$C39,0)</f>
        <v>0</v>
      </c>
      <c r="T39" s="110">
        <f t="shared" ca="1" si="3"/>
        <v>0</v>
      </c>
      <c r="U39" s="110">
        <f t="shared" ca="1" si="3"/>
        <v>0</v>
      </c>
      <c r="V39" s="110">
        <f t="shared" ca="1" si="3"/>
        <v>0</v>
      </c>
      <c r="W39" s="110">
        <f t="shared" ca="1" si="3"/>
        <v>0</v>
      </c>
      <c r="X39" s="110">
        <f t="shared" ca="1" si="3"/>
        <v>0</v>
      </c>
      <c r="Y39" s="110">
        <f t="shared" ca="1" si="3"/>
        <v>0</v>
      </c>
      <c r="Z39" s="110">
        <f t="shared" ca="1" si="3"/>
        <v>0</v>
      </c>
      <c r="AA39" s="110">
        <f t="shared" ca="1" si="3"/>
        <v>0</v>
      </c>
      <c r="AB39" s="110">
        <f t="shared" ca="1" si="3"/>
        <v>0</v>
      </c>
    </row>
    <row r="40" spans="1:28">
      <c r="A40" s="113">
        <v>0</v>
      </c>
      <c r="B40" s="4" t="s">
        <v>43</v>
      </c>
      <c r="C40" s="4">
        <v>1118</v>
      </c>
      <c r="D40" s="4">
        <v>2099</v>
      </c>
      <c r="E40" s="2" t="s">
        <v>21</v>
      </c>
      <c r="F40" s="3" t="s">
        <v>6</v>
      </c>
      <c r="G40" s="4" t="s">
        <v>10</v>
      </c>
      <c r="I40" s="110">
        <f t="shared" ca="1" si="2"/>
        <v>0</v>
      </c>
      <c r="J40" s="110">
        <f t="shared" ca="1" si="2"/>
        <v>0</v>
      </c>
      <c r="K40" s="110">
        <f t="shared" ca="1" si="2"/>
        <v>0</v>
      </c>
      <c r="L40" s="110">
        <f t="shared" ca="1" si="2"/>
        <v>0</v>
      </c>
      <c r="M40" s="110">
        <f t="shared" ca="1" si="2"/>
        <v>0</v>
      </c>
      <c r="N40" s="110">
        <f t="shared" ca="1" si="2"/>
        <v>0</v>
      </c>
      <c r="O40" s="110">
        <f t="shared" ca="1" si="2"/>
        <v>0</v>
      </c>
      <c r="P40" s="110">
        <f t="shared" ca="1" si="2"/>
        <v>0</v>
      </c>
      <c r="Q40" s="110">
        <f t="shared" ca="1" si="2"/>
        <v>0</v>
      </c>
      <c r="R40" s="110">
        <f t="shared" ca="1" si="2"/>
        <v>0</v>
      </c>
      <c r="S40" s="110">
        <f t="shared" ca="1" si="3"/>
        <v>0</v>
      </c>
      <c r="T40" s="110">
        <f t="shared" ca="1" si="3"/>
        <v>0</v>
      </c>
      <c r="U40" s="110">
        <f t="shared" ca="1" si="3"/>
        <v>0</v>
      </c>
      <c r="V40" s="110">
        <f t="shared" ca="1" si="3"/>
        <v>0</v>
      </c>
      <c r="W40" s="110">
        <f t="shared" ca="1" si="3"/>
        <v>0</v>
      </c>
      <c r="X40" s="110">
        <f t="shared" ca="1" si="3"/>
        <v>0</v>
      </c>
      <c r="Y40" s="110">
        <f t="shared" ca="1" si="3"/>
        <v>0</v>
      </c>
      <c r="Z40" s="110">
        <f t="shared" ca="1" si="3"/>
        <v>0</v>
      </c>
      <c r="AA40" s="110">
        <f t="shared" ca="1" si="3"/>
        <v>0</v>
      </c>
      <c r="AB40" s="110">
        <f t="shared" ca="1" si="3"/>
        <v>0</v>
      </c>
    </row>
    <row r="41" spans="1:28">
      <c r="A41" s="113">
        <v>0</v>
      </c>
      <c r="B41" s="4" t="s">
        <v>44</v>
      </c>
      <c r="C41" s="4">
        <v>510</v>
      </c>
      <c r="D41" s="4">
        <v>2099</v>
      </c>
      <c r="E41" s="2" t="s">
        <v>19</v>
      </c>
      <c r="F41" s="3" t="s">
        <v>6</v>
      </c>
      <c r="G41" s="4" t="s">
        <v>10</v>
      </c>
      <c r="I41" s="110">
        <f t="shared" ca="1" si="2"/>
        <v>0</v>
      </c>
      <c r="J41" s="110">
        <f t="shared" ca="1" si="2"/>
        <v>0</v>
      </c>
      <c r="K41" s="110">
        <f t="shared" ca="1" si="2"/>
        <v>0</v>
      </c>
      <c r="L41" s="110">
        <f t="shared" ca="1" si="2"/>
        <v>0</v>
      </c>
      <c r="M41" s="110">
        <f t="shared" ca="1" si="2"/>
        <v>0</v>
      </c>
      <c r="N41" s="110">
        <f t="shared" ca="1" si="2"/>
        <v>0</v>
      </c>
      <c r="O41" s="110">
        <f t="shared" ca="1" si="2"/>
        <v>0</v>
      </c>
      <c r="P41" s="110">
        <f t="shared" ca="1" si="2"/>
        <v>0</v>
      </c>
      <c r="Q41" s="110">
        <f t="shared" ca="1" si="2"/>
        <v>0</v>
      </c>
      <c r="R41" s="110">
        <f t="shared" ca="1" si="2"/>
        <v>0</v>
      </c>
      <c r="S41" s="110">
        <f t="shared" ca="1" si="3"/>
        <v>0</v>
      </c>
      <c r="T41" s="110">
        <f t="shared" ca="1" si="3"/>
        <v>0</v>
      </c>
      <c r="U41" s="110">
        <f t="shared" ca="1" si="3"/>
        <v>0</v>
      </c>
      <c r="V41" s="110">
        <f t="shared" ca="1" si="3"/>
        <v>0</v>
      </c>
      <c r="W41" s="110">
        <f t="shared" ca="1" si="3"/>
        <v>0</v>
      </c>
      <c r="X41" s="110">
        <f t="shared" ca="1" si="3"/>
        <v>0</v>
      </c>
      <c r="Y41" s="110">
        <f t="shared" ca="1" si="3"/>
        <v>0</v>
      </c>
      <c r="Z41" s="110">
        <f t="shared" ca="1" si="3"/>
        <v>0</v>
      </c>
      <c r="AA41" s="110">
        <f t="shared" ca="1" si="3"/>
        <v>0</v>
      </c>
      <c r="AB41" s="110">
        <f t="shared" ca="1" si="3"/>
        <v>0</v>
      </c>
    </row>
    <row r="42" spans="1:28">
      <c r="A42" s="113">
        <v>0</v>
      </c>
      <c r="B42" s="4" t="s">
        <v>45</v>
      </c>
      <c r="C42" s="4">
        <v>510</v>
      </c>
      <c r="D42" s="4">
        <v>2099</v>
      </c>
      <c r="E42" s="2" t="s">
        <v>19</v>
      </c>
      <c r="F42" s="3" t="s">
        <v>6</v>
      </c>
      <c r="G42" s="4" t="s">
        <v>10</v>
      </c>
      <c r="I42" s="110">
        <f t="shared" ca="1" si="2"/>
        <v>0</v>
      </c>
      <c r="J42" s="110">
        <f t="shared" ca="1" si="2"/>
        <v>0</v>
      </c>
      <c r="K42" s="110">
        <f t="shared" ca="1" si="2"/>
        <v>0</v>
      </c>
      <c r="L42" s="110">
        <f t="shared" ca="1" si="2"/>
        <v>0</v>
      </c>
      <c r="M42" s="110">
        <f t="shared" ca="1" si="2"/>
        <v>0</v>
      </c>
      <c r="N42" s="110">
        <f t="shared" ca="1" si="2"/>
        <v>0</v>
      </c>
      <c r="O42" s="110">
        <f t="shared" ca="1" si="2"/>
        <v>0</v>
      </c>
      <c r="P42" s="110">
        <f t="shared" ca="1" si="2"/>
        <v>0</v>
      </c>
      <c r="Q42" s="110">
        <f t="shared" ca="1" si="2"/>
        <v>0</v>
      </c>
      <c r="R42" s="110">
        <f t="shared" ca="1" si="2"/>
        <v>0</v>
      </c>
      <c r="S42" s="110">
        <f t="shared" ca="1" si="3"/>
        <v>0</v>
      </c>
      <c r="T42" s="110">
        <f t="shared" ca="1" si="3"/>
        <v>0</v>
      </c>
      <c r="U42" s="110">
        <f t="shared" ca="1" si="3"/>
        <v>0</v>
      </c>
      <c r="V42" s="110">
        <f t="shared" ca="1" si="3"/>
        <v>0</v>
      </c>
      <c r="W42" s="110">
        <f t="shared" ca="1" si="3"/>
        <v>0</v>
      </c>
      <c r="X42" s="110">
        <f t="shared" ca="1" si="3"/>
        <v>0</v>
      </c>
      <c r="Y42" s="110">
        <f t="shared" ca="1" si="3"/>
        <v>0</v>
      </c>
      <c r="Z42" s="110">
        <f t="shared" ca="1" si="3"/>
        <v>0</v>
      </c>
      <c r="AA42" s="110">
        <f t="shared" ca="1" si="3"/>
        <v>0</v>
      </c>
      <c r="AB42" s="110">
        <f t="shared" ca="1" si="3"/>
        <v>0</v>
      </c>
    </row>
    <row r="43" spans="1:28">
      <c r="A43" s="113">
        <v>0</v>
      </c>
      <c r="B43" s="4" t="s">
        <v>46</v>
      </c>
      <c r="C43" s="4">
        <v>225</v>
      </c>
      <c r="D43" s="4">
        <v>2011</v>
      </c>
      <c r="E43" s="2" t="s">
        <v>19</v>
      </c>
      <c r="F43" s="3" t="s">
        <v>6</v>
      </c>
      <c r="G43" s="4" t="s">
        <v>12</v>
      </c>
      <c r="I43" s="110">
        <f t="shared" ca="1" si="2"/>
        <v>225</v>
      </c>
      <c r="J43" s="110">
        <f t="shared" ca="1" si="2"/>
        <v>225</v>
      </c>
      <c r="K43" s="110">
        <f t="shared" ca="1" si="2"/>
        <v>225</v>
      </c>
      <c r="L43" s="110">
        <f t="shared" ca="1" si="2"/>
        <v>225</v>
      </c>
      <c r="M43" s="110">
        <f t="shared" ca="1" si="2"/>
        <v>225</v>
      </c>
      <c r="N43" s="110">
        <f t="shared" ca="1" si="2"/>
        <v>225</v>
      </c>
      <c r="O43" s="110">
        <f t="shared" ca="1" si="2"/>
        <v>225</v>
      </c>
      <c r="P43" s="110">
        <f t="shared" ca="1" si="2"/>
        <v>225</v>
      </c>
      <c r="Q43" s="110">
        <f t="shared" ca="1" si="2"/>
        <v>225</v>
      </c>
      <c r="R43" s="110">
        <f t="shared" ca="1" si="2"/>
        <v>225</v>
      </c>
      <c r="S43" s="110">
        <f t="shared" ca="1" si="3"/>
        <v>225</v>
      </c>
      <c r="T43" s="110">
        <f t="shared" ca="1" si="3"/>
        <v>225</v>
      </c>
      <c r="U43" s="110">
        <f t="shared" ca="1" si="3"/>
        <v>225</v>
      </c>
      <c r="V43" s="110">
        <f t="shared" ca="1" si="3"/>
        <v>225</v>
      </c>
      <c r="W43" s="110">
        <f t="shared" ca="1" si="3"/>
        <v>225</v>
      </c>
      <c r="X43" s="110">
        <f t="shared" ca="1" si="3"/>
        <v>225</v>
      </c>
      <c r="Y43" s="110">
        <f t="shared" ca="1" si="3"/>
        <v>225</v>
      </c>
      <c r="Z43" s="110">
        <f t="shared" ca="1" si="3"/>
        <v>225</v>
      </c>
      <c r="AA43" s="110">
        <f t="shared" ca="1" si="3"/>
        <v>225</v>
      </c>
      <c r="AB43" s="110">
        <f t="shared" ca="1" si="3"/>
        <v>225</v>
      </c>
    </row>
    <row r="44" spans="1:28">
      <c r="A44" s="113">
        <v>0</v>
      </c>
      <c r="B44" s="4" t="s">
        <v>48</v>
      </c>
      <c r="C44" s="4">
        <v>227</v>
      </c>
      <c r="D44" s="4">
        <v>2011</v>
      </c>
      <c r="E44" s="2" t="s">
        <v>19</v>
      </c>
      <c r="F44" s="3" t="s">
        <v>6</v>
      </c>
      <c r="G44" s="4" t="s">
        <v>12</v>
      </c>
      <c r="I44" s="110">
        <f t="shared" ca="1" si="2"/>
        <v>227</v>
      </c>
      <c r="J44" s="110">
        <f t="shared" ca="1" si="2"/>
        <v>227</v>
      </c>
      <c r="K44" s="110">
        <f t="shared" ca="1" si="2"/>
        <v>227</v>
      </c>
      <c r="L44" s="110">
        <f t="shared" ca="1" si="2"/>
        <v>227</v>
      </c>
      <c r="M44" s="110">
        <f t="shared" ca="1" si="2"/>
        <v>227</v>
      </c>
      <c r="N44" s="110">
        <f t="shared" ca="1" si="2"/>
        <v>227</v>
      </c>
      <c r="O44" s="110">
        <f t="shared" ca="1" si="2"/>
        <v>227</v>
      </c>
      <c r="P44" s="110">
        <f t="shared" ca="1" si="2"/>
        <v>227</v>
      </c>
      <c r="Q44" s="110">
        <f t="shared" ca="1" si="2"/>
        <v>227</v>
      </c>
      <c r="R44" s="110">
        <f t="shared" ca="1" si="2"/>
        <v>227</v>
      </c>
      <c r="S44" s="110">
        <f t="shared" ca="1" si="3"/>
        <v>227</v>
      </c>
      <c r="T44" s="110">
        <f t="shared" ca="1" si="3"/>
        <v>227</v>
      </c>
      <c r="U44" s="110">
        <f t="shared" ca="1" si="3"/>
        <v>227</v>
      </c>
      <c r="V44" s="110">
        <f t="shared" ca="1" si="3"/>
        <v>227</v>
      </c>
      <c r="W44" s="110">
        <f t="shared" ca="1" si="3"/>
        <v>227</v>
      </c>
      <c r="X44" s="110">
        <f t="shared" ca="1" si="3"/>
        <v>227</v>
      </c>
      <c r="Y44" s="110">
        <f t="shared" ca="1" si="3"/>
        <v>227</v>
      </c>
      <c r="Z44" s="110">
        <f t="shared" ca="1" si="3"/>
        <v>227</v>
      </c>
      <c r="AA44" s="110">
        <f t="shared" ca="1" si="3"/>
        <v>227</v>
      </c>
      <c r="AB44" s="110">
        <f t="shared" ca="1" si="3"/>
        <v>227</v>
      </c>
    </row>
    <row r="45" spans="1:28">
      <c r="A45" s="113">
        <v>0</v>
      </c>
      <c r="B45" s="4" t="s">
        <v>49</v>
      </c>
      <c r="C45" s="4">
        <v>335</v>
      </c>
      <c r="D45" s="4">
        <v>2014</v>
      </c>
      <c r="E45" s="2" t="s">
        <v>19</v>
      </c>
      <c r="F45" s="3" t="s">
        <v>6</v>
      </c>
      <c r="G45" s="4" t="s">
        <v>12</v>
      </c>
      <c r="I45" s="110">
        <f t="shared" ca="1" si="2"/>
        <v>0</v>
      </c>
      <c r="J45" s="110">
        <f t="shared" ca="1" si="2"/>
        <v>0</v>
      </c>
      <c r="K45" s="110">
        <f t="shared" ca="1" si="2"/>
        <v>0</v>
      </c>
      <c r="L45" s="110">
        <f t="shared" ca="1" si="2"/>
        <v>335</v>
      </c>
      <c r="M45" s="110">
        <f t="shared" ca="1" si="2"/>
        <v>335</v>
      </c>
      <c r="N45" s="110">
        <f t="shared" ca="1" si="2"/>
        <v>335</v>
      </c>
      <c r="O45" s="110">
        <f t="shared" ca="1" si="2"/>
        <v>335</v>
      </c>
      <c r="P45" s="110">
        <f t="shared" ca="1" si="2"/>
        <v>335</v>
      </c>
      <c r="Q45" s="110">
        <f t="shared" ca="1" si="2"/>
        <v>335</v>
      </c>
      <c r="R45" s="110">
        <f t="shared" ca="1" si="2"/>
        <v>335</v>
      </c>
      <c r="S45" s="110">
        <f t="shared" ca="1" si="3"/>
        <v>335</v>
      </c>
      <c r="T45" s="110">
        <f t="shared" ca="1" si="3"/>
        <v>335</v>
      </c>
      <c r="U45" s="110">
        <f t="shared" ca="1" si="3"/>
        <v>335</v>
      </c>
      <c r="V45" s="110">
        <f t="shared" ca="1" si="3"/>
        <v>335</v>
      </c>
      <c r="W45" s="110">
        <f t="shared" ca="1" si="3"/>
        <v>335</v>
      </c>
      <c r="X45" s="110">
        <f t="shared" ca="1" si="3"/>
        <v>335</v>
      </c>
      <c r="Y45" s="110">
        <f t="shared" ca="1" si="3"/>
        <v>335</v>
      </c>
      <c r="Z45" s="110">
        <f t="shared" ca="1" si="3"/>
        <v>335</v>
      </c>
      <c r="AA45" s="110">
        <f t="shared" ca="1" si="3"/>
        <v>335</v>
      </c>
      <c r="AB45" s="110">
        <f t="shared" ca="1" si="3"/>
        <v>335</v>
      </c>
    </row>
    <row r="46" spans="1:28">
      <c r="A46" s="113">
        <v>0</v>
      </c>
      <c r="B46" s="4" t="s">
        <v>50</v>
      </c>
      <c r="C46" s="4">
        <v>335</v>
      </c>
      <c r="D46" s="4">
        <v>2015</v>
      </c>
      <c r="E46" s="2" t="s">
        <v>19</v>
      </c>
      <c r="F46" s="3" t="s">
        <v>6</v>
      </c>
      <c r="G46" s="4" t="s">
        <v>12</v>
      </c>
      <c r="I46" s="110">
        <f t="shared" ca="1" si="2"/>
        <v>0</v>
      </c>
      <c r="J46" s="110">
        <f t="shared" ca="1" si="2"/>
        <v>0</v>
      </c>
      <c r="K46" s="110">
        <f t="shared" ca="1" si="2"/>
        <v>0</v>
      </c>
      <c r="L46" s="110">
        <f t="shared" ca="1" si="2"/>
        <v>0</v>
      </c>
      <c r="M46" s="110">
        <f t="shared" ca="1" si="2"/>
        <v>335</v>
      </c>
      <c r="N46" s="110">
        <f t="shared" ca="1" si="2"/>
        <v>335</v>
      </c>
      <c r="O46" s="110">
        <f t="shared" ca="1" si="2"/>
        <v>335</v>
      </c>
      <c r="P46" s="110">
        <f t="shared" ca="1" si="2"/>
        <v>335</v>
      </c>
      <c r="Q46" s="110">
        <f t="shared" ca="1" si="2"/>
        <v>335</v>
      </c>
      <c r="R46" s="110">
        <f t="shared" ca="1" si="2"/>
        <v>335</v>
      </c>
      <c r="S46" s="110">
        <f t="shared" ca="1" si="3"/>
        <v>335</v>
      </c>
      <c r="T46" s="110">
        <f t="shared" ca="1" si="3"/>
        <v>335</v>
      </c>
      <c r="U46" s="110">
        <f t="shared" ca="1" si="3"/>
        <v>335</v>
      </c>
      <c r="V46" s="110">
        <f t="shared" ca="1" si="3"/>
        <v>335</v>
      </c>
      <c r="W46" s="110">
        <f t="shared" ca="1" si="3"/>
        <v>335</v>
      </c>
      <c r="X46" s="110">
        <f t="shared" ca="1" si="3"/>
        <v>335</v>
      </c>
      <c r="Y46" s="110">
        <f t="shared" ca="1" si="3"/>
        <v>335</v>
      </c>
      <c r="Z46" s="110">
        <f t="shared" ca="1" si="3"/>
        <v>335</v>
      </c>
      <c r="AA46" s="110">
        <f t="shared" ca="1" si="3"/>
        <v>335</v>
      </c>
      <c r="AB46" s="110">
        <f t="shared" ca="1" si="3"/>
        <v>335</v>
      </c>
    </row>
    <row r="47" spans="1:28">
      <c r="A47" s="113">
        <v>0</v>
      </c>
      <c r="B47" s="4" t="s">
        <v>69</v>
      </c>
      <c r="C47" s="4">
        <v>1122</v>
      </c>
      <c r="D47" s="4">
        <v>2099</v>
      </c>
      <c r="E47" s="2" t="s">
        <v>21</v>
      </c>
      <c r="F47" s="3" t="s">
        <v>6</v>
      </c>
      <c r="G47" s="4" t="s">
        <v>12</v>
      </c>
      <c r="I47" s="110">
        <f t="shared" ca="1" si="2"/>
        <v>0</v>
      </c>
      <c r="J47" s="110">
        <f t="shared" ca="1" si="2"/>
        <v>0</v>
      </c>
      <c r="K47" s="110">
        <f t="shared" ca="1" si="2"/>
        <v>0</v>
      </c>
      <c r="L47" s="110">
        <f t="shared" ca="1" si="2"/>
        <v>0</v>
      </c>
      <c r="M47" s="110">
        <f t="shared" ca="1" si="2"/>
        <v>0</v>
      </c>
      <c r="N47" s="110">
        <f t="shared" ca="1" si="2"/>
        <v>0</v>
      </c>
      <c r="O47" s="110">
        <f t="shared" ca="1" si="2"/>
        <v>0</v>
      </c>
      <c r="P47" s="110">
        <f t="shared" ca="1" si="2"/>
        <v>0</v>
      </c>
      <c r="Q47" s="110">
        <f t="shared" ca="1" si="2"/>
        <v>0</v>
      </c>
      <c r="R47" s="110">
        <f t="shared" ca="1" si="2"/>
        <v>0</v>
      </c>
      <c r="S47" s="110">
        <f t="shared" ca="1" si="3"/>
        <v>0</v>
      </c>
      <c r="T47" s="110">
        <f t="shared" ca="1" si="3"/>
        <v>0</v>
      </c>
      <c r="U47" s="110">
        <f t="shared" ca="1" si="3"/>
        <v>0</v>
      </c>
      <c r="V47" s="110">
        <f t="shared" ca="1" si="3"/>
        <v>0</v>
      </c>
      <c r="W47" s="110">
        <f t="shared" ca="1" si="3"/>
        <v>0</v>
      </c>
      <c r="X47" s="110">
        <f t="shared" ca="1" si="3"/>
        <v>0</v>
      </c>
      <c r="Y47" s="110">
        <f t="shared" ca="1" si="3"/>
        <v>0</v>
      </c>
      <c r="Z47" s="110">
        <f t="shared" ca="1" si="3"/>
        <v>0</v>
      </c>
      <c r="AA47" s="110">
        <f t="shared" ca="1" si="3"/>
        <v>0</v>
      </c>
      <c r="AB47" s="110">
        <f t="shared" ca="1" si="3"/>
        <v>0</v>
      </c>
    </row>
    <row r="48" spans="1:28">
      <c r="A48" s="113">
        <v>0</v>
      </c>
      <c r="B48" s="4" t="s">
        <v>70</v>
      </c>
      <c r="C48" s="4">
        <v>1124</v>
      </c>
      <c r="D48" s="4">
        <v>2099</v>
      </c>
      <c r="E48" s="2" t="s">
        <v>21</v>
      </c>
      <c r="F48" s="3" t="s">
        <v>6</v>
      </c>
      <c r="G48" s="4" t="s">
        <v>12</v>
      </c>
      <c r="I48" s="110">
        <f t="shared" ca="1" si="2"/>
        <v>0</v>
      </c>
      <c r="J48" s="110">
        <f t="shared" ca="1" si="2"/>
        <v>0</v>
      </c>
      <c r="K48" s="110">
        <f t="shared" ca="1" si="2"/>
        <v>0</v>
      </c>
      <c r="L48" s="110">
        <f t="shared" ca="1" si="2"/>
        <v>0</v>
      </c>
      <c r="M48" s="110">
        <f t="shared" ca="1" si="2"/>
        <v>0</v>
      </c>
      <c r="N48" s="110">
        <f t="shared" ca="1" si="2"/>
        <v>0</v>
      </c>
      <c r="O48" s="110">
        <f t="shared" ca="1" si="2"/>
        <v>0</v>
      </c>
      <c r="P48" s="110">
        <f t="shared" ca="1" si="2"/>
        <v>0</v>
      </c>
      <c r="Q48" s="110">
        <f t="shared" ca="1" si="2"/>
        <v>0</v>
      </c>
      <c r="R48" s="110">
        <f t="shared" ca="1" si="2"/>
        <v>0</v>
      </c>
      <c r="S48" s="110">
        <f t="shared" ca="1" si="3"/>
        <v>0</v>
      </c>
      <c r="T48" s="110">
        <f t="shared" ca="1" si="3"/>
        <v>0</v>
      </c>
      <c r="U48" s="110">
        <f t="shared" ca="1" si="3"/>
        <v>0</v>
      </c>
      <c r="V48" s="110">
        <f t="shared" ca="1" si="3"/>
        <v>0</v>
      </c>
      <c r="W48" s="110">
        <f t="shared" ca="1" si="3"/>
        <v>0</v>
      </c>
      <c r="X48" s="110">
        <f t="shared" ca="1" si="3"/>
        <v>0</v>
      </c>
      <c r="Y48" s="110">
        <f t="shared" ca="1" si="3"/>
        <v>0</v>
      </c>
      <c r="Z48" s="110">
        <f t="shared" ca="1" si="3"/>
        <v>0</v>
      </c>
      <c r="AA48" s="110">
        <f t="shared" ca="1" si="3"/>
        <v>0</v>
      </c>
      <c r="AB48" s="110">
        <f t="shared" ca="1" si="3"/>
        <v>0</v>
      </c>
    </row>
    <row r="49" spans="1:28">
      <c r="A49" s="113">
        <v>0</v>
      </c>
      <c r="B49" s="4" t="s">
        <v>71</v>
      </c>
      <c r="C49" s="4">
        <v>15</v>
      </c>
      <c r="D49" s="4">
        <v>2011</v>
      </c>
      <c r="E49" s="2" t="s">
        <v>20</v>
      </c>
      <c r="F49" s="3" t="s">
        <v>6</v>
      </c>
      <c r="G49" s="4" t="s">
        <v>11</v>
      </c>
      <c r="I49" s="110">
        <f t="shared" ref="I49:R58" ca="1" si="4">IF(AND(OR($A49=0,$A49=scenGen),$D49&lt;=I$28),$C49,0)</f>
        <v>15</v>
      </c>
      <c r="J49" s="110">
        <f t="shared" ca="1" si="4"/>
        <v>15</v>
      </c>
      <c r="K49" s="110">
        <f t="shared" ca="1" si="4"/>
        <v>15</v>
      </c>
      <c r="L49" s="110">
        <f t="shared" ca="1" si="4"/>
        <v>15</v>
      </c>
      <c r="M49" s="110">
        <f t="shared" ca="1" si="4"/>
        <v>15</v>
      </c>
      <c r="N49" s="110">
        <f t="shared" ca="1" si="4"/>
        <v>15</v>
      </c>
      <c r="O49" s="110">
        <f t="shared" ca="1" si="4"/>
        <v>15</v>
      </c>
      <c r="P49" s="110">
        <f t="shared" ca="1" si="4"/>
        <v>15</v>
      </c>
      <c r="Q49" s="110">
        <f t="shared" ca="1" si="4"/>
        <v>15</v>
      </c>
      <c r="R49" s="110">
        <f t="shared" ca="1" si="4"/>
        <v>15</v>
      </c>
      <c r="S49" s="110">
        <f t="shared" ref="S49:AB58" ca="1" si="5">IF(AND(OR($A49=0,$A49=scenGen),$D49&lt;=S$28),$C49,0)</f>
        <v>15</v>
      </c>
      <c r="T49" s="110">
        <f t="shared" ca="1" si="5"/>
        <v>15</v>
      </c>
      <c r="U49" s="110">
        <f t="shared" ca="1" si="5"/>
        <v>15</v>
      </c>
      <c r="V49" s="110">
        <f t="shared" ca="1" si="5"/>
        <v>15</v>
      </c>
      <c r="W49" s="110">
        <f t="shared" ca="1" si="5"/>
        <v>15</v>
      </c>
      <c r="X49" s="110">
        <f t="shared" ca="1" si="5"/>
        <v>15</v>
      </c>
      <c r="Y49" s="110">
        <f t="shared" ca="1" si="5"/>
        <v>15</v>
      </c>
      <c r="Z49" s="110">
        <f t="shared" ca="1" si="5"/>
        <v>15</v>
      </c>
      <c r="AA49" s="110">
        <f t="shared" ca="1" si="5"/>
        <v>15</v>
      </c>
      <c r="AB49" s="110">
        <f t="shared" ca="1" si="5"/>
        <v>15</v>
      </c>
    </row>
    <row r="50" spans="1:28">
      <c r="A50" s="113">
        <v>0</v>
      </c>
      <c r="B50" s="4" t="s">
        <v>72</v>
      </c>
      <c r="C50" s="4">
        <v>146</v>
      </c>
      <c r="D50" s="4">
        <v>2011</v>
      </c>
      <c r="E50" s="2" t="s">
        <v>19</v>
      </c>
      <c r="F50" s="3" t="s">
        <v>6</v>
      </c>
      <c r="G50" s="4" t="s">
        <v>11</v>
      </c>
      <c r="I50" s="110">
        <f t="shared" ca="1" si="4"/>
        <v>146</v>
      </c>
      <c r="J50" s="110">
        <f t="shared" ca="1" si="4"/>
        <v>146</v>
      </c>
      <c r="K50" s="110">
        <f t="shared" ca="1" si="4"/>
        <v>146</v>
      </c>
      <c r="L50" s="110">
        <f t="shared" ca="1" si="4"/>
        <v>146</v>
      </c>
      <c r="M50" s="110">
        <f t="shared" ca="1" si="4"/>
        <v>146</v>
      </c>
      <c r="N50" s="110">
        <f t="shared" ca="1" si="4"/>
        <v>146</v>
      </c>
      <c r="O50" s="110">
        <f t="shared" ca="1" si="4"/>
        <v>146</v>
      </c>
      <c r="P50" s="110">
        <f t="shared" ca="1" si="4"/>
        <v>146</v>
      </c>
      <c r="Q50" s="110">
        <f t="shared" ca="1" si="4"/>
        <v>146</v>
      </c>
      <c r="R50" s="110">
        <f t="shared" ca="1" si="4"/>
        <v>146</v>
      </c>
      <c r="S50" s="110">
        <f t="shared" ca="1" si="5"/>
        <v>146</v>
      </c>
      <c r="T50" s="110">
        <f t="shared" ca="1" si="5"/>
        <v>146</v>
      </c>
      <c r="U50" s="110">
        <f t="shared" ca="1" si="5"/>
        <v>146</v>
      </c>
      <c r="V50" s="110">
        <f t="shared" ca="1" si="5"/>
        <v>146</v>
      </c>
      <c r="W50" s="110">
        <f t="shared" ca="1" si="5"/>
        <v>146</v>
      </c>
      <c r="X50" s="110">
        <f t="shared" ca="1" si="5"/>
        <v>146</v>
      </c>
      <c r="Y50" s="110">
        <f t="shared" ca="1" si="5"/>
        <v>146</v>
      </c>
      <c r="Z50" s="110">
        <f t="shared" ca="1" si="5"/>
        <v>146</v>
      </c>
      <c r="AA50" s="110">
        <f t="shared" ca="1" si="5"/>
        <v>146</v>
      </c>
      <c r="AB50" s="110">
        <f t="shared" ca="1" si="5"/>
        <v>146</v>
      </c>
    </row>
    <row r="51" spans="1:28">
      <c r="A51" s="113">
        <v>0</v>
      </c>
      <c r="B51" s="4" t="s">
        <v>73</v>
      </c>
      <c r="C51" s="4">
        <v>149.6</v>
      </c>
      <c r="D51" s="4">
        <v>2011</v>
      </c>
      <c r="E51" s="2" t="s">
        <v>19</v>
      </c>
      <c r="F51" s="3" t="s">
        <v>6</v>
      </c>
      <c r="G51" s="4" t="s">
        <v>11</v>
      </c>
      <c r="I51" s="110">
        <f t="shared" ca="1" si="4"/>
        <v>149.6</v>
      </c>
      <c r="J51" s="110">
        <f t="shared" ca="1" si="4"/>
        <v>149.6</v>
      </c>
      <c r="K51" s="110">
        <f t="shared" ca="1" si="4"/>
        <v>149.6</v>
      </c>
      <c r="L51" s="110">
        <f t="shared" ca="1" si="4"/>
        <v>149.6</v>
      </c>
      <c r="M51" s="110">
        <f t="shared" ca="1" si="4"/>
        <v>149.6</v>
      </c>
      <c r="N51" s="110">
        <f t="shared" ca="1" si="4"/>
        <v>149.6</v>
      </c>
      <c r="O51" s="110">
        <f t="shared" ca="1" si="4"/>
        <v>149.6</v>
      </c>
      <c r="P51" s="110">
        <f t="shared" ca="1" si="4"/>
        <v>149.6</v>
      </c>
      <c r="Q51" s="110">
        <f t="shared" ca="1" si="4"/>
        <v>149.6</v>
      </c>
      <c r="R51" s="110">
        <f t="shared" ca="1" si="4"/>
        <v>149.6</v>
      </c>
      <c r="S51" s="110">
        <f t="shared" ca="1" si="5"/>
        <v>149.6</v>
      </c>
      <c r="T51" s="110">
        <f t="shared" ca="1" si="5"/>
        <v>149.6</v>
      </c>
      <c r="U51" s="110">
        <f t="shared" ca="1" si="5"/>
        <v>149.6</v>
      </c>
      <c r="V51" s="110">
        <f t="shared" ca="1" si="5"/>
        <v>149.6</v>
      </c>
      <c r="W51" s="110">
        <f t="shared" ca="1" si="5"/>
        <v>149.6</v>
      </c>
      <c r="X51" s="110">
        <f t="shared" ca="1" si="5"/>
        <v>149.6</v>
      </c>
      <c r="Y51" s="110">
        <f t="shared" ca="1" si="5"/>
        <v>149.6</v>
      </c>
      <c r="Z51" s="110">
        <f t="shared" ca="1" si="5"/>
        <v>149.6</v>
      </c>
      <c r="AA51" s="110">
        <f t="shared" ca="1" si="5"/>
        <v>149.6</v>
      </c>
      <c r="AB51" s="110">
        <f t="shared" ca="1" si="5"/>
        <v>149.6</v>
      </c>
    </row>
    <row r="52" spans="1:28">
      <c r="A52" s="113">
        <v>0</v>
      </c>
      <c r="B52" s="4" t="s">
        <v>74</v>
      </c>
      <c r="C52" s="4">
        <v>14</v>
      </c>
      <c r="D52" s="4">
        <v>2017</v>
      </c>
      <c r="E52" s="2" t="s">
        <v>20</v>
      </c>
      <c r="F52" s="3" t="s">
        <v>6</v>
      </c>
      <c r="G52" s="4" t="s">
        <v>11</v>
      </c>
      <c r="I52" s="110">
        <f t="shared" ca="1" si="4"/>
        <v>0</v>
      </c>
      <c r="J52" s="110">
        <f t="shared" ca="1" si="4"/>
        <v>0</v>
      </c>
      <c r="K52" s="110">
        <f t="shared" ca="1" si="4"/>
        <v>0</v>
      </c>
      <c r="L52" s="110">
        <f t="shared" ca="1" si="4"/>
        <v>0</v>
      </c>
      <c r="M52" s="110">
        <f t="shared" ca="1" si="4"/>
        <v>0</v>
      </c>
      <c r="N52" s="110">
        <f t="shared" ca="1" si="4"/>
        <v>0</v>
      </c>
      <c r="O52" s="110">
        <f t="shared" ca="1" si="4"/>
        <v>14</v>
      </c>
      <c r="P52" s="110">
        <f t="shared" ca="1" si="4"/>
        <v>14</v>
      </c>
      <c r="Q52" s="110">
        <f t="shared" ca="1" si="4"/>
        <v>14</v>
      </c>
      <c r="R52" s="110">
        <f t="shared" ca="1" si="4"/>
        <v>14</v>
      </c>
      <c r="S52" s="110">
        <f t="shared" ca="1" si="5"/>
        <v>14</v>
      </c>
      <c r="T52" s="110">
        <f t="shared" ca="1" si="5"/>
        <v>14</v>
      </c>
      <c r="U52" s="110">
        <f t="shared" ca="1" si="5"/>
        <v>14</v>
      </c>
      <c r="V52" s="110">
        <f t="shared" ca="1" si="5"/>
        <v>14</v>
      </c>
      <c r="W52" s="110">
        <f t="shared" ca="1" si="5"/>
        <v>14</v>
      </c>
      <c r="X52" s="110">
        <f t="shared" ca="1" si="5"/>
        <v>14</v>
      </c>
      <c r="Y52" s="110">
        <f t="shared" ca="1" si="5"/>
        <v>14</v>
      </c>
      <c r="Z52" s="110">
        <f t="shared" ca="1" si="5"/>
        <v>14</v>
      </c>
      <c r="AA52" s="110">
        <f t="shared" ca="1" si="5"/>
        <v>14</v>
      </c>
      <c r="AB52" s="110">
        <f t="shared" ca="1" si="5"/>
        <v>14</v>
      </c>
    </row>
    <row r="53" spans="1:28">
      <c r="A53" s="113">
        <v>0</v>
      </c>
      <c r="B53" s="4" t="s">
        <v>75</v>
      </c>
      <c r="C53" s="4">
        <v>106</v>
      </c>
      <c r="D53" s="4">
        <v>2017</v>
      </c>
      <c r="E53" s="2" t="s">
        <v>19</v>
      </c>
      <c r="F53" s="3" t="s">
        <v>6</v>
      </c>
      <c r="G53" s="4" t="s">
        <v>11</v>
      </c>
      <c r="I53" s="110">
        <f t="shared" ca="1" si="4"/>
        <v>0</v>
      </c>
      <c r="J53" s="110">
        <f t="shared" ca="1" si="4"/>
        <v>0</v>
      </c>
      <c r="K53" s="110">
        <f t="shared" ca="1" si="4"/>
        <v>0</v>
      </c>
      <c r="L53" s="110">
        <f t="shared" ca="1" si="4"/>
        <v>0</v>
      </c>
      <c r="M53" s="110">
        <f t="shared" ca="1" si="4"/>
        <v>0</v>
      </c>
      <c r="N53" s="110">
        <f t="shared" ca="1" si="4"/>
        <v>0</v>
      </c>
      <c r="O53" s="110">
        <f t="shared" ca="1" si="4"/>
        <v>106</v>
      </c>
      <c r="P53" s="110">
        <f t="shared" ca="1" si="4"/>
        <v>106</v>
      </c>
      <c r="Q53" s="110">
        <f t="shared" ca="1" si="4"/>
        <v>106</v>
      </c>
      <c r="R53" s="110">
        <f t="shared" ca="1" si="4"/>
        <v>106</v>
      </c>
      <c r="S53" s="110">
        <f t="shared" ca="1" si="5"/>
        <v>106</v>
      </c>
      <c r="T53" s="110">
        <f t="shared" ca="1" si="5"/>
        <v>106</v>
      </c>
      <c r="U53" s="110">
        <f t="shared" ca="1" si="5"/>
        <v>106</v>
      </c>
      <c r="V53" s="110">
        <f t="shared" ca="1" si="5"/>
        <v>106</v>
      </c>
      <c r="W53" s="110">
        <f t="shared" ca="1" si="5"/>
        <v>106</v>
      </c>
      <c r="X53" s="110">
        <f t="shared" ca="1" si="5"/>
        <v>106</v>
      </c>
      <c r="Y53" s="110">
        <f t="shared" ca="1" si="5"/>
        <v>106</v>
      </c>
      <c r="Z53" s="110">
        <f t="shared" ca="1" si="5"/>
        <v>106</v>
      </c>
      <c r="AA53" s="110">
        <f t="shared" ca="1" si="5"/>
        <v>106</v>
      </c>
      <c r="AB53" s="110">
        <f t="shared" ca="1" si="5"/>
        <v>106</v>
      </c>
    </row>
    <row r="54" spans="1:28">
      <c r="A54" s="113">
        <v>0</v>
      </c>
      <c r="B54" s="4" t="s">
        <v>76</v>
      </c>
      <c r="C54" s="4">
        <v>103</v>
      </c>
      <c r="D54" s="4">
        <v>2017</v>
      </c>
      <c r="E54" s="2" t="s">
        <v>19</v>
      </c>
      <c r="F54" s="3" t="s">
        <v>6</v>
      </c>
      <c r="G54" s="4" t="s">
        <v>11</v>
      </c>
      <c r="I54" s="110">
        <f t="shared" ca="1" si="4"/>
        <v>0</v>
      </c>
      <c r="J54" s="110">
        <f t="shared" ca="1" si="4"/>
        <v>0</v>
      </c>
      <c r="K54" s="110">
        <f t="shared" ca="1" si="4"/>
        <v>0</v>
      </c>
      <c r="L54" s="110">
        <f t="shared" ca="1" si="4"/>
        <v>0</v>
      </c>
      <c r="M54" s="110">
        <f t="shared" ca="1" si="4"/>
        <v>0</v>
      </c>
      <c r="N54" s="110">
        <f t="shared" ca="1" si="4"/>
        <v>0</v>
      </c>
      <c r="O54" s="110">
        <f t="shared" ca="1" si="4"/>
        <v>103</v>
      </c>
      <c r="P54" s="110">
        <f t="shared" ca="1" si="4"/>
        <v>103</v>
      </c>
      <c r="Q54" s="110">
        <f t="shared" ca="1" si="4"/>
        <v>103</v>
      </c>
      <c r="R54" s="110">
        <f t="shared" ca="1" si="4"/>
        <v>103</v>
      </c>
      <c r="S54" s="110">
        <f t="shared" ca="1" si="5"/>
        <v>103</v>
      </c>
      <c r="T54" s="110">
        <f t="shared" ca="1" si="5"/>
        <v>103</v>
      </c>
      <c r="U54" s="110">
        <f t="shared" ca="1" si="5"/>
        <v>103</v>
      </c>
      <c r="V54" s="110">
        <f t="shared" ca="1" si="5"/>
        <v>103</v>
      </c>
      <c r="W54" s="110">
        <f t="shared" ca="1" si="5"/>
        <v>103</v>
      </c>
      <c r="X54" s="110">
        <f t="shared" ca="1" si="5"/>
        <v>103</v>
      </c>
      <c r="Y54" s="110">
        <f t="shared" ca="1" si="5"/>
        <v>103</v>
      </c>
      <c r="Z54" s="110">
        <f t="shared" ca="1" si="5"/>
        <v>103</v>
      </c>
      <c r="AA54" s="110">
        <f t="shared" ca="1" si="5"/>
        <v>103</v>
      </c>
      <c r="AB54" s="110">
        <f t="shared" ca="1" si="5"/>
        <v>103</v>
      </c>
    </row>
    <row r="55" spans="1:28">
      <c r="A55" s="113">
        <v>0</v>
      </c>
      <c r="B55" s="4" t="s">
        <v>77</v>
      </c>
      <c r="C55" s="4">
        <v>109</v>
      </c>
      <c r="D55" s="4">
        <v>2017</v>
      </c>
      <c r="E55" s="2" t="s">
        <v>19</v>
      </c>
      <c r="F55" s="3" t="s">
        <v>6</v>
      </c>
      <c r="G55" s="4" t="s">
        <v>11</v>
      </c>
      <c r="I55" s="110">
        <f t="shared" ca="1" si="4"/>
        <v>0</v>
      </c>
      <c r="J55" s="110">
        <f t="shared" ca="1" si="4"/>
        <v>0</v>
      </c>
      <c r="K55" s="110">
        <f t="shared" ca="1" si="4"/>
        <v>0</v>
      </c>
      <c r="L55" s="110">
        <f t="shared" ca="1" si="4"/>
        <v>0</v>
      </c>
      <c r="M55" s="110">
        <f t="shared" ca="1" si="4"/>
        <v>0</v>
      </c>
      <c r="N55" s="110">
        <f t="shared" ca="1" si="4"/>
        <v>0</v>
      </c>
      <c r="O55" s="110">
        <f t="shared" ca="1" si="4"/>
        <v>109</v>
      </c>
      <c r="P55" s="110">
        <f t="shared" ca="1" si="4"/>
        <v>109</v>
      </c>
      <c r="Q55" s="110">
        <f t="shared" ca="1" si="4"/>
        <v>109</v>
      </c>
      <c r="R55" s="110">
        <f t="shared" ca="1" si="4"/>
        <v>109</v>
      </c>
      <c r="S55" s="110">
        <f t="shared" ca="1" si="5"/>
        <v>109</v>
      </c>
      <c r="T55" s="110">
        <f t="shared" ca="1" si="5"/>
        <v>109</v>
      </c>
      <c r="U55" s="110">
        <f t="shared" ca="1" si="5"/>
        <v>109</v>
      </c>
      <c r="V55" s="110">
        <f t="shared" ca="1" si="5"/>
        <v>109</v>
      </c>
      <c r="W55" s="110">
        <f t="shared" ca="1" si="5"/>
        <v>109</v>
      </c>
      <c r="X55" s="110">
        <f t="shared" ca="1" si="5"/>
        <v>109</v>
      </c>
      <c r="Y55" s="110">
        <f t="shared" ca="1" si="5"/>
        <v>109</v>
      </c>
      <c r="Z55" s="110">
        <f t="shared" ca="1" si="5"/>
        <v>109</v>
      </c>
      <c r="AA55" s="110">
        <f t="shared" ca="1" si="5"/>
        <v>109</v>
      </c>
      <c r="AB55" s="110">
        <f t="shared" ca="1" si="5"/>
        <v>109</v>
      </c>
    </row>
    <row r="56" spans="1:28">
      <c r="A56" s="113">
        <v>0</v>
      </c>
      <c r="B56" s="4" t="s">
        <v>78</v>
      </c>
      <c r="C56" s="4">
        <v>299</v>
      </c>
      <c r="D56" s="4">
        <v>2017</v>
      </c>
      <c r="E56" s="2" t="s">
        <v>19</v>
      </c>
      <c r="F56" s="3" t="s">
        <v>6</v>
      </c>
      <c r="G56" s="4" t="s">
        <v>11</v>
      </c>
      <c r="I56" s="110">
        <f t="shared" ca="1" si="4"/>
        <v>0</v>
      </c>
      <c r="J56" s="110">
        <f t="shared" ca="1" si="4"/>
        <v>0</v>
      </c>
      <c r="K56" s="110">
        <f t="shared" ca="1" si="4"/>
        <v>0</v>
      </c>
      <c r="L56" s="110">
        <f t="shared" ca="1" si="4"/>
        <v>0</v>
      </c>
      <c r="M56" s="110">
        <f t="shared" ca="1" si="4"/>
        <v>0</v>
      </c>
      <c r="N56" s="110">
        <f t="shared" ca="1" si="4"/>
        <v>0</v>
      </c>
      <c r="O56" s="110">
        <f t="shared" ca="1" si="4"/>
        <v>299</v>
      </c>
      <c r="P56" s="110">
        <f t="shared" ca="1" si="4"/>
        <v>299</v>
      </c>
      <c r="Q56" s="110">
        <f t="shared" ca="1" si="4"/>
        <v>299</v>
      </c>
      <c r="R56" s="110">
        <f t="shared" ca="1" si="4"/>
        <v>299</v>
      </c>
      <c r="S56" s="110">
        <f t="shared" ca="1" si="5"/>
        <v>299</v>
      </c>
      <c r="T56" s="110">
        <f t="shared" ca="1" si="5"/>
        <v>299</v>
      </c>
      <c r="U56" s="110">
        <f t="shared" ca="1" si="5"/>
        <v>299</v>
      </c>
      <c r="V56" s="110">
        <f t="shared" ca="1" si="5"/>
        <v>299</v>
      </c>
      <c r="W56" s="110">
        <f t="shared" ca="1" si="5"/>
        <v>299</v>
      </c>
      <c r="X56" s="110">
        <f t="shared" ca="1" si="5"/>
        <v>299</v>
      </c>
      <c r="Y56" s="110">
        <f t="shared" ca="1" si="5"/>
        <v>299</v>
      </c>
      <c r="Z56" s="110">
        <f t="shared" ca="1" si="5"/>
        <v>299</v>
      </c>
      <c r="AA56" s="110">
        <f t="shared" ca="1" si="5"/>
        <v>299</v>
      </c>
      <c r="AB56" s="110">
        <f t="shared" ca="1" si="5"/>
        <v>299</v>
      </c>
    </row>
    <row r="57" spans="1:28">
      <c r="A57" s="113">
        <v>0</v>
      </c>
      <c r="B57" s="4" t="s">
        <v>79</v>
      </c>
      <c r="C57" s="4">
        <v>329</v>
      </c>
      <c r="D57" s="4">
        <v>2017</v>
      </c>
      <c r="E57" s="2" t="s">
        <v>19</v>
      </c>
      <c r="F57" s="3" t="s">
        <v>6</v>
      </c>
      <c r="G57" s="4" t="s">
        <v>11</v>
      </c>
      <c r="I57" s="110">
        <f t="shared" ca="1" si="4"/>
        <v>0</v>
      </c>
      <c r="J57" s="110">
        <f t="shared" ca="1" si="4"/>
        <v>0</v>
      </c>
      <c r="K57" s="110">
        <f t="shared" ca="1" si="4"/>
        <v>0</v>
      </c>
      <c r="L57" s="110">
        <f t="shared" ca="1" si="4"/>
        <v>0</v>
      </c>
      <c r="M57" s="110">
        <f t="shared" ca="1" si="4"/>
        <v>0</v>
      </c>
      <c r="N57" s="110">
        <f t="shared" ca="1" si="4"/>
        <v>0</v>
      </c>
      <c r="O57" s="110">
        <f t="shared" ca="1" si="4"/>
        <v>329</v>
      </c>
      <c r="P57" s="110">
        <f t="shared" ca="1" si="4"/>
        <v>329</v>
      </c>
      <c r="Q57" s="110">
        <f t="shared" ca="1" si="4"/>
        <v>329</v>
      </c>
      <c r="R57" s="110">
        <f t="shared" ca="1" si="4"/>
        <v>329</v>
      </c>
      <c r="S57" s="110">
        <f t="shared" ca="1" si="5"/>
        <v>329</v>
      </c>
      <c r="T57" s="110">
        <f t="shared" ca="1" si="5"/>
        <v>329</v>
      </c>
      <c r="U57" s="110">
        <f t="shared" ca="1" si="5"/>
        <v>329</v>
      </c>
      <c r="V57" s="110">
        <f t="shared" ca="1" si="5"/>
        <v>329</v>
      </c>
      <c r="W57" s="110">
        <f t="shared" ca="1" si="5"/>
        <v>329</v>
      </c>
      <c r="X57" s="110">
        <f t="shared" ca="1" si="5"/>
        <v>329</v>
      </c>
      <c r="Y57" s="110">
        <f t="shared" ca="1" si="5"/>
        <v>329</v>
      </c>
      <c r="Z57" s="110">
        <f t="shared" ca="1" si="5"/>
        <v>329</v>
      </c>
      <c r="AA57" s="110">
        <f t="shared" ca="1" si="5"/>
        <v>329</v>
      </c>
      <c r="AB57" s="110">
        <f t="shared" ca="1" si="5"/>
        <v>329</v>
      </c>
    </row>
    <row r="58" spans="1:28">
      <c r="A58" s="113">
        <v>0</v>
      </c>
      <c r="B58" s="4" t="s">
        <v>80</v>
      </c>
      <c r="C58" s="4">
        <v>52</v>
      </c>
      <c r="D58" s="4">
        <v>2010</v>
      </c>
      <c r="E58" s="2" t="s">
        <v>20</v>
      </c>
      <c r="F58" s="4" t="s">
        <v>23</v>
      </c>
      <c r="G58" s="4" t="s">
        <v>10</v>
      </c>
      <c r="I58" s="110">
        <f t="shared" ca="1" si="4"/>
        <v>52</v>
      </c>
      <c r="J58" s="110">
        <f t="shared" ca="1" si="4"/>
        <v>52</v>
      </c>
      <c r="K58" s="110">
        <f t="shared" ca="1" si="4"/>
        <v>52</v>
      </c>
      <c r="L58" s="110">
        <f t="shared" ca="1" si="4"/>
        <v>52</v>
      </c>
      <c r="M58" s="110">
        <f t="shared" ca="1" si="4"/>
        <v>52</v>
      </c>
      <c r="N58" s="110">
        <f t="shared" ca="1" si="4"/>
        <v>52</v>
      </c>
      <c r="O58" s="110">
        <f t="shared" ca="1" si="4"/>
        <v>52</v>
      </c>
      <c r="P58" s="110">
        <f t="shared" ca="1" si="4"/>
        <v>52</v>
      </c>
      <c r="Q58" s="110">
        <f t="shared" ca="1" si="4"/>
        <v>52</v>
      </c>
      <c r="R58" s="110">
        <f t="shared" ca="1" si="4"/>
        <v>52</v>
      </c>
      <c r="S58" s="110">
        <f t="shared" ca="1" si="5"/>
        <v>52</v>
      </c>
      <c r="T58" s="110">
        <f t="shared" ca="1" si="5"/>
        <v>52</v>
      </c>
      <c r="U58" s="110">
        <f t="shared" ca="1" si="5"/>
        <v>52</v>
      </c>
      <c r="V58" s="110">
        <f t="shared" ca="1" si="5"/>
        <v>52</v>
      </c>
      <c r="W58" s="110">
        <f t="shared" ca="1" si="5"/>
        <v>52</v>
      </c>
      <c r="X58" s="110">
        <f t="shared" ca="1" si="5"/>
        <v>52</v>
      </c>
      <c r="Y58" s="110">
        <f t="shared" ca="1" si="5"/>
        <v>52</v>
      </c>
      <c r="Z58" s="110">
        <f t="shared" ca="1" si="5"/>
        <v>52</v>
      </c>
      <c r="AA58" s="110">
        <f t="shared" ca="1" si="5"/>
        <v>52</v>
      </c>
      <c r="AB58" s="110">
        <f t="shared" ca="1" si="5"/>
        <v>52</v>
      </c>
    </row>
    <row r="59" spans="1:28">
      <c r="A59" s="113">
        <v>0</v>
      </c>
      <c r="B59" s="4" t="s">
        <v>81</v>
      </c>
      <c r="C59" s="4">
        <v>52</v>
      </c>
      <c r="D59" s="4">
        <v>2010</v>
      </c>
      <c r="E59" s="2" t="s">
        <v>20</v>
      </c>
      <c r="F59" s="4" t="s">
        <v>23</v>
      </c>
      <c r="G59" s="4" t="s">
        <v>10</v>
      </c>
      <c r="I59" s="110">
        <f t="shared" ref="I59:R68" ca="1" si="6">IF(AND(OR($A59=0,$A59=scenGen),$D59&lt;=I$28),$C59,0)</f>
        <v>52</v>
      </c>
      <c r="J59" s="110">
        <f t="shared" ca="1" si="6"/>
        <v>52</v>
      </c>
      <c r="K59" s="110">
        <f t="shared" ca="1" si="6"/>
        <v>52</v>
      </c>
      <c r="L59" s="110">
        <f t="shared" ca="1" si="6"/>
        <v>52</v>
      </c>
      <c r="M59" s="110">
        <f t="shared" ca="1" si="6"/>
        <v>52</v>
      </c>
      <c r="N59" s="110">
        <f t="shared" ca="1" si="6"/>
        <v>52</v>
      </c>
      <c r="O59" s="110">
        <f t="shared" ca="1" si="6"/>
        <v>52</v>
      </c>
      <c r="P59" s="110">
        <f t="shared" ca="1" si="6"/>
        <v>52</v>
      </c>
      <c r="Q59" s="110">
        <f t="shared" ca="1" si="6"/>
        <v>52</v>
      </c>
      <c r="R59" s="110">
        <f t="shared" ca="1" si="6"/>
        <v>52</v>
      </c>
      <c r="S59" s="110">
        <f t="shared" ref="S59:AB68" ca="1" si="7">IF(AND(OR($A59=0,$A59=scenGen),$D59&lt;=S$28),$C59,0)</f>
        <v>52</v>
      </c>
      <c r="T59" s="110">
        <f t="shared" ca="1" si="7"/>
        <v>52</v>
      </c>
      <c r="U59" s="110">
        <f t="shared" ca="1" si="7"/>
        <v>52</v>
      </c>
      <c r="V59" s="110">
        <f t="shared" ca="1" si="7"/>
        <v>52</v>
      </c>
      <c r="W59" s="110">
        <f t="shared" ca="1" si="7"/>
        <v>52</v>
      </c>
      <c r="X59" s="110">
        <f t="shared" ca="1" si="7"/>
        <v>52</v>
      </c>
      <c r="Y59" s="110">
        <f t="shared" ca="1" si="7"/>
        <v>52</v>
      </c>
      <c r="Z59" s="110">
        <f t="shared" ca="1" si="7"/>
        <v>52</v>
      </c>
      <c r="AA59" s="110">
        <f t="shared" ca="1" si="7"/>
        <v>52</v>
      </c>
      <c r="AB59" s="110">
        <f t="shared" ca="1" si="7"/>
        <v>52</v>
      </c>
    </row>
    <row r="60" spans="1:28">
      <c r="A60" s="113">
        <v>0</v>
      </c>
      <c r="B60" s="4" t="s">
        <v>82</v>
      </c>
      <c r="C60" s="4">
        <v>52</v>
      </c>
      <c r="D60" s="4">
        <v>2010</v>
      </c>
      <c r="E60" s="2" t="s">
        <v>20</v>
      </c>
      <c r="F60" s="4" t="s">
        <v>23</v>
      </c>
      <c r="G60" s="4" t="s">
        <v>10</v>
      </c>
      <c r="I60" s="110">
        <f t="shared" ca="1" si="6"/>
        <v>52</v>
      </c>
      <c r="J60" s="110">
        <f t="shared" ca="1" si="6"/>
        <v>52</v>
      </c>
      <c r="K60" s="110">
        <f t="shared" ca="1" si="6"/>
        <v>52</v>
      </c>
      <c r="L60" s="110">
        <f t="shared" ca="1" si="6"/>
        <v>52</v>
      </c>
      <c r="M60" s="110">
        <f t="shared" ca="1" si="6"/>
        <v>52</v>
      </c>
      <c r="N60" s="110">
        <f t="shared" ca="1" si="6"/>
        <v>52</v>
      </c>
      <c r="O60" s="110">
        <f t="shared" ca="1" si="6"/>
        <v>52</v>
      </c>
      <c r="P60" s="110">
        <f t="shared" ca="1" si="6"/>
        <v>52</v>
      </c>
      <c r="Q60" s="110">
        <f t="shared" ca="1" si="6"/>
        <v>52</v>
      </c>
      <c r="R60" s="110">
        <f t="shared" ca="1" si="6"/>
        <v>52</v>
      </c>
      <c r="S60" s="110">
        <f t="shared" ca="1" si="7"/>
        <v>52</v>
      </c>
      <c r="T60" s="110">
        <f t="shared" ca="1" si="7"/>
        <v>52</v>
      </c>
      <c r="U60" s="110">
        <f t="shared" ca="1" si="7"/>
        <v>52</v>
      </c>
      <c r="V60" s="110">
        <f t="shared" ca="1" si="7"/>
        <v>52</v>
      </c>
      <c r="W60" s="110">
        <f t="shared" ca="1" si="7"/>
        <v>52</v>
      </c>
      <c r="X60" s="110">
        <f t="shared" ca="1" si="7"/>
        <v>52</v>
      </c>
      <c r="Y60" s="110">
        <f t="shared" ca="1" si="7"/>
        <v>52</v>
      </c>
      <c r="Z60" s="110">
        <f t="shared" ca="1" si="7"/>
        <v>52</v>
      </c>
      <c r="AA60" s="110">
        <f t="shared" ca="1" si="7"/>
        <v>52</v>
      </c>
      <c r="AB60" s="110">
        <f t="shared" ca="1" si="7"/>
        <v>52</v>
      </c>
    </row>
    <row r="61" spans="1:28">
      <c r="A61" s="113">
        <v>0</v>
      </c>
      <c r="B61" s="4" t="s">
        <v>86</v>
      </c>
      <c r="C61" s="4">
        <v>682</v>
      </c>
      <c r="D61" s="4">
        <v>2017</v>
      </c>
      <c r="E61" s="2" t="s">
        <v>19</v>
      </c>
      <c r="F61" s="4" t="s">
        <v>23</v>
      </c>
      <c r="G61" s="4" t="s">
        <v>10</v>
      </c>
      <c r="I61" s="110">
        <f t="shared" ca="1" si="6"/>
        <v>0</v>
      </c>
      <c r="J61" s="110">
        <f t="shared" ca="1" si="6"/>
        <v>0</v>
      </c>
      <c r="K61" s="110">
        <f t="shared" ca="1" si="6"/>
        <v>0</v>
      </c>
      <c r="L61" s="110">
        <f t="shared" ca="1" si="6"/>
        <v>0</v>
      </c>
      <c r="M61" s="110">
        <f t="shared" ca="1" si="6"/>
        <v>0</v>
      </c>
      <c r="N61" s="110">
        <f t="shared" ca="1" si="6"/>
        <v>0</v>
      </c>
      <c r="O61" s="110">
        <f t="shared" ca="1" si="6"/>
        <v>682</v>
      </c>
      <c r="P61" s="110">
        <f t="shared" ca="1" si="6"/>
        <v>682</v>
      </c>
      <c r="Q61" s="110">
        <f t="shared" ca="1" si="6"/>
        <v>682</v>
      </c>
      <c r="R61" s="110">
        <f t="shared" ca="1" si="6"/>
        <v>682</v>
      </c>
      <c r="S61" s="110">
        <f t="shared" ca="1" si="7"/>
        <v>682</v>
      </c>
      <c r="T61" s="110">
        <f t="shared" ca="1" si="7"/>
        <v>682</v>
      </c>
      <c r="U61" s="110">
        <f t="shared" ca="1" si="7"/>
        <v>682</v>
      </c>
      <c r="V61" s="110">
        <f t="shared" ca="1" si="7"/>
        <v>682</v>
      </c>
      <c r="W61" s="110">
        <f t="shared" ca="1" si="7"/>
        <v>682</v>
      </c>
      <c r="X61" s="110">
        <f t="shared" ca="1" si="7"/>
        <v>682</v>
      </c>
      <c r="Y61" s="110">
        <f t="shared" ca="1" si="7"/>
        <v>682</v>
      </c>
      <c r="Z61" s="110">
        <f t="shared" ca="1" si="7"/>
        <v>682</v>
      </c>
      <c r="AA61" s="110">
        <f t="shared" ca="1" si="7"/>
        <v>682</v>
      </c>
      <c r="AB61" s="110">
        <f t="shared" ca="1" si="7"/>
        <v>682</v>
      </c>
    </row>
    <row r="62" spans="1:28">
      <c r="A62" s="113">
        <v>0</v>
      </c>
      <c r="B62" s="4" t="s">
        <v>87</v>
      </c>
      <c r="C62" s="4">
        <v>63</v>
      </c>
      <c r="D62" s="4">
        <v>2015</v>
      </c>
      <c r="E62" s="2" t="s">
        <v>19</v>
      </c>
      <c r="F62" s="4" t="s">
        <v>23</v>
      </c>
      <c r="G62" s="4" t="s">
        <v>12</v>
      </c>
      <c r="I62" s="110">
        <f t="shared" ca="1" si="6"/>
        <v>0</v>
      </c>
      <c r="J62" s="110">
        <f t="shared" ca="1" si="6"/>
        <v>0</v>
      </c>
      <c r="K62" s="110">
        <f t="shared" ca="1" si="6"/>
        <v>0</v>
      </c>
      <c r="L62" s="110">
        <f t="shared" ca="1" si="6"/>
        <v>0</v>
      </c>
      <c r="M62" s="110">
        <f t="shared" ca="1" si="6"/>
        <v>63</v>
      </c>
      <c r="N62" s="110">
        <f t="shared" ca="1" si="6"/>
        <v>63</v>
      </c>
      <c r="O62" s="110">
        <f t="shared" ca="1" si="6"/>
        <v>63</v>
      </c>
      <c r="P62" s="110">
        <f t="shared" ca="1" si="6"/>
        <v>63</v>
      </c>
      <c r="Q62" s="110">
        <f t="shared" ca="1" si="6"/>
        <v>63</v>
      </c>
      <c r="R62" s="110">
        <f t="shared" ca="1" si="6"/>
        <v>63</v>
      </c>
      <c r="S62" s="110">
        <f t="shared" ca="1" si="7"/>
        <v>63</v>
      </c>
      <c r="T62" s="110">
        <f t="shared" ca="1" si="7"/>
        <v>63</v>
      </c>
      <c r="U62" s="110">
        <f t="shared" ca="1" si="7"/>
        <v>63</v>
      </c>
      <c r="V62" s="110">
        <f t="shared" ca="1" si="7"/>
        <v>63</v>
      </c>
      <c r="W62" s="110">
        <f t="shared" ca="1" si="7"/>
        <v>63</v>
      </c>
      <c r="X62" s="110">
        <f t="shared" ca="1" si="7"/>
        <v>63</v>
      </c>
      <c r="Y62" s="110">
        <f t="shared" ca="1" si="7"/>
        <v>63</v>
      </c>
      <c r="Z62" s="110">
        <f t="shared" ca="1" si="7"/>
        <v>63</v>
      </c>
      <c r="AA62" s="110">
        <f t="shared" ca="1" si="7"/>
        <v>63</v>
      </c>
      <c r="AB62" s="110">
        <f t="shared" ca="1" si="7"/>
        <v>63</v>
      </c>
    </row>
    <row r="63" spans="1:28">
      <c r="A63" s="113">
        <v>0</v>
      </c>
      <c r="B63" s="4" t="s">
        <v>89</v>
      </c>
      <c r="C63" s="4">
        <v>81.5</v>
      </c>
      <c r="D63" s="4">
        <v>2015</v>
      </c>
      <c r="E63" s="2" t="s">
        <v>19</v>
      </c>
      <c r="F63" s="4" t="s">
        <v>23</v>
      </c>
      <c r="G63" s="4" t="s">
        <v>12</v>
      </c>
      <c r="I63" s="110">
        <f t="shared" ca="1" si="6"/>
        <v>0</v>
      </c>
      <c r="J63" s="110">
        <f t="shared" ca="1" si="6"/>
        <v>0</v>
      </c>
      <c r="K63" s="110">
        <f t="shared" ca="1" si="6"/>
        <v>0</v>
      </c>
      <c r="L63" s="110">
        <f t="shared" ca="1" si="6"/>
        <v>0</v>
      </c>
      <c r="M63" s="110">
        <f t="shared" ca="1" si="6"/>
        <v>81.5</v>
      </c>
      <c r="N63" s="110">
        <f t="shared" ca="1" si="6"/>
        <v>81.5</v>
      </c>
      <c r="O63" s="110">
        <f t="shared" ca="1" si="6"/>
        <v>81.5</v>
      </c>
      <c r="P63" s="110">
        <f t="shared" ca="1" si="6"/>
        <v>81.5</v>
      </c>
      <c r="Q63" s="110">
        <f t="shared" ca="1" si="6"/>
        <v>81.5</v>
      </c>
      <c r="R63" s="110">
        <f t="shared" ca="1" si="6"/>
        <v>81.5</v>
      </c>
      <c r="S63" s="110">
        <f t="shared" ca="1" si="7"/>
        <v>81.5</v>
      </c>
      <c r="T63" s="110">
        <f t="shared" ca="1" si="7"/>
        <v>81.5</v>
      </c>
      <c r="U63" s="110">
        <f t="shared" ca="1" si="7"/>
        <v>81.5</v>
      </c>
      <c r="V63" s="110">
        <f t="shared" ca="1" si="7"/>
        <v>81.5</v>
      </c>
      <c r="W63" s="110">
        <f t="shared" ca="1" si="7"/>
        <v>81.5</v>
      </c>
      <c r="X63" s="110">
        <f t="shared" ca="1" si="7"/>
        <v>81.5</v>
      </c>
      <c r="Y63" s="110">
        <f t="shared" ca="1" si="7"/>
        <v>81.5</v>
      </c>
      <c r="Z63" s="110">
        <f t="shared" ca="1" si="7"/>
        <v>81.5</v>
      </c>
      <c r="AA63" s="110">
        <f t="shared" ca="1" si="7"/>
        <v>81.5</v>
      </c>
      <c r="AB63" s="110">
        <f t="shared" ca="1" si="7"/>
        <v>81.5</v>
      </c>
    </row>
    <row r="64" spans="1:28">
      <c r="A64" s="113">
        <v>0</v>
      </c>
      <c r="B64" s="4" t="s">
        <v>94</v>
      </c>
      <c r="C64" s="4">
        <v>163</v>
      </c>
      <c r="D64" s="4">
        <v>2010</v>
      </c>
      <c r="E64" s="2" t="s">
        <v>20</v>
      </c>
      <c r="F64" s="3" t="s">
        <v>129</v>
      </c>
      <c r="G64" s="4" t="s">
        <v>10</v>
      </c>
      <c r="I64" s="110">
        <f t="shared" ca="1" si="6"/>
        <v>163</v>
      </c>
      <c r="J64" s="110">
        <f t="shared" ca="1" si="6"/>
        <v>163</v>
      </c>
      <c r="K64" s="110">
        <f t="shared" ca="1" si="6"/>
        <v>163</v>
      </c>
      <c r="L64" s="110">
        <f t="shared" ca="1" si="6"/>
        <v>163</v>
      </c>
      <c r="M64" s="110">
        <f t="shared" ca="1" si="6"/>
        <v>163</v>
      </c>
      <c r="N64" s="110">
        <f t="shared" ca="1" si="6"/>
        <v>163</v>
      </c>
      <c r="O64" s="110">
        <f t="shared" ca="1" si="6"/>
        <v>163</v>
      </c>
      <c r="P64" s="110">
        <f t="shared" ca="1" si="6"/>
        <v>163</v>
      </c>
      <c r="Q64" s="110">
        <f t="shared" ca="1" si="6"/>
        <v>163</v>
      </c>
      <c r="R64" s="110">
        <f t="shared" ca="1" si="6"/>
        <v>163</v>
      </c>
      <c r="S64" s="110">
        <f t="shared" ca="1" si="7"/>
        <v>163</v>
      </c>
      <c r="T64" s="110">
        <f t="shared" ca="1" si="7"/>
        <v>163</v>
      </c>
      <c r="U64" s="110">
        <f t="shared" ca="1" si="7"/>
        <v>163</v>
      </c>
      <c r="V64" s="110">
        <f t="shared" ca="1" si="7"/>
        <v>163</v>
      </c>
      <c r="W64" s="110">
        <f t="shared" ca="1" si="7"/>
        <v>163</v>
      </c>
      <c r="X64" s="110">
        <f t="shared" ca="1" si="7"/>
        <v>163</v>
      </c>
      <c r="Y64" s="110">
        <f t="shared" ca="1" si="7"/>
        <v>163</v>
      </c>
      <c r="Z64" s="110">
        <f t="shared" ca="1" si="7"/>
        <v>163</v>
      </c>
      <c r="AA64" s="110">
        <f t="shared" ca="1" si="7"/>
        <v>163</v>
      </c>
      <c r="AB64" s="110">
        <f t="shared" ca="1" si="7"/>
        <v>163</v>
      </c>
    </row>
    <row r="65" spans="1:28">
      <c r="A65" s="113">
        <v>0</v>
      </c>
      <c r="B65" s="4" t="s">
        <v>95</v>
      </c>
      <c r="C65" s="4">
        <v>660</v>
      </c>
      <c r="D65" s="4">
        <v>2011</v>
      </c>
      <c r="E65" s="2" t="s">
        <v>19</v>
      </c>
      <c r="F65" s="3" t="s">
        <v>129</v>
      </c>
      <c r="G65" s="4" t="s">
        <v>10</v>
      </c>
      <c r="I65" s="110">
        <f t="shared" ca="1" si="6"/>
        <v>660</v>
      </c>
      <c r="J65" s="110">
        <f t="shared" ca="1" si="6"/>
        <v>660</v>
      </c>
      <c r="K65" s="110">
        <f t="shared" ca="1" si="6"/>
        <v>660</v>
      </c>
      <c r="L65" s="110">
        <f t="shared" ca="1" si="6"/>
        <v>660</v>
      </c>
      <c r="M65" s="110">
        <f t="shared" ca="1" si="6"/>
        <v>660</v>
      </c>
      <c r="N65" s="110">
        <f t="shared" ca="1" si="6"/>
        <v>660</v>
      </c>
      <c r="O65" s="110">
        <f t="shared" ca="1" si="6"/>
        <v>660</v>
      </c>
      <c r="P65" s="110">
        <f t="shared" ca="1" si="6"/>
        <v>660</v>
      </c>
      <c r="Q65" s="110">
        <f t="shared" ca="1" si="6"/>
        <v>660</v>
      </c>
      <c r="R65" s="110">
        <f t="shared" ca="1" si="6"/>
        <v>660</v>
      </c>
      <c r="S65" s="110">
        <f t="shared" ca="1" si="7"/>
        <v>660</v>
      </c>
      <c r="T65" s="110">
        <f t="shared" ca="1" si="7"/>
        <v>660</v>
      </c>
      <c r="U65" s="110">
        <f t="shared" ca="1" si="7"/>
        <v>660</v>
      </c>
      <c r="V65" s="110">
        <f t="shared" ca="1" si="7"/>
        <v>660</v>
      </c>
      <c r="W65" s="110">
        <f t="shared" ca="1" si="7"/>
        <v>660</v>
      </c>
      <c r="X65" s="110">
        <f t="shared" ca="1" si="7"/>
        <v>660</v>
      </c>
      <c r="Y65" s="110">
        <f t="shared" ca="1" si="7"/>
        <v>660</v>
      </c>
      <c r="Z65" s="110">
        <f t="shared" ca="1" si="7"/>
        <v>660</v>
      </c>
      <c r="AA65" s="110">
        <f t="shared" ca="1" si="7"/>
        <v>660</v>
      </c>
      <c r="AB65" s="110">
        <f t="shared" ca="1" si="7"/>
        <v>660</v>
      </c>
    </row>
    <row r="66" spans="1:28">
      <c r="A66" s="113">
        <v>0</v>
      </c>
      <c r="B66" s="4" t="s">
        <v>97</v>
      </c>
      <c r="C66" s="4">
        <v>255</v>
      </c>
      <c r="D66" s="4">
        <v>2012</v>
      </c>
      <c r="E66" s="2" t="s">
        <v>19</v>
      </c>
      <c r="F66" s="3" t="s">
        <v>129</v>
      </c>
      <c r="G66" s="4" t="s">
        <v>10</v>
      </c>
      <c r="I66" s="110">
        <f t="shared" ca="1" si="6"/>
        <v>0</v>
      </c>
      <c r="J66" s="110">
        <f t="shared" ca="1" si="6"/>
        <v>255</v>
      </c>
      <c r="K66" s="110">
        <f t="shared" ca="1" si="6"/>
        <v>255</v>
      </c>
      <c r="L66" s="110">
        <f t="shared" ca="1" si="6"/>
        <v>255</v>
      </c>
      <c r="M66" s="110">
        <f t="shared" ca="1" si="6"/>
        <v>255</v>
      </c>
      <c r="N66" s="110">
        <f t="shared" ca="1" si="6"/>
        <v>255</v>
      </c>
      <c r="O66" s="110">
        <f t="shared" ca="1" si="6"/>
        <v>255</v>
      </c>
      <c r="P66" s="110">
        <f t="shared" ca="1" si="6"/>
        <v>255</v>
      </c>
      <c r="Q66" s="110">
        <f t="shared" ca="1" si="6"/>
        <v>255</v>
      </c>
      <c r="R66" s="110">
        <f t="shared" ca="1" si="6"/>
        <v>255</v>
      </c>
      <c r="S66" s="110">
        <f t="shared" ca="1" si="7"/>
        <v>255</v>
      </c>
      <c r="T66" s="110">
        <f t="shared" ca="1" si="7"/>
        <v>255</v>
      </c>
      <c r="U66" s="110">
        <f t="shared" ca="1" si="7"/>
        <v>255</v>
      </c>
      <c r="V66" s="110">
        <f t="shared" ca="1" si="7"/>
        <v>255</v>
      </c>
      <c r="W66" s="110">
        <f t="shared" ca="1" si="7"/>
        <v>255</v>
      </c>
      <c r="X66" s="110">
        <f t="shared" ca="1" si="7"/>
        <v>255</v>
      </c>
      <c r="Y66" s="110">
        <f t="shared" ca="1" si="7"/>
        <v>255</v>
      </c>
      <c r="Z66" s="110">
        <f t="shared" ca="1" si="7"/>
        <v>255</v>
      </c>
      <c r="AA66" s="110">
        <f t="shared" ca="1" si="7"/>
        <v>255</v>
      </c>
      <c r="AB66" s="110">
        <f t="shared" ca="1" si="7"/>
        <v>255</v>
      </c>
    </row>
    <row r="67" spans="1:28">
      <c r="A67" s="113">
        <v>0</v>
      </c>
      <c r="B67" s="4" t="s">
        <v>98</v>
      </c>
      <c r="C67" s="4">
        <v>600</v>
      </c>
      <c r="D67" s="4">
        <v>2012</v>
      </c>
      <c r="E67" s="2" t="s">
        <v>19</v>
      </c>
      <c r="F67" s="3" t="s">
        <v>130</v>
      </c>
      <c r="G67" s="4" t="s">
        <v>10</v>
      </c>
      <c r="I67" s="110">
        <f t="shared" ca="1" si="6"/>
        <v>0</v>
      </c>
      <c r="J67" s="110">
        <f t="shared" ca="1" si="6"/>
        <v>600</v>
      </c>
      <c r="K67" s="110">
        <f t="shared" ca="1" si="6"/>
        <v>600</v>
      </c>
      <c r="L67" s="110">
        <f t="shared" ca="1" si="6"/>
        <v>600</v>
      </c>
      <c r="M67" s="110">
        <f t="shared" ca="1" si="6"/>
        <v>600</v>
      </c>
      <c r="N67" s="110">
        <f t="shared" ca="1" si="6"/>
        <v>600</v>
      </c>
      <c r="O67" s="110">
        <f t="shared" ca="1" si="6"/>
        <v>600</v>
      </c>
      <c r="P67" s="110">
        <f t="shared" ca="1" si="6"/>
        <v>600</v>
      </c>
      <c r="Q67" s="110">
        <f t="shared" ca="1" si="6"/>
        <v>600</v>
      </c>
      <c r="R67" s="110">
        <f t="shared" ca="1" si="6"/>
        <v>600</v>
      </c>
      <c r="S67" s="110">
        <f t="shared" ca="1" si="7"/>
        <v>600</v>
      </c>
      <c r="T67" s="110">
        <f t="shared" ca="1" si="7"/>
        <v>600</v>
      </c>
      <c r="U67" s="110">
        <f t="shared" ca="1" si="7"/>
        <v>600</v>
      </c>
      <c r="V67" s="110">
        <f t="shared" ca="1" si="7"/>
        <v>600</v>
      </c>
      <c r="W67" s="110">
        <f t="shared" ca="1" si="7"/>
        <v>600</v>
      </c>
      <c r="X67" s="110">
        <f t="shared" ca="1" si="7"/>
        <v>600</v>
      </c>
      <c r="Y67" s="110">
        <f t="shared" ca="1" si="7"/>
        <v>600</v>
      </c>
      <c r="Z67" s="110">
        <f t="shared" ca="1" si="7"/>
        <v>600</v>
      </c>
      <c r="AA67" s="110">
        <f t="shared" ca="1" si="7"/>
        <v>600</v>
      </c>
      <c r="AB67" s="110">
        <f t="shared" ca="1" si="7"/>
        <v>600</v>
      </c>
    </row>
    <row r="68" spans="1:28">
      <c r="A68" s="113">
        <v>0</v>
      </c>
      <c r="B68" s="4" t="s">
        <v>99</v>
      </c>
      <c r="C68" s="4">
        <v>184</v>
      </c>
      <c r="D68" s="4">
        <v>2012</v>
      </c>
      <c r="E68" s="2" t="s">
        <v>20</v>
      </c>
      <c r="F68" s="3" t="s">
        <v>130</v>
      </c>
      <c r="G68" s="4" t="s">
        <v>10</v>
      </c>
      <c r="I68" s="110">
        <f t="shared" ca="1" si="6"/>
        <v>0</v>
      </c>
      <c r="J68" s="110">
        <f t="shared" ca="1" si="6"/>
        <v>184</v>
      </c>
      <c r="K68" s="110">
        <f t="shared" ca="1" si="6"/>
        <v>184</v>
      </c>
      <c r="L68" s="110">
        <f t="shared" ca="1" si="6"/>
        <v>184</v>
      </c>
      <c r="M68" s="110">
        <f t="shared" ca="1" si="6"/>
        <v>184</v>
      </c>
      <c r="N68" s="110">
        <f t="shared" ca="1" si="6"/>
        <v>184</v>
      </c>
      <c r="O68" s="110">
        <f t="shared" ca="1" si="6"/>
        <v>184</v>
      </c>
      <c r="P68" s="110">
        <f t="shared" ca="1" si="6"/>
        <v>184</v>
      </c>
      <c r="Q68" s="110">
        <f t="shared" ca="1" si="6"/>
        <v>184</v>
      </c>
      <c r="R68" s="110">
        <f t="shared" ca="1" si="6"/>
        <v>184</v>
      </c>
      <c r="S68" s="110">
        <f t="shared" ca="1" si="7"/>
        <v>184</v>
      </c>
      <c r="T68" s="110">
        <f t="shared" ca="1" si="7"/>
        <v>184</v>
      </c>
      <c r="U68" s="110">
        <f t="shared" ca="1" si="7"/>
        <v>184</v>
      </c>
      <c r="V68" s="110">
        <f t="shared" ca="1" si="7"/>
        <v>184</v>
      </c>
      <c r="W68" s="110">
        <f t="shared" ca="1" si="7"/>
        <v>184</v>
      </c>
      <c r="X68" s="110">
        <f t="shared" ca="1" si="7"/>
        <v>184</v>
      </c>
      <c r="Y68" s="110">
        <f t="shared" ca="1" si="7"/>
        <v>184</v>
      </c>
      <c r="Z68" s="110">
        <f t="shared" ca="1" si="7"/>
        <v>184</v>
      </c>
      <c r="AA68" s="110">
        <f t="shared" ca="1" si="7"/>
        <v>184</v>
      </c>
      <c r="AB68" s="110">
        <f t="shared" ca="1" si="7"/>
        <v>184</v>
      </c>
    </row>
    <row r="69" spans="1:28">
      <c r="A69" s="113">
        <v>0</v>
      </c>
      <c r="B69" s="4" t="s">
        <v>100</v>
      </c>
      <c r="C69" s="4">
        <v>145</v>
      </c>
      <c r="D69" s="4">
        <v>2012</v>
      </c>
      <c r="E69" s="2" t="s">
        <v>19</v>
      </c>
      <c r="F69" s="3" t="s">
        <v>131</v>
      </c>
      <c r="G69" s="4" t="s">
        <v>10</v>
      </c>
      <c r="I69" s="110">
        <f t="shared" ref="I69:R78" ca="1" si="8">IF(AND(OR($A69=0,$A69=scenGen),$D69&lt;=I$28),$C69,0)</f>
        <v>0</v>
      </c>
      <c r="J69" s="110">
        <f t="shared" ca="1" si="8"/>
        <v>145</v>
      </c>
      <c r="K69" s="110">
        <f t="shared" ca="1" si="8"/>
        <v>145</v>
      </c>
      <c r="L69" s="110">
        <f t="shared" ca="1" si="8"/>
        <v>145</v>
      </c>
      <c r="M69" s="110">
        <f t="shared" ca="1" si="8"/>
        <v>145</v>
      </c>
      <c r="N69" s="110">
        <f t="shared" ca="1" si="8"/>
        <v>145</v>
      </c>
      <c r="O69" s="110">
        <f t="shared" ca="1" si="8"/>
        <v>145</v>
      </c>
      <c r="P69" s="110">
        <f t="shared" ca="1" si="8"/>
        <v>145</v>
      </c>
      <c r="Q69" s="110">
        <f t="shared" ca="1" si="8"/>
        <v>145</v>
      </c>
      <c r="R69" s="110">
        <f t="shared" ca="1" si="8"/>
        <v>145</v>
      </c>
      <c r="S69" s="110">
        <f t="shared" ref="S69:AB78" ca="1" si="9">IF(AND(OR($A69=0,$A69=scenGen),$D69&lt;=S$28),$C69,0)</f>
        <v>145</v>
      </c>
      <c r="T69" s="110">
        <f t="shared" ca="1" si="9"/>
        <v>145</v>
      </c>
      <c r="U69" s="110">
        <f t="shared" ca="1" si="9"/>
        <v>145</v>
      </c>
      <c r="V69" s="110">
        <f t="shared" ca="1" si="9"/>
        <v>145</v>
      </c>
      <c r="W69" s="110">
        <f t="shared" ca="1" si="9"/>
        <v>145</v>
      </c>
      <c r="X69" s="110">
        <f t="shared" ca="1" si="9"/>
        <v>145</v>
      </c>
      <c r="Y69" s="110">
        <f t="shared" ca="1" si="9"/>
        <v>145</v>
      </c>
      <c r="Z69" s="110">
        <f t="shared" ca="1" si="9"/>
        <v>145</v>
      </c>
      <c r="AA69" s="110">
        <f t="shared" ca="1" si="9"/>
        <v>145</v>
      </c>
      <c r="AB69" s="110">
        <f t="shared" ca="1" si="9"/>
        <v>145</v>
      </c>
    </row>
    <row r="70" spans="1:28">
      <c r="A70" s="113">
        <v>0</v>
      </c>
      <c r="B70" s="4" t="s">
        <v>101</v>
      </c>
      <c r="C70" s="4">
        <v>109</v>
      </c>
      <c r="D70" s="4">
        <v>2013</v>
      </c>
      <c r="E70" s="2" t="s">
        <v>20</v>
      </c>
      <c r="F70" s="3" t="s">
        <v>131</v>
      </c>
      <c r="G70" s="4" t="s">
        <v>10</v>
      </c>
      <c r="I70" s="110">
        <f t="shared" ca="1" si="8"/>
        <v>0</v>
      </c>
      <c r="J70" s="110">
        <f t="shared" ca="1" si="8"/>
        <v>0</v>
      </c>
      <c r="K70" s="110">
        <f t="shared" ca="1" si="8"/>
        <v>109</v>
      </c>
      <c r="L70" s="110">
        <f t="shared" ca="1" si="8"/>
        <v>109</v>
      </c>
      <c r="M70" s="110">
        <f t="shared" ca="1" si="8"/>
        <v>109</v>
      </c>
      <c r="N70" s="110">
        <f t="shared" ca="1" si="8"/>
        <v>109</v>
      </c>
      <c r="O70" s="110">
        <f t="shared" ca="1" si="8"/>
        <v>109</v>
      </c>
      <c r="P70" s="110">
        <f t="shared" ca="1" si="8"/>
        <v>109</v>
      </c>
      <c r="Q70" s="110">
        <f t="shared" ca="1" si="8"/>
        <v>109</v>
      </c>
      <c r="R70" s="110">
        <f t="shared" ca="1" si="8"/>
        <v>109</v>
      </c>
      <c r="S70" s="110">
        <f t="shared" ca="1" si="9"/>
        <v>109</v>
      </c>
      <c r="T70" s="110">
        <f t="shared" ca="1" si="9"/>
        <v>109</v>
      </c>
      <c r="U70" s="110">
        <f t="shared" ca="1" si="9"/>
        <v>109</v>
      </c>
      <c r="V70" s="110">
        <f t="shared" ca="1" si="9"/>
        <v>109</v>
      </c>
      <c r="W70" s="110">
        <f t="shared" ca="1" si="9"/>
        <v>109</v>
      </c>
      <c r="X70" s="110">
        <f t="shared" ca="1" si="9"/>
        <v>109</v>
      </c>
      <c r="Y70" s="110">
        <f t="shared" ca="1" si="9"/>
        <v>109</v>
      </c>
      <c r="Z70" s="110">
        <f t="shared" ca="1" si="9"/>
        <v>109</v>
      </c>
      <c r="AA70" s="110">
        <f t="shared" ca="1" si="9"/>
        <v>109</v>
      </c>
      <c r="AB70" s="110">
        <f t="shared" ca="1" si="9"/>
        <v>109</v>
      </c>
    </row>
    <row r="71" spans="1:28">
      <c r="A71" s="113">
        <v>0</v>
      </c>
      <c r="B71" s="4" t="s">
        <v>103</v>
      </c>
      <c r="C71" s="4">
        <v>96</v>
      </c>
      <c r="D71" s="4">
        <v>2011</v>
      </c>
      <c r="E71" s="2" t="s">
        <v>20</v>
      </c>
      <c r="F71" s="3" t="s">
        <v>129</v>
      </c>
      <c r="G71" s="4" t="s">
        <v>12</v>
      </c>
      <c r="I71" s="110">
        <f t="shared" ca="1" si="8"/>
        <v>96</v>
      </c>
      <c r="J71" s="110">
        <f t="shared" ca="1" si="8"/>
        <v>96</v>
      </c>
      <c r="K71" s="110">
        <f t="shared" ca="1" si="8"/>
        <v>96</v>
      </c>
      <c r="L71" s="110">
        <f t="shared" ca="1" si="8"/>
        <v>96</v>
      </c>
      <c r="M71" s="110">
        <f t="shared" ca="1" si="8"/>
        <v>96</v>
      </c>
      <c r="N71" s="110">
        <f t="shared" ca="1" si="8"/>
        <v>96</v>
      </c>
      <c r="O71" s="110">
        <f t="shared" ca="1" si="8"/>
        <v>96</v>
      </c>
      <c r="P71" s="110">
        <f t="shared" ca="1" si="8"/>
        <v>96</v>
      </c>
      <c r="Q71" s="110">
        <f t="shared" ca="1" si="8"/>
        <v>96</v>
      </c>
      <c r="R71" s="110">
        <f t="shared" ca="1" si="8"/>
        <v>96</v>
      </c>
      <c r="S71" s="110">
        <f t="shared" ca="1" si="9"/>
        <v>96</v>
      </c>
      <c r="T71" s="110">
        <f t="shared" ca="1" si="9"/>
        <v>96</v>
      </c>
      <c r="U71" s="110">
        <f t="shared" ca="1" si="9"/>
        <v>96</v>
      </c>
      <c r="V71" s="110">
        <f t="shared" ca="1" si="9"/>
        <v>96</v>
      </c>
      <c r="W71" s="110">
        <f t="shared" ca="1" si="9"/>
        <v>96</v>
      </c>
      <c r="X71" s="110">
        <f t="shared" ca="1" si="9"/>
        <v>96</v>
      </c>
      <c r="Y71" s="110">
        <f t="shared" ca="1" si="9"/>
        <v>96</v>
      </c>
      <c r="Z71" s="110">
        <f t="shared" ca="1" si="9"/>
        <v>96</v>
      </c>
      <c r="AA71" s="110">
        <f t="shared" ca="1" si="9"/>
        <v>96</v>
      </c>
      <c r="AB71" s="110">
        <f t="shared" ca="1" si="9"/>
        <v>96</v>
      </c>
    </row>
    <row r="72" spans="1:28">
      <c r="A72" s="113">
        <v>0</v>
      </c>
      <c r="B72" s="4" t="s">
        <v>105</v>
      </c>
      <c r="C72" s="4">
        <v>200</v>
      </c>
      <c r="D72" s="4">
        <v>2012</v>
      </c>
      <c r="E72" s="2" t="s">
        <v>20</v>
      </c>
      <c r="F72" s="3" t="s">
        <v>129</v>
      </c>
      <c r="G72" s="4" t="s">
        <v>12</v>
      </c>
      <c r="I72" s="110">
        <f t="shared" ca="1" si="8"/>
        <v>0</v>
      </c>
      <c r="J72" s="110">
        <f t="shared" ca="1" si="8"/>
        <v>200</v>
      </c>
      <c r="K72" s="110">
        <f t="shared" ca="1" si="8"/>
        <v>200</v>
      </c>
      <c r="L72" s="110">
        <f t="shared" ca="1" si="8"/>
        <v>200</v>
      </c>
      <c r="M72" s="110">
        <f t="shared" ca="1" si="8"/>
        <v>200</v>
      </c>
      <c r="N72" s="110">
        <f t="shared" ca="1" si="8"/>
        <v>200</v>
      </c>
      <c r="O72" s="110">
        <f t="shared" ca="1" si="8"/>
        <v>200</v>
      </c>
      <c r="P72" s="110">
        <f t="shared" ca="1" si="8"/>
        <v>200</v>
      </c>
      <c r="Q72" s="110">
        <f t="shared" ca="1" si="8"/>
        <v>200</v>
      </c>
      <c r="R72" s="110">
        <f t="shared" ca="1" si="8"/>
        <v>200</v>
      </c>
      <c r="S72" s="110">
        <f t="shared" ca="1" si="9"/>
        <v>200</v>
      </c>
      <c r="T72" s="110">
        <f t="shared" ca="1" si="9"/>
        <v>200</v>
      </c>
      <c r="U72" s="110">
        <f t="shared" ca="1" si="9"/>
        <v>200</v>
      </c>
      <c r="V72" s="110">
        <f t="shared" ca="1" si="9"/>
        <v>200</v>
      </c>
      <c r="W72" s="110">
        <f t="shared" ca="1" si="9"/>
        <v>200</v>
      </c>
      <c r="X72" s="110">
        <f t="shared" ca="1" si="9"/>
        <v>200</v>
      </c>
      <c r="Y72" s="110">
        <f t="shared" ca="1" si="9"/>
        <v>200</v>
      </c>
      <c r="Z72" s="110">
        <f t="shared" ca="1" si="9"/>
        <v>200</v>
      </c>
      <c r="AA72" s="110">
        <f t="shared" ca="1" si="9"/>
        <v>200</v>
      </c>
      <c r="AB72" s="110">
        <f t="shared" ca="1" si="9"/>
        <v>200</v>
      </c>
    </row>
    <row r="73" spans="1:28">
      <c r="A73" s="113">
        <v>0</v>
      </c>
      <c r="B73" s="4" t="s">
        <v>106</v>
      </c>
      <c r="C73" s="4">
        <v>560</v>
      </c>
      <c r="D73" s="4">
        <v>2013</v>
      </c>
      <c r="E73" s="2" t="s">
        <v>19</v>
      </c>
      <c r="F73" s="3" t="s">
        <v>129</v>
      </c>
      <c r="G73" s="4" t="s">
        <v>12</v>
      </c>
      <c r="I73" s="110">
        <f t="shared" ca="1" si="8"/>
        <v>0</v>
      </c>
      <c r="J73" s="110">
        <f t="shared" ca="1" si="8"/>
        <v>0</v>
      </c>
      <c r="K73" s="110">
        <f t="shared" ca="1" si="8"/>
        <v>560</v>
      </c>
      <c r="L73" s="110">
        <f t="shared" ca="1" si="8"/>
        <v>560</v>
      </c>
      <c r="M73" s="110">
        <f t="shared" ca="1" si="8"/>
        <v>560</v>
      </c>
      <c r="N73" s="110">
        <f t="shared" ca="1" si="8"/>
        <v>560</v>
      </c>
      <c r="O73" s="110">
        <f t="shared" ca="1" si="8"/>
        <v>560</v>
      </c>
      <c r="P73" s="110">
        <f t="shared" ca="1" si="8"/>
        <v>560</v>
      </c>
      <c r="Q73" s="110">
        <f t="shared" ca="1" si="8"/>
        <v>560</v>
      </c>
      <c r="R73" s="110">
        <f t="shared" ca="1" si="8"/>
        <v>560</v>
      </c>
      <c r="S73" s="110">
        <f t="shared" ca="1" si="9"/>
        <v>560</v>
      </c>
      <c r="T73" s="110">
        <f t="shared" ca="1" si="9"/>
        <v>560</v>
      </c>
      <c r="U73" s="110">
        <f t="shared" ca="1" si="9"/>
        <v>560</v>
      </c>
      <c r="V73" s="110">
        <f t="shared" ca="1" si="9"/>
        <v>560</v>
      </c>
      <c r="W73" s="110">
        <f t="shared" ca="1" si="9"/>
        <v>560</v>
      </c>
      <c r="X73" s="110">
        <f t="shared" ca="1" si="9"/>
        <v>560</v>
      </c>
      <c r="Y73" s="110">
        <f t="shared" ca="1" si="9"/>
        <v>560</v>
      </c>
      <c r="Z73" s="110">
        <f t="shared" ca="1" si="9"/>
        <v>560</v>
      </c>
      <c r="AA73" s="110">
        <f t="shared" ca="1" si="9"/>
        <v>560</v>
      </c>
      <c r="AB73" s="110">
        <f t="shared" ca="1" si="9"/>
        <v>560</v>
      </c>
    </row>
    <row r="74" spans="1:28">
      <c r="A74" s="113">
        <v>0</v>
      </c>
      <c r="B74" s="4" t="s">
        <v>108</v>
      </c>
      <c r="C74" s="4">
        <v>500</v>
      </c>
      <c r="D74" s="4">
        <v>2012</v>
      </c>
      <c r="E74" s="2" t="s">
        <v>20</v>
      </c>
      <c r="F74" s="3" t="s">
        <v>130</v>
      </c>
      <c r="G74" s="4" t="s">
        <v>12</v>
      </c>
      <c r="I74" s="110">
        <f t="shared" ca="1" si="8"/>
        <v>0</v>
      </c>
      <c r="J74" s="110">
        <f t="shared" ca="1" si="8"/>
        <v>500</v>
      </c>
      <c r="K74" s="110">
        <f t="shared" ca="1" si="8"/>
        <v>500</v>
      </c>
      <c r="L74" s="110">
        <f t="shared" ca="1" si="8"/>
        <v>500</v>
      </c>
      <c r="M74" s="110">
        <f t="shared" ca="1" si="8"/>
        <v>500</v>
      </c>
      <c r="N74" s="110">
        <f t="shared" ca="1" si="8"/>
        <v>500</v>
      </c>
      <c r="O74" s="110">
        <f t="shared" ca="1" si="8"/>
        <v>500</v>
      </c>
      <c r="P74" s="110">
        <f t="shared" ca="1" si="8"/>
        <v>500</v>
      </c>
      <c r="Q74" s="110">
        <f t="shared" ca="1" si="8"/>
        <v>500</v>
      </c>
      <c r="R74" s="110">
        <f t="shared" ca="1" si="8"/>
        <v>500</v>
      </c>
      <c r="S74" s="110">
        <f t="shared" ca="1" si="9"/>
        <v>500</v>
      </c>
      <c r="T74" s="110">
        <f t="shared" ca="1" si="9"/>
        <v>500</v>
      </c>
      <c r="U74" s="110">
        <f t="shared" ca="1" si="9"/>
        <v>500</v>
      </c>
      <c r="V74" s="110">
        <f t="shared" ca="1" si="9"/>
        <v>500</v>
      </c>
      <c r="W74" s="110">
        <f t="shared" ca="1" si="9"/>
        <v>500</v>
      </c>
      <c r="X74" s="110">
        <f t="shared" ca="1" si="9"/>
        <v>500</v>
      </c>
      <c r="Y74" s="110">
        <f t="shared" ca="1" si="9"/>
        <v>500</v>
      </c>
      <c r="Z74" s="110">
        <f t="shared" ca="1" si="9"/>
        <v>500</v>
      </c>
      <c r="AA74" s="110">
        <f t="shared" ca="1" si="9"/>
        <v>500</v>
      </c>
      <c r="AB74" s="110">
        <f t="shared" ca="1" si="9"/>
        <v>500</v>
      </c>
    </row>
    <row r="75" spans="1:28">
      <c r="A75" s="113">
        <v>0</v>
      </c>
      <c r="B75" s="4" t="s">
        <v>109</v>
      </c>
      <c r="C75" s="4">
        <v>48.5</v>
      </c>
      <c r="D75" s="4">
        <v>2015</v>
      </c>
      <c r="E75" s="2" t="s">
        <v>20</v>
      </c>
      <c r="F75" s="3" t="s">
        <v>130</v>
      </c>
      <c r="G75" s="4" t="s">
        <v>12</v>
      </c>
      <c r="I75" s="110">
        <f t="shared" ca="1" si="8"/>
        <v>0</v>
      </c>
      <c r="J75" s="110">
        <f t="shared" ca="1" si="8"/>
        <v>0</v>
      </c>
      <c r="K75" s="110">
        <f t="shared" ca="1" si="8"/>
        <v>0</v>
      </c>
      <c r="L75" s="110">
        <f t="shared" ca="1" si="8"/>
        <v>0</v>
      </c>
      <c r="M75" s="110">
        <f t="shared" ca="1" si="8"/>
        <v>48.5</v>
      </c>
      <c r="N75" s="110">
        <f t="shared" ca="1" si="8"/>
        <v>48.5</v>
      </c>
      <c r="O75" s="110">
        <f t="shared" ca="1" si="8"/>
        <v>48.5</v>
      </c>
      <c r="P75" s="110">
        <f t="shared" ca="1" si="8"/>
        <v>48.5</v>
      </c>
      <c r="Q75" s="110">
        <f t="shared" ca="1" si="8"/>
        <v>48.5</v>
      </c>
      <c r="R75" s="110">
        <f t="shared" ca="1" si="8"/>
        <v>48.5</v>
      </c>
      <c r="S75" s="110">
        <f t="shared" ca="1" si="9"/>
        <v>48.5</v>
      </c>
      <c r="T75" s="110">
        <f t="shared" ca="1" si="9"/>
        <v>48.5</v>
      </c>
      <c r="U75" s="110">
        <f t="shared" ca="1" si="9"/>
        <v>48.5</v>
      </c>
      <c r="V75" s="110">
        <f t="shared" ca="1" si="9"/>
        <v>48.5</v>
      </c>
      <c r="W75" s="110">
        <f t="shared" ca="1" si="9"/>
        <v>48.5</v>
      </c>
      <c r="X75" s="110">
        <f t="shared" ca="1" si="9"/>
        <v>48.5</v>
      </c>
      <c r="Y75" s="110">
        <f t="shared" ca="1" si="9"/>
        <v>48.5</v>
      </c>
      <c r="Z75" s="110">
        <f t="shared" ca="1" si="9"/>
        <v>48.5</v>
      </c>
      <c r="AA75" s="110">
        <f t="shared" ca="1" si="9"/>
        <v>48.5</v>
      </c>
      <c r="AB75" s="110">
        <f t="shared" ca="1" si="9"/>
        <v>48.5</v>
      </c>
    </row>
    <row r="76" spans="1:28">
      <c r="A76" s="113">
        <v>0</v>
      </c>
      <c r="B76" s="4" t="s">
        <v>110</v>
      </c>
      <c r="C76" s="4">
        <v>850</v>
      </c>
      <c r="D76" s="4">
        <v>2015</v>
      </c>
      <c r="E76" s="2" t="s">
        <v>20</v>
      </c>
      <c r="F76" s="3" t="s">
        <v>130</v>
      </c>
      <c r="G76" s="4" t="s">
        <v>12</v>
      </c>
      <c r="I76" s="110">
        <f t="shared" ca="1" si="8"/>
        <v>0</v>
      </c>
      <c r="J76" s="110">
        <f t="shared" ca="1" si="8"/>
        <v>0</v>
      </c>
      <c r="K76" s="110">
        <f t="shared" ca="1" si="8"/>
        <v>0</v>
      </c>
      <c r="L76" s="110">
        <f t="shared" ca="1" si="8"/>
        <v>0</v>
      </c>
      <c r="M76" s="110">
        <f t="shared" ca="1" si="8"/>
        <v>850</v>
      </c>
      <c r="N76" s="110">
        <f t="shared" ca="1" si="8"/>
        <v>850</v>
      </c>
      <c r="O76" s="110">
        <f t="shared" ca="1" si="8"/>
        <v>850</v>
      </c>
      <c r="P76" s="110">
        <f t="shared" ca="1" si="8"/>
        <v>850</v>
      </c>
      <c r="Q76" s="110">
        <f t="shared" ca="1" si="8"/>
        <v>850</v>
      </c>
      <c r="R76" s="110">
        <f t="shared" ca="1" si="8"/>
        <v>850</v>
      </c>
      <c r="S76" s="110">
        <f t="shared" ca="1" si="9"/>
        <v>850</v>
      </c>
      <c r="T76" s="110">
        <f t="shared" ca="1" si="9"/>
        <v>850</v>
      </c>
      <c r="U76" s="110">
        <f t="shared" ca="1" si="9"/>
        <v>850</v>
      </c>
      <c r="V76" s="110">
        <f t="shared" ca="1" si="9"/>
        <v>850</v>
      </c>
      <c r="W76" s="110">
        <f t="shared" ca="1" si="9"/>
        <v>850</v>
      </c>
      <c r="X76" s="110">
        <f t="shared" ca="1" si="9"/>
        <v>850</v>
      </c>
      <c r="Y76" s="110">
        <f t="shared" ca="1" si="9"/>
        <v>850</v>
      </c>
      <c r="Z76" s="110">
        <f t="shared" ca="1" si="9"/>
        <v>850</v>
      </c>
      <c r="AA76" s="110">
        <f t="shared" ca="1" si="9"/>
        <v>850</v>
      </c>
      <c r="AB76" s="110">
        <f t="shared" ca="1" si="9"/>
        <v>850</v>
      </c>
    </row>
    <row r="77" spans="1:28">
      <c r="A77" s="113">
        <v>0</v>
      </c>
      <c r="B77" s="4" t="s">
        <v>111</v>
      </c>
      <c r="C77" s="4">
        <v>20</v>
      </c>
      <c r="D77" s="4">
        <v>2011</v>
      </c>
      <c r="E77" s="2" t="s">
        <v>18</v>
      </c>
      <c r="F77" s="3" t="s">
        <v>129</v>
      </c>
      <c r="G77" s="4" t="s">
        <v>11</v>
      </c>
      <c r="I77" s="110">
        <f t="shared" ca="1" si="8"/>
        <v>20</v>
      </c>
      <c r="J77" s="110">
        <f t="shared" ca="1" si="8"/>
        <v>20</v>
      </c>
      <c r="K77" s="110">
        <f t="shared" ca="1" si="8"/>
        <v>20</v>
      </c>
      <c r="L77" s="110">
        <f t="shared" ca="1" si="8"/>
        <v>20</v>
      </c>
      <c r="M77" s="110">
        <f t="shared" ca="1" si="8"/>
        <v>20</v>
      </c>
      <c r="N77" s="110">
        <f t="shared" ca="1" si="8"/>
        <v>20</v>
      </c>
      <c r="O77" s="110">
        <f t="shared" ca="1" si="8"/>
        <v>20</v>
      </c>
      <c r="P77" s="110">
        <f t="shared" ca="1" si="8"/>
        <v>20</v>
      </c>
      <c r="Q77" s="110">
        <f t="shared" ca="1" si="8"/>
        <v>20</v>
      </c>
      <c r="R77" s="110">
        <f t="shared" ca="1" si="8"/>
        <v>20</v>
      </c>
      <c r="S77" s="110">
        <f t="shared" ca="1" si="9"/>
        <v>20</v>
      </c>
      <c r="T77" s="110">
        <f t="shared" ca="1" si="9"/>
        <v>20</v>
      </c>
      <c r="U77" s="110">
        <f t="shared" ca="1" si="9"/>
        <v>20</v>
      </c>
      <c r="V77" s="110">
        <f t="shared" ca="1" si="9"/>
        <v>20</v>
      </c>
      <c r="W77" s="110">
        <f t="shared" ca="1" si="9"/>
        <v>20</v>
      </c>
      <c r="X77" s="110">
        <f t="shared" ca="1" si="9"/>
        <v>20</v>
      </c>
      <c r="Y77" s="110">
        <f t="shared" ca="1" si="9"/>
        <v>20</v>
      </c>
      <c r="Z77" s="110">
        <f t="shared" ca="1" si="9"/>
        <v>20</v>
      </c>
      <c r="AA77" s="110">
        <f t="shared" ca="1" si="9"/>
        <v>20</v>
      </c>
      <c r="AB77" s="110">
        <f t="shared" ca="1" si="9"/>
        <v>20</v>
      </c>
    </row>
    <row r="78" spans="1:28">
      <c r="A78" s="113">
        <v>0</v>
      </c>
      <c r="B78" s="4" t="s">
        <v>112</v>
      </c>
      <c r="C78" s="4">
        <v>20</v>
      </c>
      <c r="D78" s="4">
        <v>2011</v>
      </c>
      <c r="E78" s="2" t="s">
        <v>18</v>
      </c>
      <c r="F78" s="3" t="s">
        <v>129</v>
      </c>
      <c r="G78" s="4" t="s">
        <v>11</v>
      </c>
      <c r="I78" s="110">
        <f t="shared" ca="1" si="8"/>
        <v>20</v>
      </c>
      <c r="J78" s="110">
        <f t="shared" ca="1" si="8"/>
        <v>20</v>
      </c>
      <c r="K78" s="110">
        <f t="shared" ca="1" si="8"/>
        <v>20</v>
      </c>
      <c r="L78" s="110">
        <f t="shared" ca="1" si="8"/>
        <v>20</v>
      </c>
      <c r="M78" s="110">
        <f t="shared" ca="1" si="8"/>
        <v>20</v>
      </c>
      <c r="N78" s="110">
        <f t="shared" ca="1" si="8"/>
        <v>20</v>
      </c>
      <c r="O78" s="110">
        <f t="shared" ca="1" si="8"/>
        <v>20</v>
      </c>
      <c r="P78" s="110">
        <f t="shared" ca="1" si="8"/>
        <v>20</v>
      </c>
      <c r="Q78" s="110">
        <f t="shared" ca="1" si="8"/>
        <v>20</v>
      </c>
      <c r="R78" s="110">
        <f t="shared" ca="1" si="8"/>
        <v>20</v>
      </c>
      <c r="S78" s="110">
        <f t="shared" ca="1" si="9"/>
        <v>20</v>
      </c>
      <c r="T78" s="110">
        <f t="shared" ca="1" si="9"/>
        <v>20</v>
      </c>
      <c r="U78" s="110">
        <f t="shared" ca="1" si="9"/>
        <v>20</v>
      </c>
      <c r="V78" s="110">
        <f t="shared" ca="1" si="9"/>
        <v>20</v>
      </c>
      <c r="W78" s="110">
        <f t="shared" ca="1" si="9"/>
        <v>20</v>
      </c>
      <c r="X78" s="110">
        <f t="shared" ca="1" si="9"/>
        <v>20</v>
      </c>
      <c r="Y78" s="110">
        <f t="shared" ca="1" si="9"/>
        <v>20</v>
      </c>
      <c r="Z78" s="110">
        <f t="shared" ca="1" si="9"/>
        <v>20</v>
      </c>
      <c r="AA78" s="110">
        <f t="shared" ca="1" si="9"/>
        <v>20</v>
      </c>
      <c r="AB78" s="110">
        <f t="shared" ca="1" si="9"/>
        <v>20</v>
      </c>
    </row>
    <row r="79" spans="1:28">
      <c r="A79" s="241">
        <v>0</v>
      </c>
      <c r="B79" s="242" t="s">
        <v>54</v>
      </c>
      <c r="C79" s="242">
        <v>130</v>
      </c>
      <c r="D79" s="242">
        <v>2020</v>
      </c>
      <c r="E79" s="243" t="s">
        <v>19</v>
      </c>
      <c r="F79" s="244" t="s">
        <v>6</v>
      </c>
      <c r="G79" s="242" t="s">
        <v>12</v>
      </c>
      <c r="H79" s="243"/>
      <c r="I79" s="245">
        <f t="shared" ref="I79:R79" ca="1" si="10">IF(AND(OR($A79=0,$A79=scenGen),$D79&lt;=I$28),$C79,0)</f>
        <v>0</v>
      </c>
      <c r="J79" s="245">
        <f t="shared" ca="1" si="10"/>
        <v>0</v>
      </c>
      <c r="K79" s="245">
        <f t="shared" ca="1" si="10"/>
        <v>0</v>
      </c>
      <c r="L79" s="245">
        <f t="shared" ca="1" si="10"/>
        <v>0</v>
      </c>
      <c r="M79" s="245">
        <f t="shared" ca="1" si="10"/>
        <v>0</v>
      </c>
      <c r="N79" s="245">
        <f t="shared" ca="1" si="10"/>
        <v>0</v>
      </c>
      <c r="O79" s="245">
        <f t="shared" ca="1" si="10"/>
        <v>0</v>
      </c>
      <c r="P79" s="245">
        <f t="shared" ca="1" si="10"/>
        <v>0</v>
      </c>
      <c r="Q79" s="245">
        <f t="shared" ca="1" si="10"/>
        <v>0</v>
      </c>
      <c r="R79" s="245">
        <f t="shared" ca="1" si="10"/>
        <v>130</v>
      </c>
      <c r="S79" s="245">
        <f t="shared" ref="S79:AB79" ca="1" si="11">IF(AND(OR($A79=0,$A79=scenGen),$D79&lt;=S$28),$C79,0)</f>
        <v>130</v>
      </c>
      <c r="T79" s="245">
        <f t="shared" ca="1" si="11"/>
        <v>130</v>
      </c>
      <c r="U79" s="245">
        <f t="shared" ca="1" si="11"/>
        <v>130</v>
      </c>
      <c r="V79" s="245">
        <f t="shared" ca="1" si="11"/>
        <v>130</v>
      </c>
      <c r="W79" s="245">
        <f t="shared" ca="1" si="11"/>
        <v>130</v>
      </c>
      <c r="X79" s="245">
        <f t="shared" ca="1" si="11"/>
        <v>130</v>
      </c>
      <c r="Y79" s="245">
        <f t="shared" ca="1" si="11"/>
        <v>130</v>
      </c>
      <c r="Z79" s="245">
        <f t="shared" ca="1" si="11"/>
        <v>130</v>
      </c>
      <c r="AA79" s="245">
        <f t="shared" ca="1" si="11"/>
        <v>130</v>
      </c>
      <c r="AB79" s="245">
        <f t="shared" ca="1" si="11"/>
        <v>130</v>
      </c>
    </row>
    <row r="80" spans="1:28">
      <c r="A80" s="113" t="s">
        <v>2389</v>
      </c>
      <c r="B80" s="4" t="s">
        <v>102</v>
      </c>
      <c r="C80" s="4">
        <v>719</v>
      </c>
      <c r="D80" s="4">
        <v>2013</v>
      </c>
      <c r="E80" s="2" t="s">
        <v>19</v>
      </c>
      <c r="F80" s="3" t="s">
        <v>131</v>
      </c>
      <c r="G80" s="4" t="s">
        <v>10</v>
      </c>
      <c r="I80" s="110">
        <f t="shared" ref="I80:R89" ca="1" si="12">IF(AND(OR($A80=0,$A80=scenGen),$D80&lt;=I$28),$C80,0)</f>
        <v>0</v>
      </c>
      <c r="J80" s="110">
        <f t="shared" ca="1" si="12"/>
        <v>0</v>
      </c>
      <c r="K80" s="110">
        <f t="shared" ca="1" si="12"/>
        <v>719</v>
      </c>
      <c r="L80" s="110">
        <f t="shared" ca="1" si="12"/>
        <v>719</v>
      </c>
      <c r="M80" s="110">
        <f t="shared" ca="1" si="12"/>
        <v>719</v>
      </c>
      <c r="N80" s="110">
        <f t="shared" ca="1" si="12"/>
        <v>719</v>
      </c>
      <c r="O80" s="110">
        <f t="shared" ca="1" si="12"/>
        <v>719</v>
      </c>
      <c r="P80" s="110">
        <f t="shared" ca="1" si="12"/>
        <v>719</v>
      </c>
      <c r="Q80" s="110">
        <f t="shared" ca="1" si="12"/>
        <v>719</v>
      </c>
      <c r="R80" s="110">
        <f t="shared" ca="1" si="12"/>
        <v>719</v>
      </c>
      <c r="S80" s="110">
        <f t="shared" ref="S80:AB89" ca="1" si="13">IF(AND(OR($A80=0,$A80=scenGen),$D80&lt;=S$28),$C80,0)</f>
        <v>719</v>
      </c>
      <c r="T80" s="110">
        <f t="shared" ca="1" si="13"/>
        <v>719</v>
      </c>
      <c r="U80" s="110">
        <f t="shared" ca="1" si="13"/>
        <v>719</v>
      </c>
      <c r="V80" s="110">
        <f t="shared" ca="1" si="13"/>
        <v>719</v>
      </c>
      <c r="W80" s="110">
        <f t="shared" ca="1" si="13"/>
        <v>719</v>
      </c>
      <c r="X80" s="110">
        <f t="shared" ca="1" si="13"/>
        <v>719</v>
      </c>
      <c r="Y80" s="110">
        <f t="shared" ca="1" si="13"/>
        <v>719</v>
      </c>
      <c r="Z80" s="110">
        <f t="shared" ca="1" si="13"/>
        <v>719</v>
      </c>
      <c r="AA80" s="110">
        <f t="shared" ca="1" si="13"/>
        <v>719</v>
      </c>
      <c r="AB80" s="110">
        <f t="shared" ca="1" si="13"/>
        <v>719</v>
      </c>
    </row>
    <row r="81" spans="1:28">
      <c r="A81" s="113" t="s">
        <v>2389</v>
      </c>
      <c r="B81" s="4" t="s">
        <v>83</v>
      </c>
      <c r="C81" s="4">
        <v>55</v>
      </c>
      <c r="D81" s="4">
        <v>2012</v>
      </c>
      <c r="E81" s="2" t="s">
        <v>20</v>
      </c>
      <c r="F81" s="4" t="s">
        <v>23</v>
      </c>
      <c r="G81" s="4" t="s">
        <v>10</v>
      </c>
      <c r="I81" s="110">
        <f t="shared" ca="1" si="12"/>
        <v>0</v>
      </c>
      <c r="J81" s="110">
        <f t="shared" ca="1" si="12"/>
        <v>55</v>
      </c>
      <c r="K81" s="110">
        <f t="shared" ca="1" si="12"/>
        <v>55</v>
      </c>
      <c r="L81" s="110">
        <f t="shared" ca="1" si="12"/>
        <v>55</v>
      </c>
      <c r="M81" s="110">
        <f t="shared" ca="1" si="12"/>
        <v>55</v>
      </c>
      <c r="N81" s="110">
        <f t="shared" ca="1" si="12"/>
        <v>55</v>
      </c>
      <c r="O81" s="110">
        <f t="shared" ca="1" si="12"/>
        <v>55</v>
      </c>
      <c r="P81" s="110">
        <f t="shared" ca="1" si="12"/>
        <v>55</v>
      </c>
      <c r="Q81" s="110">
        <f t="shared" ca="1" si="12"/>
        <v>55</v>
      </c>
      <c r="R81" s="110">
        <f t="shared" ca="1" si="12"/>
        <v>55</v>
      </c>
      <c r="S81" s="110">
        <f t="shared" ca="1" si="13"/>
        <v>55</v>
      </c>
      <c r="T81" s="110">
        <f t="shared" ca="1" si="13"/>
        <v>55</v>
      </c>
      <c r="U81" s="110">
        <f t="shared" ca="1" si="13"/>
        <v>55</v>
      </c>
      <c r="V81" s="110">
        <f t="shared" ca="1" si="13"/>
        <v>55</v>
      </c>
      <c r="W81" s="110">
        <f t="shared" ca="1" si="13"/>
        <v>55</v>
      </c>
      <c r="X81" s="110">
        <f t="shared" ca="1" si="13"/>
        <v>55</v>
      </c>
      <c r="Y81" s="110">
        <f t="shared" ca="1" si="13"/>
        <v>55</v>
      </c>
      <c r="Z81" s="110">
        <f t="shared" ca="1" si="13"/>
        <v>55</v>
      </c>
      <c r="AA81" s="110">
        <f t="shared" ca="1" si="13"/>
        <v>55</v>
      </c>
      <c r="AB81" s="110">
        <f t="shared" ca="1" si="13"/>
        <v>55</v>
      </c>
    </row>
    <row r="82" spans="1:28">
      <c r="A82" s="113" t="s">
        <v>2389</v>
      </c>
      <c r="B82" s="4" t="s">
        <v>84</v>
      </c>
      <c r="C82" s="4">
        <v>55</v>
      </c>
      <c r="D82" s="4">
        <v>2012</v>
      </c>
      <c r="E82" s="2" t="s">
        <v>20</v>
      </c>
      <c r="F82" s="4" t="s">
        <v>23</v>
      </c>
      <c r="G82" s="4" t="s">
        <v>10</v>
      </c>
      <c r="I82" s="110">
        <f t="shared" ca="1" si="12"/>
        <v>0</v>
      </c>
      <c r="J82" s="110">
        <f t="shared" ca="1" si="12"/>
        <v>55</v>
      </c>
      <c r="K82" s="110">
        <f t="shared" ca="1" si="12"/>
        <v>55</v>
      </c>
      <c r="L82" s="110">
        <f t="shared" ca="1" si="12"/>
        <v>55</v>
      </c>
      <c r="M82" s="110">
        <f t="shared" ca="1" si="12"/>
        <v>55</v>
      </c>
      <c r="N82" s="110">
        <f t="shared" ca="1" si="12"/>
        <v>55</v>
      </c>
      <c r="O82" s="110">
        <f t="shared" ca="1" si="12"/>
        <v>55</v>
      </c>
      <c r="P82" s="110">
        <f t="shared" ca="1" si="12"/>
        <v>55</v>
      </c>
      <c r="Q82" s="110">
        <f t="shared" ca="1" si="12"/>
        <v>55</v>
      </c>
      <c r="R82" s="110">
        <f t="shared" ca="1" si="12"/>
        <v>55</v>
      </c>
      <c r="S82" s="110">
        <f t="shared" ca="1" si="13"/>
        <v>55</v>
      </c>
      <c r="T82" s="110">
        <f t="shared" ca="1" si="13"/>
        <v>55</v>
      </c>
      <c r="U82" s="110">
        <f t="shared" ca="1" si="13"/>
        <v>55</v>
      </c>
      <c r="V82" s="110">
        <f t="shared" ca="1" si="13"/>
        <v>55</v>
      </c>
      <c r="W82" s="110">
        <f t="shared" ca="1" si="13"/>
        <v>55</v>
      </c>
      <c r="X82" s="110">
        <f t="shared" ca="1" si="13"/>
        <v>55</v>
      </c>
      <c r="Y82" s="110">
        <f t="shared" ca="1" si="13"/>
        <v>55</v>
      </c>
      <c r="Z82" s="110">
        <f t="shared" ca="1" si="13"/>
        <v>55</v>
      </c>
      <c r="AA82" s="110">
        <f t="shared" ca="1" si="13"/>
        <v>55</v>
      </c>
      <c r="AB82" s="110">
        <f t="shared" ca="1" si="13"/>
        <v>55</v>
      </c>
    </row>
    <row r="83" spans="1:28">
      <c r="A83" s="113" t="s">
        <v>2389</v>
      </c>
      <c r="B83" s="4" t="s">
        <v>85</v>
      </c>
      <c r="C83" s="4">
        <v>55</v>
      </c>
      <c r="D83" s="4">
        <v>2012</v>
      </c>
      <c r="E83" s="2" t="s">
        <v>20</v>
      </c>
      <c r="F83" s="4" t="s">
        <v>23</v>
      </c>
      <c r="G83" s="4" t="s">
        <v>10</v>
      </c>
      <c r="I83" s="110">
        <f t="shared" ca="1" si="12"/>
        <v>0</v>
      </c>
      <c r="J83" s="110">
        <f t="shared" ca="1" si="12"/>
        <v>55</v>
      </c>
      <c r="K83" s="110">
        <f t="shared" ca="1" si="12"/>
        <v>55</v>
      </c>
      <c r="L83" s="110">
        <f t="shared" ca="1" si="12"/>
        <v>55</v>
      </c>
      <c r="M83" s="110">
        <f t="shared" ca="1" si="12"/>
        <v>55</v>
      </c>
      <c r="N83" s="110">
        <f t="shared" ca="1" si="12"/>
        <v>55</v>
      </c>
      <c r="O83" s="110">
        <f t="shared" ca="1" si="12"/>
        <v>55</v>
      </c>
      <c r="P83" s="110">
        <f t="shared" ca="1" si="12"/>
        <v>55</v>
      </c>
      <c r="Q83" s="110">
        <f t="shared" ca="1" si="12"/>
        <v>55</v>
      </c>
      <c r="R83" s="110">
        <f t="shared" ca="1" si="12"/>
        <v>55</v>
      </c>
      <c r="S83" s="110">
        <f t="shared" ca="1" si="13"/>
        <v>55</v>
      </c>
      <c r="T83" s="110">
        <f t="shared" ca="1" si="13"/>
        <v>55</v>
      </c>
      <c r="U83" s="110">
        <f t="shared" ca="1" si="13"/>
        <v>55</v>
      </c>
      <c r="V83" s="110">
        <f t="shared" ca="1" si="13"/>
        <v>55</v>
      </c>
      <c r="W83" s="110">
        <f t="shared" ca="1" si="13"/>
        <v>55</v>
      </c>
      <c r="X83" s="110">
        <f t="shared" ca="1" si="13"/>
        <v>55</v>
      </c>
      <c r="Y83" s="110">
        <f t="shared" ca="1" si="13"/>
        <v>55</v>
      </c>
      <c r="Z83" s="110">
        <f t="shared" ca="1" si="13"/>
        <v>55</v>
      </c>
      <c r="AA83" s="110">
        <f t="shared" ca="1" si="13"/>
        <v>55</v>
      </c>
      <c r="AB83" s="110">
        <f t="shared" ca="1" si="13"/>
        <v>55</v>
      </c>
    </row>
    <row r="84" spans="1:28">
      <c r="A84" s="113" t="s">
        <v>2389</v>
      </c>
      <c r="B84" s="4" t="s">
        <v>92</v>
      </c>
      <c r="C84" s="4">
        <v>320</v>
      </c>
      <c r="D84" s="4">
        <v>2015</v>
      </c>
      <c r="E84" s="2" t="s">
        <v>19</v>
      </c>
      <c r="F84" s="4" t="s">
        <v>23</v>
      </c>
      <c r="G84" s="4" t="s">
        <v>12</v>
      </c>
      <c r="I84" s="110">
        <f t="shared" ca="1" si="12"/>
        <v>0</v>
      </c>
      <c r="J84" s="110">
        <f t="shared" ca="1" si="12"/>
        <v>0</v>
      </c>
      <c r="K84" s="110">
        <f t="shared" ca="1" si="12"/>
        <v>0</v>
      </c>
      <c r="L84" s="110">
        <f t="shared" ca="1" si="12"/>
        <v>0</v>
      </c>
      <c r="M84" s="110">
        <f t="shared" ca="1" si="12"/>
        <v>320</v>
      </c>
      <c r="N84" s="110">
        <f t="shared" ca="1" si="12"/>
        <v>320</v>
      </c>
      <c r="O84" s="110">
        <f t="shared" ca="1" si="12"/>
        <v>320</v>
      </c>
      <c r="P84" s="110">
        <f t="shared" ca="1" si="12"/>
        <v>320</v>
      </c>
      <c r="Q84" s="110">
        <f t="shared" ca="1" si="12"/>
        <v>320</v>
      </c>
      <c r="R84" s="110">
        <f t="shared" ca="1" si="12"/>
        <v>320</v>
      </c>
      <c r="S84" s="110">
        <f t="shared" ca="1" si="13"/>
        <v>320</v>
      </c>
      <c r="T84" s="110">
        <f t="shared" ca="1" si="13"/>
        <v>320</v>
      </c>
      <c r="U84" s="110">
        <f t="shared" ca="1" si="13"/>
        <v>320</v>
      </c>
      <c r="V84" s="110">
        <f t="shared" ca="1" si="13"/>
        <v>320</v>
      </c>
      <c r="W84" s="110">
        <f t="shared" ca="1" si="13"/>
        <v>320</v>
      </c>
      <c r="X84" s="110">
        <f t="shared" ca="1" si="13"/>
        <v>320</v>
      </c>
      <c r="Y84" s="110">
        <f t="shared" ca="1" si="13"/>
        <v>320</v>
      </c>
      <c r="Z84" s="110">
        <f t="shared" ca="1" si="13"/>
        <v>320</v>
      </c>
      <c r="AA84" s="110">
        <f t="shared" ca="1" si="13"/>
        <v>320</v>
      </c>
      <c r="AB84" s="110">
        <f t="shared" ca="1" si="13"/>
        <v>320</v>
      </c>
    </row>
    <row r="85" spans="1:28">
      <c r="A85" s="113" t="s">
        <v>2389</v>
      </c>
      <c r="B85" s="4" t="s">
        <v>93</v>
      </c>
      <c r="C85" s="4">
        <v>320</v>
      </c>
      <c r="D85" s="4">
        <v>2015</v>
      </c>
      <c r="E85" s="2" t="s">
        <v>19</v>
      </c>
      <c r="F85" s="4" t="s">
        <v>23</v>
      </c>
      <c r="G85" s="4" t="s">
        <v>12</v>
      </c>
      <c r="I85" s="110">
        <f t="shared" ca="1" si="12"/>
        <v>0</v>
      </c>
      <c r="J85" s="110">
        <f t="shared" ca="1" si="12"/>
        <v>0</v>
      </c>
      <c r="K85" s="110">
        <f t="shared" ca="1" si="12"/>
        <v>0</v>
      </c>
      <c r="L85" s="110">
        <f t="shared" ca="1" si="12"/>
        <v>0</v>
      </c>
      <c r="M85" s="110">
        <f t="shared" ca="1" si="12"/>
        <v>320</v>
      </c>
      <c r="N85" s="110">
        <f t="shared" ca="1" si="12"/>
        <v>320</v>
      </c>
      <c r="O85" s="110">
        <f t="shared" ca="1" si="12"/>
        <v>320</v>
      </c>
      <c r="P85" s="110">
        <f t="shared" ca="1" si="12"/>
        <v>320</v>
      </c>
      <c r="Q85" s="110">
        <f t="shared" ca="1" si="12"/>
        <v>320</v>
      </c>
      <c r="R85" s="110">
        <f t="shared" ca="1" si="12"/>
        <v>320</v>
      </c>
      <c r="S85" s="110">
        <f t="shared" ca="1" si="13"/>
        <v>320</v>
      </c>
      <c r="T85" s="110">
        <f t="shared" ca="1" si="13"/>
        <v>320</v>
      </c>
      <c r="U85" s="110">
        <f t="shared" ca="1" si="13"/>
        <v>320</v>
      </c>
      <c r="V85" s="110">
        <f t="shared" ca="1" si="13"/>
        <v>320</v>
      </c>
      <c r="W85" s="110">
        <f t="shared" ca="1" si="13"/>
        <v>320</v>
      </c>
      <c r="X85" s="110">
        <f t="shared" ca="1" si="13"/>
        <v>320</v>
      </c>
      <c r="Y85" s="110">
        <f t="shared" ca="1" si="13"/>
        <v>320</v>
      </c>
      <c r="Z85" s="110">
        <f t="shared" ca="1" si="13"/>
        <v>320</v>
      </c>
      <c r="AA85" s="110">
        <f t="shared" ca="1" si="13"/>
        <v>320</v>
      </c>
      <c r="AB85" s="110">
        <f t="shared" ca="1" si="13"/>
        <v>320</v>
      </c>
    </row>
    <row r="86" spans="1:28">
      <c r="A86" s="113" t="s">
        <v>2389</v>
      </c>
      <c r="B86" s="4" t="s">
        <v>96</v>
      </c>
      <c r="C86" s="4">
        <v>600</v>
      </c>
      <c r="D86" s="4">
        <v>2012</v>
      </c>
      <c r="E86" s="2" t="s">
        <v>19</v>
      </c>
      <c r="F86" s="3" t="s">
        <v>129</v>
      </c>
      <c r="G86" s="4" t="s">
        <v>10</v>
      </c>
      <c r="I86" s="110">
        <f t="shared" ca="1" si="12"/>
        <v>0</v>
      </c>
      <c r="J86" s="110">
        <f t="shared" ca="1" si="12"/>
        <v>600</v>
      </c>
      <c r="K86" s="110">
        <f t="shared" ca="1" si="12"/>
        <v>600</v>
      </c>
      <c r="L86" s="110">
        <f t="shared" ca="1" si="12"/>
        <v>600</v>
      </c>
      <c r="M86" s="110">
        <f t="shared" ca="1" si="12"/>
        <v>600</v>
      </c>
      <c r="N86" s="110">
        <f t="shared" ca="1" si="12"/>
        <v>600</v>
      </c>
      <c r="O86" s="110">
        <f t="shared" ca="1" si="12"/>
        <v>600</v>
      </c>
      <c r="P86" s="110">
        <f t="shared" ca="1" si="12"/>
        <v>600</v>
      </c>
      <c r="Q86" s="110">
        <f t="shared" ca="1" si="12"/>
        <v>600</v>
      </c>
      <c r="R86" s="110">
        <f t="shared" ca="1" si="12"/>
        <v>600</v>
      </c>
      <c r="S86" s="110">
        <f t="shared" ca="1" si="13"/>
        <v>600</v>
      </c>
      <c r="T86" s="110">
        <f t="shared" ca="1" si="13"/>
        <v>600</v>
      </c>
      <c r="U86" s="110">
        <f t="shared" ca="1" si="13"/>
        <v>600</v>
      </c>
      <c r="V86" s="110">
        <f t="shared" ca="1" si="13"/>
        <v>600</v>
      </c>
      <c r="W86" s="110">
        <f t="shared" ca="1" si="13"/>
        <v>600</v>
      </c>
      <c r="X86" s="110">
        <f t="shared" ca="1" si="13"/>
        <v>600</v>
      </c>
      <c r="Y86" s="110">
        <f t="shared" ca="1" si="13"/>
        <v>600</v>
      </c>
      <c r="Z86" s="110">
        <f t="shared" ca="1" si="13"/>
        <v>600</v>
      </c>
      <c r="AA86" s="110">
        <f t="shared" ca="1" si="13"/>
        <v>600</v>
      </c>
      <c r="AB86" s="110">
        <f t="shared" ca="1" si="13"/>
        <v>600</v>
      </c>
    </row>
    <row r="87" spans="1:28">
      <c r="A87" s="113" t="s">
        <v>2389</v>
      </c>
      <c r="B87" s="4" t="s">
        <v>104</v>
      </c>
      <c r="C87" s="4">
        <v>563</v>
      </c>
      <c r="D87" s="4">
        <v>2011</v>
      </c>
      <c r="E87" s="2" t="s">
        <v>19</v>
      </c>
      <c r="F87" s="3" t="s">
        <v>129</v>
      </c>
      <c r="G87" s="4" t="s">
        <v>12</v>
      </c>
      <c r="I87" s="110">
        <f t="shared" ca="1" si="12"/>
        <v>563</v>
      </c>
      <c r="J87" s="110">
        <f t="shared" ca="1" si="12"/>
        <v>563</v>
      </c>
      <c r="K87" s="110">
        <f t="shared" ca="1" si="12"/>
        <v>563</v>
      </c>
      <c r="L87" s="110">
        <f t="shared" ca="1" si="12"/>
        <v>563</v>
      </c>
      <c r="M87" s="110">
        <f t="shared" ca="1" si="12"/>
        <v>563</v>
      </c>
      <c r="N87" s="110">
        <f t="shared" ca="1" si="12"/>
        <v>563</v>
      </c>
      <c r="O87" s="110">
        <f t="shared" ca="1" si="12"/>
        <v>563</v>
      </c>
      <c r="P87" s="110">
        <f t="shared" ca="1" si="12"/>
        <v>563</v>
      </c>
      <c r="Q87" s="110">
        <f t="shared" ca="1" si="12"/>
        <v>563</v>
      </c>
      <c r="R87" s="110">
        <f t="shared" ca="1" si="12"/>
        <v>563</v>
      </c>
      <c r="S87" s="110">
        <f t="shared" ca="1" si="13"/>
        <v>563</v>
      </c>
      <c r="T87" s="110">
        <f t="shared" ca="1" si="13"/>
        <v>563</v>
      </c>
      <c r="U87" s="110">
        <f t="shared" ca="1" si="13"/>
        <v>563</v>
      </c>
      <c r="V87" s="110">
        <f t="shared" ca="1" si="13"/>
        <v>563</v>
      </c>
      <c r="W87" s="110">
        <f t="shared" ca="1" si="13"/>
        <v>563</v>
      </c>
      <c r="X87" s="110">
        <f t="shared" ca="1" si="13"/>
        <v>563</v>
      </c>
      <c r="Y87" s="110">
        <f t="shared" ca="1" si="13"/>
        <v>563</v>
      </c>
      <c r="Z87" s="110">
        <f t="shared" ca="1" si="13"/>
        <v>563</v>
      </c>
      <c r="AA87" s="110">
        <f t="shared" ca="1" si="13"/>
        <v>563</v>
      </c>
      <c r="AB87" s="110">
        <f t="shared" ca="1" si="13"/>
        <v>563</v>
      </c>
    </row>
    <row r="88" spans="1:28">
      <c r="A88" s="113" t="s">
        <v>2389</v>
      </c>
      <c r="B88" s="4" t="s">
        <v>107</v>
      </c>
      <c r="C88" s="4">
        <v>520</v>
      </c>
      <c r="D88" s="4">
        <v>2013</v>
      </c>
      <c r="E88" s="2" t="s">
        <v>19</v>
      </c>
      <c r="F88" s="3" t="s">
        <v>129</v>
      </c>
      <c r="G88" s="4" t="s">
        <v>12</v>
      </c>
      <c r="I88" s="110">
        <f t="shared" ca="1" si="12"/>
        <v>0</v>
      </c>
      <c r="J88" s="110">
        <f t="shared" ca="1" si="12"/>
        <v>0</v>
      </c>
      <c r="K88" s="110">
        <f t="shared" ca="1" si="12"/>
        <v>520</v>
      </c>
      <c r="L88" s="110">
        <f t="shared" ca="1" si="12"/>
        <v>520</v>
      </c>
      <c r="M88" s="110">
        <f t="shared" ca="1" si="12"/>
        <v>520</v>
      </c>
      <c r="N88" s="110">
        <f t="shared" ca="1" si="12"/>
        <v>520</v>
      </c>
      <c r="O88" s="110">
        <f t="shared" ca="1" si="12"/>
        <v>520</v>
      </c>
      <c r="P88" s="110">
        <f t="shared" ca="1" si="12"/>
        <v>520</v>
      </c>
      <c r="Q88" s="110">
        <f t="shared" ca="1" si="12"/>
        <v>520</v>
      </c>
      <c r="R88" s="110">
        <f t="shared" ca="1" si="12"/>
        <v>520</v>
      </c>
      <c r="S88" s="110">
        <f t="shared" ca="1" si="13"/>
        <v>520</v>
      </c>
      <c r="T88" s="110">
        <f t="shared" ca="1" si="13"/>
        <v>520</v>
      </c>
      <c r="U88" s="110">
        <f t="shared" ca="1" si="13"/>
        <v>520</v>
      </c>
      <c r="V88" s="110">
        <f t="shared" ca="1" si="13"/>
        <v>520</v>
      </c>
      <c r="W88" s="110">
        <f t="shared" ca="1" si="13"/>
        <v>520</v>
      </c>
      <c r="X88" s="110">
        <f t="shared" ca="1" si="13"/>
        <v>520</v>
      </c>
      <c r="Y88" s="110">
        <f t="shared" ca="1" si="13"/>
        <v>520</v>
      </c>
      <c r="Z88" s="110">
        <f t="shared" ca="1" si="13"/>
        <v>520</v>
      </c>
      <c r="AA88" s="110">
        <f t="shared" ca="1" si="13"/>
        <v>520</v>
      </c>
      <c r="AB88" s="110">
        <f t="shared" ca="1" si="13"/>
        <v>520</v>
      </c>
    </row>
    <row r="89" spans="1:28" s="243" customFormat="1">
      <c r="A89" s="113" t="s">
        <v>2389</v>
      </c>
      <c r="B89" s="4" t="s">
        <v>51</v>
      </c>
      <c r="C89" s="4">
        <v>215</v>
      </c>
      <c r="D89" s="4">
        <v>2020</v>
      </c>
      <c r="E89" s="2" t="s">
        <v>19</v>
      </c>
      <c r="F89" s="3" t="s">
        <v>6</v>
      </c>
      <c r="G89" s="4" t="s">
        <v>12</v>
      </c>
      <c r="H89" s="2"/>
      <c r="I89" s="110">
        <f t="shared" ca="1" si="12"/>
        <v>0</v>
      </c>
      <c r="J89" s="110">
        <f t="shared" ca="1" si="12"/>
        <v>0</v>
      </c>
      <c r="K89" s="110">
        <f t="shared" ca="1" si="12"/>
        <v>0</v>
      </c>
      <c r="L89" s="110">
        <f t="shared" ca="1" si="12"/>
        <v>0</v>
      </c>
      <c r="M89" s="110">
        <f t="shared" ca="1" si="12"/>
        <v>0</v>
      </c>
      <c r="N89" s="110">
        <f t="shared" ca="1" si="12"/>
        <v>0</v>
      </c>
      <c r="O89" s="110">
        <f t="shared" ca="1" si="12"/>
        <v>0</v>
      </c>
      <c r="P89" s="110">
        <f t="shared" ca="1" si="12"/>
        <v>0</v>
      </c>
      <c r="Q89" s="110">
        <f t="shared" ca="1" si="12"/>
        <v>0</v>
      </c>
      <c r="R89" s="110">
        <f t="shared" ca="1" si="12"/>
        <v>215</v>
      </c>
      <c r="S89" s="110">
        <f t="shared" ca="1" si="13"/>
        <v>215</v>
      </c>
      <c r="T89" s="110">
        <f t="shared" ca="1" si="13"/>
        <v>215</v>
      </c>
      <c r="U89" s="110">
        <f t="shared" ca="1" si="13"/>
        <v>215</v>
      </c>
      <c r="V89" s="110">
        <f t="shared" ca="1" si="13"/>
        <v>215</v>
      </c>
      <c r="W89" s="110">
        <f t="shared" ca="1" si="13"/>
        <v>215</v>
      </c>
      <c r="X89" s="110">
        <f t="shared" ca="1" si="13"/>
        <v>215</v>
      </c>
      <c r="Y89" s="110">
        <f t="shared" ca="1" si="13"/>
        <v>215</v>
      </c>
      <c r="Z89" s="110">
        <f t="shared" ca="1" si="13"/>
        <v>215</v>
      </c>
      <c r="AA89" s="110">
        <f t="shared" ca="1" si="13"/>
        <v>215</v>
      </c>
      <c r="AB89" s="110">
        <f t="shared" ca="1" si="13"/>
        <v>215</v>
      </c>
    </row>
    <row r="90" spans="1:28" s="243" customFormat="1">
      <c r="A90" s="241" t="s">
        <v>2389</v>
      </c>
      <c r="B90" s="242" t="s">
        <v>53</v>
      </c>
      <c r="C90" s="242">
        <v>215.29</v>
      </c>
      <c r="D90" s="242">
        <v>2020</v>
      </c>
      <c r="E90" s="243" t="s">
        <v>19</v>
      </c>
      <c r="F90" s="244" t="s">
        <v>6</v>
      </c>
      <c r="G90" s="242" t="s">
        <v>12</v>
      </c>
      <c r="I90" s="245">
        <f t="shared" ref="I90:R99" ca="1" si="14">IF(AND(OR($A90=0,$A90=scenGen),$D90&lt;=I$28),$C90,0)</f>
        <v>0</v>
      </c>
      <c r="J90" s="245">
        <f t="shared" ca="1" si="14"/>
        <v>0</v>
      </c>
      <c r="K90" s="245">
        <f t="shared" ca="1" si="14"/>
        <v>0</v>
      </c>
      <c r="L90" s="245">
        <f t="shared" ca="1" si="14"/>
        <v>0</v>
      </c>
      <c r="M90" s="245">
        <f t="shared" ca="1" si="14"/>
        <v>0</v>
      </c>
      <c r="N90" s="245">
        <f t="shared" ca="1" si="14"/>
        <v>0</v>
      </c>
      <c r="O90" s="245">
        <f t="shared" ca="1" si="14"/>
        <v>0</v>
      </c>
      <c r="P90" s="245">
        <f t="shared" ca="1" si="14"/>
        <v>0</v>
      </c>
      <c r="Q90" s="245">
        <f t="shared" ca="1" si="14"/>
        <v>0</v>
      </c>
      <c r="R90" s="245">
        <f t="shared" ca="1" si="14"/>
        <v>215.29</v>
      </c>
      <c r="S90" s="245">
        <f t="shared" ref="S90:AB99" ca="1" si="15">IF(AND(OR($A90=0,$A90=scenGen),$D90&lt;=S$28),$C90,0)</f>
        <v>215.29</v>
      </c>
      <c r="T90" s="245">
        <f t="shared" ca="1" si="15"/>
        <v>215.29</v>
      </c>
      <c r="U90" s="245">
        <f t="shared" ca="1" si="15"/>
        <v>215.29</v>
      </c>
      <c r="V90" s="245">
        <f t="shared" ca="1" si="15"/>
        <v>215.29</v>
      </c>
      <c r="W90" s="245">
        <f t="shared" ca="1" si="15"/>
        <v>215.29</v>
      </c>
      <c r="X90" s="245">
        <f t="shared" ca="1" si="15"/>
        <v>215.29</v>
      </c>
      <c r="Y90" s="245">
        <f t="shared" ca="1" si="15"/>
        <v>215.29</v>
      </c>
      <c r="Z90" s="245">
        <f t="shared" ca="1" si="15"/>
        <v>215.29</v>
      </c>
      <c r="AA90" s="245">
        <f t="shared" ca="1" si="15"/>
        <v>215.29</v>
      </c>
      <c r="AB90" s="245">
        <f t="shared" ca="1" si="15"/>
        <v>215.29</v>
      </c>
    </row>
    <row r="91" spans="1:28">
      <c r="A91" s="113" t="s">
        <v>2389</v>
      </c>
      <c r="B91" s="4" t="s">
        <v>55</v>
      </c>
      <c r="C91" s="4">
        <v>741.27</v>
      </c>
      <c r="D91" s="4">
        <v>2020</v>
      </c>
      <c r="E91" s="2" t="s">
        <v>19</v>
      </c>
      <c r="F91" s="3" t="s">
        <v>6</v>
      </c>
      <c r="G91" s="4" t="s">
        <v>12</v>
      </c>
      <c r="I91" s="110">
        <f t="shared" ca="1" si="14"/>
        <v>0</v>
      </c>
      <c r="J91" s="110">
        <f t="shared" ca="1" si="14"/>
        <v>0</v>
      </c>
      <c r="K91" s="110">
        <f t="shared" ca="1" si="14"/>
        <v>0</v>
      </c>
      <c r="L91" s="110">
        <f t="shared" ca="1" si="14"/>
        <v>0</v>
      </c>
      <c r="M91" s="110">
        <f t="shared" ca="1" si="14"/>
        <v>0</v>
      </c>
      <c r="N91" s="110">
        <f t="shared" ca="1" si="14"/>
        <v>0</v>
      </c>
      <c r="O91" s="110">
        <f t="shared" ca="1" si="14"/>
        <v>0</v>
      </c>
      <c r="P91" s="110">
        <f t="shared" ca="1" si="14"/>
        <v>0</v>
      </c>
      <c r="Q91" s="110">
        <f t="shared" ca="1" si="14"/>
        <v>0</v>
      </c>
      <c r="R91" s="110">
        <f t="shared" ca="1" si="14"/>
        <v>741.27</v>
      </c>
      <c r="S91" s="110">
        <f t="shared" ca="1" si="15"/>
        <v>741.27</v>
      </c>
      <c r="T91" s="110">
        <f t="shared" ca="1" si="15"/>
        <v>741.27</v>
      </c>
      <c r="U91" s="110">
        <f t="shared" ca="1" si="15"/>
        <v>741.27</v>
      </c>
      <c r="V91" s="110">
        <f t="shared" ca="1" si="15"/>
        <v>741.27</v>
      </c>
      <c r="W91" s="110">
        <f t="shared" ca="1" si="15"/>
        <v>741.27</v>
      </c>
      <c r="X91" s="110">
        <f t="shared" ca="1" si="15"/>
        <v>741.27</v>
      </c>
      <c r="Y91" s="110">
        <f t="shared" ca="1" si="15"/>
        <v>741.27</v>
      </c>
      <c r="Z91" s="110">
        <f t="shared" ca="1" si="15"/>
        <v>741.27</v>
      </c>
      <c r="AA91" s="110">
        <f t="shared" ca="1" si="15"/>
        <v>741.27</v>
      </c>
      <c r="AB91" s="110">
        <f t="shared" ca="1" si="15"/>
        <v>741.27</v>
      </c>
    </row>
    <row r="92" spans="1:28">
      <c r="A92" s="113" t="s">
        <v>2389</v>
      </c>
      <c r="B92" s="4" t="s">
        <v>56</v>
      </c>
      <c r="C92" s="4">
        <v>775</v>
      </c>
      <c r="D92" s="4">
        <v>2020</v>
      </c>
      <c r="E92" s="2" t="s">
        <v>19</v>
      </c>
      <c r="F92" s="3" t="s">
        <v>6</v>
      </c>
      <c r="G92" s="4" t="s">
        <v>12</v>
      </c>
      <c r="I92" s="110">
        <f t="shared" ca="1" si="14"/>
        <v>0</v>
      </c>
      <c r="J92" s="110">
        <f t="shared" ca="1" si="14"/>
        <v>0</v>
      </c>
      <c r="K92" s="110">
        <f t="shared" ca="1" si="14"/>
        <v>0</v>
      </c>
      <c r="L92" s="110">
        <f t="shared" ca="1" si="14"/>
        <v>0</v>
      </c>
      <c r="M92" s="110">
        <f t="shared" ca="1" si="14"/>
        <v>0</v>
      </c>
      <c r="N92" s="110">
        <f t="shared" ca="1" si="14"/>
        <v>0</v>
      </c>
      <c r="O92" s="110">
        <f t="shared" ca="1" si="14"/>
        <v>0</v>
      </c>
      <c r="P92" s="110">
        <f t="shared" ca="1" si="14"/>
        <v>0</v>
      </c>
      <c r="Q92" s="110">
        <f t="shared" ca="1" si="14"/>
        <v>0</v>
      </c>
      <c r="R92" s="110">
        <f t="shared" ca="1" si="14"/>
        <v>775</v>
      </c>
      <c r="S92" s="110">
        <f t="shared" ca="1" si="15"/>
        <v>775</v>
      </c>
      <c r="T92" s="110">
        <f t="shared" ca="1" si="15"/>
        <v>775</v>
      </c>
      <c r="U92" s="110">
        <f t="shared" ca="1" si="15"/>
        <v>775</v>
      </c>
      <c r="V92" s="110">
        <f t="shared" ca="1" si="15"/>
        <v>775</v>
      </c>
      <c r="W92" s="110">
        <f t="shared" ca="1" si="15"/>
        <v>775</v>
      </c>
      <c r="X92" s="110">
        <f t="shared" ca="1" si="15"/>
        <v>775</v>
      </c>
      <c r="Y92" s="110">
        <f t="shared" ca="1" si="15"/>
        <v>775</v>
      </c>
      <c r="Z92" s="110">
        <f t="shared" ca="1" si="15"/>
        <v>775</v>
      </c>
      <c r="AA92" s="110">
        <f t="shared" ca="1" si="15"/>
        <v>775</v>
      </c>
      <c r="AB92" s="110">
        <f t="shared" ca="1" si="15"/>
        <v>775</v>
      </c>
    </row>
    <row r="93" spans="1:28">
      <c r="A93" s="113" t="s">
        <v>2389</v>
      </c>
      <c r="B93" s="5" t="s">
        <v>116</v>
      </c>
      <c r="C93" s="149">
        <v>951</v>
      </c>
      <c r="D93" s="5">
        <v>2016</v>
      </c>
      <c r="E93" s="5" t="s">
        <v>19</v>
      </c>
      <c r="F93" s="5" t="s">
        <v>6</v>
      </c>
      <c r="G93" s="5" t="s">
        <v>12</v>
      </c>
      <c r="I93" s="110">
        <f t="shared" ca="1" si="14"/>
        <v>0</v>
      </c>
      <c r="J93" s="110">
        <f t="shared" ca="1" si="14"/>
        <v>0</v>
      </c>
      <c r="K93" s="110">
        <f t="shared" ca="1" si="14"/>
        <v>0</v>
      </c>
      <c r="L93" s="110">
        <f t="shared" ca="1" si="14"/>
        <v>0</v>
      </c>
      <c r="M93" s="110">
        <f t="shared" ca="1" si="14"/>
        <v>0</v>
      </c>
      <c r="N93" s="110">
        <f t="shared" ca="1" si="14"/>
        <v>951</v>
      </c>
      <c r="O93" s="110">
        <f t="shared" ca="1" si="14"/>
        <v>951</v>
      </c>
      <c r="P93" s="110">
        <f t="shared" ca="1" si="14"/>
        <v>951</v>
      </c>
      <c r="Q93" s="110">
        <f t="shared" ca="1" si="14"/>
        <v>951</v>
      </c>
      <c r="R93" s="110">
        <f t="shared" ca="1" si="14"/>
        <v>951</v>
      </c>
      <c r="S93" s="110">
        <f t="shared" ca="1" si="15"/>
        <v>951</v>
      </c>
      <c r="T93" s="110">
        <f t="shared" ca="1" si="15"/>
        <v>951</v>
      </c>
      <c r="U93" s="110">
        <f t="shared" ca="1" si="15"/>
        <v>951</v>
      </c>
      <c r="V93" s="110">
        <f t="shared" ca="1" si="15"/>
        <v>951</v>
      </c>
      <c r="W93" s="110">
        <f t="shared" ca="1" si="15"/>
        <v>951</v>
      </c>
      <c r="X93" s="110">
        <f t="shared" ca="1" si="15"/>
        <v>951</v>
      </c>
      <c r="Y93" s="110">
        <f t="shared" ca="1" si="15"/>
        <v>951</v>
      </c>
      <c r="Z93" s="110">
        <f t="shared" ca="1" si="15"/>
        <v>951</v>
      </c>
      <c r="AA93" s="110">
        <f t="shared" ca="1" si="15"/>
        <v>951</v>
      </c>
      <c r="AB93" s="110">
        <f t="shared" ca="1" si="15"/>
        <v>951</v>
      </c>
    </row>
    <row r="94" spans="1:28">
      <c r="A94" s="113" t="s">
        <v>2389</v>
      </c>
      <c r="B94" s="5" t="s">
        <v>117</v>
      </c>
      <c r="C94" s="149">
        <v>951</v>
      </c>
      <c r="D94" s="5">
        <v>2017</v>
      </c>
      <c r="E94" s="5" t="s">
        <v>19</v>
      </c>
      <c r="F94" s="5" t="s">
        <v>6</v>
      </c>
      <c r="G94" s="5" t="s">
        <v>12</v>
      </c>
      <c r="I94" s="110">
        <f t="shared" ca="1" si="14"/>
        <v>0</v>
      </c>
      <c r="J94" s="110">
        <f t="shared" ca="1" si="14"/>
        <v>0</v>
      </c>
      <c r="K94" s="110">
        <f t="shared" ca="1" si="14"/>
        <v>0</v>
      </c>
      <c r="L94" s="110">
        <f t="shared" ca="1" si="14"/>
        <v>0</v>
      </c>
      <c r="M94" s="110">
        <f t="shared" ca="1" si="14"/>
        <v>0</v>
      </c>
      <c r="N94" s="110">
        <f t="shared" ca="1" si="14"/>
        <v>0</v>
      </c>
      <c r="O94" s="110">
        <f t="shared" ca="1" si="14"/>
        <v>951</v>
      </c>
      <c r="P94" s="110">
        <f t="shared" ca="1" si="14"/>
        <v>951</v>
      </c>
      <c r="Q94" s="110">
        <f t="shared" ca="1" si="14"/>
        <v>951</v>
      </c>
      <c r="R94" s="110">
        <f t="shared" ca="1" si="14"/>
        <v>951</v>
      </c>
      <c r="S94" s="110">
        <f t="shared" ca="1" si="15"/>
        <v>951</v>
      </c>
      <c r="T94" s="110">
        <f t="shared" ca="1" si="15"/>
        <v>951</v>
      </c>
      <c r="U94" s="110">
        <f t="shared" ca="1" si="15"/>
        <v>951</v>
      </c>
      <c r="V94" s="110">
        <f t="shared" ca="1" si="15"/>
        <v>951</v>
      </c>
      <c r="W94" s="110">
        <f t="shared" ca="1" si="15"/>
        <v>951</v>
      </c>
      <c r="X94" s="110">
        <f t="shared" ca="1" si="15"/>
        <v>951</v>
      </c>
      <c r="Y94" s="110">
        <f t="shared" ca="1" si="15"/>
        <v>951</v>
      </c>
      <c r="Z94" s="110">
        <f t="shared" ca="1" si="15"/>
        <v>951</v>
      </c>
      <c r="AA94" s="110">
        <f t="shared" ca="1" si="15"/>
        <v>951</v>
      </c>
      <c r="AB94" s="110">
        <f t="shared" ca="1" si="15"/>
        <v>951</v>
      </c>
    </row>
    <row r="95" spans="1:28">
      <c r="A95" s="113" t="s">
        <v>2389</v>
      </c>
      <c r="B95" s="5" t="s">
        <v>118</v>
      </c>
      <c r="C95" s="149">
        <v>951</v>
      </c>
      <c r="D95" s="5">
        <v>2018</v>
      </c>
      <c r="E95" s="5" t="s">
        <v>19</v>
      </c>
      <c r="F95" s="5" t="s">
        <v>6</v>
      </c>
      <c r="G95" s="5" t="s">
        <v>12</v>
      </c>
      <c r="I95" s="110">
        <f t="shared" ca="1" si="14"/>
        <v>0</v>
      </c>
      <c r="J95" s="110">
        <f t="shared" ca="1" si="14"/>
        <v>0</v>
      </c>
      <c r="K95" s="110">
        <f t="shared" ca="1" si="14"/>
        <v>0</v>
      </c>
      <c r="L95" s="110">
        <f t="shared" ca="1" si="14"/>
        <v>0</v>
      </c>
      <c r="M95" s="110">
        <f t="shared" ca="1" si="14"/>
        <v>0</v>
      </c>
      <c r="N95" s="110">
        <f t="shared" ca="1" si="14"/>
        <v>0</v>
      </c>
      <c r="O95" s="110">
        <f t="shared" ca="1" si="14"/>
        <v>0</v>
      </c>
      <c r="P95" s="110">
        <f t="shared" ca="1" si="14"/>
        <v>951</v>
      </c>
      <c r="Q95" s="110">
        <f t="shared" ca="1" si="14"/>
        <v>951</v>
      </c>
      <c r="R95" s="110">
        <f t="shared" ca="1" si="14"/>
        <v>951</v>
      </c>
      <c r="S95" s="110">
        <f t="shared" ca="1" si="15"/>
        <v>951</v>
      </c>
      <c r="T95" s="110">
        <f t="shared" ca="1" si="15"/>
        <v>951</v>
      </c>
      <c r="U95" s="110">
        <f t="shared" ca="1" si="15"/>
        <v>951</v>
      </c>
      <c r="V95" s="110">
        <f t="shared" ca="1" si="15"/>
        <v>951</v>
      </c>
      <c r="W95" s="110">
        <f t="shared" ca="1" si="15"/>
        <v>951</v>
      </c>
      <c r="X95" s="110">
        <f t="shared" ca="1" si="15"/>
        <v>951</v>
      </c>
      <c r="Y95" s="110">
        <f t="shared" ca="1" si="15"/>
        <v>951</v>
      </c>
      <c r="Z95" s="110">
        <f t="shared" ca="1" si="15"/>
        <v>951</v>
      </c>
      <c r="AA95" s="110">
        <f t="shared" ca="1" si="15"/>
        <v>951</v>
      </c>
      <c r="AB95" s="110">
        <f t="shared" ca="1" si="15"/>
        <v>951</v>
      </c>
    </row>
    <row r="96" spans="1:28">
      <c r="A96" s="113" t="s">
        <v>2389</v>
      </c>
      <c r="B96" s="5" t="s">
        <v>119</v>
      </c>
      <c r="C96" s="149">
        <v>951</v>
      </c>
      <c r="D96" s="5">
        <v>2019</v>
      </c>
      <c r="E96" s="5" t="s">
        <v>19</v>
      </c>
      <c r="F96" s="5" t="s">
        <v>6</v>
      </c>
      <c r="G96" s="5" t="s">
        <v>12</v>
      </c>
      <c r="I96" s="110">
        <f t="shared" ca="1" si="14"/>
        <v>0</v>
      </c>
      <c r="J96" s="110">
        <f t="shared" ca="1" si="14"/>
        <v>0</v>
      </c>
      <c r="K96" s="110">
        <f t="shared" ca="1" si="14"/>
        <v>0</v>
      </c>
      <c r="L96" s="110">
        <f t="shared" ca="1" si="14"/>
        <v>0</v>
      </c>
      <c r="M96" s="110">
        <f t="shared" ca="1" si="14"/>
        <v>0</v>
      </c>
      <c r="N96" s="110">
        <f t="shared" ca="1" si="14"/>
        <v>0</v>
      </c>
      <c r="O96" s="110">
        <f t="shared" ca="1" si="14"/>
        <v>0</v>
      </c>
      <c r="P96" s="110">
        <f t="shared" ca="1" si="14"/>
        <v>0</v>
      </c>
      <c r="Q96" s="110">
        <f t="shared" ca="1" si="14"/>
        <v>951</v>
      </c>
      <c r="R96" s="110">
        <f t="shared" ca="1" si="14"/>
        <v>951</v>
      </c>
      <c r="S96" s="110">
        <f t="shared" ca="1" si="15"/>
        <v>951</v>
      </c>
      <c r="T96" s="110">
        <f t="shared" ca="1" si="15"/>
        <v>951</v>
      </c>
      <c r="U96" s="110">
        <f t="shared" ca="1" si="15"/>
        <v>951</v>
      </c>
      <c r="V96" s="110">
        <f t="shared" ca="1" si="15"/>
        <v>951</v>
      </c>
      <c r="W96" s="110">
        <f t="shared" ca="1" si="15"/>
        <v>951</v>
      </c>
      <c r="X96" s="110">
        <f t="shared" ca="1" si="15"/>
        <v>951</v>
      </c>
      <c r="Y96" s="110">
        <f t="shared" ca="1" si="15"/>
        <v>951</v>
      </c>
      <c r="Z96" s="110">
        <f t="shared" ca="1" si="15"/>
        <v>951</v>
      </c>
      <c r="AA96" s="110">
        <f t="shared" ca="1" si="15"/>
        <v>951</v>
      </c>
      <c r="AB96" s="110">
        <f t="shared" ca="1" si="15"/>
        <v>951</v>
      </c>
    </row>
    <row r="97" spans="1:28">
      <c r="A97" s="113" t="s">
        <v>2390</v>
      </c>
      <c r="B97" s="3" t="s">
        <v>2138</v>
      </c>
      <c r="C97" s="2">
        <v>2000</v>
      </c>
      <c r="D97" s="2">
        <v>2020</v>
      </c>
      <c r="E97" s="2" t="s">
        <v>19</v>
      </c>
      <c r="F97" s="3" t="s">
        <v>131</v>
      </c>
      <c r="G97" s="4" t="s">
        <v>12</v>
      </c>
      <c r="I97" s="110">
        <f t="shared" ca="1" si="14"/>
        <v>0</v>
      </c>
      <c r="J97" s="110">
        <f t="shared" ca="1" si="14"/>
        <v>0</v>
      </c>
      <c r="K97" s="110">
        <f t="shared" ca="1" si="14"/>
        <v>0</v>
      </c>
      <c r="L97" s="110">
        <f t="shared" ca="1" si="14"/>
        <v>0</v>
      </c>
      <c r="M97" s="110">
        <f t="shared" ca="1" si="14"/>
        <v>0</v>
      </c>
      <c r="N97" s="110">
        <f t="shared" ca="1" si="14"/>
        <v>0</v>
      </c>
      <c r="O97" s="110">
        <f t="shared" ca="1" si="14"/>
        <v>0</v>
      </c>
      <c r="P97" s="110">
        <f t="shared" ca="1" si="14"/>
        <v>0</v>
      </c>
      <c r="Q97" s="110">
        <f t="shared" ca="1" si="14"/>
        <v>0</v>
      </c>
      <c r="R97" s="110">
        <f t="shared" ca="1" si="14"/>
        <v>0</v>
      </c>
      <c r="S97" s="110">
        <f t="shared" ca="1" si="15"/>
        <v>0</v>
      </c>
      <c r="T97" s="110">
        <f t="shared" ca="1" si="15"/>
        <v>0</v>
      </c>
      <c r="U97" s="110">
        <f t="shared" ca="1" si="15"/>
        <v>0</v>
      </c>
      <c r="V97" s="110">
        <f t="shared" ca="1" si="15"/>
        <v>0</v>
      </c>
      <c r="W97" s="110">
        <f t="shared" ca="1" si="15"/>
        <v>0</v>
      </c>
      <c r="X97" s="110">
        <f t="shared" ca="1" si="15"/>
        <v>0</v>
      </c>
      <c r="Y97" s="110">
        <f t="shared" ca="1" si="15"/>
        <v>0</v>
      </c>
      <c r="Z97" s="110">
        <f t="shared" ca="1" si="15"/>
        <v>0</v>
      </c>
      <c r="AA97" s="110">
        <f t="shared" ca="1" si="15"/>
        <v>0</v>
      </c>
      <c r="AB97" s="110">
        <f t="shared" ca="1" si="15"/>
        <v>0</v>
      </c>
    </row>
    <row r="98" spans="1:28">
      <c r="A98" s="113" t="s">
        <v>2390</v>
      </c>
      <c r="B98" s="3" t="s">
        <v>1487</v>
      </c>
      <c r="C98" s="2">
        <v>16</v>
      </c>
      <c r="D98" s="2">
        <v>2014</v>
      </c>
      <c r="E98" s="2" t="s">
        <v>19</v>
      </c>
      <c r="F98" s="3" t="s">
        <v>23</v>
      </c>
      <c r="G98" s="3" t="s">
        <v>11</v>
      </c>
      <c r="I98" s="110">
        <f t="shared" ca="1" si="14"/>
        <v>0</v>
      </c>
      <c r="J98" s="110">
        <f t="shared" ca="1" si="14"/>
        <v>0</v>
      </c>
      <c r="K98" s="110">
        <f t="shared" ca="1" si="14"/>
        <v>0</v>
      </c>
      <c r="L98" s="110">
        <f t="shared" ca="1" si="14"/>
        <v>0</v>
      </c>
      <c r="M98" s="110">
        <f t="shared" ca="1" si="14"/>
        <v>0</v>
      </c>
      <c r="N98" s="110">
        <f t="shared" ca="1" si="14"/>
        <v>0</v>
      </c>
      <c r="O98" s="110">
        <f t="shared" ca="1" si="14"/>
        <v>0</v>
      </c>
      <c r="P98" s="110">
        <f t="shared" ca="1" si="14"/>
        <v>0</v>
      </c>
      <c r="Q98" s="110">
        <f t="shared" ca="1" si="14"/>
        <v>0</v>
      </c>
      <c r="R98" s="110">
        <f t="shared" ca="1" si="14"/>
        <v>0</v>
      </c>
      <c r="S98" s="110">
        <f t="shared" ca="1" si="15"/>
        <v>0</v>
      </c>
      <c r="T98" s="110">
        <f t="shared" ca="1" si="15"/>
        <v>0</v>
      </c>
      <c r="U98" s="110">
        <f t="shared" ca="1" si="15"/>
        <v>0</v>
      </c>
      <c r="V98" s="110">
        <f t="shared" ca="1" si="15"/>
        <v>0</v>
      </c>
      <c r="W98" s="110">
        <f t="shared" ca="1" si="15"/>
        <v>0</v>
      </c>
      <c r="X98" s="110">
        <f t="shared" ca="1" si="15"/>
        <v>0</v>
      </c>
      <c r="Y98" s="110">
        <f t="shared" ca="1" si="15"/>
        <v>0</v>
      </c>
      <c r="Z98" s="110">
        <f t="shared" ca="1" si="15"/>
        <v>0</v>
      </c>
      <c r="AA98" s="110">
        <f t="shared" ca="1" si="15"/>
        <v>0</v>
      </c>
      <c r="AB98" s="110">
        <f t="shared" ca="1" si="15"/>
        <v>0</v>
      </c>
    </row>
    <row r="99" spans="1:28">
      <c r="A99" s="113" t="s">
        <v>2390</v>
      </c>
      <c r="B99" s="3" t="s">
        <v>1485</v>
      </c>
      <c r="C99" s="2">
        <v>59</v>
      </c>
      <c r="D99" s="2">
        <v>2014</v>
      </c>
      <c r="E99" s="2" t="s">
        <v>19</v>
      </c>
      <c r="F99" s="3" t="s">
        <v>23</v>
      </c>
      <c r="G99" s="3" t="s">
        <v>11</v>
      </c>
      <c r="I99" s="110">
        <f t="shared" ca="1" si="14"/>
        <v>0</v>
      </c>
      <c r="J99" s="110">
        <f t="shared" ca="1" si="14"/>
        <v>0</v>
      </c>
      <c r="K99" s="110">
        <f t="shared" ca="1" si="14"/>
        <v>0</v>
      </c>
      <c r="L99" s="110">
        <f t="shared" ca="1" si="14"/>
        <v>0</v>
      </c>
      <c r="M99" s="110">
        <f t="shared" ca="1" si="14"/>
        <v>0</v>
      </c>
      <c r="N99" s="110">
        <f t="shared" ca="1" si="14"/>
        <v>0</v>
      </c>
      <c r="O99" s="110">
        <f t="shared" ca="1" si="14"/>
        <v>0</v>
      </c>
      <c r="P99" s="110">
        <f t="shared" ca="1" si="14"/>
        <v>0</v>
      </c>
      <c r="Q99" s="110">
        <f t="shared" ca="1" si="14"/>
        <v>0</v>
      </c>
      <c r="R99" s="110">
        <f t="shared" ca="1" si="14"/>
        <v>0</v>
      </c>
      <c r="S99" s="110">
        <f t="shared" ca="1" si="15"/>
        <v>0</v>
      </c>
      <c r="T99" s="110">
        <f t="shared" ca="1" si="15"/>
        <v>0</v>
      </c>
      <c r="U99" s="110">
        <f t="shared" ca="1" si="15"/>
        <v>0</v>
      </c>
      <c r="V99" s="110">
        <f t="shared" ca="1" si="15"/>
        <v>0</v>
      </c>
      <c r="W99" s="110">
        <f t="shared" ca="1" si="15"/>
        <v>0</v>
      </c>
      <c r="X99" s="110">
        <f t="shared" ca="1" si="15"/>
        <v>0</v>
      </c>
      <c r="Y99" s="110">
        <f t="shared" ca="1" si="15"/>
        <v>0</v>
      </c>
      <c r="Z99" s="110">
        <f t="shared" ca="1" si="15"/>
        <v>0</v>
      </c>
      <c r="AA99" s="110">
        <f t="shared" ca="1" si="15"/>
        <v>0</v>
      </c>
      <c r="AB99" s="110">
        <f t="shared" ca="1" si="15"/>
        <v>0</v>
      </c>
    </row>
    <row r="100" spans="1:28">
      <c r="A100" s="113" t="s">
        <v>2390</v>
      </c>
      <c r="B100" s="3" t="s">
        <v>1483</v>
      </c>
      <c r="C100" s="2">
        <v>61</v>
      </c>
      <c r="D100" s="2">
        <v>2014</v>
      </c>
      <c r="E100" s="2" t="s">
        <v>19</v>
      </c>
      <c r="F100" s="3" t="s">
        <v>23</v>
      </c>
      <c r="G100" s="3" t="s">
        <v>11</v>
      </c>
      <c r="I100" s="110">
        <f t="shared" ref="I100:R109" ca="1" si="16">IF(AND(OR($A100=0,$A100=scenGen),$D100&lt;=I$28),$C100,0)</f>
        <v>0</v>
      </c>
      <c r="J100" s="110">
        <f t="shared" ca="1" si="16"/>
        <v>0</v>
      </c>
      <c r="K100" s="110">
        <f t="shared" ca="1" si="16"/>
        <v>0</v>
      </c>
      <c r="L100" s="110">
        <f t="shared" ca="1" si="16"/>
        <v>0</v>
      </c>
      <c r="M100" s="110">
        <f t="shared" ca="1" si="16"/>
        <v>0</v>
      </c>
      <c r="N100" s="110">
        <f t="shared" ca="1" si="16"/>
        <v>0</v>
      </c>
      <c r="O100" s="110">
        <f t="shared" ca="1" si="16"/>
        <v>0</v>
      </c>
      <c r="P100" s="110">
        <f t="shared" ca="1" si="16"/>
        <v>0</v>
      </c>
      <c r="Q100" s="110">
        <f t="shared" ca="1" si="16"/>
        <v>0</v>
      </c>
      <c r="R100" s="110">
        <f t="shared" ca="1" si="16"/>
        <v>0</v>
      </c>
      <c r="S100" s="110">
        <f t="shared" ref="S100:AB109" ca="1" si="17">IF(AND(OR($A100=0,$A100=scenGen),$D100&lt;=S$28),$C100,0)</f>
        <v>0</v>
      </c>
      <c r="T100" s="110">
        <f t="shared" ca="1" si="17"/>
        <v>0</v>
      </c>
      <c r="U100" s="110">
        <f t="shared" ca="1" si="17"/>
        <v>0</v>
      </c>
      <c r="V100" s="110">
        <f t="shared" ca="1" si="17"/>
        <v>0</v>
      </c>
      <c r="W100" s="110">
        <f t="shared" ca="1" si="17"/>
        <v>0</v>
      </c>
      <c r="X100" s="110">
        <f t="shared" ca="1" si="17"/>
        <v>0</v>
      </c>
      <c r="Y100" s="110">
        <f t="shared" ca="1" si="17"/>
        <v>0</v>
      </c>
      <c r="Z100" s="110">
        <f t="shared" ca="1" si="17"/>
        <v>0</v>
      </c>
      <c r="AA100" s="110">
        <f t="shared" ca="1" si="17"/>
        <v>0</v>
      </c>
      <c r="AB100" s="110">
        <f t="shared" ca="1" si="17"/>
        <v>0</v>
      </c>
    </row>
    <row r="101" spans="1:28">
      <c r="A101" s="113" t="s">
        <v>2390</v>
      </c>
      <c r="B101" s="3" t="s">
        <v>1314</v>
      </c>
      <c r="C101" s="2">
        <v>36</v>
      </c>
      <c r="D101" s="2">
        <v>2014</v>
      </c>
      <c r="E101" s="2" t="s">
        <v>19</v>
      </c>
      <c r="F101" s="3" t="s">
        <v>23</v>
      </c>
      <c r="G101" s="3" t="s">
        <v>11</v>
      </c>
      <c r="I101" s="110">
        <f t="shared" ca="1" si="16"/>
        <v>0</v>
      </c>
      <c r="J101" s="110">
        <f t="shared" ca="1" si="16"/>
        <v>0</v>
      </c>
      <c r="K101" s="110">
        <f t="shared" ca="1" si="16"/>
        <v>0</v>
      </c>
      <c r="L101" s="110">
        <f t="shared" ca="1" si="16"/>
        <v>0</v>
      </c>
      <c r="M101" s="110">
        <f t="shared" ca="1" si="16"/>
        <v>0</v>
      </c>
      <c r="N101" s="110">
        <f t="shared" ca="1" si="16"/>
        <v>0</v>
      </c>
      <c r="O101" s="110">
        <f t="shared" ca="1" si="16"/>
        <v>0</v>
      </c>
      <c r="P101" s="110">
        <f t="shared" ca="1" si="16"/>
        <v>0</v>
      </c>
      <c r="Q101" s="110">
        <f t="shared" ca="1" si="16"/>
        <v>0</v>
      </c>
      <c r="R101" s="110">
        <f t="shared" ca="1" si="16"/>
        <v>0</v>
      </c>
      <c r="S101" s="110">
        <f t="shared" ca="1" si="17"/>
        <v>0</v>
      </c>
      <c r="T101" s="110">
        <f t="shared" ca="1" si="17"/>
        <v>0</v>
      </c>
      <c r="U101" s="110">
        <f t="shared" ca="1" si="17"/>
        <v>0</v>
      </c>
      <c r="V101" s="110">
        <f t="shared" ca="1" si="17"/>
        <v>0</v>
      </c>
      <c r="W101" s="110">
        <f t="shared" ca="1" si="17"/>
        <v>0</v>
      </c>
      <c r="X101" s="110">
        <f t="shared" ca="1" si="17"/>
        <v>0</v>
      </c>
      <c r="Y101" s="110">
        <f t="shared" ca="1" si="17"/>
        <v>0</v>
      </c>
      <c r="Z101" s="110">
        <f t="shared" ca="1" si="17"/>
        <v>0</v>
      </c>
      <c r="AA101" s="110">
        <f t="shared" ca="1" si="17"/>
        <v>0</v>
      </c>
      <c r="AB101" s="110">
        <f t="shared" ca="1" si="17"/>
        <v>0</v>
      </c>
    </row>
    <row r="102" spans="1:28">
      <c r="A102" s="113" t="s">
        <v>2390</v>
      </c>
      <c r="B102" s="3" t="s">
        <v>2225</v>
      </c>
      <c r="C102" s="2">
        <f>586/2</f>
        <v>293</v>
      </c>
      <c r="D102" s="2">
        <v>2016</v>
      </c>
      <c r="E102" s="2" t="s">
        <v>19</v>
      </c>
      <c r="F102" s="3" t="s">
        <v>131</v>
      </c>
      <c r="G102" s="3" t="s">
        <v>10</v>
      </c>
      <c r="I102" s="110">
        <f t="shared" ca="1" si="16"/>
        <v>0</v>
      </c>
      <c r="J102" s="110">
        <f t="shared" ca="1" si="16"/>
        <v>0</v>
      </c>
      <c r="K102" s="110">
        <f t="shared" ca="1" si="16"/>
        <v>0</v>
      </c>
      <c r="L102" s="110">
        <f t="shared" ca="1" si="16"/>
        <v>0</v>
      </c>
      <c r="M102" s="110">
        <f t="shared" ca="1" si="16"/>
        <v>0</v>
      </c>
      <c r="N102" s="110">
        <f t="shared" ca="1" si="16"/>
        <v>0</v>
      </c>
      <c r="O102" s="110">
        <f t="shared" ca="1" si="16"/>
        <v>0</v>
      </c>
      <c r="P102" s="110">
        <f t="shared" ca="1" si="16"/>
        <v>0</v>
      </c>
      <c r="Q102" s="110">
        <f t="shared" ca="1" si="16"/>
        <v>0</v>
      </c>
      <c r="R102" s="110">
        <f t="shared" ca="1" si="16"/>
        <v>0</v>
      </c>
      <c r="S102" s="110">
        <f t="shared" ca="1" si="17"/>
        <v>0</v>
      </c>
      <c r="T102" s="110">
        <f t="shared" ca="1" si="17"/>
        <v>0</v>
      </c>
      <c r="U102" s="110">
        <f t="shared" ca="1" si="17"/>
        <v>0</v>
      </c>
      <c r="V102" s="110">
        <f t="shared" ca="1" si="17"/>
        <v>0</v>
      </c>
      <c r="W102" s="110">
        <f t="shared" ca="1" si="17"/>
        <v>0</v>
      </c>
      <c r="X102" s="110">
        <f t="shared" ca="1" si="17"/>
        <v>0</v>
      </c>
      <c r="Y102" s="110">
        <f t="shared" ca="1" si="17"/>
        <v>0</v>
      </c>
      <c r="Z102" s="110">
        <f t="shared" ca="1" si="17"/>
        <v>0</v>
      </c>
      <c r="AA102" s="110">
        <f t="shared" ca="1" si="17"/>
        <v>0</v>
      </c>
      <c r="AB102" s="110">
        <f t="shared" ca="1" si="17"/>
        <v>0</v>
      </c>
    </row>
    <row r="103" spans="1:28">
      <c r="A103" s="113" t="s">
        <v>2390</v>
      </c>
      <c r="B103" s="3" t="s">
        <v>2226</v>
      </c>
      <c r="C103" s="2">
        <f>586/2</f>
        <v>293</v>
      </c>
      <c r="D103" s="2">
        <v>2016</v>
      </c>
      <c r="E103" s="2" t="s">
        <v>19</v>
      </c>
      <c r="F103" s="3" t="s">
        <v>131</v>
      </c>
      <c r="G103" s="3" t="s">
        <v>10</v>
      </c>
      <c r="I103" s="110">
        <f t="shared" ca="1" si="16"/>
        <v>0</v>
      </c>
      <c r="J103" s="110">
        <f t="shared" ca="1" si="16"/>
        <v>0</v>
      </c>
      <c r="K103" s="110">
        <f t="shared" ca="1" si="16"/>
        <v>0</v>
      </c>
      <c r="L103" s="110">
        <f t="shared" ca="1" si="16"/>
        <v>0</v>
      </c>
      <c r="M103" s="110">
        <f t="shared" ca="1" si="16"/>
        <v>0</v>
      </c>
      <c r="N103" s="110">
        <f t="shared" ca="1" si="16"/>
        <v>0</v>
      </c>
      <c r="O103" s="110">
        <f t="shared" ca="1" si="16"/>
        <v>0</v>
      </c>
      <c r="P103" s="110">
        <f t="shared" ca="1" si="16"/>
        <v>0</v>
      </c>
      <c r="Q103" s="110">
        <f t="shared" ca="1" si="16"/>
        <v>0</v>
      </c>
      <c r="R103" s="110">
        <f t="shared" ca="1" si="16"/>
        <v>0</v>
      </c>
      <c r="S103" s="110">
        <f t="shared" ca="1" si="17"/>
        <v>0</v>
      </c>
      <c r="T103" s="110">
        <f t="shared" ca="1" si="17"/>
        <v>0</v>
      </c>
      <c r="U103" s="110">
        <f t="shared" ca="1" si="17"/>
        <v>0</v>
      </c>
      <c r="V103" s="110">
        <f t="shared" ca="1" si="17"/>
        <v>0</v>
      </c>
      <c r="W103" s="110">
        <f t="shared" ca="1" si="17"/>
        <v>0</v>
      </c>
      <c r="X103" s="110">
        <f t="shared" ca="1" si="17"/>
        <v>0</v>
      </c>
      <c r="Y103" s="110">
        <f t="shared" ca="1" si="17"/>
        <v>0</v>
      </c>
      <c r="Z103" s="110">
        <f t="shared" ca="1" si="17"/>
        <v>0</v>
      </c>
      <c r="AA103" s="110">
        <f t="shared" ca="1" si="17"/>
        <v>0</v>
      </c>
      <c r="AB103" s="110">
        <f t="shared" ca="1" si="17"/>
        <v>0</v>
      </c>
    </row>
    <row r="104" spans="1:28">
      <c r="A104" s="113" t="s">
        <v>2390</v>
      </c>
      <c r="B104" s="4" t="s">
        <v>102</v>
      </c>
      <c r="C104" s="4">
        <v>719</v>
      </c>
      <c r="D104" s="4">
        <v>2014</v>
      </c>
      <c r="E104" s="2" t="s">
        <v>19</v>
      </c>
      <c r="F104" s="3" t="s">
        <v>131</v>
      </c>
      <c r="G104" s="4" t="s">
        <v>10</v>
      </c>
      <c r="I104" s="110">
        <f t="shared" ca="1" si="16"/>
        <v>0</v>
      </c>
      <c r="J104" s="110">
        <f t="shared" ca="1" si="16"/>
        <v>0</v>
      </c>
      <c r="K104" s="110">
        <f t="shared" ca="1" si="16"/>
        <v>0</v>
      </c>
      <c r="L104" s="110">
        <f t="shared" ca="1" si="16"/>
        <v>0</v>
      </c>
      <c r="M104" s="110">
        <f t="shared" ca="1" si="16"/>
        <v>0</v>
      </c>
      <c r="N104" s="110">
        <f t="shared" ca="1" si="16"/>
        <v>0</v>
      </c>
      <c r="O104" s="110">
        <f t="shared" ca="1" si="16"/>
        <v>0</v>
      </c>
      <c r="P104" s="110">
        <f t="shared" ca="1" si="16"/>
        <v>0</v>
      </c>
      <c r="Q104" s="110">
        <f t="shared" ca="1" si="16"/>
        <v>0</v>
      </c>
      <c r="R104" s="110">
        <f t="shared" ca="1" si="16"/>
        <v>0</v>
      </c>
      <c r="S104" s="110">
        <f t="shared" ca="1" si="17"/>
        <v>0</v>
      </c>
      <c r="T104" s="110">
        <f t="shared" ca="1" si="17"/>
        <v>0</v>
      </c>
      <c r="U104" s="110">
        <f t="shared" ca="1" si="17"/>
        <v>0</v>
      </c>
      <c r="V104" s="110">
        <f t="shared" ca="1" si="17"/>
        <v>0</v>
      </c>
      <c r="W104" s="110">
        <f t="shared" ca="1" si="17"/>
        <v>0</v>
      </c>
      <c r="X104" s="110">
        <f t="shared" ca="1" si="17"/>
        <v>0</v>
      </c>
      <c r="Y104" s="110">
        <f t="shared" ca="1" si="17"/>
        <v>0</v>
      </c>
      <c r="Z104" s="110">
        <f t="shared" ca="1" si="17"/>
        <v>0</v>
      </c>
      <c r="AA104" s="110">
        <f t="shared" ca="1" si="17"/>
        <v>0</v>
      </c>
      <c r="AB104" s="110">
        <f t="shared" ca="1" si="17"/>
        <v>0</v>
      </c>
    </row>
    <row r="105" spans="1:28">
      <c r="A105" s="113" t="s">
        <v>2390</v>
      </c>
      <c r="B105" s="3" t="s">
        <v>2227</v>
      </c>
      <c r="C105" s="2">
        <v>96</v>
      </c>
      <c r="D105" s="2">
        <v>2018</v>
      </c>
      <c r="E105" s="2" t="s">
        <v>19</v>
      </c>
      <c r="F105" s="3" t="s">
        <v>131</v>
      </c>
      <c r="G105" s="3" t="s">
        <v>11</v>
      </c>
      <c r="I105" s="110">
        <f t="shared" ca="1" si="16"/>
        <v>0</v>
      </c>
      <c r="J105" s="110">
        <f t="shared" ca="1" si="16"/>
        <v>0</v>
      </c>
      <c r="K105" s="110">
        <f t="shared" ca="1" si="16"/>
        <v>0</v>
      </c>
      <c r="L105" s="110">
        <f t="shared" ca="1" si="16"/>
        <v>0</v>
      </c>
      <c r="M105" s="110">
        <f t="shared" ca="1" si="16"/>
        <v>0</v>
      </c>
      <c r="N105" s="110">
        <f t="shared" ca="1" si="16"/>
        <v>0</v>
      </c>
      <c r="O105" s="110">
        <f t="shared" ca="1" si="16"/>
        <v>0</v>
      </c>
      <c r="P105" s="110">
        <f t="shared" ca="1" si="16"/>
        <v>0</v>
      </c>
      <c r="Q105" s="110">
        <f t="shared" ca="1" si="16"/>
        <v>0</v>
      </c>
      <c r="R105" s="110">
        <f t="shared" ca="1" si="16"/>
        <v>0</v>
      </c>
      <c r="S105" s="110">
        <f t="shared" ca="1" si="17"/>
        <v>0</v>
      </c>
      <c r="T105" s="110">
        <f t="shared" ca="1" si="17"/>
        <v>0</v>
      </c>
      <c r="U105" s="110">
        <f t="shared" ca="1" si="17"/>
        <v>0</v>
      </c>
      <c r="V105" s="110">
        <f t="shared" ca="1" si="17"/>
        <v>0</v>
      </c>
      <c r="W105" s="110">
        <f t="shared" ca="1" si="17"/>
        <v>0</v>
      </c>
      <c r="X105" s="110">
        <f t="shared" ca="1" si="17"/>
        <v>0</v>
      </c>
      <c r="Y105" s="110">
        <f t="shared" ca="1" si="17"/>
        <v>0</v>
      </c>
      <c r="Z105" s="110">
        <f t="shared" ca="1" si="17"/>
        <v>0</v>
      </c>
      <c r="AA105" s="110">
        <f t="shared" ca="1" si="17"/>
        <v>0</v>
      </c>
      <c r="AB105" s="110">
        <f t="shared" ca="1" si="17"/>
        <v>0</v>
      </c>
    </row>
    <row r="106" spans="1:28">
      <c r="A106" s="113" t="s">
        <v>2390</v>
      </c>
      <c r="B106" s="3" t="s">
        <v>2228</v>
      </c>
      <c r="C106" s="2">
        <v>96</v>
      </c>
      <c r="D106" s="2">
        <v>2018</v>
      </c>
      <c r="E106" s="2" t="s">
        <v>19</v>
      </c>
      <c r="F106" s="3" t="s">
        <v>131</v>
      </c>
      <c r="G106" s="3" t="s">
        <v>11</v>
      </c>
      <c r="I106" s="110">
        <f t="shared" ca="1" si="16"/>
        <v>0</v>
      </c>
      <c r="J106" s="110">
        <f t="shared" ca="1" si="16"/>
        <v>0</v>
      </c>
      <c r="K106" s="110">
        <f t="shared" ca="1" si="16"/>
        <v>0</v>
      </c>
      <c r="L106" s="110">
        <f t="shared" ca="1" si="16"/>
        <v>0</v>
      </c>
      <c r="M106" s="110">
        <f t="shared" ca="1" si="16"/>
        <v>0</v>
      </c>
      <c r="N106" s="110">
        <f t="shared" ca="1" si="16"/>
        <v>0</v>
      </c>
      <c r="O106" s="110">
        <f t="shared" ca="1" si="16"/>
        <v>0</v>
      </c>
      <c r="P106" s="110">
        <f t="shared" ca="1" si="16"/>
        <v>0</v>
      </c>
      <c r="Q106" s="110">
        <f t="shared" ca="1" si="16"/>
        <v>0</v>
      </c>
      <c r="R106" s="110">
        <f t="shared" ca="1" si="16"/>
        <v>0</v>
      </c>
      <c r="S106" s="110">
        <f t="shared" ca="1" si="17"/>
        <v>0</v>
      </c>
      <c r="T106" s="110">
        <f t="shared" ca="1" si="17"/>
        <v>0</v>
      </c>
      <c r="U106" s="110">
        <f t="shared" ca="1" si="17"/>
        <v>0</v>
      </c>
      <c r="V106" s="110">
        <f t="shared" ca="1" si="17"/>
        <v>0</v>
      </c>
      <c r="W106" s="110">
        <f t="shared" ca="1" si="17"/>
        <v>0</v>
      </c>
      <c r="X106" s="110">
        <f t="shared" ca="1" si="17"/>
        <v>0</v>
      </c>
      <c r="Y106" s="110">
        <f t="shared" ca="1" si="17"/>
        <v>0</v>
      </c>
      <c r="Z106" s="110">
        <f t="shared" ca="1" si="17"/>
        <v>0</v>
      </c>
      <c r="AA106" s="110">
        <f t="shared" ca="1" si="17"/>
        <v>0</v>
      </c>
      <c r="AB106" s="110">
        <f t="shared" ca="1" si="17"/>
        <v>0</v>
      </c>
    </row>
    <row r="107" spans="1:28">
      <c r="A107" s="113" t="s">
        <v>2390</v>
      </c>
      <c r="B107" s="3" t="s">
        <v>2229</v>
      </c>
      <c r="C107" s="2">
        <v>96</v>
      </c>
      <c r="D107" s="2">
        <v>2018</v>
      </c>
      <c r="E107" s="2" t="s">
        <v>19</v>
      </c>
      <c r="F107" s="3" t="s">
        <v>131</v>
      </c>
      <c r="G107" s="3" t="s">
        <v>11</v>
      </c>
      <c r="I107" s="110">
        <f t="shared" ca="1" si="16"/>
        <v>0</v>
      </c>
      <c r="J107" s="110">
        <f t="shared" ca="1" si="16"/>
        <v>0</v>
      </c>
      <c r="K107" s="110">
        <f t="shared" ca="1" si="16"/>
        <v>0</v>
      </c>
      <c r="L107" s="110">
        <f t="shared" ca="1" si="16"/>
        <v>0</v>
      </c>
      <c r="M107" s="110">
        <f t="shared" ca="1" si="16"/>
        <v>0</v>
      </c>
      <c r="N107" s="110">
        <f t="shared" ca="1" si="16"/>
        <v>0</v>
      </c>
      <c r="O107" s="110">
        <f t="shared" ca="1" si="16"/>
        <v>0</v>
      </c>
      <c r="P107" s="110">
        <f t="shared" ca="1" si="16"/>
        <v>0</v>
      </c>
      <c r="Q107" s="110">
        <f t="shared" ca="1" si="16"/>
        <v>0</v>
      </c>
      <c r="R107" s="110">
        <f t="shared" ca="1" si="16"/>
        <v>0</v>
      </c>
      <c r="S107" s="110">
        <f t="shared" ca="1" si="17"/>
        <v>0</v>
      </c>
      <c r="T107" s="110">
        <f t="shared" ca="1" si="17"/>
        <v>0</v>
      </c>
      <c r="U107" s="110">
        <f t="shared" ca="1" si="17"/>
        <v>0</v>
      </c>
      <c r="V107" s="110">
        <f t="shared" ca="1" si="17"/>
        <v>0</v>
      </c>
      <c r="W107" s="110">
        <f t="shared" ca="1" si="17"/>
        <v>0</v>
      </c>
      <c r="X107" s="110">
        <f t="shared" ca="1" si="17"/>
        <v>0</v>
      </c>
      <c r="Y107" s="110">
        <f t="shared" ca="1" si="17"/>
        <v>0</v>
      </c>
      <c r="Z107" s="110">
        <f t="shared" ca="1" si="17"/>
        <v>0</v>
      </c>
      <c r="AA107" s="110">
        <f t="shared" ca="1" si="17"/>
        <v>0</v>
      </c>
      <c r="AB107" s="110">
        <f t="shared" ca="1" si="17"/>
        <v>0</v>
      </c>
    </row>
    <row r="108" spans="1:28">
      <c r="A108" s="113" t="s">
        <v>2390</v>
      </c>
      <c r="B108" s="3" t="s">
        <v>2230</v>
      </c>
      <c r="C108" s="2">
        <v>49</v>
      </c>
      <c r="D108" s="2">
        <v>2013</v>
      </c>
      <c r="E108" s="2" t="s">
        <v>20</v>
      </c>
      <c r="F108" s="3" t="s">
        <v>131</v>
      </c>
      <c r="G108" s="3" t="s">
        <v>12</v>
      </c>
      <c r="I108" s="110">
        <f t="shared" ca="1" si="16"/>
        <v>0</v>
      </c>
      <c r="J108" s="110">
        <f t="shared" ca="1" si="16"/>
        <v>0</v>
      </c>
      <c r="K108" s="110">
        <f t="shared" ca="1" si="16"/>
        <v>0</v>
      </c>
      <c r="L108" s="110">
        <f t="shared" ca="1" si="16"/>
        <v>0</v>
      </c>
      <c r="M108" s="110">
        <f t="shared" ca="1" si="16"/>
        <v>0</v>
      </c>
      <c r="N108" s="110">
        <f t="shared" ca="1" si="16"/>
        <v>0</v>
      </c>
      <c r="O108" s="110">
        <f t="shared" ca="1" si="16"/>
        <v>0</v>
      </c>
      <c r="P108" s="110">
        <f t="shared" ca="1" si="16"/>
        <v>0</v>
      </c>
      <c r="Q108" s="110">
        <f t="shared" ca="1" si="16"/>
        <v>0</v>
      </c>
      <c r="R108" s="110">
        <f t="shared" ca="1" si="16"/>
        <v>0</v>
      </c>
      <c r="S108" s="110">
        <f t="shared" ca="1" si="17"/>
        <v>0</v>
      </c>
      <c r="T108" s="110">
        <f t="shared" ca="1" si="17"/>
        <v>0</v>
      </c>
      <c r="U108" s="110">
        <f t="shared" ca="1" si="17"/>
        <v>0</v>
      </c>
      <c r="V108" s="110">
        <f t="shared" ca="1" si="17"/>
        <v>0</v>
      </c>
      <c r="W108" s="110">
        <f t="shared" ca="1" si="17"/>
        <v>0</v>
      </c>
      <c r="X108" s="110">
        <f t="shared" ca="1" si="17"/>
        <v>0</v>
      </c>
      <c r="Y108" s="110">
        <f t="shared" ca="1" si="17"/>
        <v>0</v>
      </c>
      <c r="Z108" s="110">
        <f t="shared" ca="1" si="17"/>
        <v>0</v>
      </c>
      <c r="AA108" s="110">
        <f t="shared" ca="1" si="17"/>
        <v>0</v>
      </c>
      <c r="AB108" s="110">
        <f t="shared" ca="1" si="17"/>
        <v>0</v>
      </c>
    </row>
    <row r="109" spans="1:28">
      <c r="A109" s="113" t="s">
        <v>2390</v>
      </c>
      <c r="B109" s="3" t="s">
        <v>2232</v>
      </c>
      <c r="C109" s="2">
        <v>54</v>
      </c>
      <c r="D109" s="2">
        <v>2021</v>
      </c>
      <c r="E109" s="2" t="s">
        <v>20</v>
      </c>
      <c r="F109" s="3" t="s">
        <v>23</v>
      </c>
      <c r="G109" s="3" t="s">
        <v>12</v>
      </c>
      <c r="I109" s="110">
        <f t="shared" ca="1" si="16"/>
        <v>0</v>
      </c>
      <c r="J109" s="110">
        <f t="shared" ca="1" si="16"/>
        <v>0</v>
      </c>
      <c r="K109" s="110">
        <f t="shared" ca="1" si="16"/>
        <v>0</v>
      </c>
      <c r="L109" s="110">
        <f t="shared" ca="1" si="16"/>
        <v>0</v>
      </c>
      <c r="M109" s="110">
        <f t="shared" ca="1" si="16"/>
        <v>0</v>
      </c>
      <c r="N109" s="110">
        <f t="shared" ca="1" si="16"/>
        <v>0</v>
      </c>
      <c r="O109" s="110">
        <f t="shared" ca="1" si="16"/>
        <v>0</v>
      </c>
      <c r="P109" s="110">
        <f t="shared" ca="1" si="16"/>
        <v>0</v>
      </c>
      <c r="Q109" s="110">
        <f t="shared" ca="1" si="16"/>
        <v>0</v>
      </c>
      <c r="R109" s="110">
        <f t="shared" ca="1" si="16"/>
        <v>0</v>
      </c>
      <c r="S109" s="110">
        <f t="shared" ca="1" si="17"/>
        <v>0</v>
      </c>
      <c r="T109" s="110">
        <f t="shared" ca="1" si="17"/>
        <v>0</v>
      </c>
      <c r="U109" s="110">
        <f t="shared" ca="1" si="17"/>
        <v>0</v>
      </c>
      <c r="V109" s="110">
        <f t="shared" ca="1" si="17"/>
        <v>0</v>
      </c>
      <c r="W109" s="110">
        <f t="shared" ca="1" si="17"/>
        <v>0</v>
      </c>
      <c r="X109" s="110">
        <f t="shared" ca="1" si="17"/>
        <v>0</v>
      </c>
      <c r="Y109" s="110">
        <f t="shared" ca="1" si="17"/>
        <v>0</v>
      </c>
      <c r="Z109" s="110">
        <f t="shared" ca="1" si="17"/>
        <v>0</v>
      </c>
      <c r="AA109" s="110">
        <f t="shared" ca="1" si="17"/>
        <v>0</v>
      </c>
      <c r="AB109" s="110">
        <f t="shared" ca="1" si="17"/>
        <v>0</v>
      </c>
    </row>
    <row r="110" spans="1:28">
      <c r="A110" s="113" t="s">
        <v>2390</v>
      </c>
      <c r="B110" s="4" t="s">
        <v>92</v>
      </c>
      <c r="C110" s="4">
        <v>320</v>
      </c>
      <c r="D110" s="4">
        <v>2025</v>
      </c>
      <c r="E110" s="2" t="s">
        <v>19</v>
      </c>
      <c r="F110" s="4" t="s">
        <v>23</v>
      </c>
      <c r="G110" s="4" t="s">
        <v>12</v>
      </c>
      <c r="I110" s="110">
        <f t="shared" ref="I110:R119" ca="1" si="18">IF(AND(OR($A110=0,$A110=scenGen),$D110&lt;=I$28),$C110,0)</f>
        <v>0</v>
      </c>
      <c r="J110" s="110">
        <f t="shared" ca="1" si="18"/>
        <v>0</v>
      </c>
      <c r="K110" s="110">
        <f t="shared" ca="1" si="18"/>
        <v>0</v>
      </c>
      <c r="L110" s="110">
        <f t="shared" ca="1" si="18"/>
        <v>0</v>
      </c>
      <c r="M110" s="110">
        <f t="shared" ca="1" si="18"/>
        <v>0</v>
      </c>
      <c r="N110" s="110">
        <f t="shared" ca="1" si="18"/>
        <v>0</v>
      </c>
      <c r="O110" s="110">
        <f t="shared" ca="1" si="18"/>
        <v>0</v>
      </c>
      <c r="P110" s="110">
        <f t="shared" ca="1" si="18"/>
        <v>0</v>
      </c>
      <c r="Q110" s="110">
        <f t="shared" ca="1" si="18"/>
        <v>0</v>
      </c>
      <c r="R110" s="110">
        <f t="shared" ca="1" si="18"/>
        <v>0</v>
      </c>
      <c r="S110" s="110">
        <f t="shared" ref="S110:AB119" ca="1" si="19">IF(AND(OR($A110=0,$A110=scenGen),$D110&lt;=S$28),$C110,0)</f>
        <v>0</v>
      </c>
      <c r="T110" s="110">
        <f t="shared" ca="1" si="19"/>
        <v>0</v>
      </c>
      <c r="U110" s="110">
        <f t="shared" ca="1" si="19"/>
        <v>0</v>
      </c>
      <c r="V110" s="110">
        <f t="shared" ca="1" si="19"/>
        <v>0</v>
      </c>
      <c r="W110" s="110">
        <f t="shared" ca="1" si="19"/>
        <v>0</v>
      </c>
      <c r="X110" s="110">
        <f t="shared" ca="1" si="19"/>
        <v>0</v>
      </c>
      <c r="Y110" s="110">
        <f t="shared" ca="1" si="19"/>
        <v>0</v>
      </c>
      <c r="Z110" s="110">
        <f t="shared" ca="1" si="19"/>
        <v>0</v>
      </c>
      <c r="AA110" s="110">
        <f t="shared" ca="1" si="19"/>
        <v>0</v>
      </c>
      <c r="AB110" s="110">
        <f t="shared" ca="1" si="19"/>
        <v>0</v>
      </c>
    </row>
    <row r="111" spans="1:28">
      <c r="A111" s="113" t="s">
        <v>2390</v>
      </c>
      <c r="B111" s="4" t="s">
        <v>93</v>
      </c>
      <c r="C111" s="4">
        <v>320</v>
      </c>
      <c r="D111" s="4">
        <v>2025</v>
      </c>
      <c r="E111" s="2" t="s">
        <v>19</v>
      </c>
      <c r="F111" s="4" t="s">
        <v>23</v>
      </c>
      <c r="G111" s="4" t="s">
        <v>12</v>
      </c>
      <c r="I111" s="110">
        <f t="shared" ca="1" si="18"/>
        <v>0</v>
      </c>
      <c r="J111" s="110">
        <f t="shared" ca="1" si="18"/>
        <v>0</v>
      </c>
      <c r="K111" s="110">
        <f t="shared" ca="1" si="18"/>
        <v>0</v>
      </c>
      <c r="L111" s="110">
        <f t="shared" ca="1" si="18"/>
        <v>0</v>
      </c>
      <c r="M111" s="110">
        <f t="shared" ca="1" si="18"/>
        <v>0</v>
      </c>
      <c r="N111" s="110">
        <f t="shared" ca="1" si="18"/>
        <v>0</v>
      </c>
      <c r="O111" s="110">
        <f t="shared" ca="1" si="18"/>
        <v>0</v>
      </c>
      <c r="P111" s="110">
        <f t="shared" ca="1" si="18"/>
        <v>0</v>
      </c>
      <c r="Q111" s="110">
        <f t="shared" ca="1" si="18"/>
        <v>0</v>
      </c>
      <c r="R111" s="110">
        <f t="shared" ca="1" si="18"/>
        <v>0</v>
      </c>
      <c r="S111" s="110">
        <f t="shared" ca="1" si="19"/>
        <v>0</v>
      </c>
      <c r="T111" s="110">
        <f t="shared" ca="1" si="19"/>
        <v>0</v>
      </c>
      <c r="U111" s="110">
        <f t="shared" ca="1" si="19"/>
        <v>0</v>
      </c>
      <c r="V111" s="110">
        <f t="shared" ca="1" si="19"/>
        <v>0</v>
      </c>
      <c r="W111" s="110">
        <f t="shared" ca="1" si="19"/>
        <v>0</v>
      </c>
      <c r="X111" s="110">
        <f t="shared" ca="1" si="19"/>
        <v>0</v>
      </c>
      <c r="Y111" s="110">
        <f t="shared" ca="1" si="19"/>
        <v>0</v>
      </c>
      <c r="Z111" s="110">
        <f t="shared" ca="1" si="19"/>
        <v>0</v>
      </c>
      <c r="AA111" s="110">
        <f t="shared" ca="1" si="19"/>
        <v>0</v>
      </c>
      <c r="AB111" s="110">
        <f t="shared" ca="1" si="19"/>
        <v>0</v>
      </c>
    </row>
    <row r="112" spans="1:28">
      <c r="A112" s="113" t="s">
        <v>2390</v>
      </c>
      <c r="B112" s="4" t="s">
        <v>2233</v>
      </c>
      <c r="C112" s="4">
        <v>15</v>
      </c>
      <c r="D112" s="4">
        <v>2013</v>
      </c>
      <c r="E112" s="2" t="s">
        <v>20</v>
      </c>
      <c r="F112" s="4" t="s">
        <v>23</v>
      </c>
      <c r="G112" s="4" t="s">
        <v>11</v>
      </c>
      <c r="I112" s="110">
        <f t="shared" ca="1" si="18"/>
        <v>0</v>
      </c>
      <c r="J112" s="110">
        <f t="shared" ca="1" si="18"/>
        <v>0</v>
      </c>
      <c r="K112" s="110">
        <f t="shared" ca="1" si="18"/>
        <v>0</v>
      </c>
      <c r="L112" s="110">
        <f t="shared" ca="1" si="18"/>
        <v>0</v>
      </c>
      <c r="M112" s="110">
        <f t="shared" ca="1" si="18"/>
        <v>0</v>
      </c>
      <c r="N112" s="110">
        <f t="shared" ca="1" si="18"/>
        <v>0</v>
      </c>
      <c r="O112" s="110">
        <f t="shared" ca="1" si="18"/>
        <v>0</v>
      </c>
      <c r="P112" s="110">
        <f t="shared" ca="1" si="18"/>
        <v>0</v>
      </c>
      <c r="Q112" s="110">
        <f t="shared" ca="1" si="18"/>
        <v>0</v>
      </c>
      <c r="R112" s="110">
        <f t="shared" ca="1" si="18"/>
        <v>0</v>
      </c>
      <c r="S112" s="110">
        <f t="shared" ca="1" si="19"/>
        <v>0</v>
      </c>
      <c r="T112" s="110">
        <f t="shared" ca="1" si="19"/>
        <v>0</v>
      </c>
      <c r="U112" s="110">
        <f t="shared" ca="1" si="19"/>
        <v>0</v>
      </c>
      <c r="V112" s="110">
        <f t="shared" ca="1" si="19"/>
        <v>0</v>
      </c>
      <c r="W112" s="110">
        <f t="shared" ca="1" si="19"/>
        <v>0</v>
      </c>
      <c r="X112" s="110">
        <f t="shared" ca="1" si="19"/>
        <v>0</v>
      </c>
      <c r="Y112" s="110">
        <f t="shared" ca="1" si="19"/>
        <v>0</v>
      </c>
      <c r="Z112" s="110">
        <f t="shared" ca="1" si="19"/>
        <v>0</v>
      </c>
      <c r="AA112" s="110">
        <f t="shared" ca="1" si="19"/>
        <v>0</v>
      </c>
      <c r="AB112" s="110">
        <f t="shared" ca="1" si="19"/>
        <v>0</v>
      </c>
    </row>
    <row r="113" spans="1:28">
      <c r="A113" s="113" t="s">
        <v>2390</v>
      </c>
      <c r="B113" s="4" t="s">
        <v>51</v>
      </c>
      <c r="C113" s="4">
        <v>215</v>
      </c>
      <c r="D113" s="4">
        <v>2020</v>
      </c>
      <c r="E113" s="2" t="s">
        <v>19</v>
      </c>
      <c r="F113" s="3" t="s">
        <v>6</v>
      </c>
      <c r="G113" s="4" t="s">
        <v>12</v>
      </c>
      <c r="I113" s="110">
        <f t="shared" ca="1" si="18"/>
        <v>0</v>
      </c>
      <c r="J113" s="110">
        <f t="shared" ca="1" si="18"/>
        <v>0</v>
      </c>
      <c r="K113" s="110">
        <f t="shared" ca="1" si="18"/>
        <v>0</v>
      </c>
      <c r="L113" s="110">
        <f t="shared" ca="1" si="18"/>
        <v>0</v>
      </c>
      <c r="M113" s="110">
        <f t="shared" ca="1" si="18"/>
        <v>0</v>
      </c>
      <c r="N113" s="110">
        <f t="shared" ca="1" si="18"/>
        <v>0</v>
      </c>
      <c r="O113" s="110">
        <f t="shared" ca="1" si="18"/>
        <v>0</v>
      </c>
      <c r="P113" s="110">
        <f t="shared" ca="1" si="18"/>
        <v>0</v>
      </c>
      <c r="Q113" s="110">
        <f t="shared" ca="1" si="18"/>
        <v>0</v>
      </c>
      <c r="R113" s="110">
        <f t="shared" ca="1" si="18"/>
        <v>0</v>
      </c>
      <c r="S113" s="110">
        <f t="shared" ca="1" si="19"/>
        <v>0</v>
      </c>
      <c r="T113" s="110">
        <f t="shared" ca="1" si="19"/>
        <v>0</v>
      </c>
      <c r="U113" s="110">
        <f t="shared" ca="1" si="19"/>
        <v>0</v>
      </c>
      <c r="V113" s="110">
        <f t="shared" ca="1" si="19"/>
        <v>0</v>
      </c>
      <c r="W113" s="110">
        <f t="shared" ca="1" si="19"/>
        <v>0</v>
      </c>
      <c r="X113" s="110">
        <f t="shared" ca="1" si="19"/>
        <v>0</v>
      </c>
      <c r="Y113" s="110">
        <f t="shared" ca="1" si="19"/>
        <v>0</v>
      </c>
      <c r="Z113" s="110">
        <f t="shared" ca="1" si="19"/>
        <v>0</v>
      </c>
      <c r="AA113" s="110">
        <f t="shared" ca="1" si="19"/>
        <v>0</v>
      </c>
      <c r="AB113" s="110">
        <f t="shared" ca="1" si="19"/>
        <v>0</v>
      </c>
    </row>
    <row r="114" spans="1:28">
      <c r="A114" s="113" t="s">
        <v>2390</v>
      </c>
      <c r="B114" s="4" t="s">
        <v>53</v>
      </c>
      <c r="C114" s="4">
        <v>215.29</v>
      </c>
      <c r="D114" s="4">
        <v>2020</v>
      </c>
      <c r="E114" s="2" t="s">
        <v>19</v>
      </c>
      <c r="F114" s="3" t="s">
        <v>6</v>
      </c>
      <c r="G114" s="4" t="s">
        <v>12</v>
      </c>
      <c r="I114" s="110">
        <f t="shared" ca="1" si="18"/>
        <v>0</v>
      </c>
      <c r="J114" s="110">
        <f t="shared" ca="1" si="18"/>
        <v>0</v>
      </c>
      <c r="K114" s="110">
        <f t="shared" ca="1" si="18"/>
        <v>0</v>
      </c>
      <c r="L114" s="110">
        <f t="shared" ca="1" si="18"/>
        <v>0</v>
      </c>
      <c r="M114" s="110">
        <f t="shared" ca="1" si="18"/>
        <v>0</v>
      </c>
      <c r="N114" s="110">
        <f t="shared" ca="1" si="18"/>
        <v>0</v>
      </c>
      <c r="O114" s="110">
        <f t="shared" ca="1" si="18"/>
        <v>0</v>
      </c>
      <c r="P114" s="110">
        <f t="shared" ca="1" si="18"/>
        <v>0</v>
      </c>
      <c r="Q114" s="110">
        <f t="shared" ca="1" si="18"/>
        <v>0</v>
      </c>
      <c r="R114" s="110">
        <f t="shared" ca="1" si="18"/>
        <v>0</v>
      </c>
      <c r="S114" s="110">
        <f t="shared" ca="1" si="19"/>
        <v>0</v>
      </c>
      <c r="T114" s="110">
        <f t="shared" ca="1" si="19"/>
        <v>0</v>
      </c>
      <c r="U114" s="110">
        <f t="shared" ca="1" si="19"/>
        <v>0</v>
      </c>
      <c r="V114" s="110">
        <f t="shared" ca="1" si="19"/>
        <v>0</v>
      </c>
      <c r="W114" s="110">
        <f t="shared" ca="1" si="19"/>
        <v>0</v>
      </c>
      <c r="X114" s="110">
        <f t="shared" ca="1" si="19"/>
        <v>0</v>
      </c>
      <c r="Y114" s="110">
        <f t="shared" ca="1" si="19"/>
        <v>0</v>
      </c>
      <c r="Z114" s="110">
        <f t="shared" ca="1" si="19"/>
        <v>0</v>
      </c>
      <c r="AA114" s="110">
        <f t="shared" ca="1" si="19"/>
        <v>0</v>
      </c>
      <c r="AB114" s="110">
        <f t="shared" ca="1" si="19"/>
        <v>0</v>
      </c>
    </row>
    <row r="115" spans="1:28">
      <c r="A115" s="113" t="s">
        <v>2390</v>
      </c>
      <c r="B115" s="4" t="s">
        <v>55</v>
      </c>
      <c r="C115" s="4">
        <v>741.27</v>
      </c>
      <c r="D115" s="4">
        <v>2020</v>
      </c>
      <c r="E115" s="2" t="s">
        <v>19</v>
      </c>
      <c r="F115" s="3" t="s">
        <v>6</v>
      </c>
      <c r="G115" s="4" t="s">
        <v>12</v>
      </c>
      <c r="I115" s="110">
        <f t="shared" ca="1" si="18"/>
        <v>0</v>
      </c>
      <c r="J115" s="110">
        <f t="shared" ca="1" si="18"/>
        <v>0</v>
      </c>
      <c r="K115" s="110">
        <f t="shared" ca="1" si="18"/>
        <v>0</v>
      </c>
      <c r="L115" s="110">
        <f t="shared" ca="1" si="18"/>
        <v>0</v>
      </c>
      <c r="M115" s="110">
        <f t="shared" ca="1" si="18"/>
        <v>0</v>
      </c>
      <c r="N115" s="110">
        <f t="shared" ca="1" si="18"/>
        <v>0</v>
      </c>
      <c r="O115" s="110">
        <f t="shared" ca="1" si="18"/>
        <v>0</v>
      </c>
      <c r="P115" s="110">
        <f t="shared" ca="1" si="18"/>
        <v>0</v>
      </c>
      <c r="Q115" s="110">
        <f t="shared" ca="1" si="18"/>
        <v>0</v>
      </c>
      <c r="R115" s="110">
        <f t="shared" ca="1" si="18"/>
        <v>0</v>
      </c>
      <c r="S115" s="110">
        <f t="shared" ca="1" si="19"/>
        <v>0</v>
      </c>
      <c r="T115" s="110">
        <f t="shared" ca="1" si="19"/>
        <v>0</v>
      </c>
      <c r="U115" s="110">
        <f t="shared" ca="1" si="19"/>
        <v>0</v>
      </c>
      <c r="V115" s="110">
        <f t="shared" ca="1" si="19"/>
        <v>0</v>
      </c>
      <c r="W115" s="110">
        <f t="shared" ca="1" si="19"/>
        <v>0</v>
      </c>
      <c r="X115" s="110">
        <f t="shared" ca="1" si="19"/>
        <v>0</v>
      </c>
      <c r="Y115" s="110">
        <f t="shared" ca="1" si="19"/>
        <v>0</v>
      </c>
      <c r="Z115" s="110">
        <f t="shared" ca="1" si="19"/>
        <v>0</v>
      </c>
      <c r="AA115" s="110">
        <f t="shared" ca="1" si="19"/>
        <v>0</v>
      </c>
      <c r="AB115" s="110">
        <f t="shared" ca="1" si="19"/>
        <v>0</v>
      </c>
    </row>
    <row r="116" spans="1:28">
      <c r="A116" s="113" t="s">
        <v>2390</v>
      </c>
      <c r="B116" s="4" t="s">
        <v>56</v>
      </c>
      <c r="C116" s="4">
        <v>775</v>
      </c>
      <c r="D116" s="4">
        <v>2020</v>
      </c>
      <c r="E116" s="2" t="s">
        <v>19</v>
      </c>
      <c r="F116" s="3" t="s">
        <v>6</v>
      </c>
      <c r="G116" s="4" t="s">
        <v>12</v>
      </c>
      <c r="I116" s="110">
        <f t="shared" ca="1" si="18"/>
        <v>0</v>
      </c>
      <c r="J116" s="110">
        <f t="shared" ca="1" si="18"/>
        <v>0</v>
      </c>
      <c r="K116" s="110">
        <f t="shared" ca="1" si="18"/>
        <v>0</v>
      </c>
      <c r="L116" s="110">
        <f t="shared" ca="1" si="18"/>
        <v>0</v>
      </c>
      <c r="M116" s="110">
        <f t="shared" ca="1" si="18"/>
        <v>0</v>
      </c>
      <c r="N116" s="110">
        <f t="shared" ca="1" si="18"/>
        <v>0</v>
      </c>
      <c r="O116" s="110">
        <f t="shared" ca="1" si="18"/>
        <v>0</v>
      </c>
      <c r="P116" s="110">
        <f t="shared" ca="1" si="18"/>
        <v>0</v>
      </c>
      <c r="Q116" s="110">
        <f t="shared" ca="1" si="18"/>
        <v>0</v>
      </c>
      <c r="R116" s="110">
        <f t="shared" ca="1" si="18"/>
        <v>0</v>
      </c>
      <c r="S116" s="110">
        <f t="shared" ca="1" si="19"/>
        <v>0</v>
      </c>
      <c r="T116" s="110">
        <f t="shared" ca="1" si="19"/>
        <v>0</v>
      </c>
      <c r="U116" s="110">
        <f t="shared" ca="1" si="19"/>
        <v>0</v>
      </c>
      <c r="V116" s="110">
        <f t="shared" ca="1" si="19"/>
        <v>0</v>
      </c>
      <c r="W116" s="110">
        <f t="shared" ca="1" si="19"/>
        <v>0</v>
      </c>
      <c r="X116" s="110">
        <f t="shared" ca="1" si="19"/>
        <v>0</v>
      </c>
      <c r="Y116" s="110">
        <f t="shared" ca="1" si="19"/>
        <v>0</v>
      </c>
      <c r="Z116" s="110">
        <f t="shared" ca="1" si="19"/>
        <v>0</v>
      </c>
      <c r="AA116" s="110">
        <f t="shared" ca="1" si="19"/>
        <v>0</v>
      </c>
      <c r="AB116" s="110">
        <f t="shared" ca="1" si="19"/>
        <v>0</v>
      </c>
    </row>
    <row r="117" spans="1:28">
      <c r="A117" s="113" t="s">
        <v>2390</v>
      </c>
      <c r="B117" s="4" t="s">
        <v>57</v>
      </c>
      <c r="C117" s="4">
        <v>174.56</v>
      </c>
      <c r="D117" s="4">
        <v>2020</v>
      </c>
      <c r="E117" s="2" t="s">
        <v>19</v>
      </c>
      <c r="F117" s="3" t="s">
        <v>6</v>
      </c>
      <c r="G117" s="4" t="s">
        <v>12</v>
      </c>
      <c r="I117" s="110">
        <f t="shared" ca="1" si="18"/>
        <v>0</v>
      </c>
      <c r="J117" s="110">
        <f t="shared" ca="1" si="18"/>
        <v>0</v>
      </c>
      <c r="K117" s="110">
        <f t="shared" ca="1" si="18"/>
        <v>0</v>
      </c>
      <c r="L117" s="110">
        <f t="shared" ca="1" si="18"/>
        <v>0</v>
      </c>
      <c r="M117" s="110">
        <f t="shared" ca="1" si="18"/>
        <v>0</v>
      </c>
      <c r="N117" s="110">
        <f t="shared" ca="1" si="18"/>
        <v>0</v>
      </c>
      <c r="O117" s="110">
        <f t="shared" ca="1" si="18"/>
        <v>0</v>
      </c>
      <c r="P117" s="110">
        <f t="shared" ca="1" si="18"/>
        <v>0</v>
      </c>
      <c r="Q117" s="110">
        <f t="shared" ca="1" si="18"/>
        <v>0</v>
      </c>
      <c r="R117" s="110">
        <f t="shared" ca="1" si="18"/>
        <v>0</v>
      </c>
      <c r="S117" s="110">
        <f t="shared" ca="1" si="19"/>
        <v>0</v>
      </c>
      <c r="T117" s="110">
        <f t="shared" ca="1" si="19"/>
        <v>0</v>
      </c>
      <c r="U117" s="110">
        <f t="shared" ca="1" si="19"/>
        <v>0</v>
      </c>
      <c r="V117" s="110">
        <f t="shared" ca="1" si="19"/>
        <v>0</v>
      </c>
      <c r="W117" s="110">
        <f t="shared" ca="1" si="19"/>
        <v>0</v>
      </c>
      <c r="X117" s="110">
        <f t="shared" ca="1" si="19"/>
        <v>0</v>
      </c>
      <c r="Y117" s="110">
        <f t="shared" ca="1" si="19"/>
        <v>0</v>
      </c>
      <c r="Z117" s="110">
        <f t="shared" ca="1" si="19"/>
        <v>0</v>
      </c>
      <c r="AA117" s="110">
        <f t="shared" ca="1" si="19"/>
        <v>0</v>
      </c>
      <c r="AB117" s="110">
        <f t="shared" ca="1" si="19"/>
        <v>0</v>
      </c>
    </row>
    <row r="118" spans="1:28">
      <c r="A118" s="113" t="s">
        <v>2390</v>
      </c>
      <c r="B118" s="4" t="s">
        <v>58</v>
      </c>
      <c r="C118" s="4">
        <v>175</v>
      </c>
      <c r="D118" s="4">
        <v>2020</v>
      </c>
      <c r="E118" s="2" t="s">
        <v>19</v>
      </c>
      <c r="F118" s="3" t="s">
        <v>6</v>
      </c>
      <c r="G118" s="4" t="s">
        <v>12</v>
      </c>
      <c r="I118" s="110">
        <f t="shared" ca="1" si="18"/>
        <v>0</v>
      </c>
      <c r="J118" s="110">
        <f t="shared" ca="1" si="18"/>
        <v>0</v>
      </c>
      <c r="K118" s="110">
        <f t="shared" ca="1" si="18"/>
        <v>0</v>
      </c>
      <c r="L118" s="110">
        <f t="shared" ca="1" si="18"/>
        <v>0</v>
      </c>
      <c r="M118" s="110">
        <f t="shared" ca="1" si="18"/>
        <v>0</v>
      </c>
      <c r="N118" s="110">
        <f t="shared" ca="1" si="18"/>
        <v>0</v>
      </c>
      <c r="O118" s="110">
        <f t="shared" ca="1" si="18"/>
        <v>0</v>
      </c>
      <c r="P118" s="110">
        <f t="shared" ca="1" si="18"/>
        <v>0</v>
      </c>
      <c r="Q118" s="110">
        <f t="shared" ca="1" si="18"/>
        <v>0</v>
      </c>
      <c r="R118" s="110">
        <f t="shared" ca="1" si="18"/>
        <v>0</v>
      </c>
      <c r="S118" s="110">
        <f t="shared" ca="1" si="19"/>
        <v>0</v>
      </c>
      <c r="T118" s="110">
        <f t="shared" ca="1" si="19"/>
        <v>0</v>
      </c>
      <c r="U118" s="110">
        <f t="shared" ca="1" si="19"/>
        <v>0</v>
      </c>
      <c r="V118" s="110">
        <f t="shared" ca="1" si="19"/>
        <v>0</v>
      </c>
      <c r="W118" s="110">
        <f t="shared" ca="1" si="19"/>
        <v>0</v>
      </c>
      <c r="X118" s="110">
        <f t="shared" ca="1" si="19"/>
        <v>0</v>
      </c>
      <c r="Y118" s="110">
        <f t="shared" ca="1" si="19"/>
        <v>0</v>
      </c>
      <c r="Z118" s="110">
        <f t="shared" ca="1" si="19"/>
        <v>0</v>
      </c>
      <c r="AA118" s="110">
        <f t="shared" ca="1" si="19"/>
        <v>0</v>
      </c>
      <c r="AB118" s="110">
        <f t="shared" ca="1" si="19"/>
        <v>0</v>
      </c>
    </row>
    <row r="119" spans="1:28">
      <c r="A119" s="113" t="s">
        <v>2390</v>
      </c>
      <c r="B119" s="4" t="s">
        <v>59</v>
      </c>
      <c r="C119" s="4">
        <v>332.18</v>
      </c>
      <c r="D119" s="4">
        <v>2020</v>
      </c>
      <c r="E119" s="2" t="s">
        <v>19</v>
      </c>
      <c r="F119" s="3" t="s">
        <v>6</v>
      </c>
      <c r="G119" s="4" t="s">
        <v>12</v>
      </c>
      <c r="I119" s="110">
        <f t="shared" ca="1" si="18"/>
        <v>0</v>
      </c>
      <c r="J119" s="110">
        <f t="shared" ca="1" si="18"/>
        <v>0</v>
      </c>
      <c r="K119" s="110">
        <f t="shared" ca="1" si="18"/>
        <v>0</v>
      </c>
      <c r="L119" s="110">
        <f t="shared" ca="1" si="18"/>
        <v>0</v>
      </c>
      <c r="M119" s="110">
        <f t="shared" ca="1" si="18"/>
        <v>0</v>
      </c>
      <c r="N119" s="110">
        <f t="shared" ca="1" si="18"/>
        <v>0</v>
      </c>
      <c r="O119" s="110">
        <f t="shared" ca="1" si="18"/>
        <v>0</v>
      </c>
      <c r="P119" s="110">
        <f t="shared" ca="1" si="18"/>
        <v>0</v>
      </c>
      <c r="Q119" s="110">
        <f t="shared" ca="1" si="18"/>
        <v>0</v>
      </c>
      <c r="R119" s="110">
        <f t="shared" ca="1" si="18"/>
        <v>0</v>
      </c>
      <c r="S119" s="110">
        <f t="shared" ca="1" si="19"/>
        <v>0</v>
      </c>
      <c r="T119" s="110">
        <f t="shared" ca="1" si="19"/>
        <v>0</v>
      </c>
      <c r="U119" s="110">
        <f t="shared" ca="1" si="19"/>
        <v>0</v>
      </c>
      <c r="V119" s="110">
        <f t="shared" ca="1" si="19"/>
        <v>0</v>
      </c>
      <c r="W119" s="110">
        <f t="shared" ca="1" si="19"/>
        <v>0</v>
      </c>
      <c r="X119" s="110">
        <f t="shared" ca="1" si="19"/>
        <v>0</v>
      </c>
      <c r="Y119" s="110">
        <f t="shared" ca="1" si="19"/>
        <v>0</v>
      </c>
      <c r="Z119" s="110">
        <f t="shared" ca="1" si="19"/>
        <v>0</v>
      </c>
      <c r="AA119" s="110">
        <f t="shared" ca="1" si="19"/>
        <v>0</v>
      </c>
      <c r="AB119" s="110">
        <f t="shared" ca="1" si="19"/>
        <v>0</v>
      </c>
    </row>
    <row r="120" spans="1:28">
      <c r="A120" s="113" t="s">
        <v>2390</v>
      </c>
      <c r="B120" s="4" t="s">
        <v>60</v>
      </c>
      <c r="C120" s="4">
        <v>335.67</v>
      </c>
      <c r="D120" s="4">
        <v>2020</v>
      </c>
      <c r="E120" s="2" t="s">
        <v>19</v>
      </c>
      <c r="F120" s="3" t="s">
        <v>6</v>
      </c>
      <c r="G120" s="4" t="s">
        <v>12</v>
      </c>
      <c r="I120" s="110">
        <f t="shared" ref="I120:R129" ca="1" si="20">IF(AND(OR($A120=0,$A120=scenGen),$D120&lt;=I$28),$C120,0)</f>
        <v>0</v>
      </c>
      <c r="J120" s="110">
        <f t="shared" ca="1" si="20"/>
        <v>0</v>
      </c>
      <c r="K120" s="110">
        <f t="shared" ca="1" si="20"/>
        <v>0</v>
      </c>
      <c r="L120" s="110">
        <f t="shared" ca="1" si="20"/>
        <v>0</v>
      </c>
      <c r="M120" s="110">
        <f t="shared" ca="1" si="20"/>
        <v>0</v>
      </c>
      <c r="N120" s="110">
        <f t="shared" ca="1" si="20"/>
        <v>0</v>
      </c>
      <c r="O120" s="110">
        <f t="shared" ca="1" si="20"/>
        <v>0</v>
      </c>
      <c r="P120" s="110">
        <f t="shared" ca="1" si="20"/>
        <v>0</v>
      </c>
      <c r="Q120" s="110">
        <f t="shared" ca="1" si="20"/>
        <v>0</v>
      </c>
      <c r="R120" s="110">
        <f t="shared" ca="1" si="20"/>
        <v>0</v>
      </c>
      <c r="S120" s="110">
        <f t="shared" ref="S120:AB129" ca="1" si="21">IF(AND(OR($A120=0,$A120=scenGen),$D120&lt;=S$28),$C120,0)</f>
        <v>0</v>
      </c>
      <c r="T120" s="110">
        <f t="shared" ca="1" si="21"/>
        <v>0</v>
      </c>
      <c r="U120" s="110">
        <f t="shared" ca="1" si="21"/>
        <v>0</v>
      </c>
      <c r="V120" s="110">
        <f t="shared" ca="1" si="21"/>
        <v>0</v>
      </c>
      <c r="W120" s="110">
        <f t="shared" ca="1" si="21"/>
        <v>0</v>
      </c>
      <c r="X120" s="110">
        <f t="shared" ca="1" si="21"/>
        <v>0</v>
      </c>
      <c r="Y120" s="110">
        <f t="shared" ca="1" si="21"/>
        <v>0</v>
      </c>
      <c r="Z120" s="110">
        <f t="shared" ca="1" si="21"/>
        <v>0</v>
      </c>
      <c r="AA120" s="110">
        <f t="shared" ca="1" si="21"/>
        <v>0</v>
      </c>
      <c r="AB120" s="110">
        <f t="shared" ca="1" si="21"/>
        <v>0</v>
      </c>
    </row>
    <row r="121" spans="1:28">
      <c r="A121" s="113" t="s">
        <v>2390</v>
      </c>
      <c r="B121" s="4" t="s">
        <v>61</v>
      </c>
      <c r="C121" s="4">
        <v>497.97</v>
      </c>
      <c r="D121" s="4">
        <v>2020</v>
      </c>
      <c r="E121" s="2" t="s">
        <v>19</v>
      </c>
      <c r="F121" s="3" t="s">
        <v>6</v>
      </c>
      <c r="G121" s="4" t="s">
        <v>12</v>
      </c>
      <c r="I121" s="110">
        <f t="shared" ca="1" si="20"/>
        <v>0</v>
      </c>
      <c r="J121" s="110">
        <f t="shared" ca="1" si="20"/>
        <v>0</v>
      </c>
      <c r="K121" s="110">
        <f t="shared" ca="1" si="20"/>
        <v>0</v>
      </c>
      <c r="L121" s="110">
        <f t="shared" ca="1" si="20"/>
        <v>0</v>
      </c>
      <c r="M121" s="110">
        <f t="shared" ca="1" si="20"/>
        <v>0</v>
      </c>
      <c r="N121" s="110">
        <f t="shared" ca="1" si="20"/>
        <v>0</v>
      </c>
      <c r="O121" s="110">
        <f t="shared" ca="1" si="20"/>
        <v>0</v>
      </c>
      <c r="P121" s="110">
        <f t="shared" ca="1" si="20"/>
        <v>0</v>
      </c>
      <c r="Q121" s="110">
        <f t="shared" ca="1" si="20"/>
        <v>0</v>
      </c>
      <c r="R121" s="110">
        <f t="shared" ca="1" si="20"/>
        <v>0</v>
      </c>
      <c r="S121" s="110">
        <f t="shared" ca="1" si="21"/>
        <v>0</v>
      </c>
      <c r="T121" s="110">
        <f t="shared" ca="1" si="21"/>
        <v>0</v>
      </c>
      <c r="U121" s="110">
        <f t="shared" ca="1" si="21"/>
        <v>0</v>
      </c>
      <c r="V121" s="110">
        <f t="shared" ca="1" si="21"/>
        <v>0</v>
      </c>
      <c r="W121" s="110">
        <f t="shared" ca="1" si="21"/>
        <v>0</v>
      </c>
      <c r="X121" s="110">
        <f t="shared" ca="1" si="21"/>
        <v>0</v>
      </c>
      <c r="Y121" s="110">
        <f t="shared" ca="1" si="21"/>
        <v>0</v>
      </c>
      <c r="Z121" s="110">
        <f t="shared" ca="1" si="21"/>
        <v>0</v>
      </c>
      <c r="AA121" s="110">
        <f t="shared" ca="1" si="21"/>
        <v>0</v>
      </c>
      <c r="AB121" s="110">
        <f t="shared" ca="1" si="21"/>
        <v>0</v>
      </c>
    </row>
    <row r="122" spans="1:28">
      <c r="A122" s="113" t="s">
        <v>2390</v>
      </c>
      <c r="B122" s="4" t="s">
        <v>62</v>
      </c>
      <c r="C122" s="4">
        <v>495</v>
      </c>
      <c r="D122" s="4">
        <v>2020</v>
      </c>
      <c r="E122" s="2" t="s">
        <v>19</v>
      </c>
      <c r="F122" s="3" t="s">
        <v>6</v>
      </c>
      <c r="G122" s="4" t="s">
        <v>12</v>
      </c>
      <c r="I122" s="110">
        <f t="shared" ca="1" si="20"/>
        <v>0</v>
      </c>
      <c r="J122" s="110">
        <f t="shared" ca="1" si="20"/>
        <v>0</v>
      </c>
      <c r="K122" s="110">
        <f t="shared" ca="1" si="20"/>
        <v>0</v>
      </c>
      <c r="L122" s="110">
        <f t="shared" ca="1" si="20"/>
        <v>0</v>
      </c>
      <c r="M122" s="110">
        <f t="shared" ca="1" si="20"/>
        <v>0</v>
      </c>
      <c r="N122" s="110">
        <f t="shared" ca="1" si="20"/>
        <v>0</v>
      </c>
      <c r="O122" s="110">
        <f t="shared" ca="1" si="20"/>
        <v>0</v>
      </c>
      <c r="P122" s="110">
        <f t="shared" ca="1" si="20"/>
        <v>0</v>
      </c>
      <c r="Q122" s="110">
        <f t="shared" ca="1" si="20"/>
        <v>0</v>
      </c>
      <c r="R122" s="110">
        <f t="shared" ca="1" si="20"/>
        <v>0</v>
      </c>
      <c r="S122" s="110">
        <f t="shared" ca="1" si="21"/>
        <v>0</v>
      </c>
      <c r="T122" s="110">
        <f t="shared" ca="1" si="21"/>
        <v>0</v>
      </c>
      <c r="U122" s="110">
        <f t="shared" ca="1" si="21"/>
        <v>0</v>
      </c>
      <c r="V122" s="110">
        <f t="shared" ca="1" si="21"/>
        <v>0</v>
      </c>
      <c r="W122" s="110">
        <f t="shared" ca="1" si="21"/>
        <v>0</v>
      </c>
      <c r="X122" s="110">
        <f t="shared" ca="1" si="21"/>
        <v>0</v>
      </c>
      <c r="Y122" s="110">
        <f t="shared" ca="1" si="21"/>
        <v>0</v>
      </c>
      <c r="Z122" s="110">
        <f t="shared" ca="1" si="21"/>
        <v>0</v>
      </c>
      <c r="AA122" s="110">
        <f t="shared" ca="1" si="21"/>
        <v>0</v>
      </c>
      <c r="AB122" s="110">
        <f t="shared" ca="1" si="21"/>
        <v>0</v>
      </c>
    </row>
    <row r="123" spans="1:28">
      <c r="A123" s="113" t="s">
        <v>2390</v>
      </c>
      <c r="B123" s="4" t="s">
        <v>63</v>
      </c>
      <c r="C123" s="4">
        <v>225.75</v>
      </c>
      <c r="D123" s="4">
        <v>2020</v>
      </c>
      <c r="E123" s="2" t="s">
        <v>19</v>
      </c>
      <c r="F123" s="3" t="s">
        <v>6</v>
      </c>
      <c r="G123" s="4" t="s">
        <v>12</v>
      </c>
      <c r="I123" s="110">
        <f t="shared" ca="1" si="20"/>
        <v>0</v>
      </c>
      <c r="J123" s="110">
        <f t="shared" ca="1" si="20"/>
        <v>0</v>
      </c>
      <c r="K123" s="110">
        <f t="shared" ca="1" si="20"/>
        <v>0</v>
      </c>
      <c r="L123" s="110">
        <f t="shared" ca="1" si="20"/>
        <v>0</v>
      </c>
      <c r="M123" s="110">
        <f t="shared" ca="1" si="20"/>
        <v>0</v>
      </c>
      <c r="N123" s="110">
        <f t="shared" ca="1" si="20"/>
        <v>0</v>
      </c>
      <c r="O123" s="110">
        <f t="shared" ca="1" si="20"/>
        <v>0</v>
      </c>
      <c r="P123" s="110">
        <f t="shared" ca="1" si="20"/>
        <v>0</v>
      </c>
      <c r="Q123" s="110">
        <f t="shared" ca="1" si="20"/>
        <v>0</v>
      </c>
      <c r="R123" s="110">
        <f t="shared" ca="1" si="20"/>
        <v>0</v>
      </c>
      <c r="S123" s="110">
        <f t="shared" ca="1" si="21"/>
        <v>0</v>
      </c>
      <c r="T123" s="110">
        <f t="shared" ca="1" si="21"/>
        <v>0</v>
      </c>
      <c r="U123" s="110">
        <f t="shared" ca="1" si="21"/>
        <v>0</v>
      </c>
      <c r="V123" s="110">
        <f t="shared" ca="1" si="21"/>
        <v>0</v>
      </c>
      <c r="W123" s="110">
        <f t="shared" ca="1" si="21"/>
        <v>0</v>
      </c>
      <c r="X123" s="110">
        <f t="shared" ca="1" si="21"/>
        <v>0</v>
      </c>
      <c r="Y123" s="110">
        <f t="shared" ca="1" si="21"/>
        <v>0</v>
      </c>
      <c r="Z123" s="110">
        <f t="shared" ca="1" si="21"/>
        <v>0</v>
      </c>
      <c r="AA123" s="110">
        <f t="shared" ca="1" si="21"/>
        <v>0</v>
      </c>
      <c r="AB123" s="110">
        <f t="shared" ca="1" si="21"/>
        <v>0</v>
      </c>
    </row>
    <row r="124" spans="1:28">
      <c r="A124" s="113" t="s">
        <v>2390</v>
      </c>
      <c r="B124" s="4" t="s">
        <v>64</v>
      </c>
      <c r="C124" s="4">
        <v>225.8</v>
      </c>
      <c r="D124" s="4">
        <v>2020</v>
      </c>
      <c r="E124" s="2" t="s">
        <v>19</v>
      </c>
      <c r="F124" s="3" t="s">
        <v>6</v>
      </c>
      <c r="G124" s="4" t="s">
        <v>12</v>
      </c>
      <c r="I124" s="110">
        <f t="shared" ca="1" si="20"/>
        <v>0</v>
      </c>
      <c r="J124" s="110">
        <f t="shared" ca="1" si="20"/>
        <v>0</v>
      </c>
      <c r="K124" s="110">
        <f t="shared" ca="1" si="20"/>
        <v>0</v>
      </c>
      <c r="L124" s="110">
        <f t="shared" ca="1" si="20"/>
        <v>0</v>
      </c>
      <c r="M124" s="110">
        <f t="shared" ca="1" si="20"/>
        <v>0</v>
      </c>
      <c r="N124" s="110">
        <f t="shared" ca="1" si="20"/>
        <v>0</v>
      </c>
      <c r="O124" s="110">
        <f t="shared" ca="1" si="20"/>
        <v>0</v>
      </c>
      <c r="P124" s="110">
        <f t="shared" ca="1" si="20"/>
        <v>0</v>
      </c>
      <c r="Q124" s="110">
        <f t="shared" ca="1" si="20"/>
        <v>0</v>
      </c>
      <c r="R124" s="110">
        <f t="shared" ca="1" si="20"/>
        <v>0</v>
      </c>
      <c r="S124" s="110">
        <f t="shared" ca="1" si="21"/>
        <v>0</v>
      </c>
      <c r="T124" s="110">
        <f t="shared" ca="1" si="21"/>
        <v>0</v>
      </c>
      <c r="U124" s="110">
        <f t="shared" ca="1" si="21"/>
        <v>0</v>
      </c>
      <c r="V124" s="110">
        <f t="shared" ca="1" si="21"/>
        <v>0</v>
      </c>
      <c r="W124" s="110">
        <f t="shared" ca="1" si="21"/>
        <v>0</v>
      </c>
      <c r="X124" s="110">
        <f t="shared" ca="1" si="21"/>
        <v>0</v>
      </c>
      <c r="Y124" s="110">
        <f t="shared" ca="1" si="21"/>
        <v>0</v>
      </c>
      <c r="Z124" s="110">
        <f t="shared" ca="1" si="21"/>
        <v>0</v>
      </c>
      <c r="AA124" s="110">
        <f t="shared" ca="1" si="21"/>
        <v>0</v>
      </c>
      <c r="AB124" s="110">
        <f t="shared" ca="1" si="21"/>
        <v>0</v>
      </c>
    </row>
    <row r="125" spans="1:28">
      <c r="A125" s="113" t="s">
        <v>2390</v>
      </c>
      <c r="B125" s="4" t="s">
        <v>65</v>
      </c>
      <c r="C125" s="4">
        <v>178.87</v>
      </c>
      <c r="D125" s="4">
        <v>2020</v>
      </c>
      <c r="E125" s="2" t="s">
        <v>19</v>
      </c>
      <c r="F125" s="3" t="s">
        <v>6</v>
      </c>
      <c r="G125" s="4" t="s">
        <v>12</v>
      </c>
      <c r="I125" s="110">
        <f t="shared" ca="1" si="20"/>
        <v>0</v>
      </c>
      <c r="J125" s="110">
        <f t="shared" ca="1" si="20"/>
        <v>0</v>
      </c>
      <c r="K125" s="110">
        <f t="shared" ca="1" si="20"/>
        <v>0</v>
      </c>
      <c r="L125" s="110">
        <f t="shared" ca="1" si="20"/>
        <v>0</v>
      </c>
      <c r="M125" s="110">
        <f t="shared" ca="1" si="20"/>
        <v>0</v>
      </c>
      <c r="N125" s="110">
        <f t="shared" ca="1" si="20"/>
        <v>0</v>
      </c>
      <c r="O125" s="110">
        <f t="shared" ca="1" si="20"/>
        <v>0</v>
      </c>
      <c r="P125" s="110">
        <f t="shared" ca="1" si="20"/>
        <v>0</v>
      </c>
      <c r="Q125" s="110">
        <f t="shared" ca="1" si="20"/>
        <v>0</v>
      </c>
      <c r="R125" s="110">
        <f t="shared" ca="1" si="20"/>
        <v>0</v>
      </c>
      <c r="S125" s="110">
        <f t="shared" ca="1" si="21"/>
        <v>0</v>
      </c>
      <c r="T125" s="110">
        <f t="shared" ca="1" si="21"/>
        <v>0</v>
      </c>
      <c r="U125" s="110">
        <f t="shared" ca="1" si="21"/>
        <v>0</v>
      </c>
      <c r="V125" s="110">
        <f t="shared" ca="1" si="21"/>
        <v>0</v>
      </c>
      <c r="W125" s="110">
        <f t="shared" ca="1" si="21"/>
        <v>0</v>
      </c>
      <c r="X125" s="110">
        <f t="shared" ca="1" si="21"/>
        <v>0</v>
      </c>
      <c r="Y125" s="110">
        <f t="shared" ca="1" si="21"/>
        <v>0</v>
      </c>
      <c r="Z125" s="110">
        <f t="shared" ca="1" si="21"/>
        <v>0</v>
      </c>
      <c r="AA125" s="110">
        <f t="shared" ca="1" si="21"/>
        <v>0</v>
      </c>
      <c r="AB125" s="110">
        <f t="shared" ca="1" si="21"/>
        <v>0</v>
      </c>
    </row>
    <row r="126" spans="1:28">
      <c r="A126" s="113" t="s">
        <v>2390</v>
      </c>
      <c r="B126" s="4" t="s">
        <v>66</v>
      </c>
      <c r="C126" s="4">
        <v>175</v>
      </c>
      <c r="D126" s="4">
        <v>2020</v>
      </c>
      <c r="E126" s="2" t="s">
        <v>19</v>
      </c>
      <c r="F126" s="3" t="s">
        <v>6</v>
      </c>
      <c r="G126" s="4" t="s">
        <v>12</v>
      </c>
      <c r="I126" s="110">
        <f t="shared" ca="1" si="20"/>
        <v>0</v>
      </c>
      <c r="J126" s="110">
        <f t="shared" ca="1" si="20"/>
        <v>0</v>
      </c>
      <c r="K126" s="110">
        <f t="shared" ca="1" si="20"/>
        <v>0</v>
      </c>
      <c r="L126" s="110">
        <f t="shared" ca="1" si="20"/>
        <v>0</v>
      </c>
      <c r="M126" s="110">
        <f t="shared" ca="1" si="20"/>
        <v>0</v>
      </c>
      <c r="N126" s="110">
        <f t="shared" ca="1" si="20"/>
        <v>0</v>
      </c>
      <c r="O126" s="110">
        <f t="shared" ca="1" si="20"/>
        <v>0</v>
      </c>
      <c r="P126" s="110">
        <f t="shared" ca="1" si="20"/>
        <v>0</v>
      </c>
      <c r="Q126" s="110">
        <f t="shared" ca="1" si="20"/>
        <v>0</v>
      </c>
      <c r="R126" s="110">
        <f t="shared" ca="1" si="20"/>
        <v>0</v>
      </c>
      <c r="S126" s="110">
        <f t="shared" ca="1" si="21"/>
        <v>0</v>
      </c>
      <c r="T126" s="110">
        <f t="shared" ca="1" si="21"/>
        <v>0</v>
      </c>
      <c r="U126" s="110">
        <f t="shared" ca="1" si="21"/>
        <v>0</v>
      </c>
      <c r="V126" s="110">
        <f t="shared" ca="1" si="21"/>
        <v>0</v>
      </c>
      <c r="W126" s="110">
        <f t="shared" ca="1" si="21"/>
        <v>0</v>
      </c>
      <c r="X126" s="110">
        <f t="shared" ca="1" si="21"/>
        <v>0</v>
      </c>
      <c r="Y126" s="110">
        <f t="shared" ca="1" si="21"/>
        <v>0</v>
      </c>
      <c r="Z126" s="110">
        <f t="shared" ca="1" si="21"/>
        <v>0</v>
      </c>
      <c r="AA126" s="110">
        <f t="shared" ca="1" si="21"/>
        <v>0</v>
      </c>
      <c r="AB126" s="110">
        <f t="shared" ca="1" si="21"/>
        <v>0</v>
      </c>
    </row>
    <row r="127" spans="1:28">
      <c r="A127" s="113" t="s">
        <v>2390</v>
      </c>
      <c r="B127" s="4" t="s">
        <v>67</v>
      </c>
      <c r="C127" s="4">
        <v>493.24</v>
      </c>
      <c r="D127" s="4">
        <v>2020</v>
      </c>
      <c r="E127" s="2" t="s">
        <v>19</v>
      </c>
      <c r="F127" s="3" t="s">
        <v>6</v>
      </c>
      <c r="G127" s="4" t="s">
        <v>12</v>
      </c>
      <c r="I127" s="110">
        <f t="shared" ca="1" si="20"/>
        <v>0</v>
      </c>
      <c r="J127" s="110">
        <f t="shared" ca="1" si="20"/>
        <v>0</v>
      </c>
      <c r="K127" s="110">
        <f t="shared" ca="1" si="20"/>
        <v>0</v>
      </c>
      <c r="L127" s="110">
        <f t="shared" ca="1" si="20"/>
        <v>0</v>
      </c>
      <c r="M127" s="110">
        <f t="shared" ca="1" si="20"/>
        <v>0</v>
      </c>
      <c r="N127" s="110">
        <f t="shared" ca="1" si="20"/>
        <v>0</v>
      </c>
      <c r="O127" s="110">
        <f t="shared" ca="1" si="20"/>
        <v>0</v>
      </c>
      <c r="P127" s="110">
        <f t="shared" ca="1" si="20"/>
        <v>0</v>
      </c>
      <c r="Q127" s="110">
        <f t="shared" ca="1" si="20"/>
        <v>0</v>
      </c>
      <c r="R127" s="110">
        <f t="shared" ca="1" si="20"/>
        <v>0</v>
      </c>
      <c r="S127" s="110">
        <f t="shared" ca="1" si="21"/>
        <v>0</v>
      </c>
      <c r="T127" s="110">
        <f t="shared" ca="1" si="21"/>
        <v>0</v>
      </c>
      <c r="U127" s="110">
        <f t="shared" ca="1" si="21"/>
        <v>0</v>
      </c>
      <c r="V127" s="110">
        <f t="shared" ca="1" si="21"/>
        <v>0</v>
      </c>
      <c r="W127" s="110">
        <f t="shared" ca="1" si="21"/>
        <v>0</v>
      </c>
      <c r="X127" s="110">
        <f t="shared" ca="1" si="21"/>
        <v>0</v>
      </c>
      <c r="Y127" s="110">
        <f t="shared" ca="1" si="21"/>
        <v>0</v>
      </c>
      <c r="Z127" s="110">
        <f t="shared" ca="1" si="21"/>
        <v>0</v>
      </c>
      <c r="AA127" s="110">
        <f t="shared" ca="1" si="21"/>
        <v>0</v>
      </c>
      <c r="AB127" s="110">
        <f t="shared" ca="1" si="21"/>
        <v>0</v>
      </c>
    </row>
    <row r="128" spans="1:28">
      <c r="A128" s="113" t="s">
        <v>2390</v>
      </c>
      <c r="B128" s="4" t="s">
        <v>68</v>
      </c>
      <c r="C128" s="4">
        <v>495.9</v>
      </c>
      <c r="D128" s="4">
        <v>2020</v>
      </c>
      <c r="E128" s="2" t="s">
        <v>19</v>
      </c>
      <c r="F128" s="3" t="s">
        <v>6</v>
      </c>
      <c r="G128" s="4" t="s">
        <v>12</v>
      </c>
      <c r="I128" s="110">
        <f t="shared" ca="1" si="20"/>
        <v>0</v>
      </c>
      <c r="J128" s="110">
        <f t="shared" ca="1" si="20"/>
        <v>0</v>
      </c>
      <c r="K128" s="110">
        <f t="shared" ca="1" si="20"/>
        <v>0</v>
      </c>
      <c r="L128" s="110">
        <f t="shared" ca="1" si="20"/>
        <v>0</v>
      </c>
      <c r="M128" s="110">
        <f t="shared" ca="1" si="20"/>
        <v>0</v>
      </c>
      <c r="N128" s="110">
        <f t="shared" ca="1" si="20"/>
        <v>0</v>
      </c>
      <c r="O128" s="110">
        <f t="shared" ca="1" si="20"/>
        <v>0</v>
      </c>
      <c r="P128" s="110">
        <f t="shared" ca="1" si="20"/>
        <v>0</v>
      </c>
      <c r="Q128" s="110">
        <f t="shared" ca="1" si="20"/>
        <v>0</v>
      </c>
      <c r="R128" s="110">
        <f t="shared" ca="1" si="20"/>
        <v>0</v>
      </c>
      <c r="S128" s="110">
        <f t="shared" ca="1" si="21"/>
        <v>0</v>
      </c>
      <c r="T128" s="110">
        <f t="shared" ca="1" si="21"/>
        <v>0</v>
      </c>
      <c r="U128" s="110">
        <f t="shared" ca="1" si="21"/>
        <v>0</v>
      </c>
      <c r="V128" s="110">
        <f t="shared" ca="1" si="21"/>
        <v>0</v>
      </c>
      <c r="W128" s="110">
        <f t="shared" ca="1" si="21"/>
        <v>0</v>
      </c>
      <c r="X128" s="110">
        <f t="shared" ca="1" si="21"/>
        <v>0</v>
      </c>
      <c r="Y128" s="110">
        <f t="shared" ca="1" si="21"/>
        <v>0</v>
      </c>
      <c r="Z128" s="110">
        <f t="shared" ca="1" si="21"/>
        <v>0</v>
      </c>
      <c r="AA128" s="110">
        <f t="shared" ca="1" si="21"/>
        <v>0</v>
      </c>
      <c r="AB128" s="110">
        <f t="shared" ca="1" si="21"/>
        <v>0</v>
      </c>
    </row>
    <row r="129" spans="1:28">
      <c r="A129" s="113" t="s">
        <v>2391</v>
      </c>
      <c r="B129" s="3" t="s">
        <v>1487</v>
      </c>
      <c r="C129" s="2">
        <v>16</v>
      </c>
      <c r="D129" s="2">
        <v>2014</v>
      </c>
      <c r="E129" s="2" t="s">
        <v>19</v>
      </c>
      <c r="F129" s="3" t="s">
        <v>23</v>
      </c>
      <c r="G129" s="3" t="s">
        <v>11</v>
      </c>
      <c r="I129" s="110">
        <f t="shared" ca="1" si="20"/>
        <v>0</v>
      </c>
      <c r="J129" s="110">
        <f t="shared" ca="1" si="20"/>
        <v>0</v>
      </c>
      <c r="K129" s="110">
        <f t="shared" ca="1" si="20"/>
        <v>0</v>
      </c>
      <c r="L129" s="110">
        <f t="shared" ca="1" si="20"/>
        <v>0</v>
      </c>
      <c r="M129" s="110">
        <f t="shared" ca="1" si="20"/>
        <v>0</v>
      </c>
      <c r="N129" s="110">
        <f t="shared" ca="1" si="20"/>
        <v>0</v>
      </c>
      <c r="O129" s="110">
        <f t="shared" ca="1" si="20"/>
        <v>0</v>
      </c>
      <c r="P129" s="110">
        <f t="shared" ca="1" si="20"/>
        <v>0</v>
      </c>
      <c r="Q129" s="110">
        <f t="shared" ca="1" si="20"/>
        <v>0</v>
      </c>
      <c r="R129" s="110">
        <f t="shared" ca="1" si="20"/>
        <v>0</v>
      </c>
      <c r="S129" s="110">
        <f t="shared" ca="1" si="21"/>
        <v>0</v>
      </c>
      <c r="T129" s="110">
        <f t="shared" ca="1" si="21"/>
        <v>0</v>
      </c>
      <c r="U129" s="110">
        <f t="shared" ca="1" si="21"/>
        <v>0</v>
      </c>
      <c r="V129" s="110">
        <f t="shared" ca="1" si="21"/>
        <v>0</v>
      </c>
      <c r="W129" s="110">
        <f t="shared" ca="1" si="21"/>
        <v>0</v>
      </c>
      <c r="X129" s="110">
        <f t="shared" ca="1" si="21"/>
        <v>0</v>
      </c>
      <c r="Y129" s="110">
        <f t="shared" ca="1" si="21"/>
        <v>0</v>
      </c>
      <c r="Z129" s="110">
        <f t="shared" ca="1" si="21"/>
        <v>0</v>
      </c>
      <c r="AA129" s="110">
        <f t="shared" ca="1" si="21"/>
        <v>0</v>
      </c>
      <c r="AB129" s="110">
        <f t="shared" ca="1" si="21"/>
        <v>0</v>
      </c>
    </row>
    <row r="130" spans="1:28">
      <c r="A130" s="113" t="s">
        <v>2391</v>
      </c>
      <c r="B130" s="3" t="s">
        <v>1485</v>
      </c>
      <c r="C130" s="2">
        <v>59</v>
      </c>
      <c r="D130" s="2">
        <v>2014</v>
      </c>
      <c r="E130" s="2" t="s">
        <v>19</v>
      </c>
      <c r="F130" s="3" t="s">
        <v>23</v>
      </c>
      <c r="G130" s="3" t="s">
        <v>11</v>
      </c>
      <c r="I130" s="110">
        <f t="shared" ref="I130:R139" ca="1" si="22">IF(AND(OR($A130=0,$A130=scenGen),$D130&lt;=I$28),$C130,0)</f>
        <v>0</v>
      </c>
      <c r="J130" s="110">
        <f t="shared" ca="1" si="22"/>
        <v>0</v>
      </c>
      <c r="K130" s="110">
        <f t="shared" ca="1" si="22"/>
        <v>0</v>
      </c>
      <c r="L130" s="110">
        <f t="shared" ca="1" si="22"/>
        <v>0</v>
      </c>
      <c r="M130" s="110">
        <f t="shared" ca="1" si="22"/>
        <v>0</v>
      </c>
      <c r="N130" s="110">
        <f t="shared" ca="1" si="22"/>
        <v>0</v>
      </c>
      <c r="O130" s="110">
        <f t="shared" ca="1" si="22"/>
        <v>0</v>
      </c>
      <c r="P130" s="110">
        <f t="shared" ca="1" si="22"/>
        <v>0</v>
      </c>
      <c r="Q130" s="110">
        <f t="shared" ca="1" si="22"/>
        <v>0</v>
      </c>
      <c r="R130" s="110">
        <f t="shared" ca="1" si="22"/>
        <v>0</v>
      </c>
      <c r="S130" s="110">
        <f t="shared" ref="S130:AB139" ca="1" si="23">IF(AND(OR($A130=0,$A130=scenGen),$D130&lt;=S$28),$C130,0)</f>
        <v>0</v>
      </c>
      <c r="T130" s="110">
        <f t="shared" ca="1" si="23"/>
        <v>0</v>
      </c>
      <c r="U130" s="110">
        <f t="shared" ca="1" si="23"/>
        <v>0</v>
      </c>
      <c r="V130" s="110">
        <f t="shared" ca="1" si="23"/>
        <v>0</v>
      </c>
      <c r="W130" s="110">
        <f t="shared" ca="1" si="23"/>
        <v>0</v>
      </c>
      <c r="X130" s="110">
        <f t="shared" ca="1" si="23"/>
        <v>0</v>
      </c>
      <c r="Y130" s="110">
        <f t="shared" ca="1" si="23"/>
        <v>0</v>
      </c>
      <c r="Z130" s="110">
        <f t="shared" ca="1" si="23"/>
        <v>0</v>
      </c>
      <c r="AA130" s="110">
        <f t="shared" ca="1" si="23"/>
        <v>0</v>
      </c>
      <c r="AB130" s="110">
        <f t="shared" ca="1" si="23"/>
        <v>0</v>
      </c>
    </row>
    <row r="131" spans="1:28">
      <c r="A131" s="113" t="s">
        <v>2391</v>
      </c>
      <c r="B131" s="3" t="s">
        <v>1483</v>
      </c>
      <c r="C131" s="2">
        <v>61</v>
      </c>
      <c r="D131" s="2">
        <v>2014</v>
      </c>
      <c r="E131" s="2" t="s">
        <v>19</v>
      </c>
      <c r="F131" s="3" t="s">
        <v>23</v>
      </c>
      <c r="G131" s="3" t="s">
        <v>11</v>
      </c>
      <c r="I131" s="110">
        <f t="shared" ca="1" si="22"/>
        <v>0</v>
      </c>
      <c r="J131" s="110">
        <f t="shared" ca="1" si="22"/>
        <v>0</v>
      </c>
      <c r="K131" s="110">
        <f t="shared" ca="1" si="22"/>
        <v>0</v>
      </c>
      <c r="L131" s="110">
        <f t="shared" ca="1" si="22"/>
        <v>0</v>
      </c>
      <c r="M131" s="110">
        <f t="shared" ca="1" si="22"/>
        <v>0</v>
      </c>
      <c r="N131" s="110">
        <f t="shared" ca="1" si="22"/>
        <v>0</v>
      </c>
      <c r="O131" s="110">
        <f t="shared" ca="1" si="22"/>
        <v>0</v>
      </c>
      <c r="P131" s="110">
        <f t="shared" ca="1" si="22"/>
        <v>0</v>
      </c>
      <c r="Q131" s="110">
        <f t="shared" ca="1" si="22"/>
        <v>0</v>
      </c>
      <c r="R131" s="110">
        <f t="shared" ca="1" si="22"/>
        <v>0</v>
      </c>
      <c r="S131" s="110">
        <f t="shared" ca="1" si="23"/>
        <v>0</v>
      </c>
      <c r="T131" s="110">
        <f t="shared" ca="1" si="23"/>
        <v>0</v>
      </c>
      <c r="U131" s="110">
        <f t="shared" ca="1" si="23"/>
        <v>0</v>
      </c>
      <c r="V131" s="110">
        <f t="shared" ca="1" si="23"/>
        <v>0</v>
      </c>
      <c r="W131" s="110">
        <f t="shared" ca="1" si="23"/>
        <v>0</v>
      </c>
      <c r="X131" s="110">
        <f t="shared" ca="1" si="23"/>
        <v>0</v>
      </c>
      <c r="Y131" s="110">
        <f t="shared" ca="1" si="23"/>
        <v>0</v>
      </c>
      <c r="Z131" s="110">
        <f t="shared" ca="1" si="23"/>
        <v>0</v>
      </c>
      <c r="AA131" s="110">
        <f t="shared" ca="1" si="23"/>
        <v>0</v>
      </c>
      <c r="AB131" s="110">
        <f t="shared" ca="1" si="23"/>
        <v>0</v>
      </c>
    </row>
    <row r="132" spans="1:28">
      <c r="A132" s="113" t="s">
        <v>2391</v>
      </c>
      <c r="B132" s="3" t="s">
        <v>1314</v>
      </c>
      <c r="C132" s="2">
        <v>36</v>
      </c>
      <c r="D132" s="2">
        <v>2014</v>
      </c>
      <c r="E132" s="2" t="s">
        <v>19</v>
      </c>
      <c r="F132" s="3" t="s">
        <v>23</v>
      </c>
      <c r="G132" s="3" t="s">
        <v>11</v>
      </c>
      <c r="I132" s="110">
        <f t="shared" ca="1" si="22"/>
        <v>0</v>
      </c>
      <c r="J132" s="110">
        <f t="shared" ca="1" si="22"/>
        <v>0</v>
      </c>
      <c r="K132" s="110">
        <f t="shared" ca="1" si="22"/>
        <v>0</v>
      </c>
      <c r="L132" s="110">
        <f t="shared" ca="1" si="22"/>
        <v>0</v>
      </c>
      <c r="M132" s="110">
        <f t="shared" ca="1" si="22"/>
        <v>0</v>
      </c>
      <c r="N132" s="110">
        <f t="shared" ca="1" si="22"/>
        <v>0</v>
      </c>
      <c r="O132" s="110">
        <f t="shared" ca="1" si="22"/>
        <v>0</v>
      </c>
      <c r="P132" s="110">
        <f t="shared" ca="1" si="22"/>
        <v>0</v>
      </c>
      <c r="Q132" s="110">
        <f t="shared" ca="1" si="22"/>
        <v>0</v>
      </c>
      <c r="R132" s="110">
        <f t="shared" ca="1" si="22"/>
        <v>0</v>
      </c>
      <c r="S132" s="110">
        <f t="shared" ca="1" si="23"/>
        <v>0</v>
      </c>
      <c r="T132" s="110">
        <f t="shared" ca="1" si="23"/>
        <v>0</v>
      </c>
      <c r="U132" s="110">
        <f t="shared" ca="1" si="23"/>
        <v>0</v>
      </c>
      <c r="V132" s="110">
        <f t="shared" ca="1" si="23"/>
        <v>0</v>
      </c>
      <c r="W132" s="110">
        <f t="shared" ca="1" si="23"/>
        <v>0</v>
      </c>
      <c r="X132" s="110">
        <f t="shared" ca="1" si="23"/>
        <v>0</v>
      </c>
      <c r="Y132" s="110">
        <f t="shared" ca="1" si="23"/>
        <v>0</v>
      </c>
      <c r="Z132" s="110">
        <f t="shared" ca="1" si="23"/>
        <v>0</v>
      </c>
      <c r="AA132" s="110">
        <f t="shared" ca="1" si="23"/>
        <v>0</v>
      </c>
      <c r="AB132" s="110">
        <f t="shared" ca="1" si="23"/>
        <v>0</v>
      </c>
    </row>
    <row r="133" spans="1:28">
      <c r="A133" s="113" t="s">
        <v>2391</v>
      </c>
      <c r="B133" s="3" t="s">
        <v>2225</v>
      </c>
      <c r="C133" s="2">
        <f>586/2</f>
        <v>293</v>
      </c>
      <c r="D133" s="2">
        <v>2016</v>
      </c>
      <c r="E133" s="2" t="s">
        <v>19</v>
      </c>
      <c r="F133" s="3" t="s">
        <v>131</v>
      </c>
      <c r="G133" s="3" t="s">
        <v>10</v>
      </c>
      <c r="I133" s="110">
        <f t="shared" ca="1" si="22"/>
        <v>0</v>
      </c>
      <c r="J133" s="110">
        <f t="shared" ca="1" si="22"/>
        <v>0</v>
      </c>
      <c r="K133" s="110">
        <f t="shared" ca="1" si="22"/>
        <v>0</v>
      </c>
      <c r="L133" s="110">
        <f t="shared" ca="1" si="22"/>
        <v>0</v>
      </c>
      <c r="M133" s="110">
        <f t="shared" ca="1" si="22"/>
        <v>0</v>
      </c>
      <c r="N133" s="110">
        <f t="shared" ca="1" si="22"/>
        <v>0</v>
      </c>
      <c r="O133" s="110">
        <f t="shared" ca="1" si="22"/>
        <v>0</v>
      </c>
      <c r="P133" s="110">
        <f t="shared" ca="1" si="22"/>
        <v>0</v>
      </c>
      <c r="Q133" s="110">
        <f t="shared" ca="1" si="22"/>
        <v>0</v>
      </c>
      <c r="R133" s="110">
        <f t="shared" ca="1" si="22"/>
        <v>0</v>
      </c>
      <c r="S133" s="110">
        <f t="shared" ca="1" si="23"/>
        <v>0</v>
      </c>
      <c r="T133" s="110">
        <f t="shared" ca="1" si="23"/>
        <v>0</v>
      </c>
      <c r="U133" s="110">
        <f t="shared" ca="1" si="23"/>
        <v>0</v>
      </c>
      <c r="V133" s="110">
        <f t="shared" ca="1" si="23"/>
        <v>0</v>
      </c>
      <c r="W133" s="110">
        <f t="shared" ca="1" si="23"/>
        <v>0</v>
      </c>
      <c r="X133" s="110">
        <f t="shared" ca="1" si="23"/>
        <v>0</v>
      </c>
      <c r="Y133" s="110">
        <f t="shared" ca="1" si="23"/>
        <v>0</v>
      </c>
      <c r="Z133" s="110">
        <f t="shared" ca="1" si="23"/>
        <v>0</v>
      </c>
      <c r="AA133" s="110">
        <f t="shared" ca="1" si="23"/>
        <v>0</v>
      </c>
      <c r="AB133" s="110">
        <f t="shared" ca="1" si="23"/>
        <v>0</v>
      </c>
    </row>
    <row r="134" spans="1:28">
      <c r="A134" s="113" t="s">
        <v>2391</v>
      </c>
      <c r="B134" s="3" t="s">
        <v>2226</v>
      </c>
      <c r="C134" s="2">
        <f>586/2</f>
        <v>293</v>
      </c>
      <c r="D134" s="2">
        <v>2016</v>
      </c>
      <c r="E134" s="2" t="s">
        <v>19</v>
      </c>
      <c r="F134" s="3" t="s">
        <v>131</v>
      </c>
      <c r="G134" s="3" t="s">
        <v>10</v>
      </c>
      <c r="I134" s="110">
        <f t="shared" ca="1" si="22"/>
        <v>0</v>
      </c>
      <c r="J134" s="110">
        <f t="shared" ca="1" si="22"/>
        <v>0</v>
      </c>
      <c r="K134" s="110">
        <f t="shared" ca="1" si="22"/>
        <v>0</v>
      </c>
      <c r="L134" s="110">
        <f t="shared" ca="1" si="22"/>
        <v>0</v>
      </c>
      <c r="M134" s="110">
        <f t="shared" ca="1" si="22"/>
        <v>0</v>
      </c>
      <c r="N134" s="110">
        <f t="shared" ca="1" si="22"/>
        <v>0</v>
      </c>
      <c r="O134" s="110">
        <f t="shared" ca="1" si="22"/>
        <v>0</v>
      </c>
      <c r="P134" s="110">
        <f t="shared" ca="1" si="22"/>
        <v>0</v>
      </c>
      <c r="Q134" s="110">
        <f t="shared" ca="1" si="22"/>
        <v>0</v>
      </c>
      <c r="R134" s="110">
        <f t="shared" ca="1" si="22"/>
        <v>0</v>
      </c>
      <c r="S134" s="110">
        <f t="shared" ca="1" si="23"/>
        <v>0</v>
      </c>
      <c r="T134" s="110">
        <f t="shared" ca="1" si="23"/>
        <v>0</v>
      </c>
      <c r="U134" s="110">
        <f t="shared" ca="1" si="23"/>
        <v>0</v>
      </c>
      <c r="V134" s="110">
        <f t="shared" ca="1" si="23"/>
        <v>0</v>
      </c>
      <c r="W134" s="110">
        <f t="shared" ca="1" si="23"/>
        <v>0</v>
      </c>
      <c r="X134" s="110">
        <f t="shared" ca="1" si="23"/>
        <v>0</v>
      </c>
      <c r="Y134" s="110">
        <f t="shared" ca="1" si="23"/>
        <v>0</v>
      </c>
      <c r="Z134" s="110">
        <f t="shared" ca="1" si="23"/>
        <v>0</v>
      </c>
      <c r="AA134" s="110">
        <f t="shared" ca="1" si="23"/>
        <v>0</v>
      </c>
      <c r="AB134" s="110">
        <f t="shared" ca="1" si="23"/>
        <v>0</v>
      </c>
    </row>
    <row r="135" spans="1:28">
      <c r="A135" s="113" t="s">
        <v>2391</v>
      </c>
      <c r="B135" s="3" t="s">
        <v>2227</v>
      </c>
      <c r="C135" s="2">
        <v>96</v>
      </c>
      <c r="D135" s="2">
        <v>2018</v>
      </c>
      <c r="E135" s="2" t="s">
        <v>19</v>
      </c>
      <c r="F135" s="3" t="s">
        <v>131</v>
      </c>
      <c r="G135" s="3" t="s">
        <v>11</v>
      </c>
      <c r="I135" s="110">
        <f t="shared" ca="1" si="22"/>
        <v>0</v>
      </c>
      <c r="J135" s="110">
        <f t="shared" ca="1" si="22"/>
        <v>0</v>
      </c>
      <c r="K135" s="110">
        <f t="shared" ca="1" si="22"/>
        <v>0</v>
      </c>
      <c r="L135" s="110">
        <f t="shared" ca="1" si="22"/>
        <v>0</v>
      </c>
      <c r="M135" s="110">
        <f t="shared" ca="1" si="22"/>
        <v>0</v>
      </c>
      <c r="N135" s="110">
        <f t="shared" ca="1" si="22"/>
        <v>0</v>
      </c>
      <c r="O135" s="110">
        <f t="shared" ca="1" si="22"/>
        <v>0</v>
      </c>
      <c r="P135" s="110">
        <f t="shared" ca="1" si="22"/>
        <v>0</v>
      </c>
      <c r="Q135" s="110">
        <f t="shared" ca="1" si="22"/>
        <v>0</v>
      </c>
      <c r="R135" s="110">
        <f t="shared" ca="1" si="22"/>
        <v>0</v>
      </c>
      <c r="S135" s="110">
        <f t="shared" ca="1" si="23"/>
        <v>0</v>
      </c>
      <c r="T135" s="110">
        <f t="shared" ca="1" si="23"/>
        <v>0</v>
      </c>
      <c r="U135" s="110">
        <f t="shared" ca="1" si="23"/>
        <v>0</v>
      </c>
      <c r="V135" s="110">
        <f t="shared" ca="1" si="23"/>
        <v>0</v>
      </c>
      <c r="W135" s="110">
        <f t="shared" ca="1" si="23"/>
        <v>0</v>
      </c>
      <c r="X135" s="110">
        <f t="shared" ca="1" si="23"/>
        <v>0</v>
      </c>
      <c r="Y135" s="110">
        <f t="shared" ca="1" si="23"/>
        <v>0</v>
      </c>
      <c r="Z135" s="110">
        <f t="shared" ca="1" si="23"/>
        <v>0</v>
      </c>
      <c r="AA135" s="110">
        <f t="shared" ca="1" si="23"/>
        <v>0</v>
      </c>
      <c r="AB135" s="110">
        <f t="shared" ca="1" si="23"/>
        <v>0</v>
      </c>
    </row>
    <row r="136" spans="1:28" s="184" customFormat="1">
      <c r="A136" s="113" t="s">
        <v>2391</v>
      </c>
      <c r="B136" s="3" t="s">
        <v>2228</v>
      </c>
      <c r="C136" s="2">
        <v>96</v>
      </c>
      <c r="D136" s="2">
        <v>2018</v>
      </c>
      <c r="E136" s="2" t="s">
        <v>19</v>
      </c>
      <c r="F136" s="3" t="s">
        <v>131</v>
      </c>
      <c r="G136" s="3" t="s">
        <v>11</v>
      </c>
      <c r="H136" s="2"/>
      <c r="I136" s="110">
        <f t="shared" ca="1" si="22"/>
        <v>0</v>
      </c>
      <c r="J136" s="110">
        <f t="shared" ca="1" si="22"/>
        <v>0</v>
      </c>
      <c r="K136" s="110">
        <f t="shared" ca="1" si="22"/>
        <v>0</v>
      </c>
      <c r="L136" s="110">
        <f t="shared" ca="1" si="22"/>
        <v>0</v>
      </c>
      <c r="M136" s="110">
        <f t="shared" ca="1" si="22"/>
        <v>0</v>
      </c>
      <c r="N136" s="110">
        <f t="shared" ca="1" si="22"/>
        <v>0</v>
      </c>
      <c r="O136" s="110">
        <f t="shared" ca="1" si="22"/>
        <v>0</v>
      </c>
      <c r="P136" s="110">
        <f t="shared" ca="1" si="22"/>
        <v>0</v>
      </c>
      <c r="Q136" s="110">
        <f t="shared" ca="1" si="22"/>
        <v>0</v>
      </c>
      <c r="R136" s="110">
        <f t="shared" ca="1" si="22"/>
        <v>0</v>
      </c>
      <c r="S136" s="110">
        <f t="shared" ca="1" si="23"/>
        <v>0</v>
      </c>
      <c r="T136" s="110">
        <f t="shared" ca="1" si="23"/>
        <v>0</v>
      </c>
      <c r="U136" s="110">
        <f t="shared" ca="1" si="23"/>
        <v>0</v>
      </c>
      <c r="V136" s="110">
        <f t="shared" ca="1" si="23"/>
        <v>0</v>
      </c>
      <c r="W136" s="110">
        <f t="shared" ca="1" si="23"/>
        <v>0</v>
      </c>
      <c r="X136" s="110">
        <f t="shared" ca="1" si="23"/>
        <v>0</v>
      </c>
      <c r="Y136" s="110">
        <f t="shared" ca="1" si="23"/>
        <v>0</v>
      </c>
      <c r="Z136" s="110">
        <f t="shared" ca="1" si="23"/>
        <v>0</v>
      </c>
      <c r="AA136" s="110">
        <f t="shared" ca="1" si="23"/>
        <v>0</v>
      </c>
      <c r="AB136" s="110">
        <f t="shared" ca="1" si="23"/>
        <v>0</v>
      </c>
    </row>
    <row r="137" spans="1:28">
      <c r="A137" s="113" t="s">
        <v>2391</v>
      </c>
      <c r="B137" s="3" t="s">
        <v>2229</v>
      </c>
      <c r="C137" s="2">
        <v>96</v>
      </c>
      <c r="D137" s="2">
        <v>2018</v>
      </c>
      <c r="E137" s="2" t="s">
        <v>19</v>
      </c>
      <c r="F137" s="3" t="s">
        <v>131</v>
      </c>
      <c r="G137" s="3" t="s">
        <v>11</v>
      </c>
      <c r="I137" s="110">
        <f t="shared" ca="1" si="22"/>
        <v>0</v>
      </c>
      <c r="J137" s="110">
        <f t="shared" ca="1" si="22"/>
        <v>0</v>
      </c>
      <c r="K137" s="110">
        <f t="shared" ca="1" si="22"/>
        <v>0</v>
      </c>
      <c r="L137" s="110">
        <f t="shared" ca="1" si="22"/>
        <v>0</v>
      </c>
      <c r="M137" s="110">
        <f t="shared" ca="1" si="22"/>
        <v>0</v>
      </c>
      <c r="N137" s="110">
        <f t="shared" ca="1" si="22"/>
        <v>0</v>
      </c>
      <c r="O137" s="110">
        <f t="shared" ca="1" si="22"/>
        <v>0</v>
      </c>
      <c r="P137" s="110">
        <f t="shared" ca="1" si="22"/>
        <v>0</v>
      </c>
      <c r="Q137" s="110">
        <f t="shared" ca="1" si="22"/>
        <v>0</v>
      </c>
      <c r="R137" s="110">
        <f t="shared" ca="1" si="22"/>
        <v>0</v>
      </c>
      <c r="S137" s="110">
        <f t="shared" ca="1" si="23"/>
        <v>0</v>
      </c>
      <c r="T137" s="110">
        <f t="shared" ca="1" si="23"/>
        <v>0</v>
      </c>
      <c r="U137" s="110">
        <f t="shared" ca="1" si="23"/>
        <v>0</v>
      </c>
      <c r="V137" s="110">
        <f t="shared" ca="1" si="23"/>
        <v>0</v>
      </c>
      <c r="W137" s="110">
        <f t="shared" ca="1" si="23"/>
        <v>0</v>
      </c>
      <c r="X137" s="110">
        <f t="shared" ca="1" si="23"/>
        <v>0</v>
      </c>
      <c r="Y137" s="110">
        <f t="shared" ca="1" si="23"/>
        <v>0</v>
      </c>
      <c r="Z137" s="110">
        <f t="shared" ca="1" si="23"/>
        <v>0</v>
      </c>
      <c r="AA137" s="110">
        <f t="shared" ca="1" si="23"/>
        <v>0</v>
      </c>
      <c r="AB137" s="110">
        <f t="shared" ca="1" si="23"/>
        <v>0</v>
      </c>
    </row>
    <row r="138" spans="1:28">
      <c r="A138" s="113" t="s">
        <v>2391</v>
      </c>
      <c r="B138" s="3" t="s">
        <v>2230</v>
      </c>
      <c r="C138" s="2">
        <v>49</v>
      </c>
      <c r="D138" s="2">
        <v>2013</v>
      </c>
      <c r="E138" s="2" t="s">
        <v>20</v>
      </c>
      <c r="F138" s="3" t="s">
        <v>131</v>
      </c>
      <c r="G138" s="3" t="s">
        <v>12</v>
      </c>
      <c r="I138" s="110">
        <f t="shared" ca="1" si="22"/>
        <v>0</v>
      </c>
      <c r="J138" s="110">
        <f t="shared" ca="1" si="22"/>
        <v>0</v>
      </c>
      <c r="K138" s="110">
        <f t="shared" ca="1" si="22"/>
        <v>0</v>
      </c>
      <c r="L138" s="110">
        <f t="shared" ca="1" si="22"/>
        <v>0</v>
      </c>
      <c r="M138" s="110">
        <f t="shared" ca="1" si="22"/>
        <v>0</v>
      </c>
      <c r="N138" s="110">
        <f t="shared" ca="1" si="22"/>
        <v>0</v>
      </c>
      <c r="O138" s="110">
        <f t="shared" ca="1" si="22"/>
        <v>0</v>
      </c>
      <c r="P138" s="110">
        <f t="shared" ca="1" si="22"/>
        <v>0</v>
      </c>
      <c r="Q138" s="110">
        <f t="shared" ca="1" si="22"/>
        <v>0</v>
      </c>
      <c r="R138" s="110">
        <f t="shared" ca="1" si="22"/>
        <v>0</v>
      </c>
      <c r="S138" s="110">
        <f t="shared" ca="1" si="23"/>
        <v>0</v>
      </c>
      <c r="T138" s="110">
        <f t="shared" ca="1" si="23"/>
        <v>0</v>
      </c>
      <c r="U138" s="110">
        <f t="shared" ca="1" si="23"/>
        <v>0</v>
      </c>
      <c r="V138" s="110">
        <f t="shared" ca="1" si="23"/>
        <v>0</v>
      </c>
      <c r="W138" s="110">
        <f t="shared" ca="1" si="23"/>
        <v>0</v>
      </c>
      <c r="X138" s="110">
        <f t="shared" ca="1" si="23"/>
        <v>0</v>
      </c>
      <c r="Y138" s="110">
        <f t="shared" ca="1" si="23"/>
        <v>0</v>
      </c>
      <c r="Z138" s="110">
        <f t="shared" ca="1" si="23"/>
        <v>0</v>
      </c>
      <c r="AA138" s="110">
        <f t="shared" ca="1" si="23"/>
        <v>0</v>
      </c>
      <c r="AB138" s="110">
        <f t="shared" ca="1" si="23"/>
        <v>0</v>
      </c>
    </row>
    <row r="139" spans="1:28">
      <c r="A139" s="113" t="s">
        <v>2391</v>
      </c>
      <c r="B139" s="3" t="s">
        <v>2232</v>
      </c>
      <c r="C139" s="2">
        <v>54</v>
      </c>
      <c r="D139" s="2">
        <v>2021</v>
      </c>
      <c r="E139" s="2" t="s">
        <v>20</v>
      </c>
      <c r="F139" s="3" t="s">
        <v>23</v>
      </c>
      <c r="G139" s="3" t="s">
        <v>12</v>
      </c>
      <c r="I139" s="110">
        <f t="shared" ca="1" si="22"/>
        <v>0</v>
      </c>
      <c r="J139" s="110">
        <f t="shared" ca="1" si="22"/>
        <v>0</v>
      </c>
      <c r="K139" s="110">
        <f t="shared" ca="1" si="22"/>
        <v>0</v>
      </c>
      <c r="L139" s="110">
        <f t="shared" ca="1" si="22"/>
        <v>0</v>
      </c>
      <c r="M139" s="110">
        <f t="shared" ca="1" si="22"/>
        <v>0</v>
      </c>
      <c r="N139" s="110">
        <f t="shared" ca="1" si="22"/>
        <v>0</v>
      </c>
      <c r="O139" s="110">
        <f t="shared" ca="1" si="22"/>
        <v>0</v>
      </c>
      <c r="P139" s="110">
        <f t="shared" ca="1" si="22"/>
        <v>0</v>
      </c>
      <c r="Q139" s="110">
        <f t="shared" ca="1" si="22"/>
        <v>0</v>
      </c>
      <c r="R139" s="110">
        <f t="shared" ca="1" si="22"/>
        <v>0</v>
      </c>
      <c r="S139" s="110">
        <f t="shared" ca="1" si="23"/>
        <v>0</v>
      </c>
      <c r="T139" s="110">
        <f t="shared" ca="1" si="23"/>
        <v>0</v>
      </c>
      <c r="U139" s="110">
        <f t="shared" ca="1" si="23"/>
        <v>0</v>
      </c>
      <c r="V139" s="110">
        <f t="shared" ca="1" si="23"/>
        <v>0</v>
      </c>
      <c r="W139" s="110">
        <f t="shared" ca="1" si="23"/>
        <v>0</v>
      </c>
      <c r="X139" s="110">
        <f t="shared" ca="1" si="23"/>
        <v>0</v>
      </c>
      <c r="Y139" s="110">
        <f t="shared" ca="1" si="23"/>
        <v>0</v>
      </c>
      <c r="Z139" s="110">
        <f t="shared" ca="1" si="23"/>
        <v>0</v>
      </c>
      <c r="AA139" s="110">
        <f t="shared" ca="1" si="23"/>
        <v>0</v>
      </c>
      <c r="AB139" s="110">
        <f t="shared" ca="1" si="23"/>
        <v>0</v>
      </c>
    </row>
    <row r="140" spans="1:28">
      <c r="A140" s="113" t="s">
        <v>2391</v>
      </c>
      <c r="B140" s="4" t="s">
        <v>92</v>
      </c>
      <c r="C140" s="4">
        <v>320</v>
      </c>
      <c r="D140" s="4">
        <v>2025</v>
      </c>
      <c r="E140" s="2" t="s">
        <v>19</v>
      </c>
      <c r="F140" s="4" t="s">
        <v>23</v>
      </c>
      <c r="G140" s="4" t="s">
        <v>12</v>
      </c>
      <c r="I140" s="110">
        <f t="shared" ref="I140:R149" ca="1" si="24">IF(AND(OR($A140=0,$A140=scenGen),$D140&lt;=I$28),$C140,0)</f>
        <v>0</v>
      </c>
      <c r="J140" s="110">
        <f t="shared" ca="1" si="24"/>
        <v>0</v>
      </c>
      <c r="K140" s="110">
        <f t="shared" ca="1" si="24"/>
        <v>0</v>
      </c>
      <c r="L140" s="110">
        <f t="shared" ca="1" si="24"/>
        <v>0</v>
      </c>
      <c r="M140" s="110">
        <f t="shared" ca="1" si="24"/>
        <v>0</v>
      </c>
      <c r="N140" s="110">
        <f t="shared" ca="1" si="24"/>
        <v>0</v>
      </c>
      <c r="O140" s="110">
        <f t="shared" ca="1" si="24"/>
        <v>0</v>
      </c>
      <c r="P140" s="110">
        <f t="shared" ca="1" si="24"/>
        <v>0</v>
      </c>
      <c r="Q140" s="110">
        <f t="shared" ca="1" si="24"/>
        <v>0</v>
      </c>
      <c r="R140" s="110">
        <f t="shared" ca="1" si="24"/>
        <v>0</v>
      </c>
      <c r="S140" s="110">
        <f t="shared" ref="S140:AB149" ca="1" si="25">IF(AND(OR($A140=0,$A140=scenGen),$D140&lt;=S$28),$C140,0)</f>
        <v>0</v>
      </c>
      <c r="T140" s="110">
        <f t="shared" ca="1" si="25"/>
        <v>0</v>
      </c>
      <c r="U140" s="110">
        <f t="shared" ca="1" si="25"/>
        <v>0</v>
      </c>
      <c r="V140" s="110">
        <f t="shared" ca="1" si="25"/>
        <v>0</v>
      </c>
      <c r="W140" s="110">
        <f t="shared" ca="1" si="25"/>
        <v>0</v>
      </c>
      <c r="X140" s="110">
        <f t="shared" ca="1" si="25"/>
        <v>0</v>
      </c>
      <c r="Y140" s="110">
        <f t="shared" ca="1" si="25"/>
        <v>0</v>
      </c>
      <c r="Z140" s="110">
        <f t="shared" ca="1" si="25"/>
        <v>0</v>
      </c>
      <c r="AA140" s="110">
        <f t="shared" ca="1" si="25"/>
        <v>0</v>
      </c>
      <c r="AB140" s="110">
        <f t="shared" ca="1" si="25"/>
        <v>0</v>
      </c>
    </row>
    <row r="141" spans="1:28">
      <c r="A141" s="113" t="s">
        <v>2391</v>
      </c>
      <c r="B141" s="4" t="s">
        <v>93</v>
      </c>
      <c r="C141" s="4">
        <v>320</v>
      </c>
      <c r="D141" s="4">
        <v>2025</v>
      </c>
      <c r="E141" s="2" t="s">
        <v>19</v>
      </c>
      <c r="F141" s="4" t="s">
        <v>23</v>
      </c>
      <c r="G141" s="4" t="s">
        <v>12</v>
      </c>
      <c r="I141" s="110">
        <f t="shared" ca="1" si="24"/>
        <v>0</v>
      </c>
      <c r="J141" s="110">
        <f t="shared" ca="1" si="24"/>
        <v>0</v>
      </c>
      <c r="K141" s="110">
        <f t="shared" ca="1" si="24"/>
        <v>0</v>
      </c>
      <c r="L141" s="110">
        <f t="shared" ca="1" si="24"/>
        <v>0</v>
      </c>
      <c r="M141" s="110">
        <f t="shared" ca="1" si="24"/>
        <v>0</v>
      </c>
      <c r="N141" s="110">
        <f t="shared" ca="1" si="24"/>
        <v>0</v>
      </c>
      <c r="O141" s="110">
        <f t="shared" ca="1" si="24"/>
        <v>0</v>
      </c>
      <c r="P141" s="110">
        <f t="shared" ca="1" si="24"/>
        <v>0</v>
      </c>
      <c r="Q141" s="110">
        <f t="shared" ca="1" si="24"/>
        <v>0</v>
      </c>
      <c r="R141" s="110">
        <f t="shared" ca="1" si="24"/>
        <v>0</v>
      </c>
      <c r="S141" s="110">
        <f t="shared" ca="1" si="25"/>
        <v>0</v>
      </c>
      <c r="T141" s="110">
        <f t="shared" ca="1" si="25"/>
        <v>0</v>
      </c>
      <c r="U141" s="110">
        <f t="shared" ca="1" si="25"/>
        <v>0</v>
      </c>
      <c r="V141" s="110">
        <f t="shared" ca="1" si="25"/>
        <v>0</v>
      </c>
      <c r="W141" s="110">
        <f t="shared" ca="1" si="25"/>
        <v>0</v>
      </c>
      <c r="X141" s="110">
        <f t="shared" ca="1" si="25"/>
        <v>0</v>
      </c>
      <c r="Y141" s="110">
        <f t="shared" ca="1" si="25"/>
        <v>0</v>
      </c>
      <c r="Z141" s="110">
        <f t="shared" ca="1" si="25"/>
        <v>0</v>
      </c>
      <c r="AA141" s="110">
        <f t="shared" ca="1" si="25"/>
        <v>0</v>
      </c>
      <c r="AB141" s="110">
        <f t="shared" ca="1" si="25"/>
        <v>0</v>
      </c>
    </row>
    <row r="142" spans="1:28">
      <c r="A142" s="113" t="s">
        <v>2391</v>
      </c>
      <c r="B142" s="4" t="s">
        <v>2233</v>
      </c>
      <c r="C142" s="4">
        <v>15</v>
      </c>
      <c r="D142" s="4">
        <v>2013</v>
      </c>
      <c r="E142" s="2" t="s">
        <v>20</v>
      </c>
      <c r="F142" s="4" t="s">
        <v>23</v>
      </c>
      <c r="G142" s="4" t="s">
        <v>11</v>
      </c>
      <c r="I142" s="110">
        <f t="shared" ca="1" si="24"/>
        <v>0</v>
      </c>
      <c r="J142" s="110">
        <f t="shared" ca="1" si="24"/>
        <v>0</v>
      </c>
      <c r="K142" s="110">
        <f t="shared" ca="1" si="24"/>
        <v>0</v>
      </c>
      <c r="L142" s="110">
        <f t="shared" ca="1" si="24"/>
        <v>0</v>
      </c>
      <c r="M142" s="110">
        <f t="shared" ca="1" si="24"/>
        <v>0</v>
      </c>
      <c r="N142" s="110">
        <f t="shared" ca="1" si="24"/>
        <v>0</v>
      </c>
      <c r="O142" s="110">
        <f t="shared" ca="1" si="24"/>
        <v>0</v>
      </c>
      <c r="P142" s="110">
        <f t="shared" ca="1" si="24"/>
        <v>0</v>
      </c>
      <c r="Q142" s="110">
        <f t="shared" ca="1" si="24"/>
        <v>0</v>
      </c>
      <c r="R142" s="110">
        <f t="shared" ca="1" si="24"/>
        <v>0</v>
      </c>
      <c r="S142" s="110">
        <f t="shared" ca="1" si="25"/>
        <v>0</v>
      </c>
      <c r="T142" s="110">
        <f t="shared" ca="1" si="25"/>
        <v>0</v>
      </c>
      <c r="U142" s="110">
        <f t="shared" ca="1" si="25"/>
        <v>0</v>
      </c>
      <c r="V142" s="110">
        <f t="shared" ca="1" si="25"/>
        <v>0</v>
      </c>
      <c r="W142" s="110">
        <f t="shared" ca="1" si="25"/>
        <v>0</v>
      </c>
      <c r="X142" s="110">
        <f t="shared" ca="1" si="25"/>
        <v>0</v>
      </c>
      <c r="Y142" s="110">
        <f t="shared" ca="1" si="25"/>
        <v>0</v>
      </c>
      <c r="Z142" s="110">
        <f t="shared" ca="1" si="25"/>
        <v>0</v>
      </c>
      <c r="AA142" s="110">
        <f t="shared" ca="1" si="25"/>
        <v>0</v>
      </c>
      <c r="AB142" s="110">
        <f t="shared" ca="1" si="25"/>
        <v>0</v>
      </c>
    </row>
    <row r="143" spans="1:28">
      <c r="A143" s="113" t="s">
        <v>2391</v>
      </c>
      <c r="B143" s="4" t="s">
        <v>51</v>
      </c>
      <c r="C143" s="4">
        <v>215</v>
      </c>
      <c r="D143" s="4">
        <v>2021</v>
      </c>
      <c r="E143" s="2" t="s">
        <v>19</v>
      </c>
      <c r="F143" s="3" t="s">
        <v>6</v>
      </c>
      <c r="G143" s="4" t="s">
        <v>12</v>
      </c>
      <c r="I143" s="110">
        <f t="shared" ca="1" si="24"/>
        <v>0</v>
      </c>
      <c r="J143" s="110">
        <f t="shared" ca="1" si="24"/>
        <v>0</v>
      </c>
      <c r="K143" s="110">
        <f t="shared" ca="1" si="24"/>
        <v>0</v>
      </c>
      <c r="L143" s="110">
        <f t="shared" ca="1" si="24"/>
        <v>0</v>
      </c>
      <c r="M143" s="110">
        <f t="shared" ca="1" si="24"/>
        <v>0</v>
      </c>
      <c r="N143" s="110">
        <f t="shared" ca="1" si="24"/>
        <v>0</v>
      </c>
      <c r="O143" s="110">
        <f t="shared" ca="1" si="24"/>
        <v>0</v>
      </c>
      <c r="P143" s="110">
        <f t="shared" ca="1" si="24"/>
        <v>0</v>
      </c>
      <c r="Q143" s="110">
        <f t="shared" ca="1" si="24"/>
        <v>0</v>
      </c>
      <c r="R143" s="110">
        <f t="shared" ca="1" si="24"/>
        <v>0</v>
      </c>
      <c r="S143" s="110">
        <f t="shared" ca="1" si="25"/>
        <v>0</v>
      </c>
      <c r="T143" s="110">
        <f t="shared" ca="1" si="25"/>
        <v>0</v>
      </c>
      <c r="U143" s="110">
        <f t="shared" ca="1" si="25"/>
        <v>0</v>
      </c>
      <c r="V143" s="110">
        <f t="shared" ca="1" si="25"/>
        <v>0</v>
      </c>
      <c r="W143" s="110">
        <f t="shared" ca="1" si="25"/>
        <v>0</v>
      </c>
      <c r="X143" s="110">
        <f t="shared" ca="1" si="25"/>
        <v>0</v>
      </c>
      <c r="Y143" s="110">
        <f t="shared" ca="1" si="25"/>
        <v>0</v>
      </c>
      <c r="Z143" s="110">
        <f t="shared" ca="1" si="25"/>
        <v>0</v>
      </c>
      <c r="AA143" s="110">
        <f t="shared" ca="1" si="25"/>
        <v>0</v>
      </c>
      <c r="AB143" s="110">
        <f t="shared" ca="1" si="25"/>
        <v>0</v>
      </c>
    </row>
    <row r="144" spans="1:28" s="243" customFormat="1">
      <c r="A144" s="241" t="s">
        <v>2391</v>
      </c>
      <c r="B144" s="242" t="s">
        <v>53</v>
      </c>
      <c r="C144" s="242">
        <v>215.29</v>
      </c>
      <c r="D144" s="242">
        <v>2021</v>
      </c>
      <c r="E144" s="243" t="s">
        <v>19</v>
      </c>
      <c r="F144" s="244" t="s">
        <v>6</v>
      </c>
      <c r="G144" s="242" t="s">
        <v>12</v>
      </c>
      <c r="I144" s="245">
        <f t="shared" ca="1" si="24"/>
        <v>0</v>
      </c>
      <c r="J144" s="245">
        <f t="shared" ca="1" si="24"/>
        <v>0</v>
      </c>
      <c r="K144" s="245">
        <f t="shared" ca="1" si="24"/>
        <v>0</v>
      </c>
      <c r="L144" s="245">
        <f t="shared" ca="1" si="24"/>
        <v>0</v>
      </c>
      <c r="M144" s="245">
        <f t="shared" ca="1" si="24"/>
        <v>0</v>
      </c>
      <c r="N144" s="245">
        <f t="shared" ca="1" si="24"/>
        <v>0</v>
      </c>
      <c r="O144" s="245">
        <f t="shared" ca="1" si="24"/>
        <v>0</v>
      </c>
      <c r="P144" s="245">
        <f t="shared" ca="1" si="24"/>
        <v>0</v>
      </c>
      <c r="Q144" s="245">
        <f t="shared" ca="1" si="24"/>
        <v>0</v>
      </c>
      <c r="R144" s="245">
        <f t="shared" ca="1" si="24"/>
        <v>0</v>
      </c>
      <c r="S144" s="245">
        <f t="shared" ca="1" si="25"/>
        <v>0</v>
      </c>
      <c r="T144" s="245">
        <f t="shared" ca="1" si="25"/>
        <v>0</v>
      </c>
      <c r="U144" s="245">
        <f t="shared" ca="1" si="25"/>
        <v>0</v>
      </c>
      <c r="V144" s="245">
        <f t="shared" ca="1" si="25"/>
        <v>0</v>
      </c>
      <c r="W144" s="245">
        <f t="shared" ca="1" si="25"/>
        <v>0</v>
      </c>
      <c r="X144" s="245">
        <f t="shared" ca="1" si="25"/>
        <v>0</v>
      </c>
      <c r="Y144" s="245">
        <f t="shared" ca="1" si="25"/>
        <v>0</v>
      </c>
      <c r="Z144" s="245">
        <f t="shared" ca="1" si="25"/>
        <v>0</v>
      </c>
      <c r="AA144" s="245">
        <f t="shared" ca="1" si="25"/>
        <v>0</v>
      </c>
      <c r="AB144" s="245">
        <f t="shared" ca="1" si="25"/>
        <v>0</v>
      </c>
    </row>
    <row r="145" spans="1:28" s="243" customFormat="1">
      <c r="A145" s="241" t="s">
        <v>2391</v>
      </c>
      <c r="B145" s="242" t="s">
        <v>55</v>
      </c>
      <c r="C145" s="242">
        <v>741.27</v>
      </c>
      <c r="D145" s="242">
        <v>2021</v>
      </c>
      <c r="E145" s="243" t="s">
        <v>19</v>
      </c>
      <c r="F145" s="244" t="s">
        <v>6</v>
      </c>
      <c r="G145" s="242" t="s">
        <v>12</v>
      </c>
      <c r="I145" s="245">
        <f t="shared" ca="1" si="24"/>
        <v>0</v>
      </c>
      <c r="J145" s="245">
        <f t="shared" ca="1" si="24"/>
        <v>0</v>
      </c>
      <c r="K145" s="245">
        <f t="shared" ca="1" si="24"/>
        <v>0</v>
      </c>
      <c r="L145" s="245">
        <f t="shared" ca="1" si="24"/>
        <v>0</v>
      </c>
      <c r="M145" s="245">
        <f t="shared" ca="1" si="24"/>
        <v>0</v>
      </c>
      <c r="N145" s="245">
        <f t="shared" ca="1" si="24"/>
        <v>0</v>
      </c>
      <c r="O145" s="245">
        <f t="shared" ca="1" si="24"/>
        <v>0</v>
      </c>
      <c r="P145" s="245">
        <f t="shared" ca="1" si="24"/>
        <v>0</v>
      </c>
      <c r="Q145" s="245">
        <f t="shared" ca="1" si="24"/>
        <v>0</v>
      </c>
      <c r="R145" s="245">
        <f t="shared" ca="1" si="24"/>
        <v>0</v>
      </c>
      <c r="S145" s="245">
        <f t="shared" ca="1" si="25"/>
        <v>0</v>
      </c>
      <c r="T145" s="245">
        <f t="shared" ca="1" si="25"/>
        <v>0</v>
      </c>
      <c r="U145" s="245">
        <f t="shared" ca="1" si="25"/>
        <v>0</v>
      </c>
      <c r="V145" s="245">
        <f t="shared" ca="1" si="25"/>
        <v>0</v>
      </c>
      <c r="W145" s="245">
        <f t="shared" ca="1" si="25"/>
        <v>0</v>
      </c>
      <c r="X145" s="245">
        <f t="shared" ca="1" si="25"/>
        <v>0</v>
      </c>
      <c r="Y145" s="245">
        <f t="shared" ca="1" si="25"/>
        <v>0</v>
      </c>
      <c r="Z145" s="245">
        <f t="shared" ca="1" si="25"/>
        <v>0</v>
      </c>
      <c r="AA145" s="245">
        <f t="shared" ca="1" si="25"/>
        <v>0</v>
      </c>
      <c r="AB145" s="245">
        <f t="shared" ca="1" si="25"/>
        <v>0</v>
      </c>
    </row>
    <row r="146" spans="1:28">
      <c r="A146" s="113" t="s">
        <v>2391</v>
      </c>
      <c r="B146" s="4" t="s">
        <v>56</v>
      </c>
      <c r="C146" s="4">
        <v>775</v>
      </c>
      <c r="D146" s="4">
        <v>2021</v>
      </c>
      <c r="E146" s="2" t="s">
        <v>19</v>
      </c>
      <c r="F146" s="3" t="s">
        <v>6</v>
      </c>
      <c r="G146" s="4" t="s">
        <v>12</v>
      </c>
      <c r="I146" s="110">
        <f t="shared" ca="1" si="24"/>
        <v>0</v>
      </c>
      <c r="J146" s="110">
        <f t="shared" ca="1" si="24"/>
        <v>0</v>
      </c>
      <c r="K146" s="110">
        <f t="shared" ca="1" si="24"/>
        <v>0</v>
      </c>
      <c r="L146" s="110">
        <f t="shared" ca="1" si="24"/>
        <v>0</v>
      </c>
      <c r="M146" s="110">
        <f t="shared" ca="1" si="24"/>
        <v>0</v>
      </c>
      <c r="N146" s="110">
        <f t="shared" ca="1" si="24"/>
        <v>0</v>
      </c>
      <c r="O146" s="110">
        <f t="shared" ca="1" si="24"/>
        <v>0</v>
      </c>
      <c r="P146" s="110">
        <f t="shared" ca="1" si="24"/>
        <v>0</v>
      </c>
      <c r="Q146" s="110">
        <f t="shared" ca="1" si="24"/>
        <v>0</v>
      </c>
      <c r="R146" s="110">
        <f t="shared" ca="1" si="24"/>
        <v>0</v>
      </c>
      <c r="S146" s="110">
        <f t="shared" ca="1" si="25"/>
        <v>0</v>
      </c>
      <c r="T146" s="110">
        <f t="shared" ca="1" si="25"/>
        <v>0</v>
      </c>
      <c r="U146" s="110">
        <f t="shared" ca="1" si="25"/>
        <v>0</v>
      </c>
      <c r="V146" s="110">
        <f t="shared" ca="1" si="25"/>
        <v>0</v>
      </c>
      <c r="W146" s="110">
        <f t="shared" ca="1" si="25"/>
        <v>0</v>
      </c>
      <c r="X146" s="110">
        <f t="shared" ca="1" si="25"/>
        <v>0</v>
      </c>
      <c r="Y146" s="110">
        <f t="shared" ca="1" si="25"/>
        <v>0</v>
      </c>
      <c r="Z146" s="110">
        <f t="shared" ca="1" si="25"/>
        <v>0</v>
      </c>
      <c r="AA146" s="110">
        <f t="shared" ca="1" si="25"/>
        <v>0</v>
      </c>
      <c r="AB146" s="110">
        <f t="shared" ca="1" si="25"/>
        <v>0</v>
      </c>
    </row>
    <row r="147" spans="1:28">
      <c r="A147" s="113" t="s">
        <v>2391</v>
      </c>
      <c r="B147" s="4" t="s">
        <v>57</v>
      </c>
      <c r="C147" s="4">
        <v>174.56</v>
      </c>
      <c r="D147" s="4">
        <v>2021</v>
      </c>
      <c r="E147" s="2" t="s">
        <v>19</v>
      </c>
      <c r="F147" s="3" t="s">
        <v>6</v>
      </c>
      <c r="G147" s="4" t="s">
        <v>12</v>
      </c>
      <c r="I147" s="110">
        <f t="shared" ca="1" si="24"/>
        <v>0</v>
      </c>
      <c r="J147" s="110">
        <f t="shared" ca="1" si="24"/>
        <v>0</v>
      </c>
      <c r="K147" s="110">
        <f t="shared" ca="1" si="24"/>
        <v>0</v>
      </c>
      <c r="L147" s="110">
        <f t="shared" ca="1" si="24"/>
        <v>0</v>
      </c>
      <c r="M147" s="110">
        <f t="shared" ca="1" si="24"/>
        <v>0</v>
      </c>
      <c r="N147" s="110">
        <f t="shared" ca="1" si="24"/>
        <v>0</v>
      </c>
      <c r="O147" s="110">
        <f t="shared" ca="1" si="24"/>
        <v>0</v>
      </c>
      <c r="P147" s="110">
        <f t="shared" ca="1" si="24"/>
        <v>0</v>
      </c>
      <c r="Q147" s="110">
        <f t="shared" ca="1" si="24"/>
        <v>0</v>
      </c>
      <c r="R147" s="110">
        <f t="shared" ca="1" si="24"/>
        <v>0</v>
      </c>
      <c r="S147" s="110">
        <f t="shared" ca="1" si="25"/>
        <v>0</v>
      </c>
      <c r="T147" s="110">
        <f t="shared" ca="1" si="25"/>
        <v>0</v>
      </c>
      <c r="U147" s="110">
        <f t="shared" ca="1" si="25"/>
        <v>0</v>
      </c>
      <c r="V147" s="110">
        <f t="shared" ca="1" si="25"/>
        <v>0</v>
      </c>
      <c r="W147" s="110">
        <f t="shared" ca="1" si="25"/>
        <v>0</v>
      </c>
      <c r="X147" s="110">
        <f t="shared" ca="1" si="25"/>
        <v>0</v>
      </c>
      <c r="Y147" s="110">
        <f t="shared" ca="1" si="25"/>
        <v>0</v>
      </c>
      <c r="Z147" s="110">
        <f t="shared" ca="1" si="25"/>
        <v>0</v>
      </c>
      <c r="AA147" s="110">
        <f t="shared" ca="1" si="25"/>
        <v>0</v>
      </c>
      <c r="AB147" s="110">
        <f t="shared" ca="1" si="25"/>
        <v>0</v>
      </c>
    </row>
    <row r="148" spans="1:28">
      <c r="A148" s="113" t="s">
        <v>2391</v>
      </c>
      <c r="B148" s="4" t="s">
        <v>58</v>
      </c>
      <c r="C148" s="4">
        <v>175</v>
      </c>
      <c r="D148" s="4">
        <v>2021</v>
      </c>
      <c r="E148" s="2" t="s">
        <v>19</v>
      </c>
      <c r="F148" s="3" t="s">
        <v>6</v>
      </c>
      <c r="G148" s="4" t="s">
        <v>12</v>
      </c>
      <c r="I148" s="110">
        <f t="shared" ca="1" si="24"/>
        <v>0</v>
      </c>
      <c r="J148" s="110">
        <f t="shared" ca="1" si="24"/>
        <v>0</v>
      </c>
      <c r="K148" s="110">
        <f t="shared" ca="1" si="24"/>
        <v>0</v>
      </c>
      <c r="L148" s="110">
        <f t="shared" ca="1" si="24"/>
        <v>0</v>
      </c>
      <c r="M148" s="110">
        <f t="shared" ca="1" si="24"/>
        <v>0</v>
      </c>
      <c r="N148" s="110">
        <f t="shared" ca="1" si="24"/>
        <v>0</v>
      </c>
      <c r="O148" s="110">
        <f t="shared" ca="1" si="24"/>
        <v>0</v>
      </c>
      <c r="P148" s="110">
        <f t="shared" ca="1" si="24"/>
        <v>0</v>
      </c>
      <c r="Q148" s="110">
        <f t="shared" ca="1" si="24"/>
        <v>0</v>
      </c>
      <c r="R148" s="110">
        <f t="shared" ca="1" si="24"/>
        <v>0</v>
      </c>
      <c r="S148" s="110">
        <f t="shared" ca="1" si="25"/>
        <v>0</v>
      </c>
      <c r="T148" s="110">
        <f t="shared" ca="1" si="25"/>
        <v>0</v>
      </c>
      <c r="U148" s="110">
        <f t="shared" ca="1" si="25"/>
        <v>0</v>
      </c>
      <c r="V148" s="110">
        <f t="shared" ca="1" si="25"/>
        <v>0</v>
      </c>
      <c r="W148" s="110">
        <f t="shared" ca="1" si="25"/>
        <v>0</v>
      </c>
      <c r="X148" s="110">
        <f t="shared" ca="1" si="25"/>
        <v>0</v>
      </c>
      <c r="Y148" s="110">
        <f t="shared" ca="1" si="25"/>
        <v>0</v>
      </c>
      <c r="Z148" s="110">
        <f t="shared" ca="1" si="25"/>
        <v>0</v>
      </c>
      <c r="AA148" s="110">
        <f t="shared" ca="1" si="25"/>
        <v>0</v>
      </c>
      <c r="AB148" s="110">
        <f t="shared" ca="1" si="25"/>
        <v>0</v>
      </c>
    </row>
    <row r="149" spans="1:28">
      <c r="A149" s="113" t="s">
        <v>2391</v>
      </c>
      <c r="B149" s="4" t="s">
        <v>59</v>
      </c>
      <c r="C149" s="4">
        <v>332.18</v>
      </c>
      <c r="D149" s="4">
        <v>2021</v>
      </c>
      <c r="E149" s="2" t="s">
        <v>19</v>
      </c>
      <c r="F149" s="3" t="s">
        <v>6</v>
      </c>
      <c r="G149" s="4" t="s">
        <v>12</v>
      </c>
      <c r="I149" s="110">
        <f t="shared" ca="1" si="24"/>
        <v>0</v>
      </c>
      <c r="J149" s="110">
        <f t="shared" ca="1" si="24"/>
        <v>0</v>
      </c>
      <c r="K149" s="110">
        <f t="shared" ca="1" si="24"/>
        <v>0</v>
      </c>
      <c r="L149" s="110">
        <f t="shared" ca="1" si="24"/>
        <v>0</v>
      </c>
      <c r="M149" s="110">
        <f t="shared" ca="1" si="24"/>
        <v>0</v>
      </c>
      <c r="N149" s="110">
        <f t="shared" ca="1" si="24"/>
        <v>0</v>
      </c>
      <c r="O149" s="110">
        <f t="shared" ca="1" si="24"/>
        <v>0</v>
      </c>
      <c r="P149" s="110">
        <f t="shared" ca="1" si="24"/>
        <v>0</v>
      </c>
      <c r="Q149" s="110">
        <f t="shared" ca="1" si="24"/>
        <v>0</v>
      </c>
      <c r="R149" s="110">
        <f t="shared" ca="1" si="24"/>
        <v>0</v>
      </c>
      <c r="S149" s="110">
        <f t="shared" ca="1" si="25"/>
        <v>0</v>
      </c>
      <c r="T149" s="110">
        <f t="shared" ca="1" si="25"/>
        <v>0</v>
      </c>
      <c r="U149" s="110">
        <f t="shared" ca="1" si="25"/>
        <v>0</v>
      </c>
      <c r="V149" s="110">
        <f t="shared" ca="1" si="25"/>
        <v>0</v>
      </c>
      <c r="W149" s="110">
        <f t="shared" ca="1" si="25"/>
        <v>0</v>
      </c>
      <c r="X149" s="110">
        <f t="shared" ca="1" si="25"/>
        <v>0</v>
      </c>
      <c r="Y149" s="110">
        <f t="shared" ca="1" si="25"/>
        <v>0</v>
      </c>
      <c r="Z149" s="110">
        <f t="shared" ca="1" si="25"/>
        <v>0</v>
      </c>
      <c r="AA149" s="110">
        <f t="shared" ca="1" si="25"/>
        <v>0</v>
      </c>
      <c r="AB149" s="110">
        <f t="shared" ca="1" si="25"/>
        <v>0</v>
      </c>
    </row>
    <row r="150" spans="1:28">
      <c r="A150" s="113" t="s">
        <v>2391</v>
      </c>
      <c r="B150" s="4" t="s">
        <v>60</v>
      </c>
      <c r="C150" s="4">
        <v>335.67</v>
      </c>
      <c r="D150" s="4">
        <v>2021</v>
      </c>
      <c r="E150" s="2" t="s">
        <v>19</v>
      </c>
      <c r="F150" s="3" t="s">
        <v>6</v>
      </c>
      <c r="G150" s="4" t="s">
        <v>12</v>
      </c>
      <c r="I150" s="110">
        <f t="shared" ref="I150:R160" ca="1" si="26">IF(AND(OR($A150=0,$A150=scenGen),$D150&lt;=I$28),$C150,0)</f>
        <v>0</v>
      </c>
      <c r="J150" s="110">
        <f t="shared" ca="1" si="26"/>
        <v>0</v>
      </c>
      <c r="K150" s="110">
        <f t="shared" ca="1" si="26"/>
        <v>0</v>
      </c>
      <c r="L150" s="110">
        <f t="shared" ca="1" si="26"/>
        <v>0</v>
      </c>
      <c r="M150" s="110">
        <f t="shared" ca="1" si="26"/>
        <v>0</v>
      </c>
      <c r="N150" s="110">
        <f t="shared" ca="1" si="26"/>
        <v>0</v>
      </c>
      <c r="O150" s="110">
        <f t="shared" ca="1" si="26"/>
        <v>0</v>
      </c>
      <c r="P150" s="110">
        <f t="shared" ca="1" si="26"/>
        <v>0</v>
      </c>
      <c r="Q150" s="110">
        <f t="shared" ca="1" si="26"/>
        <v>0</v>
      </c>
      <c r="R150" s="110">
        <f t="shared" ca="1" si="26"/>
        <v>0</v>
      </c>
      <c r="S150" s="110">
        <f t="shared" ref="S150:AB160" ca="1" si="27">IF(AND(OR($A150=0,$A150=scenGen),$D150&lt;=S$28),$C150,0)</f>
        <v>0</v>
      </c>
      <c r="T150" s="110">
        <f t="shared" ca="1" si="27"/>
        <v>0</v>
      </c>
      <c r="U150" s="110">
        <f t="shared" ca="1" si="27"/>
        <v>0</v>
      </c>
      <c r="V150" s="110">
        <f t="shared" ca="1" si="27"/>
        <v>0</v>
      </c>
      <c r="W150" s="110">
        <f t="shared" ca="1" si="27"/>
        <v>0</v>
      </c>
      <c r="X150" s="110">
        <f t="shared" ca="1" si="27"/>
        <v>0</v>
      </c>
      <c r="Y150" s="110">
        <f t="shared" ca="1" si="27"/>
        <v>0</v>
      </c>
      <c r="Z150" s="110">
        <f t="shared" ca="1" si="27"/>
        <v>0</v>
      </c>
      <c r="AA150" s="110">
        <f t="shared" ca="1" si="27"/>
        <v>0</v>
      </c>
      <c r="AB150" s="110">
        <f t="shared" ca="1" si="27"/>
        <v>0</v>
      </c>
    </row>
    <row r="151" spans="1:28">
      <c r="A151" s="113" t="s">
        <v>2391</v>
      </c>
      <c r="B151" s="4" t="s">
        <v>61</v>
      </c>
      <c r="C151" s="4">
        <v>497.97</v>
      </c>
      <c r="D151" s="4">
        <v>2021</v>
      </c>
      <c r="E151" s="2" t="s">
        <v>19</v>
      </c>
      <c r="F151" s="3" t="s">
        <v>6</v>
      </c>
      <c r="G151" s="4" t="s">
        <v>12</v>
      </c>
      <c r="I151" s="110">
        <f t="shared" ca="1" si="26"/>
        <v>0</v>
      </c>
      <c r="J151" s="110">
        <f t="shared" ca="1" si="26"/>
        <v>0</v>
      </c>
      <c r="K151" s="110">
        <f t="shared" ca="1" si="26"/>
        <v>0</v>
      </c>
      <c r="L151" s="110">
        <f t="shared" ca="1" si="26"/>
        <v>0</v>
      </c>
      <c r="M151" s="110">
        <f t="shared" ca="1" si="26"/>
        <v>0</v>
      </c>
      <c r="N151" s="110">
        <f t="shared" ca="1" si="26"/>
        <v>0</v>
      </c>
      <c r="O151" s="110">
        <f t="shared" ca="1" si="26"/>
        <v>0</v>
      </c>
      <c r="P151" s="110">
        <f t="shared" ca="1" si="26"/>
        <v>0</v>
      </c>
      <c r="Q151" s="110">
        <f t="shared" ca="1" si="26"/>
        <v>0</v>
      </c>
      <c r="R151" s="110">
        <f t="shared" ca="1" si="26"/>
        <v>0</v>
      </c>
      <c r="S151" s="110">
        <f t="shared" ca="1" si="27"/>
        <v>0</v>
      </c>
      <c r="T151" s="110">
        <f t="shared" ca="1" si="27"/>
        <v>0</v>
      </c>
      <c r="U151" s="110">
        <f t="shared" ca="1" si="27"/>
        <v>0</v>
      </c>
      <c r="V151" s="110">
        <f t="shared" ca="1" si="27"/>
        <v>0</v>
      </c>
      <c r="W151" s="110">
        <f t="shared" ca="1" si="27"/>
        <v>0</v>
      </c>
      <c r="X151" s="110">
        <f t="shared" ca="1" si="27"/>
        <v>0</v>
      </c>
      <c r="Y151" s="110">
        <f t="shared" ca="1" si="27"/>
        <v>0</v>
      </c>
      <c r="Z151" s="110">
        <f t="shared" ca="1" si="27"/>
        <v>0</v>
      </c>
      <c r="AA151" s="110">
        <f t="shared" ca="1" si="27"/>
        <v>0</v>
      </c>
      <c r="AB151" s="110">
        <f t="shared" ca="1" si="27"/>
        <v>0</v>
      </c>
    </row>
    <row r="152" spans="1:28">
      <c r="A152" s="113" t="s">
        <v>2391</v>
      </c>
      <c r="B152" s="4" t="s">
        <v>62</v>
      </c>
      <c r="C152" s="4">
        <v>495</v>
      </c>
      <c r="D152" s="4">
        <v>2021</v>
      </c>
      <c r="E152" s="2" t="s">
        <v>19</v>
      </c>
      <c r="F152" s="3" t="s">
        <v>6</v>
      </c>
      <c r="G152" s="4" t="s">
        <v>12</v>
      </c>
      <c r="I152" s="110">
        <f t="shared" ca="1" si="26"/>
        <v>0</v>
      </c>
      <c r="J152" s="110">
        <f t="shared" ca="1" si="26"/>
        <v>0</v>
      </c>
      <c r="K152" s="110">
        <f t="shared" ca="1" si="26"/>
        <v>0</v>
      </c>
      <c r="L152" s="110">
        <f t="shared" ca="1" si="26"/>
        <v>0</v>
      </c>
      <c r="M152" s="110">
        <f t="shared" ca="1" si="26"/>
        <v>0</v>
      </c>
      <c r="N152" s="110">
        <f t="shared" ca="1" si="26"/>
        <v>0</v>
      </c>
      <c r="O152" s="110">
        <f t="shared" ca="1" si="26"/>
        <v>0</v>
      </c>
      <c r="P152" s="110">
        <f t="shared" ca="1" si="26"/>
        <v>0</v>
      </c>
      <c r="Q152" s="110">
        <f t="shared" ca="1" si="26"/>
        <v>0</v>
      </c>
      <c r="R152" s="110">
        <f t="shared" ca="1" si="26"/>
        <v>0</v>
      </c>
      <c r="S152" s="110">
        <f t="shared" ca="1" si="27"/>
        <v>0</v>
      </c>
      <c r="T152" s="110">
        <f t="shared" ca="1" si="27"/>
        <v>0</v>
      </c>
      <c r="U152" s="110">
        <f t="shared" ca="1" si="27"/>
        <v>0</v>
      </c>
      <c r="V152" s="110">
        <f t="shared" ca="1" si="27"/>
        <v>0</v>
      </c>
      <c r="W152" s="110">
        <f t="shared" ca="1" si="27"/>
        <v>0</v>
      </c>
      <c r="X152" s="110">
        <f t="shared" ca="1" si="27"/>
        <v>0</v>
      </c>
      <c r="Y152" s="110">
        <f t="shared" ca="1" si="27"/>
        <v>0</v>
      </c>
      <c r="Z152" s="110">
        <f t="shared" ca="1" si="27"/>
        <v>0</v>
      </c>
      <c r="AA152" s="110">
        <f t="shared" ca="1" si="27"/>
        <v>0</v>
      </c>
      <c r="AB152" s="110">
        <f t="shared" ca="1" si="27"/>
        <v>0</v>
      </c>
    </row>
    <row r="153" spans="1:28">
      <c r="A153" s="113" t="s">
        <v>2391</v>
      </c>
      <c r="B153" s="4" t="s">
        <v>63</v>
      </c>
      <c r="C153" s="4">
        <v>225.75</v>
      </c>
      <c r="D153" s="4">
        <v>2021</v>
      </c>
      <c r="E153" s="2" t="s">
        <v>19</v>
      </c>
      <c r="F153" s="3" t="s">
        <v>6</v>
      </c>
      <c r="G153" s="4" t="s">
        <v>12</v>
      </c>
      <c r="I153" s="110">
        <f t="shared" ca="1" si="26"/>
        <v>0</v>
      </c>
      <c r="J153" s="110">
        <f t="shared" ca="1" si="26"/>
        <v>0</v>
      </c>
      <c r="K153" s="110">
        <f t="shared" ca="1" si="26"/>
        <v>0</v>
      </c>
      <c r="L153" s="110">
        <f t="shared" ca="1" si="26"/>
        <v>0</v>
      </c>
      <c r="M153" s="110">
        <f t="shared" ca="1" si="26"/>
        <v>0</v>
      </c>
      <c r="N153" s="110">
        <f t="shared" ca="1" si="26"/>
        <v>0</v>
      </c>
      <c r="O153" s="110">
        <f t="shared" ca="1" si="26"/>
        <v>0</v>
      </c>
      <c r="P153" s="110">
        <f t="shared" ca="1" si="26"/>
        <v>0</v>
      </c>
      <c r="Q153" s="110">
        <f t="shared" ca="1" si="26"/>
        <v>0</v>
      </c>
      <c r="R153" s="110">
        <f t="shared" ca="1" si="26"/>
        <v>0</v>
      </c>
      <c r="S153" s="110">
        <f t="shared" ca="1" si="27"/>
        <v>0</v>
      </c>
      <c r="T153" s="110">
        <f t="shared" ca="1" si="27"/>
        <v>0</v>
      </c>
      <c r="U153" s="110">
        <f t="shared" ca="1" si="27"/>
        <v>0</v>
      </c>
      <c r="V153" s="110">
        <f t="shared" ca="1" si="27"/>
        <v>0</v>
      </c>
      <c r="W153" s="110">
        <f t="shared" ca="1" si="27"/>
        <v>0</v>
      </c>
      <c r="X153" s="110">
        <f t="shared" ca="1" si="27"/>
        <v>0</v>
      </c>
      <c r="Y153" s="110">
        <f t="shared" ca="1" si="27"/>
        <v>0</v>
      </c>
      <c r="Z153" s="110">
        <f t="shared" ca="1" si="27"/>
        <v>0</v>
      </c>
      <c r="AA153" s="110">
        <f t="shared" ca="1" si="27"/>
        <v>0</v>
      </c>
      <c r="AB153" s="110">
        <f t="shared" ca="1" si="27"/>
        <v>0</v>
      </c>
    </row>
    <row r="154" spans="1:28">
      <c r="A154" s="113" t="s">
        <v>2391</v>
      </c>
      <c r="B154" s="4" t="s">
        <v>64</v>
      </c>
      <c r="C154" s="4">
        <v>225.8</v>
      </c>
      <c r="D154" s="4">
        <v>2021</v>
      </c>
      <c r="E154" s="2" t="s">
        <v>19</v>
      </c>
      <c r="F154" s="3" t="s">
        <v>6</v>
      </c>
      <c r="G154" s="4" t="s">
        <v>12</v>
      </c>
      <c r="I154" s="110">
        <f t="shared" ca="1" si="26"/>
        <v>0</v>
      </c>
      <c r="J154" s="110">
        <f t="shared" ca="1" si="26"/>
        <v>0</v>
      </c>
      <c r="K154" s="110">
        <f t="shared" ca="1" si="26"/>
        <v>0</v>
      </c>
      <c r="L154" s="110">
        <f t="shared" ca="1" si="26"/>
        <v>0</v>
      </c>
      <c r="M154" s="110">
        <f t="shared" ca="1" si="26"/>
        <v>0</v>
      </c>
      <c r="N154" s="110">
        <f t="shared" ca="1" si="26"/>
        <v>0</v>
      </c>
      <c r="O154" s="110">
        <f t="shared" ca="1" si="26"/>
        <v>0</v>
      </c>
      <c r="P154" s="110">
        <f t="shared" ca="1" si="26"/>
        <v>0</v>
      </c>
      <c r="Q154" s="110">
        <f t="shared" ca="1" si="26"/>
        <v>0</v>
      </c>
      <c r="R154" s="110">
        <f t="shared" ca="1" si="26"/>
        <v>0</v>
      </c>
      <c r="S154" s="110">
        <f t="shared" ca="1" si="27"/>
        <v>0</v>
      </c>
      <c r="T154" s="110">
        <f t="shared" ca="1" si="27"/>
        <v>0</v>
      </c>
      <c r="U154" s="110">
        <f t="shared" ca="1" si="27"/>
        <v>0</v>
      </c>
      <c r="V154" s="110">
        <f t="shared" ca="1" si="27"/>
        <v>0</v>
      </c>
      <c r="W154" s="110">
        <f t="shared" ca="1" si="27"/>
        <v>0</v>
      </c>
      <c r="X154" s="110">
        <f t="shared" ca="1" si="27"/>
        <v>0</v>
      </c>
      <c r="Y154" s="110">
        <f t="shared" ca="1" si="27"/>
        <v>0</v>
      </c>
      <c r="Z154" s="110">
        <f t="shared" ca="1" si="27"/>
        <v>0</v>
      </c>
      <c r="AA154" s="110">
        <f t="shared" ca="1" si="27"/>
        <v>0</v>
      </c>
      <c r="AB154" s="110">
        <f t="shared" ca="1" si="27"/>
        <v>0</v>
      </c>
    </row>
    <row r="155" spans="1:28">
      <c r="A155" s="113" t="s">
        <v>2391</v>
      </c>
      <c r="B155" s="4" t="s">
        <v>65</v>
      </c>
      <c r="C155" s="4">
        <v>178.87</v>
      </c>
      <c r="D155" s="4">
        <v>2021</v>
      </c>
      <c r="E155" s="2" t="s">
        <v>19</v>
      </c>
      <c r="F155" s="3" t="s">
        <v>6</v>
      </c>
      <c r="G155" s="4" t="s">
        <v>12</v>
      </c>
      <c r="I155" s="110">
        <f t="shared" ca="1" si="26"/>
        <v>0</v>
      </c>
      <c r="J155" s="110">
        <f t="shared" ca="1" si="26"/>
        <v>0</v>
      </c>
      <c r="K155" s="110">
        <f t="shared" ca="1" si="26"/>
        <v>0</v>
      </c>
      <c r="L155" s="110">
        <f t="shared" ca="1" si="26"/>
        <v>0</v>
      </c>
      <c r="M155" s="110">
        <f t="shared" ca="1" si="26"/>
        <v>0</v>
      </c>
      <c r="N155" s="110">
        <f t="shared" ca="1" si="26"/>
        <v>0</v>
      </c>
      <c r="O155" s="110">
        <f t="shared" ca="1" si="26"/>
        <v>0</v>
      </c>
      <c r="P155" s="110">
        <f t="shared" ca="1" si="26"/>
        <v>0</v>
      </c>
      <c r="Q155" s="110">
        <f t="shared" ca="1" si="26"/>
        <v>0</v>
      </c>
      <c r="R155" s="110">
        <f t="shared" ca="1" si="26"/>
        <v>0</v>
      </c>
      <c r="S155" s="110">
        <f t="shared" ca="1" si="27"/>
        <v>0</v>
      </c>
      <c r="T155" s="110">
        <f t="shared" ca="1" si="27"/>
        <v>0</v>
      </c>
      <c r="U155" s="110">
        <f t="shared" ca="1" si="27"/>
        <v>0</v>
      </c>
      <c r="V155" s="110">
        <f t="shared" ca="1" si="27"/>
        <v>0</v>
      </c>
      <c r="W155" s="110">
        <f t="shared" ca="1" si="27"/>
        <v>0</v>
      </c>
      <c r="X155" s="110">
        <f t="shared" ca="1" si="27"/>
        <v>0</v>
      </c>
      <c r="Y155" s="110">
        <f t="shared" ca="1" si="27"/>
        <v>0</v>
      </c>
      <c r="Z155" s="110">
        <f t="shared" ca="1" si="27"/>
        <v>0</v>
      </c>
      <c r="AA155" s="110">
        <f t="shared" ca="1" si="27"/>
        <v>0</v>
      </c>
      <c r="AB155" s="110">
        <f t="shared" ca="1" si="27"/>
        <v>0</v>
      </c>
    </row>
    <row r="156" spans="1:28">
      <c r="A156" s="113" t="s">
        <v>2391</v>
      </c>
      <c r="B156" s="4" t="s">
        <v>66</v>
      </c>
      <c r="C156" s="4">
        <v>175</v>
      </c>
      <c r="D156" s="4">
        <v>2021</v>
      </c>
      <c r="E156" s="2" t="s">
        <v>19</v>
      </c>
      <c r="F156" s="3" t="s">
        <v>6</v>
      </c>
      <c r="G156" s="4" t="s">
        <v>12</v>
      </c>
      <c r="I156" s="110">
        <f t="shared" ca="1" si="26"/>
        <v>0</v>
      </c>
      <c r="J156" s="110">
        <f t="shared" ca="1" si="26"/>
        <v>0</v>
      </c>
      <c r="K156" s="110">
        <f t="shared" ca="1" si="26"/>
        <v>0</v>
      </c>
      <c r="L156" s="110">
        <f t="shared" ca="1" si="26"/>
        <v>0</v>
      </c>
      <c r="M156" s="110">
        <f t="shared" ca="1" si="26"/>
        <v>0</v>
      </c>
      <c r="N156" s="110">
        <f t="shared" ca="1" si="26"/>
        <v>0</v>
      </c>
      <c r="O156" s="110">
        <f t="shared" ca="1" si="26"/>
        <v>0</v>
      </c>
      <c r="P156" s="110">
        <f t="shared" ca="1" si="26"/>
        <v>0</v>
      </c>
      <c r="Q156" s="110">
        <f t="shared" ca="1" si="26"/>
        <v>0</v>
      </c>
      <c r="R156" s="110">
        <f t="shared" ca="1" si="26"/>
        <v>0</v>
      </c>
      <c r="S156" s="110">
        <f t="shared" ca="1" si="27"/>
        <v>0</v>
      </c>
      <c r="T156" s="110">
        <f t="shared" ca="1" si="27"/>
        <v>0</v>
      </c>
      <c r="U156" s="110">
        <f t="shared" ca="1" si="27"/>
        <v>0</v>
      </c>
      <c r="V156" s="110">
        <f t="shared" ca="1" si="27"/>
        <v>0</v>
      </c>
      <c r="W156" s="110">
        <f t="shared" ca="1" si="27"/>
        <v>0</v>
      </c>
      <c r="X156" s="110">
        <f t="shared" ca="1" si="27"/>
        <v>0</v>
      </c>
      <c r="Y156" s="110">
        <f t="shared" ca="1" si="27"/>
        <v>0</v>
      </c>
      <c r="Z156" s="110">
        <f t="shared" ca="1" si="27"/>
        <v>0</v>
      </c>
      <c r="AA156" s="110">
        <f t="shared" ca="1" si="27"/>
        <v>0</v>
      </c>
      <c r="AB156" s="110">
        <f t="shared" ca="1" si="27"/>
        <v>0</v>
      </c>
    </row>
    <row r="157" spans="1:28">
      <c r="A157" s="113" t="s">
        <v>2391</v>
      </c>
      <c r="B157" s="4" t="s">
        <v>67</v>
      </c>
      <c r="C157" s="4">
        <v>493.24</v>
      </c>
      <c r="D157" s="4">
        <v>2021</v>
      </c>
      <c r="E157" s="2" t="s">
        <v>19</v>
      </c>
      <c r="F157" s="3" t="s">
        <v>6</v>
      </c>
      <c r="G157" s="4" t="s">
        <v>12</v>
      </c>
      <c r="I157" s="110">
        <f t="shared" ca="1" si="26"/>
        <v>0</v>
      </c>
      <c r="J157" s="110">
        <f t="shared" ca="1" si="26"/>
        <v>0</v>
      </c>
      <c r="K157" s="110">
        <f t="shared" ca="1" si="26"/>
        <v>0</v>
      </c>
      <c r="L157" s="110">
        <f t="shared" ca="1" si="26"/>
        <v>0</v>
      </c>
      <c r="M157" s="110">
        <f t="shared" ca="1" si="26"/>
        <v>0</v>
      </c>
      <c r="N157" s="110">
        <f t="shared" ca="1" si="26"/>
        <v>0</v>
      </c>
      <c r="O157" s="110">
        <f t="shared" ca="1" si="26"/>
        <v>0</v>
      </c>
      <c r="P157" s="110">
        <f t="shared" ca="1" si="26"/>
        <v>0</v>
      </c>
      <c r="Q157" s="110">
        <f t="shared" ca="1" si="26"/>
        <v>0</v>
      </c>
      <c r="R157" s="110">
        <f t="shared" ca="1" si="26"/>
        <v>0</v>
      </c>
      <c r="S157" s="110">
        <f t="shared" ca="1" si="27"/>
        <v>0</v>
      </c>
      <c r="T157" s="110">
        <f t="shared" ca="1" si="27"/>
        <v>0</v>
      </c>
      <c r="U157" s="110">
        <f t="shared" ca="1" si="27"/>
        <v>0</v>
      </c>
      <c r="V157" s="110">
        <f t="shared" ca="1" si="27"/>
        <v>0</v>
      </c>
      <c r="W157" s="110">
        <f t="shared" ca="1" si="27"/>
        <v>0</v>
      </c>
      <c r="X157" s="110">
        <f t="shared" ca="1" si="27"/>
        <v>0</v>
      </c>
      <c r="Y157" s="110">
        <f t="shared" ca="1" si="27"/>
        <v>0</v>
      </c>
      <c r="Z157" s="110">
        <f t="shared" ca="1" si="27"/>
        <v>0</v>
      </c>
      <c r="AA157" s="110">
        <f t="shared" ca="1" si="27"/>
        <v>0</v>
      </c>
      <c r="AB157" s="110">
        <f t="shared" ca="1" si="27"/>
        <v>0</v>
      </c>
    </row>
    <row r="158" spans="1:28">
      <c r="A158" s="113" t="s">
        <v>2391</v>
      </c>
      <c r="B158" s="4" t="s">
        <v>68</v>
      </c>
      <c r="C158" s="4">
        <v>495.9</v>
      </c>
      <c r="D158" s="4">
        <v>2021</v>
      </c>
      <c r="E158" s="2" t="s">
        <v>19</v>
      </c>
      <c r="F158" s="3" t="s">
        <v>6</v>
      </c>
      <c r="G158" s="4" t="s">
        <v>12</v>
      </c>
      <c r="I158" s="110">
        <f t="shared" ca="1" si="26"/>
        <v>0</v>
      </c>
      <c r="J158" s="110">
        <f t="shared" ca="1" si="26"/>
        <v>0</v>
      </c>
      <c r="K158" s="110">
        <f t="shared" ca="1" si="26"/>
        <v>0</v>
      </c>
      <c r="L158" s="110">
        <f t="shared" ca="1" si="26"/>
        <v>0</v>
      </c>
      <c r="M158" s="110">
        <f t="shared" ca="1" si="26"/>
        <v>0</v>
      </c>
      <c r="N158" s="110">
        <f t="shared" ca="1" si="26"/>
        <v>0</v>
      </c>
      <c r="O158" s="110">
        <f t="shared" ca="1" si="26"/>
        <v>0</v>
      </c>
      <c r="P158" s="110">
        <f t="shared" ca="1" si="26"/>
        <v>0</v>
      </c>
      <c r="Q158" s="110">
        <f t="shared" ca="1" si="26"/>
        <v>0</v>
      </c>
      <c r="R158" s="110">
        <f t="shared" ca="1" si="26"/>
        <v>0</v>
      </c>
      <c r="S158" s="110">
        <f t="shared" ca="1" si="27"/>
        <v>0</v>
      </c>
      <c r="T158" s="110">
        <f t="shared" ca="1" si="27"/>
        <v>0</v>
      </c>
      <c r="U158" s="110">
        <f t="shared" ca="1" si="27"/>
        <v>0</v>
      </c>
      <c r="V158" s="110">
        <f t="shared" ca="1" si="27"/>
        <v>0</v>
      </c>
      <c r="W158" s="110">
        <f t="shared" ca="1" si="27"/>
        <v>0</v>
      </c>
      <c r="X158" s="110">
        <f t="shared" ca="1" si="27"/>
        <v>0</v>
      </c>
      <c r="Y158" s="110">
        <f t="shared" ca="1" si="27"/>
        <v>0</v>
      </c>
      <c r="Z158" s="110">
        <f t="shared" ca="1" si="27"/>
        <v>0</v>
      </c>
      <c r="AA158" s="110">
        <f t="shared" ca="1" si="27"/>
        <v>0</v>
      </c>
      <c r="AB158" s="110">
        <f t="shared" ca="1" si="27"/>
        <v>0</v>
      </c>
    </row>
    <row r="159" spans="1:28">
      <c r="A159" s="113" t="s">
        <v>2391</v>
      </c>
      <c r="B159" s="3" t="s">
        <v>2138</v>
      </c>
      <c r="C159" s="2">
        <v>2000</v>
      </c>
      <c r="D159" s="2">
        <v>2021</v>
      </c>
      <c r="E159" s="2" t="s">
        <v>19</v>
      </c>
      <c r="F159" s="3" t="s">
        <v>131</v>
      </c>
      <c r="G159" s="4" t="s">
        <v>12</v>
      </c>
      <c r="I159" s="110">
        <f t="shared" ca="1" si="26"/>
        <v>0</v>
      </c>
      <c r="J159" s="110">
        <f t="shared" ca="1" si="26"/>
        <v>0</v>
      </c>
      <c r="K159" s="110">
        <f t="shared" ca="1" si="26"/>
        <v>0</v>
      </c>
      <c r="L159" s="110">
        <f t="shared" ca="1" si="26"/>
        <v>0</v>
      </c>
      <c r="M159" s="110">
        <f t="shared" ca="1" si="26"/>
        <v>0</v>
      </c>
      <c r="N159" s="110">
        <f t="shared" ca="1" si="26"/>
        <v>0</v>
      </c>
      <c r="O159" s="110">
        <f t="shared" ca="1" si="26"/>
        <v>0</v>
      </c>
      <c r="P159" s="110">
        <f t="shared" ca="1" si="26"/>
        <v>0</v>
      </c>
      <c r="Q159" s="110">
        <f t="shared" ca="1" si="26"/>
        <v>0</v>
      </c>
      <c r="R159" s="110">
        <f t="shared" ca="1" si="26"/>
        <v>0</v>
      </c>
      <c r="S159" s="110">
        <f t="shared" ca="1" si="27"/>
        <v>0</v>
      </c>
      <c r="T159" s="110">
        <f t="shared" ca="1" si="27"/>
        <v>0</v>
      </c>
      <c r="U159" s="110">
        <f t="shared" ca="1" si="27"/>
        <v>0</v>
      </c>
      <c r="V159" s="110">
        <f t="shared" ca="1" si="27"/>
        <v>0</v>
      </c>
      <c r="W159" s="110">
        <f t="shared" ca="1" si="27"/>
        <v>0</v>
      </c>
      <c r="X159" s="110">
        <f t="shared" ca="1" si="27"/>
        <v>0</v>
      </c>
      <c r="Y159" s="110">
        <f t="shared" ca="1" si="27"/>
        <v>0</v>
      </c>
      <c r="Z159" s="110">
        <f t="shared" ca="1" si="27"/>
        <v>0</v>
      </c>
      <c r="AA159" s="110">
        <f t="shared" ca="1" si="27"/>
        <v>0</v>
      </c>
      <c r="AB159" s="110">
        <f t="shared" ca="1" si="27"/>
        <v>0</v>
      </c>
    </row>
    <row r="160" spans="1:28">
      <c r="A160" s="113" t="s">
        <v>2391</v>
      </c>
      <c r="B160" s="4" t="s">
        <v>102</v>
      </c>
      <c r="C160" s="4">
        <v>719</v>
      </c>
      <c r="D160" s="4">
        <v>2014</v>
      </c>
      <c r="E160" s="2" t="s">
        <v>19</v>
      </c>
      <c r="F160" s="3" t="s">
        <v>131</v>
      </c>
      <c r="G160" s="4" t="s">
        <v>10</v>
      </c>
      <c r="I160" s="110">
        <f t="shared" ca="1" si="26"/>
        <v>0</v>
      </c>
      <c r="J160" s="110">
        <f t="shared" ca="1" si="26"/>
        <v>0</v>
      </c>
      <c r="K160" s="110">
        <f t="shared" ca="1" si="26"/>
        <v>0</v>
      </c>
      <c r="L160" s="110">
        <f t="shared" ca="1" si="26"/>
        <v>0</v>
      </c>
      <c r="M160" s="110">
        <f t="shared" ca="1" si="26"/>
        <v>0</v>
      </c>
      <c r="N160" s="110">
        <f t="shared" ca="1" si="26"/>
        <v>0</v>
      </c>
      <c r="O160" s="110">
        <f t="shared" ca="1" si="26"/>
        <v>0</v>
      </c>
      <c r="P160" s="110">
        <f t="shared" ca="1" si="26"/>
        <v>0</v>
      </c>
      <c r="Q160" s="110">
        <f t="shared" ca="1" si="26"/>
        <v>0</v>
      </c>
      <c r="R160" s="110">
        <f t="shared" ca="1" si="26"/>
        <v>0</v>
      </c>
      <c r="S160" s="110">
        <f t="shared" ca="1" si="27"/>
        <v>0</v>
      </c>
      <c r="T160" s="110">
        <f t="shared" ca="1" si="27"/>
        <v>0</v>
      </c>
      <c r="U160" s="110">
        <f t="shared" ca="1" si="27"/>
        <v>0</v>
      </c>
      <c r="V160" s="110">
        <f t="shared" ca="1" si="27"/>
        <v>0</v>
      </c>
      <c r="W160" s="110">
        <f t="shared" ca="1" si="27"/>
        <v>0</v>
      </c>
      <c r="X160" s="110">
        <f t="shared" ca="1" si="27"/>
        <v>0</v>
      </c>
      <c r="Y160" s="110">
        <f t="shared" ca="1" si="27"/>
        <v>0</v>
      </c>
      <c r="Z160" s="110">
        <f t="shared" ca="1" si="27"/>
        <v>0</v>
      </c>
      <c r="AA160" s="110">
        <f t="shared" ca="1" si="27"/>
        <v>0</v>
      </c>
      <c r="AB160" s="110">
        <f t="shared" ca="1" si="27"/>
        <v>0</v>
      </c>
    </row>
    <row r="164" spans="2:2">
      <c r="B164" s="3" t="s">
        <v>2423</v>
      </c>
    </row>
  </sheetData>
  <autoFilter ref="A28:AB160"/>
  <dataValidations count="2">
    <dataValidation type="list" allowBlank="1" showInputMessage="1" showErrorMessage="1" sqref="F135:F138 F29:F107 F113:F129 F143:F160">
      <formula1>chgType</formula1>
    </dataValidation>
    <dataValidation type="list" allowBlank="1" showInputMessage="1" showErrorMessage="1" sqref="G135:G138 G29:G108 G113:G130 G143:G160">
      <formula1>region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</sheetPr>
  <dimension ref="A3:AG1634"/>
  <sheetViews>
    <sheetView topLeftCell="A9" zoomScale="85" zoomScaleNormal="85" workbookViewId="0">
      <pane ySplit="2" topLeftCell="A1569" activePane="bottomLeft" state="frozen"/>
      <selection activeCell="A9" sqref="A9"/>
      <selection pane="bottomLeft" activeCell="G1509" sqref="G1509"/>
    </sheetView>
  </sheetViews>
  <sheetFormatPr defaultRowHeight="12.75"/>
  <cols>
    <col min="1" max="1" width="4.7109375" style="69" customWidth="1"/>
    <col min="2" max="2" width="37.7109375" style="69" bestFit="1" customWidth="1"/>
    <col min="3" max="3" width="17" style="69" bestFit="1" customWidth="1"/>
    <col min="4" max="4" width="16.85546875" style="69" hidden="1" customWidth="1"/>
    <col min="5" max="5" width="12.7109375" style="69" hidden="1" customWidth="1"/>
    <col min="6" max="6" width="23.28515625" style="69" customWidth="1"/>
    <col min="7" max="8" width="7.5703125" style="69" customWidth="1"/>
    <col min="9" max="9" width="12.7109375" style="69" bestFit="1" customWidth="1"/>
    <col min="10" max="11" width="11.140625" style="69" customWidth="1"/>
    <col min="12" max="12" width="12.28515625" style="69" bestFit="1" customWidth="1"/>
    <col min="13" max="13" width="12.28515625" style="69" customWidth="1"/>
    <col min="14" max="23" width="9.140625" style="69"/>
    <col min="24" max="24" width="10.5703125" style="69" bestFit="1" customWidth="1"/>
    <col min="25" max="16384" width="9.140625" style="69"/>
  </cols>
  <sheetData>
    <row r="3" spans="1:33" ht="25.5">
      <c r="A3" s="69" t="s">
        <v>2077</v>
      </c>
      <c r="C3" s="178" t="s">
        <v>2184</v>
      </c>
      <c r="D3" s="178" t="s">
        <v>2185</v>
      </c>
    </row>
    <row r="4" spans="1:33">
      <c r="A4" s="69">
        <v>1</v>
      </c>
      <c r="B4" s="69" t="s">
        <v>2078</v>
      </c>
      <c r="C4" s="179">
        <f t="array" aca="1" ref="C4" ca="1">SUM(IF(OFFSET($A$11,0,0,ctRPSproj,1)=scenRPS,IF(OFFSET($I$11,0,0,ctRPSproj,1)=$A4,OFFSET($W$11,0,0,ctRPSproj,1))))</f>
        <v>23376.425281908523</v>
      </c>
      <c r="D4" s="180">
        <v>1</v>
      </c>
    </row>
    <row r="5" spans="1:33">
      <c r="A5" s="69">
        <v>2</v>
      </c>
      <c r="B5" s="69" t="s">
        <v>2079</v>
      </c>
      <c r="C5" s="179">
        <f t="array" aca="1" ref="C5" ca="1">SUM(IF(OFFSET($A$11,0,0,ctRPSproj,1)=scenRPS,IF(OFFSET($I$11,0,0,ctRPSproj,1)=$A5,OFFSET($W$11,0,0,ctRPSproj,1))))</f>
        <v>18111.395913359236</v>
      </c>
      <c r="D5" s="181">
        <f ca="1">IF(C5&gt;0,MAX(MIN(C5,Loads!P$45-Loads!P$46-SUM(C4:C$4))/C5,0),0)</f>
        <v>0.92175845605466722</v>
      </c>
    </row>
    <row r="6" spans="1:33">
      <c r="A6" s="69">
        <v>3</v>
      </c>
      <c r="B6" s="69" t="s">
        <v>2080</v>
      </c>
      <c r="C6" s="179">
        <f t="array" aca="1" ref="C6" ca="1">SUM(IF(OFFSET($A$11,0,0,ctRPSproj,1)=scenRPS,IF(OFFSET($I$11,0,0,ctRPSproj,1)=$A6,OFFSET($W$11,0,0,ctRPSproj,1))))</f>
        <v>3408.8178878043714</v>
      </c>
      <c r="D6" s="181">
        <f ca="1">IF(C6&gt;0,MAX(MIN(C6,Loads!P$45-Loads!P$46-SUM(C$4:C5))/C6,0),0)</f>
        <v>0</v>
      </c>
    </row>
    <row r="7" spans="1:33">
      <c r="A7" s="69">
        <v>4</v>
      </c>
      <c r="B7" s="69" t="s">
        <v>2081</v>
      </c>
      <c r="C7" s="179">
        <f t="array" aca="1" ref="C7" ca="1">SUM(IF(OFFSET($A$11,0,0,ctRPSproj,1)=scenRPS,IF(OFFSET($I$11,0,0,ctRPSproj,1)=$A7,OFFSET($W$11,0,0,ctRPSproj,1))))</f>
        <v>9372.2002618384122</v>
      </c>
      <c r="D7" s="180">
        <v>0</v>
      </c>
    </row>
    <row r="9" spans="1:33">
      <c r="A9" s="70" t="s">
        <v>188</v>
      </c>
      <c r="B9" s="71"/>
      <c r="C9" s="72"/>
      <c r="D9" s="72"/>
      <c r="E9" s="72"/>
      <c r="F9" s="72"/>
      <c r="G9" s="72"/>
      <c r="H9" s="72"/>
      <c r="I9" s="72"/>
      <c r="J9" s="73" t="s">
        <v>2082</v>
      </c>
      <c r="K9" s="74"/>
      <c r="L9" s="74"/>
      <c r="M9" s="74"/>
      <c r="N9" s="75" t="s">
        <v>2083</v>
      </c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</row>
    <row r="10" spans="1:33" s="80" customFormat="1" ht="63.75">
      <c r="A10" s="77" t="s">
        <v>2084</v>
      </c>
      <c r="B10" s="77" t="s">
        <v>365</v>
      </c>
      <c r="C10" s="77" t="s">
        <v>2085</v>
      </c>
      <c r="D10" s="77" t="s">
        <v>2086</v>
      </c>
      <c r="E10" s="77" t="s">
        <v>809</v>
      </c>
      <c r="F10" s="77" t="s">
        <v>2087</v>
      </c>
      <c r="G10" s="77" t="s">
        <v>364</v>
      </c>
      <c r="H10" s="77" t="s">
        <v>803</v>
      </c>
      <c r="I10" s="78" t="s">
        <v>2077</v>
      </c>
      <c r="J10" s="78" t="s">
        <v>2418</v>
      </c>
      <c r="K10" s="78" t="s">
        <v>2422</v>
      </c>
      <c r="L10" s="78" t="s">
        <v>2088</v>
      </c>
      <c r="M10" s="78" t="s">
        <v>2421</v>
      </c>
      <c r="N10" s="79">
        <v>2011</v>
      </c>
      <c r="O10" s="79">
        <v>2012</v>
      </c>
      <c r="P10" s="79">
        <v>2013</v>
      </c>
      <c r="Q10" s="79">
        <v>2014</v>
      </c>
      <c r="R10" s="79">
        <v>2015</v>
      </c>
      <c r="S10" s="79">
        <v>2016</v>
      </c>
      <c r="T10" s="79">
        <v>2017</v>
      </c>
      <c r="U10" s="79">
        <v>2018</v>
      </c>
      <c r="V10" s="79">
        <v>2019</v>
      </c>
      <c r="W10" s="79">
        <v>2020</v>
      </c>
      <c r="X10" s="79">
        <v>2021</v>
      </c>
      <c r="Y10" s="79">
        <v>2022</v>
      </c>
      <c r="Z10" s="79">
        <v>2023</v>
      </c>
      <c r="AA10" s="79">
        <v>2024</v>
      </c>
      <c r="AB10" s="79">
        <v>2025</v>
      </c>
      <c r="AC10" s="79">
        <v>2026</v>
      </c>
      <c r="AD10" s="79">
        <v>2027</v>
      </c>
      <c r="AE10" s="79">
        <v>2028</v>
      </c>
      <c r="AF10" s="79">
        <v>2029</v>
      </c>
      <c r="AG10" s="79">
        <v>2030</v>
      </c>
    </row>
    <row r="11" spans="1:33" ht="12.75" customHeight="1">
      <c r="A11" s="231" t="s">
        <v>2374</v>
      </c>
      <c r="B11" s="69" t="s">
        <v>190</v>
      </c>
      <c r="C11" s="69" t="s">
        <v>137</v>
      </c>
      <c r="D11" s="69" t="s">
        <v>191</v>
      </c>
      <c r="E11" s="69" t="s">
        <v>191</v>
      </c>
      <c r="F11" s="69" t="s">
        <v>180</v>
      </c>
      <c r="G11" s="69" t="s">
        <v>192</v>
      </c>
      <c r="H11" s="69" t="s">
        <v>804</v>
      </c>
      <c r="I11" s="69">
        <v>1</v>
      </c>
      <c r="J11" s="238">
        <v>0.32235762917068039</v>
      </c>
      <c r="K11" s="238">
        <v>0.160195270625522</v>
      </c>
      <c r="L11" s="69">
        <v>96.038728079112801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533.70818516014515</v>
      </c>
      <c r="S11" s="69">
        <v>533.70818516014515</v>
      </c>
      <c r="T11" s="69">
        <v>533.70818516014515</v>
      </c>
      <c r="U11" s="69">
        <v>533.70818516014515</v>
      </c>
      <c r="V11" s="69">
        <v>533.70818516014515</v>
      </c>
      <c r="W11" s="69">
        <v>533.70818516014515</v>
      </c>
      <c r="X11" s="69">
        <v>533.70818516014515</v>
      </c>
      <c r="Y11" s="69">
        <v>533.70818516014515</v>
      </c>
      <c r="Z11" s="69">
        <v>533.70818516014515</v>
      </c>
      <c r="AA11" s="69">
        <v>533.70818516014515</v>
      </c>
      <c r="AB11" s="69">
        <v>533.70818516014515</v>
      </c>
      <c r="AC11" s="69">
        <v>533.70818516014515</v>
      </c>
      <c r="AD11" s="69">
        <v>533.70818516014515</v>
      </c>
      <c r="AE11" s="69">
        <v>533.70818516014515</v>
      </c>
      <c r="AF11" s="69">
        <v>533.70818516014515</v>
      </c>
      <c r="AG11" s="69">
        <v>533.70818516014515</v>
      </c>
    </row>
    <row r="12" spans="1:33" ht="12.75" customHeight="1">
      <c r="A12" s="231" t="s">
        <v>2374</v>
      </c>
      <c r="B12" s="69" t="s">
        <v>195</v>
      </c>
      <c r="C12" s="69" t="s">
        <v>187</v>
      </c>
      <c r="D12" s="69" t="s">
        <v>191</v>
      </c>
      <c r="E12" s="69" t="s">
        <v>191</v>
      </c>
      <c r="F12" s="69" t="s">
        <v>162</v>
      </c>
      <c r="G12" s="69" t="s">
        <v>192</v>
      </c>
      <c r="H12" s="69" t="s">
        <v>804</v>
      </c>
      <c r="I12" s="69">
        <v>1</v>
      </c>
      <c r="J12" s="238">
        <v>0.2668262983999703</v>
      </c>
      <c r="K12" s="238">
        <v>0.80317779599171035</v>
      </c>
      <c r="L12" s="69">
        <v>192.38629588063705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144.91869918699012</v>
      </c>
      <c r="S12" s="69">
        <v>144.91869918699012</v>
      </c>
      <c r="T12" s="69">
        <v>144.91869918699012</v>
      </c>
      <c r="U12" s="69">
        <v>144.91869918699012</v>
      </c>
      <c r="V12" s="69">
        <v>144.91869918699012</v>
      </c>
      <c r="W12" s="69">
        <v>144.91869918699012</v>
      </c>
      <c r="X12" s="69">
        <v>144.91869918699012</v>
      </c>
      <c r="Y12" s="69">
        <v>144.91869918699012</v>
      </c>
      <c r="Z12" s="69">
        <v>144.91869918699012</v>
      </c>
      <c r="AA12" s="69">
        <v>144.91869918699012</v>
      </c>
      <c r="AB12" s="69">
        <v>144.91869918699012</v>
      </c>
      <c r="AC12" s="69">
        <v>144.91869918699012</v>
      </c>
      <c r="AD12" s="69">
        <v>144.91869918699012</v>
      </c>
      <c r="AE12" s="69">
        <v>144.91869918699012</v>
      </c>
      <c r="AF12" s="69">
        <v>144.91869918699012</v>
      </c>
      <c r="AG12" s="69">
        <v>144.91869918699012</v>
      </c>
    </row>
    <row r="13" spans="1:33" ht="12.75" customHeight="1">
      <c r="A13" s="231" t="s">
        <v>2374</v>
      </c>
      <c r="B13" s="69" t="s">
        <v>196</v>
      </c>
      <c r="C13" s="69" t="s">
        <v>187</v>
      </c>
      <c r="D13" s="69" t="s">
        <v>191</v>
      </c>
      <c r="E13" s="69" t="s">
        <v>191</v>
      </c>
      <c r="F13" s="69" t="s">
        <v>175</v>
      </c>
      <c r="G13" s="69" t="s">
        <v>192</v>
      </c>
      <c r="H13" s="69" t="s">
        <v>804</v>
      </c>
      <c r="I13" s="69">
        <v>1</v>
      </c>
      <c r="J13" s="238">
        <v>0.2668262983999703</v>
      </c>
      <c r="K13" s="238">
        <v>0.69237077523038792</v>
      </c>
      <c r="L13" s="69">
        <v>192.38629588063705</v>
      </c>
      <c r="M13" s="69">
        <v>0</v>
      </c>
      <c r="N13" s="69">
        <v>0</v>
      </c>
      <c r="O13" s="69">
        <v>0</v>
      </c>
      <c r="P13" s="69">
        <v>0</v>
      </c>
      <c r="Q13" s="69">
        <v>292.17479674796778</v>
      </c>
      <c r="R13" s="69">
        <v>292.17479674796778</v>
      </c>
      <c r="S13" s="69">
        <v>292.17479674796778</v>
      </c>
      <c r="T13" s="69">
        <v>292.17479674796778</v>
      </c>
      <c r="U13" s="69">
        <v>292.17479674796778</v>
      </c>
      <c r="V13" s="69">
        <v>292.17479674796778</v>
      </c>
      <c r="W13" s="69">
        <v>292.17479674796778</v>
      </c>
      <c r="X13" s="69">
        <v>292.17479674796778</v>
      </c>
      <c r="Y13" s="69">
        <v>292.17479674796778</v>
      </c>
      <c r="Z13" s="69">
        <v>292.17479674796778</v>
      </c>
      <c r="AA13" s="69">
        <v>292.17479674796778</v>
      </c>
      <c r="AB13" s="69">
        <v>292.17479674796778</v>
      </c>
      <c r="AC13" s="69">
        <v>292.17479674796778</v>
      </c>
      <c r="AD13" s="69">
        <v>292.17479674796778</v>
      </c>
      <c r="AE13" s="69">
        <v>292.17479674796778</v>
      </c>
      <c r="AF13" s="69">
        <v>292.17479674796778</v>
      </c>
      <c r="AG13" s="69">
        <v>292.17479674796778</v>
      </c>
    </row>
    <row r="14" spans="1:33" ht="12.75" customHeight="1">
      <c r="A14" s="231" t="s">
        <v>2374</v>
      </c>
      <c r="B14" s="69" t="s">
        <v>197</v>
      </c>
      <c r="C14" s="69" t="s">
        <v>187</v>
      </c>
      <c r="D14" s="69" t="s">
        <v>191</v>
      </c>
      <c r="E14" s="69" t="s">
        <v>191</v>
      </c>
      <c r="F14" s="69" t="s">
        <v>175</v>
      </c>
      <c r="G14" s="69" t="s">
        <v>192</v>
      </c>
      <c r="H14" s="69" t="s">
        <v>804</v>
      </c>
      <c r="I14" s="69">
        <v>1</v>
      </c>
      <c r="J14" s="238">
        <v>0.2668262983999703</v>
      </c>
      <c r="K14" s="238">
        <v>0.69237077523038792</v>
      </c>
      <c r="L14" s="69">
        <v>192.38629588063705</v>
      </c>
      <c r="M14" s="69">
        <v>0</v>
      </c>
      <c r="N14" s="69">
        <v>0</v>
      </c>
      <c r="O14" s="69">
        <v>0</v>
      </c>
      <c r="P14" s="69">
        <v>0</v>
      </c>
      <c r="Q14" s="69">
        <v>0</v>
      </c>
      <c r="R14" s="69">
        <v>292.17479674796778</v>
      </c>
      <c r="S14" s="69">
        <v>292.17479674796778</v>
      </c>
      <c r="T14" s="69">
        <v>292.17479674796778</v>
      </c>
      <c r="U14" s="69">
        <v>292.17479674796778</v>
      </c>
      <c r="V14" s="69">
        <v>292.17479674796778</v>
      </c>
      <c r="W14" s="69">
        <v>292.17479674796778</v>
      </c>
      <c r="X14" s="69">
        <v>292.17479674796778</v>
      </c>
      <c r="Y14" s="69">
        <v>292.17479674796778</v>
      </c>
      <c r="Z14" s="69">
        <v>292.17479674796778</v>
      </c>
      <c r="AA14" s="69">
        <v>292.17479674796778</v>
      </c>
      <c r="AB14" s="69">
        <v>292.17479674796778</v>
      </c>
      <c r="AC14" s="69">
        <v>292.17479674796778</v>
      </c>
      <c r="AD14" s="69">
        <v>292.17479674796778</v>
      </c>
      <c r="AE14" s="69">
        <v>292.17479674796778</v>
      </c>
      <c r="AF14" s="69">
        <v>292.17479674796778</v>
      </c>
      <c r="AG14" s="69">
        <v>292.17479674796778</v>
      </c>
    </row>
    <row r="15" spans="1:33" ht="12.75" customHeight="1">
      <c r="A15" s="231" t="s">
        <v>2374</v>
      </c>
      <c r="B15" s="69" t="s">
        <v>198</v>
      </c>
      <c r="C15" s="69" t="s">
        <v>137</v>
      </c>
      <c r="D15" s="69" t="s">
        <v>191</v>
      </c>
      <c r="E15" s="69" t="s">
        <v>191</v>
      </c>
      <c r="F15" s="69" t="s">
        <v>168</v>
      </c>
      <c r="G15" s="69" t="s">
        <v>199</v>
      </c>
      <c r="H15" s="237" t="s">
        <v>2417</v>
      </c>
      <c r="I15" s="69">
        <v>1</v>
      </c>
      <c r="J15" s="238">
        <v>0.29204999999999998</v>
      </c>
      <c r="K15" s="238">
        <v>0.18436399478639695</v>
      </c>
      <c r="L15" s="69">
        <v>95.155627725733936</v>
      </c>
      <c r="M15" s="69">
        <v>0</v>
      </c>
      <c r="N15" s="69">
        <v>230.25222000000034</v>
      </c>
      <c r="O15" s="69">
        <v>230.25222000000034</v>
      </c>
      <c r="P15" s="69">
        <v>230.25222000000034</v>
      </c>
      <c r="Q15" s="69">
        <v>230.25222000000034</v>
      </c>
      <c r="R15" s="69">
        <v>230.25222000000034</v>
      </c>
      <c r="S15" s="69">
        <v>230.25222000000034</v>
      </c>
      <c r="T15" s="69">
        <v>230.25222000000034</v>
      </c>
      <c r="U15" s="69">
        <v>230.25222000000034</v>
      </c>
      <c r="V15" s="69">
        <v>230.25222000000034</v>
      </c>
      <c r="W15" s="69">
        <v>230.25222000000034</v>
      </c>
      <c r="X15" s="69">
        <v>230.25222000000034</v>
      </c>
      <c r="Y15" s="69">
        <v>230.25222000000034</v>
      </c>
      <c r="Z15" s="69">
        <v>230.25222000000034</v>
      </c>
      <c r="AA15" s="69">
        <v>230.25222000000034</v>
      </c>
      <c r="AB15" s="69">
        <v>230.25222000000034</v>
      </c>
      <c r="AC15" s="69">
        <v>230.25222000000034</v>
      </c>
      <c r="AD15" s="69">
        <v>230.25222000000034</v>
      </c>
      <c r="AE15" s="69">
        <v>230.25222000000034</v>
      </c>
      <c r="AF15" s="69">
        <v>230.25222000000034</v>
      </c>
      <c r="AG15" s="69">
        <v>230.25222000000034</v>
      </c>
    </row>
    <row r="16" spans="1:33" ht="12.75" customHeight="1">
      <c r="A16" s="231" t="s">
        <v>2374</v>
      </c>
      <c r="B16" s="69" t="s">
        <v>200</v>
      </c>
      <c r="C16" s="69" t="s">
        <v>185</v>
      </c>
      <c r="D16" s="69" t="s">
        <v>193</v>
      </c>
      <c r="E16" s="69" t="s">
        <v>194</v>
      </c>
      <c r="F16" s="69" t="s">
        <v>153</v>
      </c>
      <c r="G16" s="69" t="s">
        <v>201</v>
      </c>
      <c r="H16" s="69" t="s">
        <v>2417</v>
      </c>
      <c r="I16" s="69">
        <v>1</v>
      </c>
      <c r="J16" s="238">
        <v>0.28999999999999998</v>
      </c>
      <c r="K16" s="238">
        <v>0.621244203313703</v>
      </c>
      <c r="L16" s="69">
        <v>144.14559944117298</v>
      </c>
      <c r="M16" s="69">
        <v>0</v>
      </c>
      <c r="N16" s="69">
        <v>0</v>
      </c>
      <c r="O16" s="69">
        <v>0</v>
      </c>
      <c r="P16" s="69">
        <v>0</v>
      </c>
      <c r="Q16" s="69">
        <v>0</v>
      </c>
      <c r="R16" s="69">
        <v>736.71599999999853</v>
      </c>
      <c r="S16" s="69">
        <v>736.71599999999853</v>
      </c>
      <c r="T16" s="69">
        <v>736.71599999999853</v>
      </c>
      <c r="U16" s="69">
        <v>736.71599999999853</v>
      </c>
      <c r="V16" s="69">
        <v>736.71599999999853</v>
      </c>
      <c r="W16" s="69">
        <v>736.71599999999853</v>
      </c>
      <c r="X16" s="69">
        <v>736.71599999999853</v>
      </c>
      <c r="Y16" s="69">
        <v>736.71599999999853</v>
      </c>
      <c r="Z16" s="69">
        <v>736.71599999999853</v>
      </c>
      <c r="AA16" s="69">
        <v>736.71599999999853</v>
      </c>
      <c r="AB16" s="69">
        <v>736.71599999999853</v>
      </c>
      <c r="AC16" s="69">
        <v>736.71599999999853</v>
      </c>
      <c r="AD16" s="69">
        <v>736.71599999999853</v>
      </c>
      <c r="AE16" s="69">
        <v>736.71599999999853</v>
      </c>
      <c r="AF16" s="69">
        <v>736.71599999999853</v>
      </c>
      <c r="AG16" s="69">
        <v>736.71599999999853</v>
      </c>
    </row>
    <row r="17" spans="1:33" ht="12.75" customHeight="1">
      <c r="A17" s="231" t="s">
        <v>2374</v>
      </c>
      <c r="B17" s="69" t="s">
        <v>202</v>
      </c>
      <c r="C17" s="69" t="s">
        <v>185</v>
      </c>
      <c r="D17" s="69" t="s">
        <v>193</v>
      </c>
      <c r="E17" s="69" t="s">
        <v>203</v>
      </c>
      <c r="F17" s="69" t="s">
        <v>167</v>
      </c>
      <c r="G17" s="69" t="s">
        <v>192</v>
      </c>
      <c r="H17" s="69" t="s">
        <v>805</v>
      </c>
      <c r="I17" s="69">
        <v>1</v>
      </c>
      <c r="J17" s="238">
        <v>0.26649999999999996</v>
      </c>
      <c r="K17" s="238">
        <v>0.65</v>
      </c>
      <c r="L17" s="69">
        <v>173.91260768823273</v>
      </c>
      <c r="M17" s="69">
        <v>0</v>
      </c>
      <c r="N17" s="69">
        <v>0</v>
      </c>
      <c r="O17" s="69">
        <v>0</v>
      </c>
      <c r="P17" s="69">
        <v>0</v>
      </c>
      <c r="Q17" s="69">
        <v>116.72699999999895</v>
      </c>
      <c r="R17" s="69">
        <v>116.72699999999895</v>
      </c>
      <c r="S17" s="69">
        <v>116.72699999999895</v>
      </c>
      <c r="T17" s="69">
        <v>116.72699999999895</v>
      </c>
      <c r="U17" s="69">
        <v>116.72699999999895</v>
      </c>
      <c r="V17" s="69">
        <v>116.72699999999895</v>
      </c>
      <c r="W17" s="69">
        <v>116.72699999999895</v>
      </c>
      <c r="X17" s="69">
        <v>116.72699999999895</v>
      </c>
      <c r="Y17" s="69">
        <v>116.72699999999895</v>
      </c>
      <c r="Z17" s="69">
        <v>116.72699999999895</v>
      </c>
      <c r="AA17" s="69">
        <v>116.72699999999895</v>
      </c>
      <c r="AB17" s="69">
        <v>116.72699999999895</v>
      </c>
      <c r="AC17" s="69">
        <v>116.72699999999895</v>
      </c>
      <c r="AD17" s="69">
        <v>116.72699999999895</v>
      </c>
      <c r="AE17" s="69">
        <v>116.72699999999895</v>
      </c>
      <c r="AF17" s="69">
        <v>116.72699999999895</v>
      </c>
      <c r="AG17" s="69">
        <v>116.72699999999895</v>
      </c>
    </row>
    <row r="18" spans="1:33" ht="12.75" customHeight="1">
      <c r="A18" s="231" t="s">
        <v>2374</v>
      </c>
      <c r="B18" s="69" t="s">
        <v>204</v>
      </c>
      <c r="C18" s="69" t="s">
        <v>185</v>
      </c>
      <c r="D18" s="69" t="s">
        <v>205</v>
      </c>
      <c r="E18" s="69" t="s">
        <v>194</v>
      </c>
      <c r="F18" s="69" t="s">
        <v>175</v>
      </c>
      <c r="G18" s="69" t="s">
        <v>192</v>
      </c>
      <c r="H18" s="69" t="s">
        <v>804</v>
      </c>
      <c r="I18" s="69">
        <v>1</v>
      </c>
      <c r="J18" s="238">
        <v>0.26624999999999999</v>
      </c>
      <c r="K18" s="238">
        <v>0.50027165852802347</v>
      </c>
      <c r="L18" s="69">
        <v>147.69233230629843</v>
      </c>
      <c r="M18" s="69">
        <v>0</v>
      </c>
      <c r="N18" s="69">
        <v>0</v>
      </c>
      <c r="O18" s="69">
        <v>0</v>
      </c>
      <c r="P18" s="69">
        <v>0</v>
      </c>
      <c r="Q18" s="69">
        <v>0</v>
      </c>
      <c r="R18" s="69">
        <v>0</v>
      </c>
      <c r="S18" s="69">
        <v>699.70499999999993</v>
      </c>
      <c r="T18" s="69">
        <v>699.70499999999993</v>
      </c>
      <c r="U18" s="69">
        <v>699.70499999999993</v>
      </c>
      <c r="V18" s="69">
        <v>699.70499999999993</v>
      </c>
      <c r="W18" s="69">
        <v>699.70499999999993</v>
      </c>
      <c r="X18" s="69">
        <v>699.70499999999993</v>
      </c>
      <c r="Y18" s="69">
        <v>699.70499999999993</v>
      </c>
      <c r="Z18" s="69">
        <v>699.70499999999993</v>
      </c>
      <c r="AA18" s="69">
        <v>699.70499999999993</v>
      </c>
      <c r="AB18" s="69">
        <v>699.70499999999993</v>
      </c>
      <c r="AC18" s="69">
        <v>699.70499999999993</v>
      </c>
      <c r="AD18" s="69">
        <v>699.70499999999993</v>
      </c>
      <c r="AE18" s="69">
        <v>699.70499999999993</v>
      </c>
      <c r="AF18" s="69">
        <v>699.70499999999993</v>
      </c>
      <c r="AG18" s="69">
        <v>699.70499999999993</v>
      </c>
    </row>
    <row r="19" spans="1:33" ht="12.75" customHeight="1">
      <c r="A19" s="231" t="s">
        <v>2374</v>
      </c>
      <c r="B19" s="69" t="s">
        <v>206</v>
      </c>
      <c r="C19" s="69" t="s">
        <v>185</v>
      </c>
      <c r="D19" s="69" t="s">
        <v>193</v>
      </c>
      <c r="E19" s="69" t="s">
        <v>203</v>
      </c>
      <c r="F19" s="69" t="s">
        <v>155</v>
      </c>
      <c r="G19" s="69" t="s">
        <v>192</v>
      </c>
      <c r="H19" s="69" t="s">
        <v>805</v>
      </c>
      <c r="I19" s="69">
        <v>1</v>
      </c>
      <c r="J19" s="238">
        <v>0.26649999999999996</v>
      </c>
      <c r="K19" s="238">
        <v>0.63277303047366895</v>
      </c>
      <c r="L19" s="69">
        <v>173.91260768823275</v>
      </c>
      <c r="M19" s="69">
        <v>0</v>
      </c>
      <c r="N19" s="69">
        <v>0</v>
      </c>
      <c r="O19" s="69">
        <v>0</v>
      </c>
      <c r="P19" s="69">
        <v>0</v>
      </c>
      <c r="Q19" s="69">
        <v>0</v>
      </c>
      <c r="R19" s="69">
        <v>0</v>
      </c>
      <c r="S19" s="69">
        <v>93.38159999999985</v>
      </c>
      <c r="T19" s="69">
        <v>93.38159999999985</v>
      </c>
      <c r="U19" s="69">
        <v>93.38159999999985</v>
      </c>
      <c r="V19" s="69">
        <v>93.38159999999985</v>
      </c>
      <c r="W19" s="69">
        <v>93.38159999999985</v>
      </c>
      <c r="X19" s="69">
        <v>93.38159999999985</v>
      </c>
      <c r="Y19" s="69">
        <v>93.38159999999985</v>
      </c>
      <c r="Z19" s="69">
        <v>93.38159999999985</v>
      </c>
      <c r="AA19" s="69">
        <v>93.38159999999985</v>
      </c>
      <c r="AB19" s="69">
        <v>93.38159999999985</v>
      </c>
      <c r="AC19" s="69">
        <v>93.38159999999985</v>
      </c>
      <c r="AD19" s="69">
        <v>93.38159999999985</v>
      </c>
      <c r="AE19" s="69">
        <v>93.38159999999985</v>
      </c>
      <c r="AF19" s="69">
        <v>93.38159999999985</v>
      </c>
      <c r="AG19" s="69">
        <v>93.38159999999985</v>
      </c>
    </row>
    <row r="20" spans="1:33" ht="12.75" customHeight="1">
      <c r="A20" s="231" t="s">
        <v>2374</v>
      </c>
      <c r="B20" s="69" t="s">
        <v>207</v>
      </c>
      <c r="C20" s="69" t="s">
        <v>139</v>
      </c>
      <c r="D20" s="69" t="s">
        <v>191</v>
      </c>
      <c r="E20" s="69" t="s">
        <v>191</v>
      </c>
      <c r="F20" s="69" t="s">
        <v>167</v>
      </c>
      <c r="G20" s="69" t="s">
        <v>192</v>
      </c>
      <c r="H20" s="69" t="s">
        <v>805</v>
      </c>
      <c r="I20" s="69">
        <v>1</v>
      </c>
      <c r="J20" s="238">
        <v>0.85</v>
      </c>
      <c r="K20" s="238">
        <v>0.66</v>
      </c>
      <c r="L20" s="69">
        <v>127.99027888971092</v>
      </c>
      <c r="M20" s="69">
        <v>0</v>
      </c>
      <c r="N20" s="69">
        <v>0</v>
      </c>
      <c r="O20" s="69">
        <v>0</v>
      </c>
      <c r="P20" s="69">
        <v>0</v>
      </c>
      <c r="Q20" s="69">
        <v>335.07</v>
      </c>
      <c r="R20" s="69">
        <v>335.07</v>
      </c>
      <c r="S20" s="69">
        <v>335.07</v>
      </c>
      <c r="T20" s="69">
        <v>335.07</v>
      </c>
      <c r="U20" s="69">
        <v>335.07</v>
      </c>
      <c r="V20" s="69">
        <v>335.07</v>
      </c>
      <c r="W20" s="69">
        <v>335.07</v>
      </c>
      <c r="X20" s="69">
        <v>335.07</v>
      </c>
      <c r="Y20" s="69">
        <v>335.07</v>
      </c>
      <c r="Z20" s="69">
        <v>335.07</v>
      </c>
      <c r="AA20" s="69">
        <v>335.07</v>
      </c>
      <c r="AB20" s="69">
        <v>335.07</v>
      </c>
      <c r="AC20" s="69">
        <v>335.07</v>
      </c>
      <c r="AD20" s="69">
        <v>335.07</v>
      </c>
      <c r="AE20" s="69">
        <v>335.07</v>
      </c>
      <c r="AF20" s="69">
        <v>335.07</v>
      </c>
      <c r="AG20" s="69">
        <v>335.07</v>
      </c>
    </row>
    <row r="21" spans="1:33" ht="12.75" customHeight="1">
      <c r="A21" s="231" t="s">
        <v>2374</v>
      </c>
      <c r="B21" s="69" t="s">
        <v>208</v>
      </c>
      <c r="C21" s="69" t="s">
        <v>187</v>
      </c>
      <c r="D21" s="69" t="s">
        <v>209</v>
      </c>
      <c r="E21" s="69" t="s">
        <v>191</v>
      </c>
      <c r="F21" s="69" t="s">
        <v>167</v>
      </c>
      <c r="G21" s="69" t="s">
        <v>192</v>
      </c>
      <c r="H21" s="69" t="s">
        <v>804</v>
      </c>
      <c r="I21" s="69">
        <v>1</v>
      </c>
      <c r="J21" s="238">
        <v>0.36</v>
      </c>
      <c r="K21" s="238">
        <v>1</v>
      </c>
      <c r="L21" s="69">
        <v>191.5297352118086</v>
      </c>
      <c r="M21" s="69">
        <v>0</v>
      </c>
      <c r="N21" s="69">
        <v>0</v>
      </c>
      <c r="O21" s="69">
        <v>0</v>
      </c>
      <c r="P21" s="69">
        <v>0</v>
      </c>
      <c r="Q21" s="69">
        <v>473.04000000000093</v>
      </c>
      <c r="R21" s="69">
        <v>473.04000000000093</v>
      </c>
      <c r="S21" s="69">
        <v>473.04000000000093</v>
      </c>
      <c r="T21" s="69">
        <v>473.04000000000093</v>
      </c>
      <c r="U21" s="69">
        <v>473.04000000000093</v>
      </c>
      <c r="V21" s="69">
        <v>473.04000000000093</v>
      </c>
      <c r="W21" s="69">
        <v>473.04000000000093</v>
      </c>
      <c r="X21" s="69">
        <v>473.04000000000093</v>
      </c>
      <c r="Y21" s="69">
        <v>473.04000000000093</v>
      </c>
      <c r="Z21" s="69">
        <v>473.04000000000093</v>
      </c>
      <c r="AA21" s="69">
        <v>473.04000000000093</v>
      </c>
      <c r="AB21" s="69">
        <v>473.04000000000093</v>
      </c>
      <c r="AC21" s="69">
        <v>473.04000000000093</v>
      </c>
      <c r="AD21" s="69">
        <v>473.04000000000093</v>
      </c>
      <c r="AE21" s="69">
        <v>473.04000000000093</v>
      </c>
      <c r="AF21" s="69">
        <v>473.04000000000093</v>
      </c>
      <c r="AG21" s="69">
        <v>473.04000000000093</v>
      </c>
    </row>
    <row r="22" spans="1:33" ht="12.75" customHeight="1">
      <c r="A22" s="231" t="s">
        <v>2374</v>
      </c>
      <c r="B22" s="69" t="s">
        <v>210</v>
      </c>
      <c r="C22" s="69" t="s">
        <v>184</v>
      </c>
      <c r="D22" s="69" t="s">
        <v>140</v>
      </c>
      <c r="E22" s="69" t="s">
        <v>191</v>
      </c>
      <c r="F22" s="69" t="s">
        <v>179</v>
      </c>
      <c r="G22" s="69" t="s">
        <v>192</v>
      </c>
      <c r="H22" s="69" t="s">
        <v>805</v>
      </c>
      <c r="I22" s="69">
        <v>2</v>
      </c>
      <c r="J22" s="238">
        <v>0.8</v>
      </c>
      <c r="K22" s="238">
        <v>0</v>
      </c>
      <c r="L22" s="69">
        <v>114.19797366361543</v>
      </c>
      <c r="M22" s="69">
        <v>0</v>
      </c>
      <c r="N22" s="69">
        <v>0</v>
      </c>
      <c r="O22" s="69">
        <v>0</v>
      </c>
      <c r="P22" s="69">
        <v>0</v>
      </c>
      <c r="Q22" s="69">
        <v>0</v>
      </c>
      <c r="R22" s="69">
        <v>0</v>
      </c>
      <c r="S22" s="69">
        <v>0</v>
      </c>
      <c r="T22" s="69">
        <v>21.024000000000033</v>
      </c>
      <c r="U22" s="69">
        <v>21.024000000000033</v>
      </c>
      <c r="V22" s="69">
        <v>21.024000000000033</v>
      </c>
      <c r="W22" s="69">
        <v>21.024000000000033</v>
      </c>
      <c r="X22" s="69">
        <v>21.024000000000033</v>
      </c>
      <c r="Y22" s="69">
        <v>21.024000000000033</v>
      </c>
      <c r="Z22" s="69">
        <v>21.024000000000033</v>
      </c>
      <c r="AA22" s="69">
        <v>21.024000000000033</v>
      </c>
      <c r="AB22" s="69">
        <v>21.024000000000033</v>
      </c>
      <c r="AC22" s="69">
        <v>21.024000000000033</v>
      </c>
      <c r="AD22" s="69">
        <v>21.024000000000033</v>
      </c>
      <c r="AE22" s="69">
        <v>21.024000000000033</v>
      </c>
      <c r="AF22" s="69">
        <v>21.024000000000033</v>
      </c>
      <c r="AG22" s="69">
        <v>21.024000000000033</v>
      </c>
    </row>
    <row r="23" spans="1:33" ht="12.75" customHeight="1">
      <c r="A23" s="231" t="s">
        <v>2374</v>
      </c>
      <c r="B23" s="69" t="s">
        <v>211</v>
      </c>
      <c r="C23" s="69" t="s">
        <v>184</v>
      </c>
      <c r="D23" s="69" t="s">
        <v>140</v>
      </c>
      <c r="E23" s="69" t="s">
        <v>191</v>
      </c>
      <c r="F23" s="69" t="s">
        <v>167</v>
      </c>
      <c r="G23" s="69" t="s">
        <v>192</v>
      </c>
      <c r="H23" s="69" t="s">
        <v>804</v>
      </c>
      <c r="I23" s="69">
        <v>1</v>
      </c>
      <c r="J23" s="238">
        <v>0.8</v>
      </c>
      <c r="K23" s="238">
        <v>0</v>
      </c>
      <c r="L23" s="69">
        <v>114.19797366361543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70.08</v>
      </c>
      <c r="S23" s="69">
        <v>70.08</v>
      </c>
      <c r="T23" s="69">
        <v>70.08</v>
      </c>
      <c r="U23" s="69">
        <v>70.08</v>
      </c>
      <c r="V23" s="69">
        <v>70.08</v>
      </c>
      <c r="W23" s="69">
        <v>70.08</v>
      </c>
      <c r="X23" s="69">
        <v>70.08</v>
      </c>
      <c r="Y23" s="69">
        <v>70.08</v>
      </c>
      <c r="Z23" s="69">
        <v>70.08</v>
      </c>
      <c r="AA23" s="69">
        <v>70.08</v>
      </c>
      <c r="AB23" s="69">
        <v>70.08</v>
      </c>
      <c r="AC23" s="69">
        <v>70.08</v>
      </c>
      <c r="AD23" s="69">
        <v>70.08</v>
      </c>
      <c r="AE23" s="69">
        <v>70.08</v>
      </c>
      <c r="AF23" s="69">
        <v>70.08</v>
      </c>
      <c r="AG23" s="69">
        <v>70.08</v>
      </c>
    </row>
    <row r="24" spans="1:33" ht="12.75" customHeight="1">
      <c r="A24" s="231" t="s">
        <v>2374</v>
      </c>
      <c r="B24" s="69" t="s">
        <v>212</v>
      </c>
      <c r="C24" s="69" t="s">
        <v>137</v>
      </c>
      <c r="D24" s="69" t="s">
        <v>191</v>
      </c>
      <c r="E24" s="69" t="s">
        <v>213</v>
      </c>
      <c r="F24" s="69" t="s">
        <v>152</v>
      </c>
      <c r="G24" s="69" t="s">
        <v>214</v>
      </c>
      <c r="H24" s="69" t="s">
        <v>2417</v>
      </c>
      <c r="I24" s="69">
        <v>1</v>
      </c>
      <c r="J24" s="238">
        <v>0.312</v>
      </c>
      <c r="K24" s="238">
        <v>0.17064699981121567</v>
      </c>
      <c r="L24" s="69">
        <v>118.33197577111784</v>
      </c>
      <c r="M24" s="69">
        <v>0</v>
      </c>
      <c r="N24" s="69">
        <v>0</v>
      </c>
      <c r="O24" s="69">
        <v>409.96800000000076</v>
      </c>
      <c r="P24" s="69">
        <v>409.96800000000076</v>
      </c>
      <c r="Q24" s="69">
        <v>409.96800000000076</v>
      </c>
      <c r="R24" s="69">
        <v>409.96800000000076</v>
      </c>
      <c r="S24" s="69">
        <v>409.96800000000076</v>
      </c>
      <c r="T24" s="69">
        <v>409.96800000000076</v>
      </c>
      <c r="U24" s="69">
        <v>409.96800000000076</v>
      </c>
      <c r="V24" s="69">
        <v>409.96800000000076</v>
      </c>
      <c r="W24" s="69">
        <v>409.96800000000076</v>
      </c>
      <c r="X24" s="69">
        <v>409.96800000000076</v>
      </c>
      <c r="Y24" s="69">
        <v>409.96800000000076</v>
      </c>
      <c r="Z24" s="69">
        <v>409.96800000000076</v>
      </c>
      <c r="AA24" s="69">
        <v>409.96800000000076</v>
      </c>
      <c r="AB24" s="69">
        <v>409.96800000000076</v>
      </c>
      <c r="AC24" s="69">
        <v>409.96800000000076</v>
      </c>
      <c r="AD24" s="69">
        <v>409.96800000000076</v>
      </c>
      <c r="AE24" s="69">
        <v>409.96800000000076</v>
      </c>
      <c r="AF24" s="69">
        <v>409.96800000000076</v>
      </c>
      <c r="AG24" s="69">
        <v>409.96800000000076</v>
      </c>
    </row>
    <row r="25" spans="1:33" ht="12.75" customHeight="1">
      <c r="A25" s="231" t="s">
        <v>2374</v>
      </c>
      <c r="B25" s="69" t="s">
        <v>215</v>
      </c>
      <c r="C25" s="69" t="s">
        <v>137</v>
      </c>
      <c r="D25" s="69" t="s">
        <v>191</v>
      </c>
      <c r="E25" s="69" t="s">
        <v>213</v>
      </c>
      <c r="F25" s="69" t="s">
        <v>152</v>
      </c>
      <c r="G25" s="69" t="s">
        <v>214</v>
      </c>
      <c r="H25" s="69" t="s">
        <v>2417</v>
      </c>
      <c r="I25" s="69">
        <v>1</v>
      </c>
      <c r="J25" s="238">
        <v>0.312</v>
      </c>
      <c r="K25" s="238">
        <v>0.17064699981121567</v>
      </c>
      <c r="L25" s="69">
        <v>118.33197577111784</v>
      </c>
      <c r="M25" s="69">
        <v>0</v>
      </c>
      <c r="N25" s="69">
        <v>0</v>
      </c>
      <c r="O25" s="69">
        <v>0</v>
      </c>
      <c r="P25" s="69">
        <v>409.96800000000076</v>
      </c>
      <c r="Q25" s="69">
        <v>409.96800000000076</v>
      </c>
      <c r="R25" s="69">
        <v>409.96800000000076</v>
      </c>
      <c r="S25" s="69">
        <v>409.96800000000076</v>
      </c>
      <c r="T25" s="69">
        <v>409.96800000000076</v>
      </c>
      <c r="U25" s="69">
        <v>409.96800000000076</v>
      </c>
      <c r="V25" s="69">
        <v>409.96800000000076</v>
      </c>
      <c r="W25" s="69">
        <v>409.96800000000076</v>
      </c>
      <c r="X25" s="69">
        <v>409.96800000000076</v>
      </c>
      <c r="Y25" s="69">
        <v>409.96800000000076</v>
      </c>
      <c r="Z25" s="69">
        <v>409.96800000000076</v>
      </c>
      <c r="AA25" s="69">
        <v>409.96800000000076</v>
      </c>
      <c r="AB25" s="69">
        <v>409.96800000000076</v>
      </c>
      <c r="AC25" s="69">
        <v>409.96800000000076</v>
      </c>
      <c r="AD25" s="69">
        <v>409.96800000000076</v>
      </c>
      <c r="AE25" s="69">
        <v>409.96800000000076</v>
      </c>
      <c r="AF25" s="69">
        <v>409.96800000000076</v>
      </c>
      <c r="AG25" s="69">
        <v>409.96800000000076</v>
      </c>
    </row>
    <row r="26" spans="1:33" ht="12.75" customHeight="1">
      <c r="A26" s="231" t="s">
        <v>2374</v>
      </c>
      <c r="B26" s="69" t="s">
        <v>216</v>
      </c>
      <c r="C26" s="69" t="s">
        <v>137</v>
      </c>
      <c r="D26" s="69" t="s">
        <v>191</v>
      </c>
      <c r="E26" s="69" t="s">
        <v>213</v>
      </c>
      <c r="F26" s="69" t="s">
        <v>152</v>
      </c>
      <c r="G26" s="69" t="s">
        <v>214</v>
      </c>
      <c r="H26" s="69" t="s">
        <v>2417</v>
      </c>
      <c r="I26" s="69">
        <v>1</v>
      </c>
      <c r="J26" s="238">
        <v>0.312</v>
      </c>
      <c r="K26" s="238">
        <v>0.17064699981121567</v>
      </c>
      <c r="L26" s="69">
        <v>118.33197577111784</v>
      </c>
      <c r="M26" s="69">
        <v>0</v>
      </c>
      <c r="N26" s="69">
        <v>0</v>
      </c>
      <c r="O26" s="69">
        <v>0</v>
      </c>
      <c r="P26" s="69">
        <v>409.96800000000076</v>
      </c>
      <c r="Q26" s="69">
        <v>409.96800000000076</v>
      </c>
      <c r="R26" s="69">
        <v>409.96800000000076</v>
      </c>
      <c r="S26" s="69">
        <v>409.96800000000076</v>
      </c>
      <c r="T26" s="69">
        <v>409.96800000000076</v>
      </c>
      <c r="U26" s="69">
        <v>409.96800000000076</v>
      </c>
      <c r="V26" s="69">
        <v>409.96800000000076</v>
      </c>
      <c r="W26" s="69">
        <v>409.96800000000076</v>
      </c>
      <c r="X26" s="69">
        <v>409.96800000000076</v>
      </c>
      <c r="Y26" s="69">
        <v>409.96800000000076</v>
      </c>
      <c r="Z26" s="69">
        <v>409.96800000000076</v>
      </c>
      <c r="AA26" s="69">
        <v>409.96800000000076</v>
      </c>
      <c r="AB26" s="69">
        <v>409.96800000000076</v>
      </c>
      <c r="AC26" s="69">
        <v>409.96800000000076</v>
      </c>
      <c r="AD26" s="69">
        <v>409.96800000000076</v>
      </c>
      <c r="AE26" s="69">
        <v>409.96800000000076</v>
      </c>
      <c r="AF26" s="69">
        <v>409.96800000000076</v>
      </c>
      <c r="AG26" s="69">
        <v>409.96800000000076</v>
      </c>
    </row>
    <row r="27" spans="1:33" ht="12.75" customHeight="1">
      <c r="A27" s="231" t="s">
        <v>2374</v>
      </c>
      <c r="B27" s="69" t="s">
        <v>217</v>
      </c>
      <c r="C27" s="69" t="s">
        <v>186</v>
      </c>
      <c r="D27" s="69" t="s">
        <v>218</v>
      </c>
      <c r="E27" s="69" t="s">
        <v>203</v>
      </c>
      <c r="F27" s="69" t="s">
        <v>157</v>
      </c>
      <c r="G27" s="69" t="s">
        <v>192</v>
      </c>
      <c r="H27" s="69" t="s">
        <v>805</v>
      </c>
      <c r="I27" s="69">
        <v>1</v>
      </c>
      <c r="J27" s="238">
        <v>0.23561922263058244</v>
      </c>
      <c r="K27" s="238">
        <v>0</v>
      </c>
      <c r="L27" s="69">
        <v>200.17205317577552</v>
      </c>
      <c r="M27" s="69">
        <v>-4.8449039881831615</v>
      </c>
      <c r="N27" s="69">
        <v>0</v>
      </c>
      <c r="O27" s="69">
        <v>0</v>
      </c>
      <c r="P27" s="69">
        <v>41.280487804877339</v>
      </c>
      <c r="Q27" s="69">
        <v>41.280487804877339</v>
      </c>
      <c r="R27" s="69">
        <v>41.280487804877339</v>
      </c>
      <c r="S27" s="69">
        <v>41.280487804877339</v>
      </c>
      <c r="T27" s="69">
        <v>41.280487804877339</v>
      </c>
      <c r="U27" s="69">
        <v>41.280487804877339</v>
      </c>
      <c r="V27" s="69">
        <v>41.280487804877339</v>
      </c>
      <c r="W27" s="69">
        <v>41.280487804877339</v>
      </c>
      <c r="X27" s="69">
        <v>41.280487804877339</v>
      </c>
      <c r="Y27" s="69">
        <v>41.280487804877339</v>
      </c>
      <c r="Z27" s="69">
        <v>41.280487804877339</v>
      </c>
      <c r="AA27" s="69">
        <v>41.280487804877339</v>
      </c>
      <c r="AB27" s="69">
        <v>41.280487804877339</v>
      </c>
      <c r="AC27" s="69">
        <v>41.280487804877339</v>
      </c>
      <c r="AD27" s="69">
        <v>41.280487804877339</v>
      </c>
      <c r="AE27" s="69">
        <v>41.280487804877339</v>
      </c>
      <c r="AF27" s="69">
        <v>41.280487804877339</v>
      </c>
      <c r="AG27" s="69">
        <v>41.280487804877339</v>
      </c>
    </row>
    <row r="28" spans="1:33" ht="12.75" customHeight="1">
      <c r="A28" s="231" t="s">
        <v>2374</v>
      </c>
      <c r="B28" s="69" t="s">
        <v>219</v>
      </c>
      <c r="C28" s="69" t="s">
        <v>186</v>
      </c>
      <c r="D28" s="69" t="s">
        <v>218</v>
      </c>
      <c r="E28" s="69" t="s">
        <v>203</v>
      </c>
      <c r="F28" s="69" t="s">
        <v>157</v>
      </c>
      <c r="G28" s="69" t="s">
        <v>192</v>
      </c>
      <c r="H28" s="69" t="s">
        <v>805</v>
      </c>
      <c r="I28" s="69">
        <v>1</v>
      </c>
      <c r="J28" s="238">
        <v>0.23561922263058244</v>
      </c>
      <c r="K28" s="238">
        <v>0</v>
      </c>
      <c r="L28" s="69">
        <v>200.17205317577552</v>
      </c>
      <c r="M28" s="69">
        <v>-4.8449039881831615</v>
      </c>
      <c r="N28" s="69">
        <v>0</v>
      </c>
      <c r="O28" s="69">
        <v>0</v>
      </c>
      <c r="P28" s="69">
        <v>41.280487804877339</v>
      </c>
      <c r="Q28" s="69">
        <v>41.280487804877339</v>
      </c>
      <c r="R28" s="69">
        <v>41.280487804877339</v>
      </c>
      <c r="S28" s="69">
        <v>41.280487804877339</v>
      </c>
      <c r="T28" s="69">
        <v>41.280487804877339</v>
      </c>
      <c r="U28" s="69">
        <v>41.280487804877339</v>
      </c>
      <c r="V28" s="69">
        <v>41.280487804877339</v>
      </c>
      <c r="W28" s="69">
        <v>41.280487804877339</v>
      </c>
      <c r="X28" s="69">
        <v>41.280487804877339</v>
      </c>
      <c r="Y28" s="69">
        <v>41.280487804877339</v>
      </c>
      <c r="Z28" s="69">
        <v>41.280487804877339</v>
      </c>
      <c r="AA28" s="69">
        <v>41.280487804877339</v>
      </c>
      <c r="AB28" s="69">
        <v>41.280487804877339</v>
      </c>
      <c r="AC28" s="69">
        <v>41.280487804877339</v>
      </c>
      <c r="AD28" s="69">
        <v>41.280487804877339</v>
      </c>
      <c r="AE28" s="69">
        <v>41.280487804877339</v>
      </c>
      <c r="AF28" s="69">
        <v>41.280487804877339</v>
      </c>
      <c r="AG28" s="69">
        <v>41.280487804877339</v>
      </c>
    </row>
    <row r="29" spans="1:33" ht="12.75" customHeight="1">
      <c r="A29" s="231" t="s">
        <v>2374</v>
      </c>
      <c r="B29" s="69" t="s">
        <v>220</v>
      </c>
      <c r="C29" s="69" t="s">
        <v>186</v>
      </c>
      <c r="D29" s="69" t="s">
        <v>218</v>
      </c>
      <c r="E29" s="69" t="s">
        <v>203</v>
      </c>
      <c r="F29" s="69" t="s">
        <v>157</v>
      </c>
      <c r="G29" s="69" t="s">
        <v>192</v>
      </c>
      <c r="H29" s="69" t="s">
        <v>805</v>
      </c>
      <c r="I29" s="69">
        <v>1</v>
      </c>
      <c r="J29" s="238">
        <v>0.23561922263058244</v>
      </c>
      <c r="K29" s="238">
        <v>0</v>
      </c>
      <c r="L29" s="69">
        <v>200.17205317577552</v>
      </c>
      <c r="M29" s="69">
        <v>-4.8449039881831615</v>
      </c>
      <c r="N29" s="69">
        <v>0</v>
      </c>
      <c r="O29" s="69">
        <v>0</v>
      </c>
      <c r="P29" s="69">
        <v>41.280487804877339</v>
      </c>
      <c r="Q29" s="69">
        <v>41.280487804877339</v>
      </c>
      <c r="R29" s="69">
        <v>41.280487804877339</v>
      </c>
      <c r="S29" s="69">
        <v>41.280487804877339</v>
      </c>
      <c r="T29" s="69">
        <v>41.280487804877339</v>
      </c>
      <c r="U29" s="69">
        <v>41.280487804877339</v>
      </c>
      <c r="V29" s="69">
        <v>41.280487804877339</v>
      </c>
      <c r="W29" s="69">
        <v>41.280487804877339</v>
      </c>
      <c r="X29" s="69">
        <v>41.280487804877339</v>
      </c>
      <c r="Y29" s="69">
        <v>41.280487804877339</v>
      </c>
      <c r="Z29" s="69">
        <v>41.280487804877339</v>
      </c>
      <c r="AA29" s="69">
        <v>41.280487804877339</v>
      </c>
      <c r="AB29" s="69">
        <v>41.280487804877339</v>
      </c>
      <c r="AC29" s="69">
        <v>41.280487804877339</v>
      </c>
      <c r="AD29" s="69">
        <v>41.280487804877339</v>
      </c>
      <c r="AE29" s="69">
        <v>41.280487804877339</v>
      </c>
      <c r="AF29" s="69">
        <v>41.280487804877339</v>
      </c>
      <c r="AG29" s="69">
        <v>41.280487804877339</v>
      </c>
    </row>
    <row r="30" spans="1:33" ht="13.5" customHeight="1">
      <c r="A30" s="231" t="s">
        <v>2374</v>
      </c>
      <c r="B30" s="69" t="s">
        <v>221</v>
      </c>
      <c r="C30" s="69" t="s">
        <v>186</v>
      </c>
      <c r="D30" s="69" t="s">
        <v>218</v>
      </c>
      <c r="E30" s="69" t="s">
        <v>203</v>
      </c>
      <c r="F30" s="69" t="s">
        <v>157</v>
      </c>
      <c r="G30" s="69" t="s">
        <v>192</v>
      </c>
      <c r="H30" s="69" t="s">
        <v>805</v>
      </c>
      <c r="I30" s="69">
        <v>1</v>
      </c>
      <c r="J30" s="238">
        <v>0.23561922263058244</v>
      </c>
      <c r="K30" s="238">
        <v>0</v>
      </c>
      <c r="L30" s="69">
        <v>200.17205317577552</v>
      </c>
      <c r="M30" s="69">
        <v>-4.8449039881831615</v>
      </c>
      <c r="N30" s="69">
        <v>0</v>
      </c>
      <c r="O30" s="69">
        <v>0</v>
      </c>
      <c r="P30" s="69">
        <v>41.280487804877339</v>
      </c>
      <c r="Q30" s="69">
        <v>41.280487804877339</v>
      </c>
      <c r="R30" s="69">
        <v>41.280487804877339</v>
      </c>
      <c r="S30" s="69">
        <v>41.280487804877339</v>
      </c>
      <c r="T30" s="69">
        <v>41.280487804877339</v>
      </c>
      <c r="U30" s="69">
        <v>41.280487804877339</v>
      </c>
      <c r="V30" s="69">
        <v>41.280487804877339</v>
      </c>
      <c r="W30" s="69">
        <v>41.280487804877339</v>
      </c>
      <c r="X30" s="69">
        <v>41.280487804877339</v>
      </c>
      <c r="Y30" s="69">
        <v>41.280487804877339</v>
      </c>
      <c r="Z30" s="69">
        <v>41.280487804877339</v>
      </c>
      <c r="AA30" s="69">
        <v>41.280487804877339</v>
      </c>
      <c r="AB30" s="69">
        <v>41.280487804877339</v>
      </c>
      <c r="AC30" s="69">
        <v>41.280487804877339</v>
      </c>
      <c r="AD30" s="69">
        <v>41.280487804877339</v>
      </c>
      <c r="AE30" s="69">
        <v>41.280487804877339</v>
      </c>
      <c r="AF30" s="69">
        <v>41.280487804877339</v>
      </c>
      <c r="AG30" s="69">
        <v>41.280487804877339</v>
      </c>
    </row>
    <row r="31" spans="1:33" ht="12.75" customHeight="1">
      <c r="A31" s="231" t="s">
        <v>2374</v>
      </c>
      <c r="B31" s="69" t="s">
        <v>222</v>
      </c>
      <c r="C31" s="69" t="s">
        <v>186</v>
      </c>
      <c r="D31" s="69" t="s">
        <v>218</v>
      </c>
      <c r="E31" s="69" t="s">
        <v>203</v>
      </c>
      <c r="F31" s="69" t="s">
        <v>157</v>
      </c>
      <c r="G31" s="69" t="s">
        <v>192</v>
      </c>
      <c r="H31" s="69" t="s">
        <v>805</v>
      </c>
      <c r="I31" s="69">
        <v>1</v>
      </c>
      <c r="J31" s="238">
        <v>0.23561922263058249</v>
      </c>
      <c r="K31" s="238">
        <v>0</v>
      </c>
      <c r="L31" s="69">
        <v>200.17205317577549</v>
      </c>
      <c r="M31" s="69">
        <v>-4.8449039881831615</v>
      </c>
      <c r="N31" s="69">
        <v>0</v>
      </c>
      <c r="O31" s="69">
        <v>18.576219512195166</v>
      </c>
      <c r="P31" s="69">
        <v>18.576219512195166</v>
      </c>
      <c r="Q31" s="69">
        <v>18.576219512195166</v>
      </c>
      <c r="R31" s="69">
        <v>18.576219512195166</v>
      </c>
      <c r="S31" s="69">
        <v>18.576219512195166</v>
      </c>
      <c r="T31" s="69">
        <v>18.576219512195166</v>
      </c>
      <c r="U31" s="69">
        <v>18.576219512195166</v>
      </c>
      <c r="V31" s="69">
        <v>18.576219512195166</v>
      </c>
      <c r="W31" s="69">
        <v>18.576219512195166</v>
      </c>
      <c r="X31" s="69">
        <v>18.576219512195166</v>
      </c>
      <c r="Y31" s="69">
        <v>18.576219512195166</v>
      </c>
      <c r="Z31" s="69">
        <v>18.576219512195166</v>
      </c>
      <c r="AA31" s="69">
        <v>18.576219512195166</v>
      </c>
      <c r="AB31" s="69">
        <v>18.576219512195166</v>
      </c>
      <c r="AC31" s="69">
        <v>18.576219512195166</v>
      </c>
      <c r="AD31" s="69">
        <v>18.576219512195166</v>
      </c>
      <c r="AE31" s="69">
        <v>18.576219512195166</v>
      </c>
      <c r="AF31" s="69">
        <v>18.576219512195166</v>
      </c>
      <c r="AG31" s="69">
        <v>18.576219512195166</v>
      </c>
    </row>
    <row r="32" spans="1:33" ht="12.75" customHeight="1">
      <c r="A32" s="231" t="s">
        <v>2374</v>
      </c>
      <c r="B32" s="69" t="s">
        <v>223</v>
      </c>
      <c r="C32" s="69" t="s">
        <v>186</v>
      </c>
      <c r="D32" s="69" t="s">
        <v>218</v>
      </c>
      <c r="E32" s="69" t="s">
        <v>203</v>
      </c>
      <c r="F32" s="69" t="s">
        <v>157</v>
      </c>
      <c r="G32" s="69" t="s">
        <v>192</v>
      </c>
      <c r="H32" s="69" t="s">
        <v>805</v>
      </c>
      <c r="I32" s="69">
        <v>1</v>
      </c>
      <c r="J32" s="238">
        <v>0.23561922263058244</v>
      </c>
      <c r="K32" s="238">
        <v>0</v>
      </c>
      <c r="L32" s="69">
        <v>200.17205317577552</v>
      </c>
      <c r="M32" s="69">
        <v>-4.8449039881831615</v>
      </c>
      <c r="N32" s="69">
        <v>0</v>
      </c>
      <c r="O32" s="69">
        <v>41.280487804877339</v>
      </c>
      <c r="P32" s="69">
        <v>41.280487804877339</v>
      </c>
      <c r="Q32" s="69">
        <v>41.280487804877339</v>
      </c>
      <c r="R32" s="69">
        <v>41.280487804877339</v>
      </c>
      <c r="S32" s="69">
        <v>41.280487804877339</v>
      </c>
      <c r="T32" s="69">
        <v>41.280487804877339</v>
      </c>
      <c r="U32" s="69">
        <v>41.280487804877339</v>
      </c>
      <c r="V32" s="69">
        <v>41.280487804877339</v>
      </c>
      <c r="W32" s="69">
        <v>41.280487804877339</v>
      </c>
      <c r="X32" s="69">
        <v>41.280487804877339</v>
      </c>
      <c r="Y32" s="69">
        <v>41.280487804877339</v>
      </c>
      <c r="Z32" s="69">
        <v>41.280487804877339</v>
      </c>
      <c r="AA32" s="69">
        <v>41.280487804877339</v>
      </c>
      <c r="AB32" s="69">
        <v>41.280487804877339</v>
      </c>
      <c r="AC32" s="69">
        <v>41.280487804877339</v>
      </c>
      <c r="AD32" s="69">
        <v>41.280487804877339</v>
      </c>
      <c r="AE32" s="69">
        <v>41.280487804877339</v>
      </c>
      <c r="AF32" s="69">
        <v>41.280487804877339</v>
      </c>
      <c r="AG32" s="69">
        <v>41.280487804877339</v>
      </c>
    </row>
    <row r="33" spans="1:33" ht="12.75" customHeight="1">
      <c r="A33" s="231" t="s">
        <v>2374</v>
      </c>
      <c r="B33" s="69" t="s">
        <v>224</v>
      </c>
      <c r="C33" s="69" t="s">
        <v>186</v>
      </c>
      <c r="D33" s="69" t="s">
        <v>218</v>
      </c>
      <c r="E33" s="69" t="s">
        <v>203</v>
      </c>
      <c r="F33" s="69" t="s">
        <v>157</v>
      </c>
      <c r="G33" s="69" t="s">
        <v>192</v>
      </c>
      <c r="H33" s="69" t="s">
        <v>805</v>
      </c>
      <c r="I33" s="69">
        <v>1</v>
      </c>
      <c r="J33" s="238">
        <v>0.23561922263058244</v>
      </c>
      <c r="K33" s="238">
        <v>0</v>
      </c>
      <c r="L33" s="69">
        <v>200.17205317577549</v>
      </c>
      <c r="M33" s="69">
        <v>-4.8449039881831615</v>
      </c>
      <c r="N33" s="69">
        <v>0</v>
      </c>
      <c r="O33" s="69">
        <v>39.216463414633836</v>
      </c>
      <c r="P33" s="69">
        <v>39.216463414633836</v>
      </c>
      <c r="Q33" s="69">
        <v>39.216463414633836</v>
      </c>
      <c r="R33" s="69">
        <v>39.216463414633836</v>
      </c>
      <c r="S33" s="69">
        <v>39.216463414633836</v>
      </c>
      <c r="T33" s="69">
        <v>39.216463414633836</v>
      </c>
      <c r="U33" s="69">
        <v>39.216463414633836</v>
      </c>
      <c r="V33" s="69">
        <v>39.216463414633836</v>
      </c>
      <c r="W33" s="69">
        <v>39.216463414633836</v>
      </c>
      <c r="X33" s="69">
        <v>39.216463414633836</v>
      </c>
      <c r="Y33" s="69">
        <v>39.216463414633836</v>
      </c>
      <c r="Z33" s="69">
        <v>39.216463414633836</v>
      </c>
      <c r="AA33" s="69">
        <v>39.216463414633836</v>
      </c>
      <c r="AB33" s="69">
        <v>39.216463414633836</v>
      </c>
      <c r="AC33" s="69">
        <v>39.216463414633836</v>
      </c>
      <c r="AD33" s="69">
        <v>39.216463414633836</v>
      </c>
      <c r="AE33" s="69">
        <v>39.216463414633836</v>
      </c>
      <c r="AF33" s="69">
        <v>39.216463414633836</v>
      </c>
      <c r="AG33" s="69">
        <v>39.216463414633836</v>
      </c>
    </row>
    <row r="34" spans="1:33" ht="12.75" customHeight="1">
      <c r="A34" s="231" t="s">
        <v>2374</v>
      </c>
      <c r="B34" s="69" t="s">
        <v>226</v>
      </c>
      <c r="C34" s="69" t="s">
        <v>185</v>
      </c>
      <c r="D34" s="69" t="s">
        <v>193</v>
      </c>
      <c r="E34" s="69" t="s">
        <v>194</v>
      </c>
      <c r="F34" s="69" t="s">
        <v>164</v>
      </c>
      <c r="G34" s="69" t="s">
        <v>192</v>
      </c>
      <c r="H34" s="69" t="s">
        <v>804</v>
      </c>
      <c r="I34" s="69">
        <v>2</v>
      </c>
      <c r="J34" s="238">
        <v>0.28999999999999998</v>
      </c>
      <c r="K34" s="238">
        <v>0.63584697705799376</v>
      </c>
      <c r="L34" s="69">
        <v>160.03163342556326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762.12000000000035</v>
      </c>
      <c r="U34" s="69">
        <v>762.12000000000035</v>
      </c>
      <c r="V34" s="69">
        <v>762.12000000000035</v>
      </c>
      <c r="W34" s="69">
        <v>762.12000000000035</v>
      </c>
      <c r="X34" s="69">
        <v>762.12000000000035</v>
      </c>
      <c r="Y34" s="69">
        <v>762.12000000000035</v>
      </c>
      <c r="Z34" s="69">
        <v>762.12000000000035</v>
      </c>
      <c r="AA34" s="69">
        <v>762.12000000000035</v>
      </c>
      <c r="AB34" s="69">
        <v>762.12000000000035</v>
      </c>
      <c r="AC34" s="69">
        <v>762.12000000000035</v>
      </c>
      <c r="AD34" s="69">
        <v>762.12000000000035</v>
      </c>
      <c r="AE34" s="69">
        <v>762.12000000000035</v>
      </c>
      <c r="AF34" s="69">
        <v>762.12000000000035</v>
      </c>
      <c r="AG34" s="69">
        <v>762.12000000000035</v>
      </c>
    </row>
    <row r="35" spans="1:33" ht="12.75" customHeight="1">
      <c r="A35" s="231" t="s">
        <v>2374</v>
      </c>
      <c r="B35" s="69" t="s">
        <v>227</v>
      </c>
      <c r="C35" s="69" t="s">
        <v>187</v>
      </c>
      <c r="D35" s="69" t="s">
        <v>191</v>
      </c>
      <c r="E35" s="69" t="s">
        <v>191</v>
      </c>
      <c r="F35" s="69" t="s">
        <v>175</v>
      </c>
      <c r="G35" s="69" t="s">
        <v>192</v>
      </c>
      <c r="H35" s="69" t="s">
        <v>804</v>
      </c>
      <c r="I35" s="69">
        <v>1</v>
      </c>
      <c r="J35" s="238">
        <v>0.2668262983999703</v>
      </c>
      <c r="K35" s="238">
        <v>0.69237077523038804</v>
      </c>
      <c r="L35" s="69">
        <v>192.38629588063705</v>
      </c>
      <c r="M35" s="69">
        <v>0</v>
      </c>
      <c r="N35" s="69">
        <v>0</v>
      </c>
      <c r="O35" s="69">
        <v>0</v>
      </c>
      <c r="P35" s="69">
        <v>565.65040650406445</v>
      </c>
      <c r="Q35" s="69">
        <v>565.65040650406445</v>
      </c>
      <c r="R35" s="69">
        <v>565.65040650406445</v>
      </c>
      <c r="S35" s="69">
        <v>565.65040650406445</v>
      </c>
      <c r="T35" s="69">
        <v>565.65040650406445</v>
      </c>
      <c r="U35" s="69">
        <v>565.65040650406445</v>
      </c>
      <c r="V35" s="69">
        <v>565.65040650406445</v>
      </c>
      <c r="W35" s="69">
        <v>565.65040650406445</v>
      </c>
      <c r="X35" s="69">
        <v>565.65040650406445</v>
      </c>
      <c r="Y35" s="69">
        <v>565.65040650406445</v>
      </c>
      <c r="Z35" s="69">
        <v>565.65040650406445</v>
      </c>
      <c r="AA35" s="69">
        <v>565.65040650406445</v>
      </c>
      <c r="AB35" s="69">
        <v>565.65040650406445</v>
      </c>
      <c r="AC35" s="69">
        <v>565.65040650406445</v>
      </c>
      <c r="AD35" s="69">
        <v>565.65040650406445</v>
      </c>
      <c r="AE35" s="69">
        <v>565.65040650406445</v>
      </c>
      <c r="AF35" s="69">
        <v>565.65040650406445</v>
      </c>
      <c r="AG35" s="69">
        <v>565.65040650406445</v>
      </c>
    </row>
    <row r="36" spans="1:33" ht="12.75" customHeight="1">
      <c r="A36" s="231" t="s">
        <v>2374</v>
      </c>
      <c r="B36" s="69" t="s">
        <v>228</v>
      </c>
      <c r="C36" s="69" t="s">
        <v>187</v>
      </c>
      <c r="D36" s="69" t="s">
        <v>191</v>
      </c>
      <c r="E36" s="69" t="s">
        <v>191</v>
      </c>
      <c r="F36" s="69" t="s">
        <v>164</v>
      </c>
      <c r="G36" s="69" t="s">
        <v>192</v>
      </c>
      <c r="H36" s="69" t="s">
        <v>804</v>
      </c>
      <c r="I36" s="69">
        <v>1</v>
      </c>
      <c r="J36" s="238">
        <v>0.2668262983999703</v>
      </c>
      <c r="K36" s="238">
        <v>0.70735673955038636</v>
      </c>
      <c r="L36" s="69">
        <v>192.38629588063705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233.73983739837414</v>
      </c>
      <c r="U36" s="69">
        <v>233.73983739837414</v>
      </c>
      <c r="V36" s="69">
        <v>233.73983739837414</v>
      </c>
      <c r="W36" s="69">
        <v>233.73983739837414</v>
      </c>
      <c r="X36" s="69">
        <v>233.73983739837414</v>
      </c>
      <c r="Y36" s="69">
        <v>233.73983739837414</v>
      </c>
      <c r="Z36" s="69">
        <v>233.73983739837414</v>
      </c>
      <c r="AA36" s="69">
        <v>233.73983739837414</v>
      </c>
      <c r="AB36" s="69">
        <v>233.73983739837414</v>
      </c>
      <c r="AC36" s="69">
        <v>233.73983739837414</v>
      </c>
      <c r="AD36" s="69">
        <v>233.73983739837414</v>
      </c>
      <c r="AE36" s="69">
        <v>233.73983739837414</v>
      </c>
      <c r="AF36" s="69">
        <v>233.73983739837414</v>
      </c>
      <c r="AG36" s="69">
        <v>233.73983739837414</v>
      </c>
    </row>
    <row r="37" spans="1:33" ht="12.75" customHeight="1">
      <c r="A37" s="231" t="s">
        <v>2374</v>
      </c>
      <c r="B37" s="69" t="s">
        <v>229</v>
      </c>
      <c r="C37" s="69" t="s">
        <v>187</v>
      </c>
      <c r="D37" s="69" t="s">
        <v>191</v>
      </c>
      <c r="E37" s="69" t="s">
        <v>191</v>
      </c>
      <c r="F37" s="69" t="s">
        <v>170</v>
      </c>
      <c r="G37" s="69" t="s">
        <v>192</v>
      </c>
      <c r="H37" s="69" t="s">
        <v>804</v>
      </c>
      <c r="I37" s="69">
        <v>2</v>
      </c>
      <c r="J37" s="238">
        <v>0.2668262983999703</v>
      </c>
      <c r="K37" s="238">
        <v>0.7167975850068431</v>
      </c>
      <c r="L37" s="69">
        <v>192.38629588063705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467.47967479674827</v>
      </c>
      <c r="W37" s="69">
        <v>467.47967479674827</v>
      </c>
      <c r="X37" s="69">
        <v>467.47967479674827</v>
      </c>
      <c r="Y37" s="69">
        <v>467.47967479674827</v>
      </c>
      <c r="Z37" s="69">
        <v>467.47967479674827</v>
      </c>
      <c r="AA37" s="69">
        <v>467.47967479674827</v>
      </c>
      <c r="AB37" s="69">
        <v>467.47967479674827</v>
      </c>
      <c r="AC37" s="69">
        <v>467.47967479674827</v>
      </c>
      <c r="AD37" s="69">
        <v>467.47967479674827</v>
      </c>
      <c r="AE37" s="69">
        <v>467.47967479674827</v>
      </c>
      <c r="AF37" s="69">
        <v>467.47967479674827</v>
      </c>
      <c r="AG37" s="69">
        <v>467.47967479674827</v>
      </c>
    </row>
    <row r="38" spans="1:33" ht="12.75" customHeight="1">
      <c r="A38" s="231" t="s">
        <v>2374</v>
      </c>
      <c r="B38" s="69" t="s">
        <v>230</v>
      </c>
      <c r="C38" s="69" t="s">
        <v>187</v>
      </c>
      <c r="D38" s="69" t="s">
        <v>191</v>
      </c>
      <c r="E38" s="69" t="s">
        <v>191</v>
      </c>
      <c r="F38" s="69" t="s">
        <v>170</v>
      </c>
      <c r="G38" s="69" t="s">
        <v>192</v>
      </c>
      <c r="H38" s="69" t="s">
        <v>804</v>
      </c>
      <c r="I38" s="69">
        <v>2</v>
      </c>
      <c r="J38" s="238">
        <v>0.2668262983999703</v>
      </c>
      <c r="K38" s="238">
        <v>0.7167975850068431</v>
      </c>
      <c r="L38" s="69">
        <v>192.38629588063705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467.47967479674827</v>
      </c>
      <c r="W38" s="69">
        <v>467.47967479674827</v>
      </c>
      <c r="X38" s="69">
        <v>467.47967479674827</v>
      </c>
      <c r="Y38" s="69">
        <v>467.47967479674827</v>
      </c>
      <c r="Z38" s="69">
        <v>467.47967479674827</v>
      </c>
      <c r="AA38" s="69">
        <v>467.47967479674827</v>
      </c>
      <c r="AB38" s="69">
        <v>467.47967479674827</v>
      </c>
      <c r="AC38" s="69">
        <v>467.47967479674827</v>
      </c>
      <c r="AD38" s="69">
        <v>467.47967479674827</v>
      </c>
      <c r="AE38" s="69">
        <v>467.47967479674827</v>
      </c>
      <c r="AF38" s="69">
        <v>467.47967479674827</v>
      </c>
      <c r="AG38" s="69">
        <v>467.47967479674827</v>
      </c>
    </row>
    <row r="39" spans="1:33" ht="12.75" customHeight="1">
      <c r="A39" s="231" t="s">
        <v>2374</v>
      </c>
      <c r="B39" s="69" t="s">
        <v>231</v>
      </c>
      <c r="C39" s="69" t="s">
        <v>187</v>
      </c>
      <c r="D39" s="69" t="s">
        <v>191</v>
      </c>
      <c r="E39" s="69" t="s">
        <v>191</v>
      </c>
      <c r="F39" s="69" t="s">
        <v>170</v>
      </c>
      <c r="G39" s="69" t="s">
        <v>192</v>
      </c>
      <c r="H39" s="69" t="s">
        <v>804</v>
      </c>
      <c r="I39" s="69">
        <v>2</v>
      </c>
      <c r="J39" s="238">
        <v>0.2668262983999703</v>
      </c>
      <c r="K39" s="238">
        <v>0.7167975850068431</v>
      </c>
      <c r="L39" s="69">
        <v>192.38629588063705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467.47967479674827</v>
      </c>
      <c r="W39" s="69">
        <v>467.47967479674827</v>
      </c>
      <c r="X39" s="69">
        <v>467.47967479674827</v>
      </c>
      <c r="Y39" s="69">
        <v>467.47967479674827</v>
      </c>
      <c r="Z39" s="69">
        <v>467.47967479674827</v>
      </c>
      <c r="AA39" s="69">
        <v>467.47967479674827</v>
      </c>
      <c r="AB39" s="69">
        <v>467.47967479674827</v>
      </c>
      <c r="AC39" s="69">
        <v>467.47967479674827</v>
      </c>
      <c r="AD39" s="69">
        <v>467.47967479674827</v>
      </c>
      <c r="AE39" s="69">
        <v>467.47967479674827</v>
      </c>
      <c r="AF39" s="69">
        <v>467.47967479674827</v>
      </c>
      <c r="AG39" s="69">
        <v>467.47967479674827</v>
      </c>
    </row>
    <row r="40" spans="1:33" ht="12.75" customHeight="1">
      <c r="A40" s="231" t="s">
        <v>2374</v>
      </c>
      <c r="B40" s="69" t="s">
        <v>232</v>
      </c>
      <c r="C40" s="69" t="s">
        <v>187</v>
      </c>
      <c r="D40" s="69" t="s">
        <v>191</v>
      </c>
      <c r="E40" s="69" t="s">
        <v>191</v>
      </c>
      <c r="F40" s="69" t="s">
        <v>170</v>
      </c>
      <c r="G40" s="69" t="s">
        <v>192</v>
      </c>
      <c r="H40" s="69" t="s">
        <v>804</v>
      </c>
      <c r="I40" s="69">
        <v>2</v>
      </c>
      <c r="J40" s="238">
        <v>0.2668262983999703</v>
      </c>
      <c r="K40" s="238">
        <v>0.7167975850068431</v>
      </c>
      <c r="L40" s="69">
        <v>192.38629588063705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467.47967479674827</v>
      </c>
      <c r="W40" s="69">
        <v>467.47967479674827</v>
      </c>
      <c r="X40" s="69">
        <v>467.47967479674827</v>
      </c>
      <c r="Y40" s="69">
        <v>467.47967479674827</v>
      </c>
      <c r="Z40" s="69">
        <v>467.47967479674827</v>
      </c>
      <c r="AA40" s="69">
        <v>467.47967479674827</v>
      </c>
      <c r="AB40" s="69">
        <v>467.47967479674827</v>
      </c>
      <c r="AC40" s="69">
        <v>467.47967479674827</v>
      </c>
      <c r="AD40" s="69">
        <v>467.47967479674827</v>
      </c>
      <c r="AE40" s="69">
        <v>467.47967479674827</v>
      </c>
      <c r="AF40" s="69">
        <v>467.47967479674827</v>
      </c>
      <c r="AG40" s="69">
        <v>467.47967479674827</v>
      </c>
    </row>
    <row r="41" spans="1:33" ht="12.75" customHeight="1">
      <c r="A41" s="231" t="s">
        <v>2374</v>
      </c>
      <c r="B41" s="69" t="s">
        <v>233</v>
      </c>
      <c r="C41" s="69" t="s">
        <v>187</v>
      </c>
      <c r="D41" s="69" t="s">
        <v>191</v>
      </c>
      <c r="E41" s="69" t="s">
        <v>191</v>
      </c>
      <c r="F41" s="69" t="s">
        <v>170</v>
      </c>
      <c r="G41" s="69" t="s">
        <v>192</v>
      </c>
      <c r="H41" s="69" t="s">
        <v>804</v>
      </c>
      <c r="I41" s="69">
        <v>2</v>
      </c>
      <c r="J41" s="238">
        <v>0.2668262983999703</v>
      </c>
      <c r="K41" s="238">
        <v>0.7167975850068431</v>
      </c>
      <c r="L41" s="69">
        <v>192.38629588063705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467.47967479674827</v>
      </c>
      <c r="W41" s="69">
        <v>467.47967479674827</v>
      </c>
      <c r="X41" s="69">
        <v>467.47967479674827</v>
      </c>
      <c r="Y41" s="69">
        <v>467.47967479674827</v>
      </c>
      <c r="Z41" s="69">
        <v>467.47967479674827</v>
      </c>
      <c r="AA41" s="69">
        <v>467.47967479674827</v>
      </c>
      <c r="AB41" s="69">
        <v>467.47967479674827</v>
      </c>
      <c r="AC41" s="69">
        <v>467.47967479674827</v>
      </c>
      <c r="AD41" s="69">
        <v>467.47967479674827</v>
      </c>
      <c r="AE41" s="69">
        <v>467.47967479674827</v>
      </c>
      <c r="AF41" s="69">
        <v>467.47967479674827</v>
      </c>
      <c r="AG41" s="69">
        <v>467.47967479674827</v>
      </c>
    </row>
    <row r="42" spans="1:33" ht="12.75" customHeight="1">
      <c r="A42" s="231" t="s">
        <v>2374</v>
      </c>
      <c r="B42" s="69" t="s">
        <v>234</v>
      </c>
      <c r="C42" s="69" t="s">
        <v>187</v>
      </c>
      <c r="D42" s="69" t="s">
        <v>191</v>
      </c>
      <c r="E42" s="69" t="s">
        <v>191</v>
      </c>
      <c r="F42" s="69" t="s">
        <v>170</v>
      </c>
      <c r="G42" s="69" t="s">
        <v>192</v>
      </c>
      <c r="H42" s="69" t="s">
        <v>804</v>
      </c>
      <c r="I42" s="69">
        <v>2</v>
      </c>
      <c r="J42" s="238">
        <v>0.2668262983999703</v>
      </c>
      <c r="K42" s="238">
        <v>0.7167975850068431</v>
      </c>
      <c r="L42" s="69">
        <v>192.38629588063705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467.47967479674827</v>
      </c>
      <c r="W42" s="69">
        <v>467.47967479674827</v>
      </c>
      <c r="X42" s="69">
        <v>467.47967479674827</v>
      </c>
      <c r="Y42" s="69">
        <v>467.47967479674827</v>
      </c>
      <c r="Z42" s="69">
        <v>467.47967479674827</v>
      </c>
      <c r="AA42" s="69">
        <v>467.47967479674827</v>
      </c>
      <c r="AB42" s="69">
        <v>467.47967479674827</v>
      </c>
      <c r="AC42" s="69">
        <v>467.47967479674827</v>
      </c>
      <c r="AD42" s="69">
        <v>467.47967479674827</v>
      </c>
      <c r="AE42" s="69">
        <v>467.47967479674827</v>
      </c>
      <c r="AF42" s="69">
        <v>467.47967479674827</v>
      </c>
      <c r="AG42" s="69">
        <v>467.47967479674827</v>
      </c>
    </row>
    <row r="43" spans="1:33" ht="12.75" customHeight="1">
      <c r="A43" s="231" t="s">
        <v>2374</v>
      </c>
      <c r="B43" s="69" t="s">
        <v>235</v>
      </c>
      <c r="C43" s="69" t="s">
        <v>139</v>
      </c>
      <c r="D43" s="69" t="s">
        <v>191</v>
      </c>
      <c r="E43" s="69" t="s">
        <v>191</v>
      </c>
      <c r="F43" s="69" t="s">
        <v>166</v>
      </c>
      <c r="G43" s="69" t="s">
        <v>236</v>
      </c>
      <c r="H43" s="69" t="s">
        <v>2417</v>
      </c>
      <c r="I43" s="69">
        <v>1</v>
      </c>
      <c r="J43" s="238">
        <v>0.85</v>
      </c>
      <c r="K43" s="238">
        <v>0.60506988845340159</v>
      </c>
      <c r="L43" s="69">
        <v>123.91348598076651</v>
      </c>
      <c r="M43" s="69">
        <v>0</v>
      </c>
      <c r="N43" s="69">
        <v>0</v>
      </c>
      <c r="O43" s="69">
        <v>0</v>
      </c>
      <c r="P43" s="69">
        <v>0</v>
      </c>
      <c r="Q43" s="69">
        <v>238.27199999999993</v>
      </c>
      <c r="R43" s="69">
        <v>238.27199999999993</v>
      </c>
      <c r="S43" s="69">
        <v>238.27199999999993</v>
      </c>
      <c r="T43" s="69">
        <v>238.27199999999993</v>
      </c>
      <c r="U43" s="69">
        <v>238.27199999999993</v>
      </c>
      <c r="V43" s="69">
        <v>238.27199999999993</v>
      </c>
      <c r="W43" s="69">
        <v>238.27199999999993</v>
      </c>
      <c r="X43" s="69">
        <v>238.27199999999993</v>
      </c>
      <c r="Y43" s="69">
        <v>238.27199999999993</v>
      </c>
      <c r="Z43" s="69">
        <v>238.27199999999993</v>
      </c>
      <c r="AA43" s="69">
        <v>238.27199999999993</v>
      </c>
      <c r="AB43" s="69">
        <v>238.27199999999993</v>
      </c>
      <c r="AC43" s="69">
        <v>238.27199999999993</v>
      </c>
      <c r="AD43" s="69">
        <v>238.27199999999993</v>
      </c>
      <c r="AE43" s="69">
        <v>238.27199999999993</v>
      </c>
      <c r="AF43" s="69">
        <v>238.27199999999993</v>
      </c>
      <c r="AG43" s="69">
        <v>238.27199999999993</v>
      </c>
    </row>
    <row r="44" spans="1:33" ht="12.75" customHeight="1">
      <c r="A44" s="231" t="s">
        <v>2374</v>
      </c>
      <c r="B44" s="69" t="s">
        <v>237</v>
      </c>
      <c r="C44" s="69" t="s">
        <v>185</v>
      </c>
      <c r="D44" s="69" t="s">
        <v>205</v>
      </c>
      <c r="E44" s="69" t="s">
        <v>194</v>
      </c>
      <c r="F44" s="69" t="s">
        <v>175</v>
      </c>
      <c r="G44" s="69" t="s">
        <v>192</v>
      </c>
      <c r="H44" s="69" t="s">
        <v>804</v>
      </c>
      <c r="I44" s="69">
        <v>1</v>
      </c>
      <c r="J44" s="238">
        <v>0.26624999999999999</v>
      </c>
      <c r="K44" s="238">
        <v>0.50027165852802347</v>
      </c>
      <c r="L44" s="69">
        <v>147.69233230629843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583.08749999999964</v>
      </c>
      <c r="T44" s="69">
        <v>583.08749999999964</v>
      </c>
      <c r="U44" s="69">
        <v>583.08749999999964</v>
      </c>
      <c r="V44" s="69">
        <v>583.08749999999964</v>
      </c>
      <c r="W44" s="69">
        <v>583.08749999999964</v>
      </c>
      <c r="X44" s="69">
        <v>583.08749999999964</v>
      </c>
      <c r="Y44" s="69">
        <v>583.08749999999964</v>
      </c>
      <c r="Z44" s="69">
        <v>583.08749999999964</v>
      </c>
      <c r="AA44" s="69">
        <v>583.08749999999964</v>
      </c>
      <c r="AB44" s="69">
        <v>583.08749999999964</v>
      </c>
      <c r="AC44" s="69">
        <v>583.08749999999964</v>
      </c>
      <c r="AD44" s="69">
        <v>583.08749999999964</v>
      </c>
      <c r="AE44" s="69">
        <v>583.08749999999964</v>
      </c>
      <c r="AF44" s="69">
        <v>583.08749999999964</v>
      </c>
      <c r="AG44" s="69">
        <v>583.08749999999964</v>
      </c>
    </row>
    <row r="45" spans="1:33" ht="12.75" customHeight="1">
      <c r="A45" s="231" t="s">
        <v>2374</v>
      </c>
      <c r="B45" s="69" t="s">
        <v>238</v>
      </c>
      <c r="C45" s="69" t="s">
        <v>136</v>
      </c>
      <c r="D45" s="69" t="s">
        <v>191</v>
      </c>
      <c r="E45" s="69" t="s">
        <v>191</v>
      </c>
      <c r="F45" s="69" t="s">
        <v>161</v>
      </c>
      <c r="G45" s="69" t="s">
        <v>192</v>
      </c>
      <c r="H45" s="69" t="s">
        <v>2130</v>
      </c>
      <c r="I45" s="69">
        <v>1</v>
      </c>
      <c r="J45" s="238">
        <v>0.82499999999999996</v>
      </c>
      <c r="K45" s="238">
        <v>0.70497163608542901</v>
      </c>
      <c r="L45" s="69">
        <v>109.81489691553389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289.07999999999981</v>
      </c>
      <c r="S45" s="69">
        <v>289.07999999999981</v>
      </c>
      <c r="T45" s="69">
        <v>289.07999999999981</v>
      </c>
      <c r="U45" s="69">
        <v>289.07999999999981</v>
      </c>
      <c r="V45" s="69">
        <v>289.07999999999981</v>
      </c>
      <c r="W45" s="69">
        <v>289.07999999999981</v>
      </c>
      <c r="X45" s="69">
        <v>289.07999999999981</v>
      </c>
      <c r="Y45" s="69">
        <v>289.07999999999981</v>
      </c>
      <c r="Z45" s="69">
        <v>289.07999999999981</v>
      </c>
      <c r="AA45" s="69">
        <v>289.07999999999981</v>
      </c>
      <c r="AB45" s="69">
        <v>289.07999999999981</v>
      </c>
      <c r="AC45" s="69">
        <v>289.07999999999981</v>
      </c>
      <c r="AD45" s="69">
        <v>289.07999999999981</v>
      </c>
      <c r="AE45" s="69">
        <v>289.07999999999981</v>
      </c>
      <c r="AF45" s="69">
        <v>289.07999999999981</v>
      </c>
      <c r="AG45" s="69">
        <v>289.07999999999981</v>
      </c>
    </row>
    <row r="46" spans="1:33" ht="12.75" customHeight="1">
      <c r="A46" s="231" t="s">
        <v>2374</v>
      </c>
      <c r="B46" s="69" t="s">
        <v>239</v>
      </c>
      <c r="C46" s="69" t="s">
        <v>137</v>
      </c>
      <c r="D46" s="69" t="s">
        <v>191</v>
      </c>
      <c r="E46" s="69" t="s">
        <v>191</v>
      </c>
      <c r="F46" s="69" t="s">
        <v>180</v>
      </c>
      <c r="G46" s="69" t="s">
        <v>192</v>
      </c>
      <c r="H46" s="69" t="s">
        <v>804</v>
      </c>
      <c r="I46" s="69">
        <v>2</v>
      </c>
      <c r="J46" s="238">
        <v>0.32235762917068039</v>
      </c>
      <c r="K46" s="238">
        <v>0.160195270625522</v>
      </c>
      <c r="L46" s="69">
        <v>96.038728079112801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56.477056630701554</v>
      </c>
      <c r="S46" s="69">
        <v>56.477056630701554</v>
      </c>
      <c r="T46" s="69">
        <v>56.477056630701554</v>
      </c>
      <c r="U46" s="69">
        <v>56.477056630701554</v>
      </c>
      <c r="V46" s="69">
        <v>56.477056630701554</v>
      </c>
      <c r="W46" s="69">
        <v>56.477056630701554</v>
      </c>
      <c r="X46" s="69">
        <v>56.477056630701554</v>
      </c>
      <c r="Y46" s="69">
        <v>56.477056630701554</v>
      </c>
      <c r="Z46" s="69">
        <v>56.477056630701554</v>
      </c>
      <c r="AA46" s="69">
        <v>56.477056630701554</v>
      </c>
      <c r="AB46" s="69">
        <v>56.477056630701554</v>
      </c>
      <c r="AC46" s="69">
        <v>56.477056630701554</v>
      </c>
      <c r="AD46" s="69">
        <v>56.477056630701554</v>
      </c>
      <c r="AE46" s="69">
        <v>56.477056630701554</v>
      </c>
      <c r="AF46" s="69">
        <v>56.477056630701554</v>
      </c>
      <c r="AG46" s="69">
        <v>56.477056630701554</v>
      </c>
    </row>
    <row r="47" spans="1:33" ht="12.75" customHeight="1">
      <c r="A47" s="231" t="s">
        <v>2374</v>
      </c>
      <c r="B47" s="69" t="s">
        <v>240</v>
      </c>
      <c r="C47" s="69" t="s">
        <v>137</v>
      </c>
      <c r="D47" s="69" t="s">
        <v>191</v>
      </c>
      <c r="E47" s="69" t="s">
        <v>191</v>
      </c>
      <c r="F47" s="69" t="s">
        <v>180</v>
      </c>
      <c r="G47" s="69" t="s">
        <v>192</v>
      </c>
      <c r="H47" s="69" t="s">
        <v>804</v>
      </c>
      <c r="I47" s="69">
        <v>2</v>
      </c>
      <c r="J47" s="238">
        <v>0.32235762917068039</v>
      </c>
      <c r="K47" s="238">
        <v>0.160195270625522</v>
      </c>
      <c r="L47" s="69">
        <v>96.038728079112801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11.295411326140311</v>
      </c>
      <c r="S47" s="69">
        <v>11.295411326140311</v>
      </c>
      <c r="T47" s="69">
        <v>11.295411326140311</v>
      </c>
      <c r="U47" s="69">
        <v>11.295411326140311</v>
      </c>
      <c r="V47" s="69">
        <v>11.295411326140311</v>
      </c>
      <c r="W47" s="69">
        <v>11.295411326140311</v>
      </c>
      <c r="X47" s="69">
        <v>11.295411326140311</v>
      </c>
      <c r="Y47" s="69">
        <v>11.295411326140311</v>
      </c>
      <c r="Z47" s="69">
        <v>11.295411326140311</v>
      </c>
      <c r="AA47" s="69">
        <v>11.295411326140311</v>
      </c>
      <c r="AB47" s="69">
        <v>11.295411326140311</v>
      </c>
      <c r="AC47" s="69">
        <v>11.295411326140311</v>
      </c>
      <c r="AD47" s="69">
        <v>11.295411326140311</v>
      </c>
      <c r="AE47" s="69">
        <v>11.295411326140311</v>
      </c>
      <c r="AF47" s="69">
        <v>11.295411326140311</v>
      </c>
      <c r="AG47" s="69">
        <v>11.295411326140311</v>
      </c>
    </row>
    <row r="48" spans="1:33" ht="12.75" customHeight="1">
      <c r="A48" s="231" t="s">
        <v>2374</v>
      </c>
      <c r="B48" s="69" t="s">
        <v>241</v>
      </c>
      <c r="C48" s="69" t="s">
        <v>186</v>
      </c>
      <c r="D48" s="69" t="s">
        <v>218</v>
      </c>
      <c r="E48" s="69" t="s">
        <v>242</v>
      </c>
      <c r="F48" s="69" t="s">
        <v>158</v>
      </c>
      <c r="G48" s="69" t="s">
        <v>192</v>
      </c>
      <c r="H48" s="69" t="s">
        <v>804</v>
      </c>
      <c r="I48" s="69">
        <v>1</v>
      </c>
      <c r="J48" s="238">
        <v>0.24339198871440765</v>
      </c>
      <c r="K48" s="238">
        <v>0</v>
      </c>
      <c r="L48" s="69">
        <v>193.77952335557677</v>
      </c>
      <c r="M48" s="69">
        <v>-4.6901811248808389</v>
      </c>
      <c r="N48" s="69">
        <v>0</v>
      </c>
      <c r="O48" s="69">
        <v>0</v>
      </c>
      <c r="P48" s="69">
        <v>0</v>
      </c>
      <c r="Q48" s="69">
        <v>42.642276422764553</v>
      </c>
      <c r="R48" s="69">
        <v>42.642276422764553</v>
      </c>
      <c r="S48" s="69">
        <v>42.642276422764553</v>
      </c>
      <c r="T48" s="69">
        <v>42.642276422764553</v>
      </c>
      <c r="U48" s="69">
        <v>42.642276422764553</v>
      </c>
      <c r="V48" s="69">
        <v>42.642276422764553</v>
      </c>
      <c r="W48" s="69">
        <v>42.642276422764553</v>
      </c>
      <c r="X48" s="69">
        <v>42.642276422764553</v>
      </c>
      <c r="Y48" s="69">
        <v>42.642276422764553</v>
      </c>
      <c r="Z48" s="69">
        <v>42.642276422764553</v>
      </c>
      <c r="AA48" s="69">
        <v>42.642276422764553</v>
      </c>
      <c r="AB48" s="69">
        <v>42.642276422764553</v>
      </c>
      <c r="AC48" s="69">
        <v>42.642276422764553</v>
      </c>
      <c r="AD48" s="69">
        <v>42.642276422764553</v>
      </c>
      <c r="AE48" s="69">
        <v>42.642276422764553</v>
      </c>
      <c r="AF48" s="69">
        <v>42.642276422764553</v>
      </c>
      <c r="AG48" s="69">
        <v>42.642276422764553</v>
      </c>
    </row>
    <row r="49" spans="1:33" ht="12.75" customHeight="1">
      <c r="A49" s="231" t="s">
        <v>2374</v>
      </c>
      <c r="B49" s="69" t="s">
        <v>243</v>
      </c>
      <c r="C49" s="69" t="s">
        <v>186</v>
      </c>
      <c r="D49" s="69" t="s">
        <v>218</v>
      </c>
      <c r="E49" s="69" t="s">
        <v>244</v>
      </c>
      <c r="F49" s="69" t="s">
        <v>158</v>
      </c>
      <c r="G49" s="69" t="s">
        <v>192</v>
      </c>
      <c r="H49" s="69" t="s">
        <v>804</v>
      </c>
      <c r="I49" s="69">
        <v>1</v>
      </c>
      <c r="J49" s="238">
        <v>0.2668262983999703</v>
      </c>
      <c r="K49" s="238">
        <v>0</v>
      </c>
      <c r="L49" s="69">
        <v>176.76062608695653</v>
      </c>
      <c r="M49" s="69">
        <v>-4.2782608695652176</v>
      </c>
      <c r="N49" s="69">
        <v>46.747967479674116</v>
      </c>
      <c r="O49" s="69">
        <v>46.747967479674116</v>
      </c>
      <c r="P49" s="69">
        <v>46.747967479674116</v>
      </c>
      <c r="Q49" s="69">
        <v>46.747967479674116</v>
      </c>
      <c r="R49" s="69">
        <v>46.747967479674116</v>
      </c>
      <c r="S49" s="69">
        <v>46.747967479674116</v>
      </c>
      <c r="T49" s="69">
        <v>46.747967479674116</v>
      </c>
      <c r="U49" s="69">
        <v>46.747967479674116</v>
      </c>
      <c r="V49" s="69">
        <v>46.747967479674116</v>
      </c>
      <c r="W49" s="69">
        <v>46.747967479674116</v>
      </c>
      <c r="X49" s="69">
        <v>46.747967479674116</v>
      </c>
      <c r="Y49" s="69">
        <v>46.747967479674116</v>
      </c>
      <c r="Z49" s="69">
        <v>46.747967479674116</v>
      </c>
      <c r="AA49" s="69">
        <v>46.747967479674116</v>
      </c>
      <c r="AB49" s="69">
        <v>46.747967479674116</v>
      </c>
      <c r="AC49" s="69">
        <v>46.747967479674116</v>
      </c>
      <c r="AD49" s="69">
        <v>46.747967479674116</v>
      </c>
      <c r="AE49" s="69">
        <v>46.747967479674116</v>
      </c>
      <c r="AF49" s="69">
        <v>46.747967479674116</v>
      </c>
      <c r="AG49" s="69">
        <v>46.747967479674116</v>
      </c>
    </row>
    <row r="50" spans="1:33" ht="12.75" customHeight="1">
      <c r="A50" s="231" t="s">
        <v>2374</v>
      </c>
      <c r="B50" s="69" t="s">
        <v>245</v>
      </c>
      <c r="C50" s="69" t="s">
        <v>137</v>
      </c>
      <c r="D50" s="69" t="s">
        <v>191</v>
      </c>
      <c r="E50" s="69" t="s">
        <v>191</v>
      </c>
      <c r="F50" s="69" t="s">
        <v>180</v>
      </c>
      <c r="G50" s="69" t="s">
        <v>192</v>
      </c>
      <c r="H50" s="69" t="s">
        <v>804</v>
      </c>
      <c r="I50" s="69">
        <v>2</v>
      </c>
      <c r="J50" s="238">
        <v>0.32235762917068039</v>
      </c>
      <c r="K50" s="238">
        <v>0.160195270625522</v>
      </c>
      <c r="L50" s="69">
        <v>96.038728079112801</v>
      </c>
      <c r="M50" s="69">
        <v>0</v>
      </c>
      <c r="N50" s="69">
        <v>0</v>
      </c>
      <c r="O50" s="69">
        <v>0</v>
      </c>
      <c r="P50" s="69">
        <v>0</v>
      </c>
      <c r="Q50" s="69">
        <v>0</v>
      </c>
      <c r="R50" s="69">
        <v>56.477056630701554</v>
      </c>
      <c r="S50" s="69">
        <v>56.477056630701554</v>
      </c>
      <c r="T50" s="69">
        <v>56.477056630701554</v>
      </c>
      <c r="U50" s="69">
        <v>56.477056630701554</v>
      </c>
      <c r="V50" s="69">
        <v>56.477056630701554</v>
      </c>
      <c r="W50" s="69">
        <v>56.477056630701554</v>
      </c>
      <c r="X50" s="69">
        <v>56.477056630701554</v>
      </c>
      <c r="Y50" s="69">
        <v>56.477056630701554</v>
      </c>
      <c r="Z50" s="69">
        <v>56.477056630701554</v>
      </c>
      <c r="AA50" s="69">
        <v>56.477056630701554</v>
      </c>
      <c r="AB50" s="69">
        <v>56.477056630701554</v>
      </c>
      <c r="AC50" s="69">
        <v>56.477056630701554</v>
      </c>
      <c r="AD50" s="69">
        <v>56.477056630701554</v>
      </c>
      <c r="AE50" s="69">
        <v>56.477056630701554</v>
      </c>
      <c r="AF50" s="69">
        <v>56.477056630701554</v>
      </c>
      <c r="AG50" s="69">
        <v>56.477056630701554</v>
      </c>
    </row>
    <row r="51" spans="1:33" ht="12.75" customHeight="1">
      <c r="A51" s="231" t="s">
        <v>2374</v>
      </c>
      <c r="B51" s="69" t="s">
        <v>246</v>
      </c>
      <c r="C51" s="69" t="s">
        <v>186</v>
      </c>
      <c r="D51" s="69" t="s">
        <v>218</v>
      </c>
      <c r="E51" s="69" t="s">
        <v>244</v>
      </c>
      <c r="F51" s="69" t="s">
        <v>158</v>
      </c>
      <c r="G51" s="69" t="s">
        <v>192</v>
      </c>
      <c r="H51" s="69" t="s">
        <v>804</v>
      </c>
      <c r="I51" s="69">
        <v>1</v>
      </c>
      <c r="J51" s="238">
        <v>0.2668262983999703</v>
      </c>
      <c r="K51" s="238">
        <v>0</v>
      </c>
      <c r="L51" s="69">
        <v>176.76062608695653</v>
      </c>
      <c r="M51" s="69">
        <v>-4.2782608695652176</v>
      </c>
      <c r="N51" s="69">
        <v>0</v>
      </c>
      <c r="O51" s="69">
        <v>0</v>
      </c>
      <c r="P51" s="69">
        <v>0</v>
      </c>
      <c r="Q51" s="69">
        <v>11.686991869919437</v>
      </c>
      <c r="R51" s="69">
        <v>11.686991869919437</v>
      </c>
      <c r="S51" s="69">
        <v>11.686991869919437</v>
      </c>
      <c r="T51" s="69">
        <v>11.686991869919437</v>
      </c>
      <c r="U51" s="69">
        <v>11.686991869919437</v>
      </c>
      <c r="V51" s="69">
        <v>11.686991869919437</v>
      </c>
      <c r="W51" s="69">
        <v>11.686991869919437</v>
      </c>
      <c r="X51" s="69">
        <v>11.686991869919437</v>
      </c>
      <c r="Y51" s="69">
        <v>11.686991869919437</v>
      </c>
      <c r="Z51" s="69">
        <v>11.686991869919437</v>
      </c>
      <c r="AA51" s="69">
        <v>11.686991869919437</v>
      </c>
      <c r="AB51" s="69">
        <v>11.686991869919437</v>
      </c>
      <c r="AC51" s="69">
        <v>11.686991869919437</v>
      </c>
      <c r="AD51" s="69">
        <v>11.686991869919437</v>
      </c>
      <c r="AE51" s="69">
        <v>11.686991869919437</v>
      </c>
      <c r="AF51" s="69">
        <v>11.686991869919437</v>
      </c>
      <c r="AG51" s="69">
        <v>11.686991869919437</v>
      </c>
    </row>
    <row r="52" spans="1:33" ht="12.75" customHeight="1">
      <c r="A52" s="231" t="s">
        <v>2374</v>
      </c>
      <c r="B52" s="69" t="s">
        <v>247</v>
      </c>
      <c r="C52" s="69" t="s">
        <v>186</v>
      </c>
      <c r="D52" s="69" t="s">
        <v>218</v>
      </c>
      <c r="E52" s="69" t="s">
        <v>244</v>
      </c>
      <c r="F52" s="69" t="s">
        <v>158</v>
      </c>
      <c r="G52" s="69" t="s">
        <v>192</v>
      </c>
      <c r="H52" s="69" t="s">
        <v>804</v>
      </c>
      <c r="I52" s="69">
        <v>1</v>
      </c>
      <c r="J52" s="238">
        <v>0.2668262983999703</v>
      </c>
      <c r="K52" s="238">
        <v>0</v>
      </c>
      <c r="L52" s="69">
        <v>176.76062608695653</v>
      </c>
      <c r="M52" s="69">
        <v>-4.2782608695652176</v>
      </c>
      <c r="N52" s="69">
        <v>0</v>
      </c>
      <c r="O52" s="69">
        <v>0</v>
      </c>
      <c r="P52" s="69">
        <v>0</v>
      </c>
      <c r="Q52" s="69">
        <v>46.747967479674116</v>
      </c>
      <c r="R52" s="69">
        <v>46.747967479674116</v>
      </c>
      <c r="S52" s="69">
        <v>46.747967479674116</v>
      </c>
      <c r="T52" s="69">
        <v>46.747967479674116</v>
      </c>
      <c r="U52" s="69">
        <v>46.747967479674116</v>
      </c>
      <c r="V52" s="69">
        <v>46.747967479674116</v>
      </c>
      <c r="W52" s="69">
        <v>46.747967479674116</v>
      </c>
      <c r="X52" s="69">
        <v>46.747967479674116</v>
      </c>
      <c r="Y52" s="69">
        <v>46.747967479674116</v>
      </c>
      <c r="Z52" s="69">
        <v>46.747967479674116</v>
      </c>
      <c r="AA52" s="69">
        <v>46.747967479674116</v>
      </c>
      <c r="AB52" s="69">
        <v>46.747967479674116</v>
      </c>
      <c r="AC52" s="69">
        <v>46.747967479674116</v>
      </c>
      <c r="AD52" s="69">
        <v>46.747967479674116</v>
      </c>
      <c r="AE52" s="69">
        <v>46.747967479674116</v>
      </c>
      <c r="AF52" s="69">
        <v>46.747967479674116</v>
      </c>
      <c r="AG52" s="69">
        <v>46.747967479674116</v>
      </c>
    </row>
    <row r="53" spans="1:33" ht="12.75" customHeight="1">
      <c r="A53" s="231" t="s">
        <v>2374</v>
      </c>
      <c r="B53" s="69" t="s">
        <v>248</v>
      </c>
      <c r="C53" s="69" t="s">
        <v>186</v>
      </c>
      <c r="D53" s="69" t="s">
        <v>218</v>
      </c>
      <c r="E53" s="69" t="s">
        <v>244</v>
      </c>
      <c r="F53" s="69" t="s">
        <v>158</v>
      </c>
      <c r="G53" s="69" t="s">
        <v>192</v>
      </c>
      <c r="H53" s="69" t="s">
        <v>804</v>
      </c>
      <c r="I53" s="69">
        <v>1</v>
      </c>
      <c r="J53" s="238">
        <v>0.2668262983999703</v>
      </c>
      <c r="K53" s="238">
        <v>0</v>
      </c>
      <c r="L53" s="69">
        <v>176.76062608695653</v>
      </c>
      <c r="M53" s="69">
        <v>-4.2782608695652176</v>
      </c>
      <c r="N53" s="69">
        <v>0</v>
      </c>
      <c r="O53" s="69">
        <v>0</v>
      </c>
      <c r="P53" s="69">
        <v>0</v>
      </c>
      <c r="Q53" s="69">
        <v>46.747967479674116</v>
      </c>
      <c r="R53" s="69">
        <v>46.747967479674116</v>
      </c>
      <c r="S53" s="69">
        <v>46.747967479674116</v>
      </c>
      <c r="T53" s="69">
        <v>46.747967479674116</v>
      </c>
      <c r="U53" s="69">
        <v>46.747967479674116</v>
      </c>
      <c r="V53" s="69">
        <v>46.747967479674116</v>
      </c>
      <c r="W53" s="69">
        <v>46.747967479674116</v>
      </c>
      <c r="X53" s="69">
        <v>46.747967479674116</v>
      </c>
      <c r="Y53" s="69">
        <v>46.747967479674116</v>
      </c>
      <c r="Z53" s="69">
        <v>46.747967479674116</v>
      </c>
      <c r="AA53" s="69">
        <v>46.747967479674116</v>
      </c>
      <c r="AB53" s="69">
        <v>46.747967479674116</v>
      </c>
      <c r="AC53" s="69">
        <v>46.747967479674116</v>
      </c>
      <c r="AD53" s="69">
        <v>46.747967479674116</v>
      </c>
      <c r="AE53" s="69">
        <v>46.747967479674116</v>
      </c>
      <c r="AF53" s="69">
        <v>46.747967479674116</v>
      </c>
      <c r="AG53" s="69">
        <v>46.747967479674116</v>
      </c>
    </row>
    <row r="54" spans="1:33" ht="12.75" customHeight="1">
      <c r="A54" s="231" t="s">
        <v>2374</v>
      </c>
      <c r="B54" s="69" t="s">
        <v>249</v>
      </c>
      <c r="C54" s="69" t="s">
        <v>186</v>
      </c>
      <c r="D54" s="69" t="s">
        <v>218</v>
      </c>
      <c r="E54" s="69" t="s">
        <v>244</v>
      </c>
      <c r="F54" s="69" t="s">
        <v>158</v>
      </c>
      <c r="G54" s="69" t="s">
        <v>192</v>
      </c>
      <c r="H54" s="69" t="s">
        <v>804</v>
      </c>
      <c r="I54" s="69">
        <v>1</v>
      </c>
      <c r="J54" s="238">
        <v>0.2668262983999703</v>
      </c>
      <c r="K54" s="238">
        <v>0</v>
      </c>
      <c r="L54" s="69">
        <v>176.76062608695653</v>
      </c>
      <c r="M54" s="69">
        <v>-4.2782608695652176</v>
      </c>
      <c r="N54" s="69">
        <v>0</v>
      </c>
      <c r="O54" s="69">
        <v>0</v>
      </c>
      <c r="P54" s="69">
        <v>0</v>
      </c>
      <c r="Q54" s="69">
        <v>0</v>
      </c>
      <c r="R54" s="69">
        <v>46.747967479674116</v>
      </c>
      <c r="S54" s="69">
        <v>46.747967479674116</v>
      </c>
      <c r="T54" s="69">
        <v>46.747967479674116</v>
      </c>
      <c r="U54" s="69">
        <v>46.747967479674116</v>
      </c>
      <c r="V54" s="69">
        <v>46.747967479674116</v>
      </c>
      <c r="W54" s="69">
        <v>46.747967479674116</v>
      </c>
      <c r="X54" s="69">
        <v>46.747967479674116</v>
      </c>
      <c r="Y54" s="69">
        <v>46.747967479674116</v>
      </c>
      <c r="Z54" s="69">
        <v>46.747967479674116</v>
      </c>
      <c r="AA54" s="69">
        <v>46.747967479674116</v>
      </c>
      <c r="AB54" s="69">
        <v>46.747967479674116</v>
      </c>
      <c r="AC54" s="69">
        <v>46.747967479674116</v>
      </c>
      <c r="AD54" s="69">
        <v>46.747967479674116</v>
      </c>
      <c r="AE54" s="69">
        <v>46.747967479674116</v>
      </c>
      <c r="AF54" s="69">
        <v>46.747967479674116</v>
      </c>
      <c r="AG54" s="69">
        <v>46.747967479674116</v>
      </c>
    </row>
    <row r="55" spans="1:33" ht="12.75" customHeight="1">
      <c r="A55" s="231" t="s">
        <v>2374</v>
      </c>
      <c r="B55" s="69" t="s">
        <v>250</v>
      </c>
      <c r="C55" s="69" t="s">
        <v>186</v>
      </c>
      <c r="D55" s="69" t="s">
        <v>218</v>
      </c>
      <c r="E55" s="69" t="s">
        <v>244</v>
      </c>
      <c r="F55" s="69" t="s">
        <v>158</v>
      </c>
      <c r="G55" s="69" t="s">
        <v>192</v>
      </c>
      <c r="H55" s="69" t="s">
        <v>804</v>
      </c>
      <c r="I55" s="69">
        <v>1</v>
      </c>
      <c r="J55" s="238">
        <v>0.2668262983999703</v>
      </c>
      <c r="K55" s="238">
        <v>0</v>
      </c>
      <c r="L55" s="69">
        <v>176.76062608695653</v>
      </c>
      <c r="M55" s="69">
        <v>-4.2782608695652176</v>
      </c>
      <c r="N55" s="69">
        <v>0</v>
      </c>
      <c r="O55" s="69">
        <v>0</v>
      </c>
      <c r="P55" s="69">
        <v>0</v>
      </c>
      <c r="Q55" s="69">
        <v>0</v>
      </c>
      <c r="R55" s="69">
        <v>46.747967479674116</v>
      </c>
      <c r="S55" s="69">
        <v>46.747967479674116</v>
      </c>
      <c r="T55" s="69">
        <v>46.747967479674116</v>
      </c>
      <c r="U55" s="69">
        <v>46.747967479674116</v>
      </c>
      <c r="V55" s="69">
        <v>46.747967479674116</v>
      </c>
      <c r="W55" s="69">
        <v>46.747967479674116</v>
      </c>
      <c r="X55" s="69">
        <v>46.747967479674116</v>
      </c>
      <c r="Y55" s="69">
        <v>46.747967479674116</v>
      </c>
      <c r="Z55" s="69">
        <v>46.747967479674116</v>
      </c>
      <c r="AA55" s="69">
        <v>46.747967479674116</v>
      </c>
      <c r="AB55" s="69">
        <v>46.747967479674116</v>
      </c>
      <c r="AC55" s="69">
        <v>46.747967479674116</v>
      </c>
      <c r="AD55" s="69">
        <v>46.747967479674116</v>
      </c>
      <c r="AE55" s="69">
        <v>46.747967479674116</v>
      </c>
      <c r="AF55" s="69">
        <v>46.747967479674116</v>
      </c>
      <c r="AG55" s="69">
        <v>46.747967479674116</v>
      </c>
    </row>
    <row r="56" spans="1:33" ht="12.75" customHeight="1">
      <c r="A56" s="231" t="s">
        <v>2374</v>
      </c>
      <c r="B56" s="69" t="s">
        <v>251</v>
      </c>
      <c r="C56" s="69" t="s">
        <v>186</v>
      </c>
      <c r="D56" s="69" t="s">
        <v>218</v>
      </c>
      <c r="E56" s="69" t="s">
        <v>244</v>
      </c>
      <c r="F56" s="69" t="s">
        <v>158</v>
      </c>
      <c r="G56" s="69" t="s">
        <v>192</v>
      </c>
      <c r="H56" s="69" t="s">
        <v>804</v>
      </c>
      <c r="I56" s="69">
        <v>1</v>
      </c>
      <c r="J56" s="238">
        <v>0.2668262983999703</v>
      </c>
      <c r="K56" s="238">
        <v>0</v>
      </c>
      <c r="L56" s="69">
        <v>176.76062608695653</v>
      </c>
      <c r="M56" s="69">
        <v>-4.2782608695652176</v>
      </c>
      <c r="N56" s="69">
        <v>0</v>
      </c>
      <c r="O56" s="69">
        <v>0</v>
      </c>
      <c r="P56" s="69">
        <v>0</v>
      </c>
      <c r="Q56" s="69">
        <v>0</v>
      </c>
      <c r="R56" s="69">
        <v>35.060975609756497</v>
      </c>
      <c r="S56" s="69">
        <v>35.060975609756497</v>
      </c>
      <c r="T56" s="69">
        <v>35.060975609756497</v>
      </c>
      <c r="U56" s="69">
        <v>35.060975609756497</v>
      </c>
      <c r="V56" s="69">
        <v>35.060975609756497</v>
      </c>
      <c r="W56" s="69">
        <v>35.060975609756497</v>
      </c>
      <c r="X56" s="69">
        <v>35.060975609756497</v>
      </c>
      <c r="Y56" s="69">
        <v>35.060975609756497</v>
      </c>
      <c r="Z56" s="69">
        <v>35.060975609756497</v>
      </c>
      <c r="AA56" s="69">
        <v>35.060975609756497</v>
      </c>
      <c r="AB56" s="69">
        <v>35.060975609756497</v>
      </c>
      <c r="AC56" s="69">
        <v>35.060975609756497</v>
      </c>
      <c r="AD56" s="69">
        <v>35.060975609756497</v>
      </c>
      <c r="AE56" s="69">
        <v>35.060975609756497</v>
      </c>
      <c r="AF56" s="69">
        <v>35.060975609756497</v>
      </c>
      <c r="AG56" s="69">
        <v>35.060975609756497</v>
      </c>
    </row>
    <row r="57" spans="1:33" ht="12.75" customHeight="1">
      <c r="A57" s="231" t="s">
        <v>2374</v>
      </c>
      <c r="B57" s="69" t="s">
        <v>252</v>
      </c>
      <c r="C57" s="69" t="s">
        <v>137</v>
      </c>
      <c r="D57" s="69" t="s">
        <v>191</v>
      </c>
      <c r="E57" s="69" t="s">
        <v>191</v>
      </c>
      <c r="F57" s="69" t="s">
        <v>169</v>
      </c>
      <c r="G57" s="69" t="s">
        <v>192</v>
      </c>
      <c r="H57" s="69" t="s">
        <v>804</v>
      </c>
      <c r="I57" s="69">
        <v>1</v>
      </c>
      <c r="J57" s="238">
        <v>0.32235762917068039</v>
      </c>
      <c r="K57" s="238">
        <v>0.16115831843295012</v>
      </c>
      <c r="L57" s="69">
        <v>96.038728079112801</v>
      </c>
      <c r="M57" s="69">
        <v>0</v>
      </c>
      <c r="N57" s="69">
        <v>0</v>
      </c>
      <c r="O57" s="69">
        <v>112.95411326140641</v>
      </c>
      <c r="P57" s="69">
        <v>112.95411326140641</v>
      </c>
      <c r="Q57" s="69">
        <v>112.95411326140641</v>
      </c>
      <c r="R57" s="69">
        <v>112.95411326140641</v>
      </c>
      <c r="S57" s="69">
        <v>112.95411326140641</v>
      </c>
      <c r="T57" s="69">
        <v>112.95411326140641</v>
      </c>
      <c r="U57" s="69">
        <v>112.95411326140641</v>
      </c>
      <c r="V57" s="69">
        <v>112.95411326140641</v>
      </c>
      <c r="W57" s="69">
        <v>112.95411326140641</v>
      </c>
      <c r="X57" s="69">
        <v>112.95411326140641</v>
      </c>
      <c r="Y57" s="69">
        <v>112.95411326140641</v>
      </c>
      <c r="Z57" s="69">
        <v>112.95411326140641</v>
      </c>
      <c r="AA57" s="69">
        <v>112.95411326140641</v>
      </c>
      <c r="AB57" s="69">
        <v>112.95411326140641</v>
      </c>
      <c r="AC57" s="69">
        <v>112.95411326140641</v>
      </c>
      <c r="AD57" s="69">
        <v>112.95411326140641</v>
      </c>
      <c r="AE57" s="69">
        <v>112.95411326140641</v>
      </c>
      <c r="AF57" s="69">
        <v>112.95411326140641</v>
      </c>
      <c r="AG57" s="69">
        <v>112.95411326140641</v>
      </c>
    </row>
    <row r="58" spans="1:33" ht="12.75" customHeight="1">
      <c r="A58" s="231" t="s">
        <v>2374</v>
      </c>
      <c r="B58" s="69" t="s">
        <v>253</v>
      </c>
      <c r="C58" s="69" t="s">
        <v>185</v>
      </c>
      <c r="D58" s="69" t="s">
        <v>193</v>
      </c>
      <c r="E58" s="69" t="s">
        <v>194</v>
      </c>
      <c r="F58" s="69" t="s">
        <v>161</v>
      </c>
      <c r="G58" s="69" t="s">
        <v>192</v>
      </c>
      <c r="H58" s="69" t="s">
        <v>2130</v>
      </c>
      <c r="I58" s="69">
        <v>2</v>
      </c>
      <c r="J58" s="238">
        <v>0.28999999999999998</v>
      </c>
      <c r="K58" s="238">
        <v>0.63643272702156795</v>
      </c>
      <c r="L58" s="69">
        <v>160.03163342556326</v>
      </c>
      <c r="M58" s="69">
        <v>0</v>
      </c>
      <c r="N58" s="69">
        <v>0</v>
      </c>
      <c r="O58" s="69">
        <v>0</v>
      </c>
      <c r="P58" s="69">
        <v>0</v>
      </c>
      <c r="Q58" s="69">
        <v>0</v>
      </c>
      <c r="R58" s="69">
        <v>0</v>
      </c>
      <c r="S58" s="69">
        <v>0</v>
      </c>
      <c r="T58" s="69">
        <v>0</v>
      </c>
      <c r="U58" s="69">
        <v>0</v>
      </c>
      <c r="V58" s="69">
        <v>16.327916206073567</v>
      </c>
      <c r="W58" s="69">
        <v>16.327916206073567</v>
      </c>
      <c r="X58" s="69">
        <v>16.327916206073567</v>
      </c>
      <c r="Y58" s="69">
        <v>16.327916206073567</v>
      </c>
      <c r="Z58" s="69">
        <v>16.327916206073567</v>
      </c>
      <c r="AA58" s="69">
        <v>16.327916206073567</v>
      </c>
      <c r="AB58" s="69">
        <v>16.327916206073567</v>
      </c>
      <c r="AC58" s="69">
        <v>16.327916206073567</v>
      </c>
      <c r="AD58" s="69">
        <v>16.327916206073567</v>
      </c>
      <c r="AE58" s="69">
        <v>16.327916206073567</v>
      </c>
      <c r="AF58" s="69">
        <v>16.327916206073567</v>
      </c>
      <c r="AG58" s="69">
        <v>16.327916206073567</v>
      </c>
    </row>
    <row r="59" spans="1:33" ht="12.75" customHeight="1">
      <c r="A59" s="231" t="s">
        <v>2374</v>
      </c>
      <c r="B59" s="69" t="s">
        <v>254</v>
      </c>
      <c r="C59" s="69" t="s">
        <v>137</v>
      </c>
      <c r="D59" s="69" t="s">
        <v>191</v>
      </c>
      <c r="E59" s="69" t="s">
        <v>191</v>
      </c>
      <c r="F59" s="69" t="s">
        <v>179</v>
      </c>
      <c r="G59" s="69" t="s">
        <v>192</v>
      </c>
      <c r="H59" s="69" t="s">
        <v>805</v>
      </c>
      <c r="I59" s="69">
        <v>1</v>
      </c>
      <c r="J59" s="238">
        <v>0.32235762917068039</v>
      </c>
      <c r="K59" s="238">
        <v>0.16152665976075289</v>
      </c>
      <c r="L59" s="69">
        <v>96.038728079112801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107.30640759833626</v>
      </c>
      <c r="U59" s="69">
        <v>107.30640759833626</v>
      </c>
      <c r="V59" s="69">
        <v>107.30640759833626</v>
      </c>
      <c r="W59" s="69">
        <v>107.30640759833626</v>
      </c>
      <c r="X59" s="69">
        <v>107.30640759833626</v>
      </c>
      <c r="Y59" s="69">
        <v>107.30640759833626</v>
      </c>
      <c r="Z59" s="69">
        <v>107.30640759833626</v>
      </c>
      <c r="AA59" s="69">
        <v>107.30640759833626</v>
      </c>
      <c r="AB59" s="69">
        <v>107.30640759833626</v>
      </c>
      <c r="AC59" s="69">
        <v>107.30640759833626</v>
      </c>
      <c r="AD59" s="69">
        <v>107.30640759833626</v>
      </c>
      <c r="AE59" s="69">
        <v>107.30640759833626</v>
      </c>
      <c r="AF59" s="69">
        <v>107.30640759833626</v>
      </c>
      <c r="AG59" s="69">
        <v>107.30640759833626</v>
      </c>
    </row>
    <row r="60" spans="1:33" ht="12.75" customHeight="1">
      <c r="A60" s="231" t="s">
        <v>2374</v>
      </c>
      <c r="B60" s="69" t="s">
        <v>255</v>
      </c>
      <c r="C60" s="69" t="s">
        <v>139</v>
      </c>
      <c r="D60" s="69" t="s">
        <v>191</v>
      </c>
      <c r="E60" s="69" t="s">
        <v>191</v>
      </c>
      <c r="F60" s="69" t="s">
        <v>167</v>
      </c>
      <c r="G60" s="69" t="s">
        <v>192</v>
      </c>
      <c r="H60" s="69" t="s">
        <v>805</v>
      </c>
      <c r="I60" s="69">
        <v>1</v>
      </c>
      <c r="J60" s="238">
        <v>0.85</v>
      </c>
      <c r="K60" s="238">
        <v>0.66</v>
      </c>
      <c r="L60" s="69">
        <v>127.99027888971092</v>
      </c>
      <c r="M60" s="69">
        <v>0</v>
      </c>
      <c r="N60" s="69">
        <v>0</v>
      </c>
      <c r="O60" s="69">
        <v>0</v>
      </c>
      <c r="P60" s="69">
        <v>0</v>
      </c>
      <c r="Q60" s="69">
        <v>37.230000000000018</v>
      </c>
      <c r="R60" s="69">
        <v>37.230000000000018</v>
      </c>
      <c r="S60" s="69">
        <v>37.230000000000018</v>
      </c>
      <c r="T60" s="69">
        <v>37.230000000000018</v>
      </c>
      <c r="U60" s="69">
        <v>37.230000000000018</v>
      </c>
      <c r="V60" s="69">
        <v>37.230000000000018</v>
      </c>
      <c r="W60" s="69">
        <v>37.230000000000018</v>
      </c>
      <c r="X60" s="69">
        <v>37.230000000000018</v>
      </c>
      <c r="Y60" s="69">
        <v>37.230000000000018</v>
      </c>
      <c r="Z60" s="69">
        <v>37.230000000000018</v>
      </c>
      <c r="AA60" s="69">
        <v>37.230000000000018</v>
      </c>
      <c r="AB60" s="69">
        <v>37.230000000000018</v>
      </c>
      <c r="AC60" s="69">
        <v>37.230000000000018</v>
      </c>
      <c r="AD60" s="69">
        <v>37.230000000000018</v>
      </c>
      <c r="AE60" s="69">
        <v>37.230000000000018</v>
      </c>
      <c r="AF60" s="69">
        <v>37.230000000000018</v>
      </c>
      <c r="AG60" s="69">
        <v>37.230000000000018</v>
      </c>
    </row>
    <row r="61" spans="1:33" ht="12.75" customHeight="1">
      <c r="A61" s="231" t="s">
        <v>2374</v>
      </c>
      <c r="B61" s="69" t="s">
        <v>256</v>
      </c>
      <c r="C61" s="69" t="s">
        <v>136</v>
      </c>
      <c r="D61" s="69" t="s">
        <v>191</v>
      </c>
      <c r="E61" s="69" t="s">
        <v>191</v>
      </c>
      <c r="F61" s="69" t="s">
        <v>161</v>
      </c>
      <c r="G61" s="69" t="s">
        <v>192</v>
      </c>
      <c r="H61" s="69" t="s">
        <v>2130</v>
      </c>
      <c r="I61" s="69">
        <v>2</v>
      </c>
      <c r="J61" s="238">
        <v>0.82500000000000007</v>
      </c>
      <c r="K61" s="238">
        <v>0.70497163608542901</v>
      </c>
      <c r="L61" s="69">
        <v>109.81489691553389</v>
      </c>
      <c r="M61" s="69">
        <v>0</v>
      </c>
      <c r="N61" s="69">
        <v>0</v>
      </c>
      <c r="O61" s="69">
        <v>0</v>
      </c>
      <c r="P61" s="69">
        <v>0</v>
      </c>
      <c r="Q61" s="69">
        <v>354.12299999999982</v>
      </c>
      <c r="R61" s="69">
        <v>354.12299999999982</v>
      </c>
      <c r="S61" s="69">
        <v>354.12299999999982</v>
      </c>
      <c r="T61" s="69">
        <v>354.12299999999982</v>
      </c>
      <c r="U61" s="69">
        <v>354.12299999999982</v>
      </c>
      <c r="V61" s="69">
        <v>354.12299999999982</v>
      </c>
      <c r="W61" s="69">
        <v>354.12299999999982</v>
      </c>
      <c r="X61" s="69">
        <v>354.12299999999982</v>
      </c>
      <c r="Y61" s="69">
        <v>354.12299999999982</v>
      </c>
      <c r="Z61" s="69">
        <v>354.12299999999982</v>
      </c>
      <c r="AA61" s="69">
        <v>354.12299999999982</v>
      </c>
      <c r="AB61" s="69">
        <v>354.12299999999982</v>
      </c>
      <c r="AC61" s="69">
        <v>354.12299999999982</v>
      </c>
      <c r="AD61" s="69">
        <v>354.12299999999982</v>
      </c>
      <c r="AE61" s="69">
        <v>354.12299999999982</v>
      </c>
      <c r="AF61" s="69">
        <v>354.12299999999982</v>
      </c>
      <c r="AG61" s="69">
        <v>354.12299999999982</v>
      </c>
    </row>
    <row r="62" spans="1:33" ht="12.75" customHeight="1">
      <c r="A62" s="231" t="s">
        <v>2374</v>
      </c>
      <c r="B62" s="69" t="s">
        <v>257</v>
      </c>
      <c r="C62" s="69" t="s">
        <v>137</v>
      </c>
      <c r="D62" s="69" t="s">
        <v>191</v>
      </c>
      <c r="E62" s="69" t="s">
        <v>191</v>
      </c>
      <c r="F62" s="69" t="s">
        <v>176</v>
      </c>
      <c r="G62" s="69" t="s">
        <v>192</v>
      </c>
      <c r="H62" s="69" t="s">
        <v>805</v>
      </c>
      <c r="I62" s="69">
        <v>1</v>
      </c>
      <c r="J62" s="238">
        <v>0.32235762917068039</v>
      </c>
      <c r="K62" s="238">
        <v>0.16099729857063147</v>
      </c>
      <c r="L62" s="69">
        <v>96.038728079112801</v>
      </c>
      <c r="M62" s="69">
        <v>0</v>
      </c>
      <c r="N62" s="69">
        <v>220.82529142605017</v>
      </c>
      <c r="O62" s="69">
        <v>220.82529142605017</v>
      </c>
      <c r="P62" s="69">
        <v>220.82529142605017</v>
      </c>
      <c r="Q62" s="69">
        <v>220.82529142605017</v>
      </c>
      <c r="R62" s="69">
        <v>220.82529142605017</v>
      </c>
      <c r="S62" s="69">
        <v>220.82529142605017</v>
      </c>
      <c r="T62" s="69">
        <v>220.82529142605017</v>
      </c>
      <c r="U62" s="69">
        <v>220.82529142605017</v>
      </c>
      <c r="V62" s="69">
        <v>220.82529142605017</v>
      </c>
      <c r="W62" s="69">
        <v>220.82529142605017</v>
      </c>
      <c r="X62" s="69">
        <v>220.82529142605017</v>
      </c>
      <c r="Y62" s="69">
        <v>220.82529142605017</v>
      </c>
      <c r="Z62" s="69">
        <v>220.82529142605017</v>
      </c>
      <c r="AA62" s="69">
        <v>220.82529142605017</v>
      </c>
      <c r="AB62" s="69">
        <v>220.82529142605017</v>
      </c>
      <c r="AC62" s="69">
        <v>220.82529142605017</v>
      </c>
      <c r="AD62" s="69">
        <v>220.82529142605017</v>
      </c>
      <c r="AE62" s="69">
        <v>220.82529142605017</v>
      </c>
      <c r="AF62" s="69">
        <v>220.82529142605017</v>
      </c>
      <c r="AG62" s="69">
        <v>220.82529142605017</v>
      </c>
    </row>
    <row r="63" spans="1:33" ht="12.75" customHeight="1">
      <c r="A63" s="231" t="s">
        <v>2374</v>
      </c>
      <c r="B63" s="69" t="s">
        <v>258</v>
      </c>
      <c r="C63" s="69" t="s">
        <v>186</v>
      </c>
      <c r="D63" s="69" t="s">
        <v>259</v>
      </c>
      <c r="E63" s="69" t="s">
        <v>260</v>
      </c>
      <c r="F63" s="69" t="s">
        <v>157</v>
      </c>
      <c r="G63" s="69" t="s">
        <v>192</v>
      </c>
      <c r="H63" s="69" t="s">
        <v>805</v>
      </c>
      <c r="I63" s="69">
        <v>1</v>
      </c>
      <c r="J63" s="238">
        <v>0.21868155325388869</v>
      </c>
      <c r="K63" s="238">
        <v>0</v>
      </c>
      <c r="L63" s="69">
        <v>224.75395225464192</v>
      </c>
      <c r="M63" s="69">
        <v>-5.2201591511936343</v>
      </c>
      <c r="N63" s="69">
        <v>0</v>
      </c>
      <c r="O63" s="69">
        <v>0</v>
      </c>
      <c r="P63" s="69">
        <v>0</v>
      </c>
      <c r="Q63" s="69">
        <v>3.8313008130080561</v>
      </c>
      <c r="R63" s="69">
        <v>3.8313008130080561</v>
      </c>
      <c r="S63" s="69">
        <v>3.8313008130080561</v>
      </c>
      <c r="T63" s="69">
        <v>3.8313008130080561</v>
      </c>
      <c r="U63" s="69">
        <v>3.8313008130080561</v>
      </c>
      <c r="V63" s="69">
        <v>3.8313008130080561</v>
      </c>
      <c r="W63" s="69">
        <v>3.8313008130080561</v>
      </c>
      <c r="X63" s="69">
        <v>3.8313008130080561</v>
      </c>
      <c r="Y63" s="69">
        <v>3.8313008130080561</v>
      </c>
      <c r="Z63" s="69">
        <v>3.8313008130080561</v>
      </c>
      <c r="AA63" s="69">
        <v>3.8313008130080561</v>
      </c>
      <c r="AB63" s="69">
        <v>3.8313008130080561</v>
      </c>
      <c r="AC63" s="69">
        <v>3.8313008130080561</v>
      </c>
      <c r="AD63" s="69">
        <v>3.8313008130080561</v>
      </c>
      <c r="AE63" s="69">
        <v>3.8313008130080561</v>
      </c>
      <c r="AF63" s="69">
        <v>3.8313008130080561</v>
      </c>
      <c r="AG63" s="69">
        <v>3.8313008130080561</v>
      </c>
    </row>
    <row r="64" spans="1:33" ht="12.75" customHeight="1">
      <c r="A64" s="231" t="s">
        <v>2374</v>
      </c>
      <c r="B64" s="69" t="s">
        <v>261</v>
      </c>
      <c r="C64" s="69" t="s">
        <v>186</v>
      </c>
      <c r="D64" s="69" t="s">
        <v>259</v>
      </c>
      <c r="E64" s="69" t="s">
        <v>203</v>
      </c>
      <c r="F64" s="69" t="s">
        <v>157</v>
      </c>
      <c r="G64" s="69" t="s">
        <v>192</v>
      </c>
      <c r="H64" s="69" t="s">
        <v>805</v>
      </c>
      <c r="I64" s="69">
        <v>1</v>
      </c>
      <c r="J64" s="238">
        <v>0.23561922263058244</v>
      </c>
      <c r="K64" s="238">
        <v>0</v>
      </c>
      <c r="L64" s="69">
        <v>208.59734121122602</v>
      </c>
      <c r="M64" s="69">
        <v>-4.8449039881831615</v>
      </c>
      <c r="N64" s="69">
        <v>10.320121951219335</v>
      </c>
      <c r="O64" s="69">
        <v>10.320121951219335</v>
      </c>
      <c r="P64" s="69">
        <v>10.320121951219335</v>
      </c>
      <c r="Q64" s="69">
        <v>10.320121951219335</v>
      </c>
      <c r="R64" s="69">
        <v>10.320121951219335</v>
      </c>
      <c r="S64" s="69">
        <v>10.320121951219335</v>
      </c>
      <c r="T64" s="69">
        <v>10.320121951219335</v>
      </c>
      <c r="U64" s="69">
        <v>10.320121951219335</v>
      </c>
      <c r="V64" s="69">
        <v>10.320121951219335</v>
      </c>
      <c r="W64" s="69">
        <v>10.320121951219335</v>
      </c>
      <c r="X64" s="69">
        <v>10.320121951219335</v>
      </c>
      <c r="Y64" s="69">
        <v>10.320121951219335</v>
      </c>
      <c r="Z64" s="69">
        <v>10.320121951219335</v>
      </c>
      <c r="AA64" s="69">
        <v>10.320121951219335</v>
      </c>
      <c r="AB64" s="69">
        <v>10.320121951219335</v>
      </c>
      <c r="AC64" s="69">
        <v>10.320121951219335</v>
      </c>
      <c r="AD64" s="69">
        <v>10.320121951219335</v>
      </c>
      <c r="AE64" s="69">
        <v>10.320121951219335</v>
      </c>
      <c r="AF64" s="69">
        <v>10.320121951219335</v>
      </c>
      <c r="AG64" s="69">
        <v>10.320121951219335</v>
      </c>
    </row>
    <row r="65" spans="1:33" ht="12.75" customHeight="1">
      <c r="A65" s="231" t="s">
        <v>2374</v>
      </c>
      <c r="B65" s="69" t="s">
        <v>262</v>
      </c>
      <c r="C65" s="69" t="s">
        <v>187</v>
      </c>
      <c r="D65" s="69" t="s">
        <v>191</v>
      </c>
      <c r="E65" s="69" t="s">
        <v>191</v>
      </c>
      <c r="F65" s="69" t="s">
        <v>164</v>
      </c>
      <c r="G65" s="69" t="s">
        <v>192</v>
      </c>
      <c r="H65" s="69" t="s">
        <v>804</v>
      </c>
      <c r="I65" s="69">
        <v>1</v>
      </c>
      <c r="J65" s="238">
        <v>0.2668262983999703</v>
      </c>
      <c r="K65" s="238">
        <v>0.70735673955038625</v>
      </c>
      <c r="L65" s="69">
        <v>192.38629588063705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257.11382113821156</v>
      </c>
      <c r="U65" s="69">
        <v>257.11382113821156</v>
      </c>
      <c r="V65" s="69">
        <v>257.11382113821156</v>
      </c>
      <c r="W65" s="69">
        <v>257.11382113821156</v>
      </c>
      <c r="X65" s="69">
        <v>257.11382113821156</v>
      </c>
      <c r="Y65" s="69">
        <v>257.11382113821156</v>
      </c>
      <c r="Z65" s="69">
        <v>257.11382113821156</v>
      </c>
      <c r="AA65" s="69">
        <v>257.11382113821156</v>
      </c>
      <c r="AB65" s="69">
        <v>257.11382113821156</v>
      </c>
      <c r="AC65" s="69">
        <v>257.11382113821156</v>
      </c>
      <c r="AD65" s="69">
        <v>257.11382113821156</v>
      </c>
      <c r="AE65" s="69">
        <v>257.11382113821156</v>
      </c>
      <c r="AF65" s="69">
        <v>257.11382113821156</v>
      </c>
      <c r="AG65" s="69">
        <v>257.11382113821156</v>
      </c>
    </row>
    <row r="66" spans="1:33" ht="12.75" customHeight="1">
      <c r="A66" s="231" t="s">
        <v>2374</v>
      </c>
      <c r="B66" s="69" t="s">
        <v>263</v>
      </c>
      <c r="C66" s="69" t="s">
        <v>187</v>
      </c>
      <c r="D66" s="69" t="s">
        <v>191</v>
      </c>
      <c r="E66" s="69" t="s">
        <v>191</v>
      </c>
      <c r="F66" s="69" t="s">
        <v>165</v>
      </c>
      <c r="G66" s="69" t="s">
        <v>201</v>
      </c>
      <c r="H66" s="69" t="s">
        <v>2417</v>
      </c>
      <c r="I66" s="69">
        <v>1</v>
      </c>
      <c r="J66" s="238">
        <v>0.2668262983999703</v>
      </c>
      <c r="K66" s="238">
        <v>0.75151071165035721</v>
      </c>
      <c r="L66" s="69">
        <v>173.23511247417511</v>
      </c>
      <c r="M66" s="69">
        <v>0</v>
      </c>
      <c r="N66" s="69">
        <v>0</v>
      </c>
      <c r="O66" s="69">
        <v>0</v>
      </c>
      <c r="P66" s="69">
        <v>0</v>
      </c>
      <c r="Q66" s="69">
        <v>0</v>
      </c>
      <c r="R66" s="69">
        <v>467.47967479674838</v>
      </c>
      <c r="S66" s="69">
        <v>467.47967479674838</v>
      </c>
      <c r="T66" s="69">
        <v>467.47967479674838</v>
      </c>
      <c r="U66" s="69">
        <v>467.47967479674838</v>
      </c>
      <c r="V66" s="69">
        <v>467.47967479674838</v>
      </c>
      <c r="W66" s="69">
        <v>467.47967479674838</v>
      </c>
      <c r="X66" s="69">
        <v>467.47967479674838</v>
      </c>
      <c r="Y66" s="69">
        <v>467.47967479674838</v>
      </c>
      <c r="Z66" s="69">
        <v>467.47967479674838</v>
      </c>
      <c r="AA66" s="69">
        <v>467.47967479674838</v>
      </c>
      <c r="AB66" s="69">
        <v>467.47967479674838</v>
      </c>
      <c r="AC66" s="69">
        <v>467.47967479674838</v>
      </c>
      <c r="AD66" s="69">
        <v>467.47967479674838</v>
      </c>
      <c r="AE66" s="69">
        <v>467.47967479674838</v>
      </c>
      <c r="AF66" s="69">
        <v>467.47967479674838</v>
      </c>
      <c r="AG66" s="69">
        <v>467.47967479674838</v>
      </c>
    </row>
    <row r="67" spans="1:33" ht="12.75" customHeight="1">
      <c r="A67" s="231" t="s">
        <v>2374</v>
      </c>
      <c r="B67" s="69" t="s">
        <v>264</v>
      </c>
      <c r="C67" s="69" t="s">
        <v>187</v>
      </c>
      <c r="D67" s="69" t="s">
        <v>191</v>
      </c>
      <c r="E67" s="69" t="s">
        <v>191</v>
      </c>
      <c r="F67" s="69" t="s">
        <v>164</v>
      </c>
      <c r="G67" s="69" t="s">
        <v>192</v>
      </c>
      <c r="H67" s="69" t="s">
        <v>804</v>
      </c>
      <c r="I67" s="69">
        <v>1</v>
      </c>
      <c r="J67" s="238">
        <v>0.2668262983999703</v>
      </c>
      <c r="K67" s="238">
        <v>0.70735673955038636</v>
      </c>
      <c r="L67" s="69">
        <v>192.38629588063705</v>
      </c>
      <c r="M67" s="69">
        <v>0</v>
      </c>
      <c r="N67" s="69">
        <v>0</v>
      </c>
      <c r="O67" s="69">
        <v>0</v>
      </c>
      <c r="P67" s="69">
        <v>0</v>
      </c>
      <c r="Q67" s="69">
        <v>0</v>
      </c>
      <c r="R67" s="69">
        <v>0</v>
      </c>
      <c r="S67" s="69">
        <v>0</v>
      </c>
      <c r="T67" s="69">
        <v>467.47967479674827</v>
      </c>
      <c r="U67" s="69">
        <v>467.47967479674827</v>
      </c>
      <c r="V67" s="69">
        <v>467.47967479674827</v>
      </c>
      <c r="W67" s="69">
        <v>467.47967479674827</v>
      </c>
      <c r="X67" s="69">
        <v>467.47967479674827</v>
      </c>
      <c r="Y67" s="69">
        <v>467.47967479674827</v>
      </c>
      <c r="Z67" s="69">
        <v>467.47967479674827</v>
      </c>
      <c r="AA67" s="69">
        <v>467.47967479674827</v>
      </c>
      <c r="AB67" s="69">
        <v>467.47967479674827</v>
      </c>
      <c r="AC67" s="69">
        <v>467.47967479674827</v>
      </c>
      <c r="AD67" s="69">
        <v>467.47967479674827</v>
      </c>
      <c r="AE67" s="69">
        <v>467.47967479674827</v>
      </c>
      <c r="AF67" s="69">
        <v>467.47967479674827</v>
      </c>
      <c r="AG67" s="69">
        <v>467.47967479674827</v>
      </c>
    </row>
    <row r="68" spans="1:33" ht="12.75" customHeight="1">
      <c r="A68" s="231" t="s">
        <v>2374</v>
      </c>
      <c r="B68" s="69" t="s">
        <v>265</v>
      </c>
      <c r="C68" s="69" t="s">
        <v>187</v>
      </c>
      <c r="D68" s="69" t="s">
        <v>191</v>
      </c>
      <c r="E68" s="69" t="s">
        <v>191</v>
      </c>
      <c r="F68" s="69" t="s">
        <v>165</v>
      </c>
      <c r="G68" s="69" t="s">
        <v>201</v>
      </c>
      <c r="H68" s="69" t="s">
        <v>2417</v>
      </c>
      <c r="I68" s="69">
        <v>1</v>
      </c>
      <c r="J68" s="238">
        <v>0.2668262983999703</v>
      </c>
      <c r="K68" s="238">
        <v>0.75151071165035721</v>
      </c>
      <c r="L68" s="69">
        <v>173.23511247417511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467.47967479674838</v>
      </c>
      <c r="T68" s="69">
        <v>467.47967479674838</v>
      </c>
      <c r="U68" s="69">
        <v>467.47967479674838</v>
      </c>
      <c r="V68" s="69">
        <v>467.47967479674838</v>
      </c>
      <c r="W68" s="69">
        <v>467.47967479674838</v>
      </c>
      <c r="X68" s="69">
        <v>467.47967479674838</v>
      </c>
      <c r="Y68" s="69">
        <v>467.47967479674838</v>
      </c>
      <c r="Z68" s="69">
        <v>467.47967479674838</v>
      </c>
      <c r="AA68" s="69">
        <v>467.47967479674838</v>
      </c>
      <c r="AB68" s="69">
        <v>467.47967479674838</v>
      </c>
      <c r="AC68" s="69">
        <v>467.47967479674838</v>
      </c>
      <c r="AD68" s="69">
        <v>467.47967479674838</v>
      </c>
      <c r="AE68" s="69">
        <v>467.47967479674838</v>
      </c>
      <c r="AF68" s="69">
        <v>467.47967479674838</v>
      </c>
      <c r="AG68" s="69">
        <v>467.47967479674838</v>
      </c>
    </row>
    <row r="69" spans="1:33" ht="12.75" customHeight="1">
      <c r="A69" s="231" t="s">
        <v>2374</v>
      </c>
      <c r="B69" s="69" t="s">
        <v>266</v>
      </c>
      <c r="C69" s="69" t="s">
        <v>184</v>
      </c>
      <c r="D69" s="69" t="s">
        <v>140</v>
      </c>
      <c r="E69" s="69" t="s">
        <v>191</v>
      </c>
      <c r="F69" s="69" t="s">
        <v>167</v>
      </c>
      <c r="G69" s="69" t="s">
        <v>192</v>
      </c>
      <c r="H69" s="69" t="s">
        <v>806</v>
      </c>
      <c r="I69" s="69">
        <v>1</v>
      </c>
      <c r="J69" s="238">
        <v>0.8</v>
      </c>
      <c r="K69" s="238">
        <v>0</v>
      </c>
      <c r="L69" s="69">
        <v>114.19797366361543</v>
      </c>
      <c r="M69" s="69">
        <v>0</v>
      </c>
      <c r="N69" s="69">
        <v>0</v>
      </c>
      <c r="O69" s="69">
        <v>14.016000000000007</v>
      </c>
      <c r="P69" s="69">
        <v>14.016000000000007</v>
      </c>
      <c r="Q69" s="69">
        <v>14.016000000000007</v>
      </c>
      <c r="R69" s="69">
        <v>14.016000000000007</v>
      </c>
      <c r="S69" s="69">
        <v>14.016000000000007</v>
      </c>
      <c r="T69" s="69">
        <v>14.016000000000007</v>
      </c>
      <c r="U69" s="69">
        <v>14.016000000000007</v>
      </c>
      <c r="V69" s="69">
        <v>14.016000000000007</v>
      </c>
      <c r="W69" s="69">
        <v>14.016000000000007</v>
      </c>
      <c r="X69" s="69">
        <v>14.016000000000007</v>
      </c>
      <c r="Y69" s="69">
        <v>14.016000000000007</v>
      </c>
      <c r="Z69" s="69">
        <v>14.016000000000007</v>
      </c>
      <c r="AA69" s="69">
        <v>14.016000000000007</v>
      </c>
      <c r="AB69" s="69">
        <v>14.016000000000007</v>
      </c>
      <c r="AC69" s="69">
        <v>14.016000000000007</v>
      </c>
      <c r="AD69" s="69">
        <v>14.016000000000007</v>
      </c>
      <c r="AE69" s="69">
        <v>14.016000000000007</v>
      </c>
      <c r="AF69" s="69">
        <v>14.016000000000007</v>
      </c>
      <c r="AG69" s="69">
        <v>14.016000000000007</v>
      </c>
    </row>
    <row r="70" spans="1:33" ht="12.75" customHeight="1">
      <c r="A70" s="231" t="s">
        <v>2374</v>
      </c>
      <c r="B70" s="69" t="s">
        <v>267</v>
      </c>
      <c r="C70" s="69" t="s">
        <v>185</v>
      </c>
      <c r="D70" s="69" t="s">
        <v>205</v>
      </c>
      <c r="E70" s="69" t="s">
        <v>203</v>
      </c>
      <c r="F70" s="69" t="s">
        <v>155</v>
      </c>
      <c r="G70" s="69" t="s">
        <v>192</v>
      </c>
      <c r="H70" s="69" t="s">
        <v>805</v>
      </c>
      <c r="I70" s="69">
        <v>1</v>
      </c>
      <c r="J70" s="238">
        <v>0.23499999999999996</v>
      </c>
      <c r="K70" s="238">
        <v>0.49648345467934024</v>
      </c>
      <c r="L70" s="69">
        <v>166.98446712238427</v>
      </c>
      <c r="M70" s="69">
        <v>0</v>
      </c>
      <c r="N70" s="69">
        <v>0</v>
      </c>
      <c r="O70" s="69">
        <v>308.79000000000087</v>
      </c>
      <c r="P70" s="69">
        <v>308.79000000000087</v>
      </c>
      <c r="Q70" s="69">
        <v>308.79000000000087</v>
      </c>
      <c r="R70" s="69">
        <v>308.79000000000087</v>
      </c>
      <c r="S70" s="69">
        <v>308.79000000000087</v>
      </c>
      <c r="T70" s="69">
        <v>308.79000000000087</v>
      </c>
      <c r="U70" s="69">
        <v>308.79000000000087</v>
      </c>
      <c r="V70" s="69">
        <v>308.79000000000087</v>
      </c>
      <c r="W70" s="69">
        <v>308.79000000000087</v>
      </c>
      <c r="X70" s="69">
        <v>308.79000000000087</v>
      </c>
      <c r="Y70" s="69">
        <v>308.79000000000087</v>
      </c>
      <c r="Z70" s="69">
        <v>308.79000000000087</v>
      </c>
      <c r="AA70" s="69">
        <v>308.79000000000087</v>
      </c>
      <c r="AB70" s="69">
        <v>308.79000000000087</v>
      </c>
      <c r="AC70" s="69">
        <v>308.79000000000087</v>
      </c>
      <c r="AD70" s="69">
        <v>308.79000000000087</v>
      </c>
      <c r="AE70" s="69">
        <v>308.79000000000087</v>
      </c>
      <c r="AF70" s="69">
        <v>308.79000000000087</v>
      </c>
      <c r="AG70" s="69">
        <v>308.79000000000087</v>
      </c>
    </row>
    <row r="71" spans="1:33" ht="12.75" customHeight="1">
      <c r="A71" s="231" t="s">
        <v>2374</v>
      </c>
      <c r="B71" s="69" t="s">
        <v>268</v>
      </c>
      <c r="C71" s="69" t="s">
        <v>185</v>
      </c>
      <c r="D71" s="69" t="s">
        <v>205</v>
      </c>
      <c r="E71" s="69" t="s">
        <v>203</v>
      </c>
      <c r="F71" s="69" t="s">
        <v>155</v>
      </c>
      <c r="G71" s="69" t="s">
        <v>192</v>
      </c>
      <c r="H71" s="69" t="s">
        <v>805</v>
      </c>
      <c r="I71" s="69">
        <v>1</v>
      </c>
      <c r="J71" s="238">
        <v>0.23499999999999999</v>
      </c>
      <c r="K71" s="238">
        <v>0.49648345467934019</v>
      </c>
      <c r="L71" s="69">
        <v>166.98446712238427</v>
      </c>
      <c r="M71" s="69">
        <v>0</v>
      </c>
      <c r="N71" s="69">
        <v>0</v>
      </c>
      <c r="O71" s="69">
        <v>0</v>
      </c>
      <c r="P71" s="69">
        <v>0</v>
      </c>
      <c r="Q71" s="69">
        <v>308.79000000000087</v>
      </c>
      <c r="R71" s="69">
        <v>308.79000000000087</v>
      </c>
      <c r="S71" s="69">
        <v>823.44000000000017</v>
      </c>
      <c r="T71" s="69">
        <v>823.44000000000017</v>
      </c>
      <c r="U71" s="69">
        <v>823.44000000000017</v>
      </c>
      <c r="V71" s="69">
        <v>823.44000000000017</v>
      </c>
      <c r="W71" s="69">
        <v>823.44000000000017</v>
      </c>
      <c r="X71" s="69">
        <v>823.44000000000017</v>
      </c>
      <c r="Y71" s="69">
        <v>823.44000000000017</v>
      </c>
      <c r="Z71" s="69">
        <v>823.44000000000017</v>
      </c>
      <c r="AA71" s="69">
        <v>823.44000000000017</v>
      </c>
      <c r="AB71" s="69">
        <v>823.44000000000017</v>
      </c>
      <c r="AC71" s="69">
        <v>823.44000000000017</v>
      </c>
      <c r="AD71" s="69">
        <v>823.44000000000017</v>
      </c>
      <c r="AE71" s="69">
        <v>823.44000000000017</v>
      </c>
      <c r="AF71" s="69">
        <v>823.44000000000017</v>
      </c>
      <c r="AG71" s="69">
        <v>823.44000000000017</v>
      </c>
    </row>
    <row r="72" spans="1:33" ht="12.75" customHeight="1">
      <c r="A72" s="231" t="s">
        <v>2374</v>
      </c>
      <c r="B72" s="69" t="s">
        <v>269</v>
      </c>
      <c r="C72" s="69" t="s">
        <v>185</v>
      </c>
      <c r="D72" s="69" t="s">
        <v>193</v>
      </c>
      <c r="E72" s="69" t="s">
        <v>203</v>
      </c>
      <c r="F72" s="69" t="s">
        <v>155</v>
      </c>
      <c r="G72" s="69" t="s">
        <v>192</v>
      </c>
      <c r="H72" s="69" t="s">
        <v>805</v>
      </c>
      <c r="I72" s="69">
        <v>1</v>
      </c>
      <c r="J72" s="238">
        <v>0.26649999999999996</v>
      </c>
      <c r="K72" s="238">
        <v>0.63277303047366895</v>
      </c>
      <c r="L72" s="69">
        <v>173.91260768823273</v>
      </c>
      <c r="M72" s="69">
        <v>0</v>
      </c>
      <c r="N72" s="69">
        <v>0</v>
      </c>
      <c r="O72" s="69">
        <v>0</v>
      </c>
      <c r="P72" s="69">
        <v>0</v>
      </c>
      <c r="Q72" s="69">
        <v>0</v>
      </c>
      <c r="R72" s="69">
        <v>0</v>
      </c>
      <c r="S72" s="69">
        <v>49.025339999999929</v>
      </c>
      <c r="T72" s="69">
        <v>49.025339999999929</v>
      </c>
      <c r="U72" s="69">
        <v>49.025339999999929</v>
      </c>
      <c r="V72" s="69">
        <v>49.025339999999929</v>
      </c>
      <c r="W72" s="69">
        <v>49.025339999999929</v>
      </c>
      <c r="X72" s="69">
        <v>49.025339999999929</v>
      </c>
      <c r="Y72" s="69">
        <v>49.025339999999929</v>
      </c>
      <c r="Z72" s="69">
        <v>49.025339999999929</v>
      </c>
      <c r="AA72" s="69">
        <v>49.025339999999929</v>
      </c>
      <c r="AB72" s="69">
        <v>49.025339999999929</v>
      </c>
      <c r="AC72" s="69">
        <v>49.025339999999929</v>
      </c>
      <c r="AD72" s="69">
        <v>49.025339999999929</v>
      </c>
      <c r="AE72" s="69">
        <v>49.025339999999929</v>
      </c>
      <c r="AF72" s="69">
        <v>49.025339999999929</v>
      </c>
      <c r="AG72" s="69">
        <v>49.025339999999929</v>
      </c>
    </row>
    <row r="73" spans="1:33" ht="12.75" customHeight="1">
      <c r="A73" s="231" t="s">
        <v>2374</v>
      </c>
      <c r="B73" s="69" t="s">
        <v>270</v>
      </c>
      <c r="C73" s="69" t="s">
        <v>185</v>
      </c>
      <c r="D73" s="69" t="s">
        <v>193</v>
      </c>
      <c r="E73" s="69" t="s">
        <v>203</v>
      </c>
      <c r="F73" s="69" t="s">
        <v>155</v>
      </c>
      <c r="G73" s="69" t="s">
        <v>192</v>
      </c>
      <c r="H73" s="69" t="s">
        <v>805</v>
      </c>
      <c r="I73" s="69">
        <v>1</v>
      </c>
      <c r="J73" s="238">
        <v>0.26649999999999996</v>
      </c>
      <c r="K73" s="238">
        <v>0.63277303047366895</v>
      </c>
      <c r="L73" s="69">
        <v>173.91260768823275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147.07601999999977</v>
      </c>
      <c r="T73" s="69">
        <v>147.07601999999977</v>
      </c>
      <c r="U73" s="69">
        <v>147.07601999999977</v>
      </c>
      <c r="V73" s="69">
        <v>147.07601999999977</v>
      </c>
      <c r="W73" s="69">
        <v>147.07601999999977</v>
      </c>
      <c r="X73" s="69">
        <v>147.07601999999977</v>
      </c>
      <c r="Y73" s="69">
        <v>147.07601999999977</v>
      </c>
      <c r="Z73" s="69">
        <v>147.07601999999977</v>
      </c>
      <c r="AA73" s="69">
        <v>147.07601999999977</v>
      </c>
      <c r="AB73" s="69">
        <v>147.07601999999977</v>
      </c>
      <c r="AC73" s="69">
        <v>147.07601999999977</v>
      </c>
      <c r="AD73" s="69">
        <v>147.07601999999977</v>
      </c>
      <c r="AE73" s="69">
        <v>147.07601999999977</v>
      </c>
      <c r="AF73" s="69">
        <v>147.07601999999977</v>
      </c>
      <c r="AG73" s="69">
        <v>147.07601999999977</v>
      </c>
    </row>
    <row r="74" spans="1:33" ht="12.75" customHeight="1">
      <c r="A74" s="231" t="s">
        <v>2374</v>
      </c>
      <c r="B74" s="69" t="s">
        <v>271</v>
      </c>
      <c r="C74" s="69" t="s">
        <v>185</v>
      </c>
      <c r="D74" s="69" t="s">
        <v>193</v>
      </c>
      <c r="E74" s="69" t="s">
        <v>203</v>
      </c>
      <c r="F74" s="69" t="s">
        <v>155</v>
      </c>
      <c r="G74" s="69" t="s">
        <v>192</v>
      </c>
      <c r="H74" s="69" t="s">
        <v>805</v>
      </c>
      <c r="I74" s="69">
        <v>1</v>
      </c>
      <c r="J74" s="238">
        <v>0.26649999999999996</v>
      </c>
      <c r="K74" s="238">
        <v>0.63277303047366895</v>
      </c>
      <c r="L74" s="69">
        <v>173.91260768823275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294.15203999999954</v>
      </c>
      <c r="T74" s="69">
        <v>294.15203999999954</v>
      </c>
      <c r="U74" s="69">
        <v>294.15203999999954</v>
      </c>
      <c r="V74" s="69">
        <v>294.15203999999954</v>
      </c>
      <c r="W74" s="69">
        <v>294.15203999999954</v>
      </c>
      <c r="X74" s="69">
        <v>294.15203999999954</v>
      </c>
      <c r="Y74" s="69">
        <v>294.15203999999954</v>
      </c>
      <c r="Z74" s="69">
        <v>294.15203999999954</v>
      </c>
      <c r="AA74" s="69">
        <v>294.15203999999954</v>
      </c>
      <c r="AB74" s="69">
        <v>294.15203999999954</v>
      </c>
      <c r="AC74" s="69">
        <v>294.15203999999954</v>
      </c>
      <c r="AD74" s="69">
        <v>294.15203999999954</v>
      </c>
      <c r="AE74" s="69">
        <v>294.15203999999954</v>
      </c>
      <c r="AF74" s="69">
        <v>294.15203999999954</v>
      </c>
      <c r="AG74" s="69">
        <v>294.15203999999954</v>
      </c>
    </row>
    <row r="75" spans="1:33" ht="12.75" customHeight="1">
      <c r="A75" s="231" t="s">
        <v>2374</v>
      </c>
      <c r="B75" s="69" t="s">
        <v>272</v>
      </c>
      <c r="C75" s="69" t="s">
        <v>139</v>
      </c>
      <c r="D75" s="69" t="s">
        <v>191</v>
      </c>
      <c r="E75" s="69" t="s">
        <v>191</v>
      </c>
      <c r="F75" s="69" t="s">
        <v>167</v>
      </c>
      <c r="G75" s="69" t="s">
        <v>192</v>
      </c>
      <c r="H75" s="69" t="s">
        <v>805</v>
      </c>
      <c r="I75" s="69">
        <v>1</v>
      </c>
      <c r="J75" s="238">
        <v>0.84999999999999987</v>
      </c>
      <c r="K75" s="238">
        <v>0.66</v>
      </c>
      <c r="L75" s="69">
        <v>127.99027888971092</v>
      </c>
      <c r="M75" s="69">
        <v>0</v>
      </c>
      <c r="N75" s="69">
        <v>0</v>
      </c>
      <c r="O75" s="69">
        <v>0</v>
      </c>
      <c r="P75" s="69">
        <v>327.62399999999997</v>
      </c>
      <c r="Q75" s="69">
        <v>327.62399999999997</v>
      </c>
      <c r="R75" s="69">
        <v>327.62399999999997</v>
      </c>
      <c r="S75" s="69">
        <v>327.62399999999997</v>
      </c>
      <c r="T75" s="69">
        <v>327.62399999999997</v>
      </c>
      <c r="U75" s="69">
        <v>327.62399999999997</v>
      </c>
      <c r="V75" s="69">
        <v>327.62399999999997</v>
      </c>
      <c r="W75" s="69">
        <v>327.62399999999997</v>
      </c>
      <c r="X75" s="69">
        <v>327.62399999999997</v>
      </c>
      <c r="Y75" s="69">
        <v>327.62399999999997</v>
      </c>
      <c r="Z75" s="69">
        <v>327.62399999999997</v>
      </c>
      <c r="AA75" s="69">
        <v>327.62399999999997</v>
      </c>
      <c r="AB75" s="69">
        <v>327.62399999999997</v>
      </c>
      <c r="AC75" s="69">
        <v>327.62399999999997</v>
      </c>
      <c r="AD75" s="69">
        <v>327.62399999999997</v>
      </c>
      <c r="AE75" s="69">
        <v>327.62399999999997</v>
      </c>
      <c r="AF75" s="69">
        <v>327.62399999999997</v>
      </c>
      <c r="AG75" s="69">
        <v>327.62399999999997</v>
      </c>
    </row>
    <row r="76" spans="1:33" ht="12.75" customHeight="1">
      <c r="A76" s="231" t="s">
        <v>2374</v>
      </c>
      <c r="B76" s="69" t="s">
        <v>273</v>
      </c>
      <c r="C76" s="69" t="s">
        <v>185</v>
      </c>
      <c r="D76" s="69" t="s">
        <v>193</v>
      </c>
      <c r="E76" s="69" t="s">
        <v>194</v>
      </c>
      <c r="F76" s="69" t="s">
        <v>165</v>
      </c>
      <c r="G76" s="69" t="s">
        <v>201</v>
      </c>
      <c r="H76" s="69" t="s">
        <v>2417</v>
      </c>
      <c r="I76" s="69">
        <v>1</v>
      </c>
      <c r="J76" s="238">
        <v>0.28999999999999998</v>
      </c>
      <c r="K76" s="238">
        <v>0.63437109007818515</v>
      </c>
      <c r="L76" s="69">
        <v>144.14559944117298</v>
      </c>
      <c r="M76" s="69">
        <v>0</v>
      </c>
      <c r="N76" s="69">
        <v>101.61599999999817</v>
      </c>
      <c r="O76" s="69">
        <v>101.61599999999817</v>
      </c>
      <c r="P76" s="69">
        <v>101.61599999999817</v>
      </c>
      <c r="Q76" s="69">
        <v>101.61599999999817</v>
      </c>
      <c r="R76" s="69">
        <v>101.61599999999817</v>
      </c>
      <c r="S76" s="69">
        <v>101.61599999999817</v>
      </c>
      <c r="T76" s="69">
        <v>101.61599999999817</v>
      </c>
      <c r="U76" s="69">
        <v>101.61599999999817</v>
      </c>
      <c r="V76" s="69">
        <v>101.61599999999817</v>
      </c>
      <c r="W76" s="69">
        <v>101.61599999999817</v>
      </c>
      <c r="X76" s="69">
        <v>101.61599999999817</v>
      </c>
      <c r="Y76" s="69">
        <v>101.61599999999817</v>
      </c>
      <c r="Z76" s="69">
        <v>101.61599999999817</v>
      </c>
      <c r="AA76" s="69">
        <v>101.61599999999817</v>
      </c>
      <c r="AB76" s="69">
        <v>101.61599999999817</v>
      </c>
      <c r="AC76" s="69">
        <v>101.61599999999817</v>
      </c>
      <c r="AD76" s="69">
        <v>101.61599999999817</v>
      </c>
      <c r="AE76" s="69">
        <v>101.61599999999817</v>
      </c>
      <c r="AF76" s="69">
        <v>101.61599999999817</v>
      </c>
      <c r="AG76" s="69">
        <v>101.61599999999817</v>
      </c>
    </row>
    <row r="77" spans="1:33" ht="12.75" customHeight="1">
      <c r="A77" s="231" t="s">
        <v>2374</v>
      </c>
      <c r="B77" s="69" t="s">
        <v>274</v>
      </c>
      <c r="C77" s="69" t="s">
        <v>185</v>
      </c>
      <c r="D77" s="69" t="s">
        <v>193</v>
      </c>
      <c r="E77" s="69" t="s">
        <v>194</v>
      </c>
      <c r="F77" s="69" t="s">
        <v>165</v>
      </c>
      <c r="G77" s="69" t="s">
        <v>201</v>
      </c>
      <c r="H77" s="69" t="s">
        <v>2417</v>
      </c>
      <c r="I77" s="69">
        <v>1</v>
      </c>
      <c r="J77" s="238">
        <v>0.28999999999999998</v>
      </c>
      <c r="K77" s="238">
        <v>0.63437109007818515</v>
      </c>
      <c r="L77" s="69">
        <v>144.14559944117298</v>
      </c>
      <c r="M77" s="69">
        <v>0</v>
      </c>
      <c r="N77" s="69">
        <v>0</v>
      </c>
      <c r="O77" s="69">
        <v>25.403999999998632</v>
      </c>
      <c r="P77" s="69">
        <v>25.403999999998632</v>
      </c>
      <c r="Q77" s="69">
        <v>25.403999999998632</v>
      </c>
      <c r="R77" s="69">
        <v>25.403999999998632</v>
      </c>
      <c r="S77" s="69">
        <v>25.403999999998632</v>
      </c>
      <c r="T77" s="69">
        <v>25.403999999998632</v>
      </c>
      <c r="U77" s="69">
        <v>25.403999999998632</v>
      </c>
      <c r="V77" s="69">
        <v>25.403999999998632</v>
      </c>
      <c r="W77" s="69">
        <v>25.403999999998632</v>
      </c>
      <c r="X77" s="69">
        <v>25.403999999998632</v>
      </c>
      <c r="Y77" s="69">
        <v>25.403999999998632</v>
      </c>
      <c r="Z77" s="69">
        <v>25.403999999998632</v>
      </c>
      <c r="AA77" s="69">
        <v>25.403999999998632</v>
      </c>
      <c r="AB77" s="69">
        <v>25.403999999998632</v>
      </c>
      <c r="AC77" s="69">
        <v>25.403999999998632</v>
      </c>
      <c r="AD77" s="69">
        <v>25.403999999998632</v>
      </c>
      <c r="AE77" s="69">
        <v>25.403999999998632</v>
      </c>
      <c r="AF77" s="69">
        <v>25.403999999998632</v>
      </c>
      <c r="AG77" s="69">
        <v>25.403999999998632</v>
      </c>
    </row>
    <row r="78" spans="1:33" ht="12.75" customHeight="1">
      <c r="A78" s="231" t="s">
        <v>2374</v>
      </c>
      <c r="B78" s="69" t="s">
        <v>275</v>
      </c>
      <c r="C78" s="69" t="s">
        <v>137</v>
      </c>
      <c r="D78" s="69" t="s">
        <v>191</v>
      </c>
      <c r="E78" s="69" t="s">
        <v>191</v>
      </c>
      <c r="F78" s="69" t="s">
        <v>169</v>
      </c>
      <c r="G78" s="69" t="s">
        <v>192</v>
      </c>
      <c r="H78" s="69" t="s">
        <v>804</v>
      </c>
      <c r="I78" s="69">
        <v>1</v>
      </c>
      <c r="J78" s="238">
        <v>0.32235762917068039</v>
      </c>
      <c r="K78" s="238">
        <v>0.16115831843295012</v>
      </c>
      <c r="L78" s="69">
        <v>96.038728079112801</v>
      </c>
      <c r="M78" s="69">
        <v>0</v>
      </c>
      <c r="N78" s="69">
        <v>0</v>
      </c>
      <c r="O78" s="69">
        <v>0</v>
      </c>
      <c r="P78" s="69">
        <v>0</v>
      </c>
      <c r="Q78" s="69">
        <v>104.48255476680096</v>
      </c>
      <c r="R78" s="69">
        <v>104.48255476680096</v>
      </c>
      <c r="S78" s="69">
        <v>104.48255476680096</v>
      </c>
      <c r="T78" s="69">
        <v>104.48255476680096</v>
      </c>
      <c r="U78" s="69">
        <v>104.48255476680096</v>
      </c>
      <c r="V78" s="69">
        <v>104.48255476680096</v>
      </c>
      <c r="W78" s="69">
        <v>104.48255476680096</v>
      </c>
      <c r="X78" s="69">
        <v>104.48255476680096</v>
      </c>
      <c r="Y78" s="69">
        <v>104.48255476680096</v>
      </c>
      <c r="Z78" s="69">
        <v>104.48255476680096</v>
      </c>
      <c r="AA78" s="69">
        <v>104.48255476680096</v>
      </c>
      <c r="AB78" s="69">
        <v>104.48255476680096</v>
      </c>
      <c r="AC78" s="69">
        <v>104.48255476680096</v>
      </c>
      <c r="AD78" s="69">
        <v>104.48255476680096</v>
      </c>
      <c r="AE78" s="69">
        <v>104.48255476680096</v>
      </c>
      <c r="AF78" s="69">
        <v>104.48255476680096</v>
      </c>
      <c r="AG78" s="69">
        <v>104.48255476680096</v>
      </c>
    </row>
    <row r="79" spans="1:33" ht="12.75" customHeight="1">
      <c r="A79" s="231" t="s">
        <v>2374</v>
      </c>
      <c r="B79" s="69" t="s">
        <v>276</v>
      </c>
      <c r="C79" s="69" t="s">
        <v>187</v>
      </c>
      <c r="D79" s="69" t="s">
        <v>191</v>
      </c>
      <c r="E79" s="69" t="s">
        <v>191</v>
      </c>
      <c r="F79" s="69" t="s">
        <v>170</v>
      </c>
      <c r="G79" s="69" t="s">
        <v>192</v>
      </c>
      <c r="H79" s="69" t="s">
        <v>804</v>
      </c>
      <c r="I79" s="69">
        <v>1</v>
      </c>
      <c r="J79" s="238">
        <v>0.2668262983999703</v>
      </c>
      <c r="K79" s="238">
        <v>0.71679758500684321</v>
      </c>
      <c r="L79" s="69">
        <v>192.38629588063705</v>
      </c>
      <c r="M79" s="69">
        <v>0</v>
      </c>
      <c r="N79" s="69">
        <v>0</v>
      </c>
      <c r="O79" s="69">
        <v>0</v>
      </c>
      <c r="P79" s="69">
        <v>0</v>
      </c>
      <c r="Q79" s="69">
        <v>0</v>
      </c>
      <c r="R79" s="69">
        <v>0</v>
      </c>
      <c r="S79" s="69">
        <v>0</v>
      </c>
      <c r="T79" s="69">
        <v>642.78455284552911</v>
      </c>
      <c r="U79" s="69">
        <v>642.78455284552911</v>
      </c>
      <c r="V79" s="69">
        <v>1168.6991869918711</v>
      </c>
      <c r="W79" s="69">
        <v>1168.6991869918711</v>
      </c>
      <c r="X79" s="69">
        <v>1168.6991869918711</v>
      </c>
      <c r="Y79" s="69">
        <v>1168.6991869918711</v>
      </c>
      <c r="Z79" s="69">
        <v>1168.6991869918711</v>
      </c>
      <c r="AA79" s="69">
        <v>1168.6991869918711</v>
      </c>
      <c r="AB79" s="69">
        <v>1168.6991869918711</v>
      </c>
      <c r="AC79" s="69">
        <v>1168.6991869918711</v>
      </c>
      <c r="AD79" s="69">
        <v>1168.6991869918711</v>
      </c>
      <c r="AE79" s="69">
        <v>1168.6991869918711</v>
      </c>
      <c r="AF79" s="69">
        <v>1168.6991869918711</v>
      </c>
      <c r="AG79" s="69">
        <v>1168.6991869918711</v>
      </c>
    </row>
    <row r="80" spans="1:33" ht="12.75" customHeight="1">
      <c r="A80" s="231" t="s">
        <v>2374</v>
      </c>
      <c r="B80" s="69" t="s">
        <v>277</v>
      </c>
      <c r="C80" s="69" t="s">
        <v>137</v>
      </c>
      <c r="D80" s="69" t="s">
        <v>191</v>
      </c>
      <c r="E80" s="69" t="s">
        <v>191</v>
      </c>
      <c r="F80" s="69" t="s">
        <v>180</v>
      </c>
      <c r="G80" s="69" t="s">
        <v>192</v>
      </c>
      <c r="H80" s="69" t="s">
        <v>804</v>
      </c>
      <c r="I80" s="69">
        <v>1</v>
      </c>
      <c r="J80" s="238">
        <v>0.32235762917068039</v>
      </c>
      <c r="K80" s="238">
        <v>0.160195270625522</v>
      </c>
      <c r="L80" s="69">
        <v>96.038728079112801</v>
      </c>
      <c r="M80" s="69">
        <v>0</v>
      </c>
      <c r="N80" s="69">
        <v>0</v>
      </c>
      <c r="O80" s="69">
        <v>0</v>
      </c>
      <c r="P80" s="69">
        <v>0</v>
      </c>
      <c r="Q80" s="69">
        <v>0</v>
      </c>
      <c r="R80" s="69">
        <v>141.19264157675798</v>
      </c>
      <c r="S80" s="69">
        <v>141.19264157675798</v>
      </c>
      <c r="T80" s="69">
        <v>141.19264157675798</v>
      </c>
      <c r="U80" s="69">
        <v>141.19264157675798</v>
      </c>
      <c r="V80" s="69">
        <v>141.19264157675798</v>
      </c>
      <c r="W80" s="69">
        <v>141.19264157675798</v>
      </c>
      <c r="X80" s="69">
        <v>141.19264157675798</v>
      </c>
      <c r="Y80" s="69">
        <v>141.19264157675798</v>
      </c>
      <c r="Z80" s="69">
        <v>141.19264157675798</v>
      </c>
      <c r="AA80" s="69">
        <v>141.19264157675798</v>
      </c>
      <c r="AB80" s="69">
        <v>141.19264157675798</v>
      </c>
      <c r="AC80" s="69">
        <v>141.19264157675798</v>
      </c>
      <c r="AD80" s="69">
        <v>141.19264157675798</v>
      </c>
      <c r="AE80" s="69">
        <v>141.19264157675798</v>
      </c>
      <c r="AF80" s="69">
        <v>141.19264157675798</v>
      </c>
      <c r="AG80" s="69">
        <v>141.19264157675798</v>
      </c>
    </row>
    <row r="81" spans="1:33" ht="12.75" customHeight="1">
      <c r="A81" s="231" t="s">
        <v>2374</v>
      </c>
      <c r="B81" s="69" t="s">
        <v>278</v>
      </c>
      <c r="C81" s="69" t="s">
        <v>137</v>
      </c>
      <c r="D81" s="69" t="s">
        <v>191</v>
      </c>
      <c r="E81" s="69" t="s">
        <v>191</v>
      </c>
      <c r="F81" s="69" t="s">
        <v>180</v>
      </c>
      <c r="G81" s="69" t="s">
        <v>192</v>
      </c>
      <c r="H81" s="69" t="s">
        <v>804</v>
      </c>
      <c r="I81" s="69">
        <v>2</v>
      </c>
      <c r="J81" s="238">
        <v>0.32235762917068039</v>
      </c>
      <c r="K81" s="238">
        <v>0.160195270625522</v>
      </c>
      <c r="L81" s="69">
        <v>96.038728079112801</v>
      </c>
      <c r="M81" s="69">
        <v>0</v>
      </c>
      <c r="N81" s="69">
        <v>0</v>
      </c>
      <c r="O81" s="69">
        <v>0</v>
      </c>
      <c r="P81" s="69">
        <v>0</v>
      </c>
      <c r="Q81" s="69">
        <v>0</v>
      </c>
      <c r="R81" s="69">
        <v>51.591791232145624</v>
      </c>
      <c r="S81" s="69">
        <v>51.591791232145624</v>
      </c>
      <c r="T81" s="69">
        <v>51.591791232145624</v>
      </c>
      <c r="U81" s="69">
        <v>51.591791232145624</v>
      </c>
      <c r="V81" s="69">
        <v>51.591791232145624</v>
      </c>
      <c r="W81" s="69">
        <v>51.591791232145624</v>
      </c>
      <c r="X81" s="69">
        <v>51.591791232145624</v>
      </c>
      <c r="Y81" s="69">
        <v>51.591791232145624</v>
      </c>
      <c r="Z81" s="69">
        <v>51.591791232145624</v>
      </c>
      <c r="AA81" s="69">
        <v>51.591791232145624</v>
      </c>
      <c r="AB81" s="69">
        <v>51.591791232145624</v>
      </c>
      <c r="AC81" s="69">
        <v>51.591791232145624</v>
      </c>
      <c r="AD81" s="69">
        <v>51.591791232145624</v>
      </c>
      <c r="AE81" s="69">
        <v>51.591791232145624</v>
      </c>
      <c r="AF81" s="69">
        <v>51.591791232145624</v>
      </c>
      <c r="AG81" s="69">
        <v>51.591791232145624</v>
      </c>
    </row>
    <row r="82" spans="1:33" ht="12.75" customHeight="1">
      <c r="A82" s="231" t="s">
        <v>2374</v>
      </c>
      <c r="B82" s="69" t="s">
        <v>279</v>
      </c>
      <c r="C82" s="69" t="s">
        <v>137</v>
      </c>
      <c r="D82" s="69" t="s">
        <v>191</v>
      </c>
      <c r="E82" s="69" t="s">
        <v>191</v>
      </c>
      <c r="F82" s="69" t="s">
        <v>180</v>
      </c>
      <c r="G82" s="69" t="s">
        <v>192</v>
      </c>
      <c r="H82" s="69" t="s">
        <v>804</v>
      </c>
      <c r="I82" s="69">
        <v>1</v>
      </c>
      <c r="J82" s="238">
        <v>0.32235762917068039</v>
      </c>
      <c r="K82" s="238">
        <v>0.160195270625522</v>
      </c>
      <c r="L82" s="69">
        <v>96.038728079112801</v>
      </c>
      <c r="M82" s="69">
        <v>0</v>
      </c>
      <c r="N82" s="69">
        <v>0</v>
      </c>
      <c r="O82" s="69">
        <v>0</v>
      </c>
      <c r="P82" s="69">
        <v>0</v>
      </c>
      <c r="Q82" s="69">
        <v>0</v>
      </c>
      <c r="R82" s="69">
        <v>44.616874738255774</v>
      </c>
      <c r="S82" s="69">
        <v>44.616874738255774</v>
      </c>
      <c r="T82" s="69">
        <v>44.616874738255774</v>
      </c>
      <c r="U82" s="69">
        <v>44.616874738255774</v>
      </c>
      <c r="V82" s="69">
        <v>44.616874738255774</v>
      </c>
      <c r="W82" s="69">
        <v>44.616874738255774</v>
      </c>
      <c r="X82" s="69">
        <v>44.616874738255774</v>
      </c>
      <c r="Y82" s="69">
        <v>44.616874738255774</v>
      </c>
      <c r="Z82" s="69">
        <v>44.616874738255774</v>
      </c>
      <c r="AA82" s="69">
        <v>44.616874738255774</v>
      </c>
      <c r="AB82" s="69">
        <v>44.616874738255774</v>
      </c>
      <c r="AC82" s="69">
        <v>44.616874738255774</v>
      </c>
      <c r="AD82" s="69">
        <v>44.616874738255774</v>
      </c>
      <c r="AE82" s="69">
        <v>44.616874738255774</v>
      </c>
      <c r="AF82" s="69">
        <v>44.616874738255774</v>
      </c>
      <c r="AG82" s="69">
        <v>44.616874738255774</v>
      </c>
    </row>
    <row r="83" spans="1:33" ht="12.75" customHeight="1">
      <c r="A83" s="231" t="s">
        <v>2374</v>
      </c>
      <c r="B83" s="69" t="s">
        <v>280</v>
      </c>
      <c r="C83" s="69" t="s">
        <v>137</v>
      </c>
      <c r="D83" s="69" t="s">
        <v>191</v>
      </c>
      <c r="E83" s="69" t="s">
        <v>191</v>
      </c>
      <c r="F83" s="69" t="s">
        <v>180</v>
      </c>
      <c r="G83" s="69" t="s">
        <v>192</v>
      </c>
      <c r="H83" s="69" t="s">
        <v>804</v>
      </c>
      <c r="I83" s="69">
        <v>2</v>
      </c>
      <c r="J83" s="238">
        <v>0.32235762917068039</v>
      </c>
      <c r="K83" s="238">
        <v>0.160195270625522</v>
      </c>
      <c r="L83" s="69">
        <v>96.038728079112815</v>
      </c>
      <c r="M83" s="69">
        <v>0</v>
      </c>
      <c r="N83" s="69">
        <v>0</v>
      </c>
      <c r="O83" s="69">
        <v>0</v>
      </c>
      <c r="P83" s="69">
        <v>0</v>
      </c>
      <c r="Q83" s="69">
        <v>0</v>
      </c>
      <c r="R83" s="69">
        <v>49.869241004911601</v>
      </c>
      <c r="S83" s="69">
        <v>49.869241004911601</v>
      </c>
      <c r="T83" s="69">
        <v>49.869241004911601</v>
      </c>
      <c r="U83" s="69">
        <v>49.869241004911601</v>
      </c>
      <c r="V83" s="69">
        <v>49.869241004911601</v>
      </c>
      <c r="W83" s="69">
        <v>49.869241004911601</v>
      </c>
      <c r="X83" s="69">
        <v>49.869241004911601</v>
      </c>
      <c r="Y83" s="69">
        <v>49.869241004911601</v>
      </c>
      <c r="Z83" s="69">
        <v>49.869241004911601</v>
      </c>
      <c r="AA83" s="69">
        <v>49.869241004911601</v>
      </c>
      <c r="AB83" s="69">
        <v>49.869241004911601</v>
      </c>
      <c r="AC83" s="69">
        <v>49.869241004911601</v>
      </c>
      <c r="AD83" s="69">
        <v>49.869241004911601</v>
      </c>
      <c r="AE83" s="69">
        <v>49.869241004911601</v>
      </c>
      <c r="AF83" s="69">
        <v>49.869241004911601</v>
      </c>
      <c r="AG83" s="69">
        <v>49.869241004911601</v>
      </c>
    </row>
    <row r="84" spans="1:33" ht="12.75" customHeight="1">
      <c r="A84" s="231" t="s">
        <v>2374</v>
      </c>
      <c r="B84" s="69" t="s">
        <v>281</v>
      </c>
      <c r="C84" s="69" t="s">
        <v>137</v>
      </c>
      <c r="D84" s="69" t="s">
        <v>191</v>
      </c>
      <c r="E84" s="69" t="s">
        <v>191</v>
      </c>
      <c r="F84" s="69" t="s">
        <v>180</v>
      </c>
      <c r="G84" s="69" t="s">
        <v>192</v>
      </c>
      <c r="H84" s="69" t="s">
        <v>804</v>
      </c>
      <c r="I84" s="69">
        <v>1</v>
      </c>
      <c r="J84" s="238">
        <v>0.32235762917068039</v>
      </c>
      <c r="K84" s="238">
        <v>0.160195270625522</v>
      </c>
      <c r="L84" s="69">
        <v>96.038728079112801</v>
      </c>
      <c r="M84" s="69">
        <v>0</v>
      </c>
      <c r="N84" s="69">
        <v>0</v>
      </c>
      <c r="O84" s="69">
        <v>0</v>
      </c>
      <c r="P84" s="69">
        <v>0</v>
      </c>
      <c r="Q84" s="69">
        <v>0</v>
      </c>
      <c r="R84" s="69">
        <v>48.09021372104371</v>
      </c>
      <c r="S84" s="69">
        <v>48.09021372104371</v>
      </c>
      <c r="T84" s="69">
        <v>48.09021372104371</v>
      </c>
      <c r="U84" s="69">
        <v>48.09021372104371</v>
      </c>
      <c r="V84" s="69">
        <v>48.09021372104371</v>
      </c>
      <c r="W84" s="69">
        <v>48.09021372104371</v>
      </c>
      <c r="X84" s="69">
        <v>48.09021372104371</v>
      </c>
      <c r="Y84" s="69">
        <v>48.09021372104371</v>
      </c>
      <c r="Z84" s="69">
        <v>48.09021372104371</v>
      </c>
      <c r="AA84" s="69">
        <v>48.09021372104371</v>
      </c>
      <c r="AB84" s="69">
        <v>48.09021372104371</v>
      </c>
      <c r="AC84" s="69">
        <v>48.09021372104371</v>
      </c>
      <c r="AD84" s="69">
        <v>48.09021372104371</v>
      </c>
      <c r="AE84" s="69">
        <v>48.09021372104371</v>
      </c>
      <c r="AF84" s="69">
        <v>48.09021372104371</v>
      </c>
      <c r="AG84" s="69">
        <v>48.09021372104371</v>
      </c>
    </row>
    <row r="85" spans="1:33" ht="12.75" customHeight="1">
      <c r="A85" s="231" t="s">
        <v>2374</v>
      </c>
      <c r="B85" s="69" t="s">
        <v>282</v>
      </c>
      <c r="C85" s="69" t="s">
        <v>137</v>
      </c>
      <c r="D85" s="69" t="s">
        <v>191</v>
      </c>
      <c r="E85" s="69" t="s">
        <v>191</v>
      </c>
      <c r="F85" s="69" t="s">
        <v>180</v>
      </c>
      <c r="G85" s="69" t="s">
        <v>192</v>
      </c>
      <c r="H85" s="69" t="s">
        <v>804</v>
      </c>
      <c r="I85" s="69">
        <v>1</v>
      </c>
      <c r="J85" s="238">
        <v>0.32235762917068039</v>
      </c>
      <c r="K85" s="238">
        <v>0.160195270625522</v>
      </c>
      <c r="L85" s="69">
        <v>96.038728079112801</v>
      </c>
      <c r="M85" s="69">
        <v>0</v>
      </c>
      <c r="N85" s="69">
        <v>0</v>
      </c>
      <c r="O85" s="69">
        <v>0</v>
      </c>
      <c r="P85" s="69">
        <v>0</v>
      </c>
      <c r="Q85" s="69">
        <v>0</v>
      </c>
      <c r="R85" s="69">
        <v>4235.7792473027403</v>
      </c>
      <c r="S85" s="69">
        <v>4235.7792473027403</v>
      </c>
      <c r="T85" s="69">
        <v>4235.7792473027403</v>
      </c>
      <c r="U85" s="69">
        <v>4235.7792473027403</v>
      </c>
      <c r="V85" s="69">
        <v>4235.7792473027403</v>
      </c>
      <c r="W85" s="69">
        <v>4235.7792473027403</v>
      </c>
      <c r="X85" s="69">
        <v>4235.7792473027403</v>
      </c>
      <c r="Y85" s="69">
        <v>4235.7792473027403</v>
      </c>
      <c r="Z85" s="69">
        <v>4235.7792473027403</v>
      </c>
      <c r="AA85" s="69">
        <v>4235.7792473027403</v>
      </c>
      <c r="AB85" s="69">
        <v>4235.7792473027403</v>
      </c>
      <c r="AC85" s="69">
        <v>4235.7792473027403</v>
      </c>
      <c r="AD85" s="69">
        <v>4235.7792473027403</v>
      </c>
      <c r="AE85" s="69">
        <v>4235.7792473027403</v>
      </c>
      <c r="AF85" s="69">
        <v>4235.7792473027403</v>
      </c>
      <c r="AG85" s="69">
        <v>4235.7792473027403</v>
      </c>
    </row>
    <row r="86" spans="1:33" ht="12.75" customHeight="1">
      <c r="A86" s="231" t="s">
        <v>2374</v>
      </c>
      <c r="B86" s="69" t="s">
        <v>283</v>
      </c>
      <c r="C86" s="69" t="s">
        <v>184</v>
      </c>
      <c r="D86" s="69" t="s">
        <v>284</v>
      </c>
      <c r="E86" s="69" t="s">
        <v>191</v>
      </c>
      <c r="F86" s="69" t="s">
        <v>167</v>
      </c>
      <c r="G86" s="69" t="s">
        <v>192</v>
      </c>
      <c r="H86" s="69" t="s">
        <v>804</v>
      </c>
      <c r="I86" s="69">
        <v>2</v>
      </c>
      <c r="J86" s="238">
        <v>0.80000000000000016</v>
      </c>
      <c r="K86" s="238">
        <v>0</v>
      </c>
      <c r="L86" s="69">
        <v>92.42965494862176</v>
      </c>
      <c r="M86" s="69">
        <v>0</v>
      </c>
      <c r="N86" s="69">
        <v>0</v>
      </c>
      <c r="O86" s="69">
        <v>0</v>
      </c>
      <c r="P86" s="69">
        <v>0</v>
      </c>
      <c r="Q86" s="69">
        <v>11.212800000001153</v>
      </c>
      <c r="R86" s="69">
        <v>11.212800000001153</v>
      </c>
      <c r="S86" s="69">
        <v>11.212800000001153</v>
      </c>
      <c r="T86" s="69">
        <v>11.212800000001153</v>
      </c>
      <c r="U86" s="69">
        <v>11.212800000001153</v>
      </c>
      <c r="V86" s="69">
        <v>11.212800000001153</v>
      </c>
      <c r="W86" s="69">
        <v>11.212800000001153</v>
      </c>
      <c r="X86" s="69">
        <v>11.212800000001153</v>
      </c>
      <c r="Y86" s="69">
        <v>11.212800000001153</v>
      </c>
      <c r="Z86" s="69">
        <v>11.212800000001153</v>
      </c>
      <c r="AA86" s="69">
        <v>11.212800000001153</v>
      </c>
      <c r="AB86" s="69">
        <v>11.212800000001153</v>
      </c>
      <c r="AC86" s="69">
        <v>11.212800000001153</v>
      </c>
      <c r="AD86" s="69">
        <v>11.212800000001153</v>
      </c>
      <c r="AE86" s="69">
        <v>11.212800000001153</v>
      </c>
      <c r="AF86" s="69">
        <v>11.212800000001153</v>
      </c>
      <c r="AG86" s="69">
        <v>11.212800000001153</v>
      </c>
    </row>
    <row r="87" spans="1:33" ht="12.75" customHeight="1">
      <c r="A87" s="231" t="s">
        <v>2374</v>
      </c>
      <c r="B87" s="69" t="s">
        <v>285</v>
      </c>
      <c r="C87" s="69" t="s">
        <v>137</v>
      </c>
      <c r="D87" s="69" t="s">
        <v>191</v>
      </c>
      <c r="E87" s="69" t="s">
        <v>191</v>
      </c>
      <c r="F87" s="69" t="s">
        <v>177</v>
      </c>
      <c r="G87" s="69" t="s">
        <v>192</v>
      </c>
      <c r="H87" s="69" t="s">
        <v>804</v>
      </c>
      <c r="I87" s="69">
        <v>1</v>
      </c>
      <c r="J87" s="238">
        <v>0.32235762917068039</v>
      </c>
      <c r="K87" s="238">
        <v>0.16048337423926948</v>
      </c>
      <c r="L87" s="69">
        <v>96.038728079112801</v>
      </c>
      <c r="M87" s="69">
        <v>0</v>
      </c>
      <c r="N87" s="69">
        <v>0</v>
      </c>
      <c r="O87" s="69">
        <v>0</v>
      </c>
      <c r="P87" s="69">
        <v>0</v>
      </c>
      <c r="Q87" s="69">
        <v>118.60181892447689</v>
      </c>
      <c r="R87" s="69">
        <v>118.60181892447689</v>
      </c>
      <c r="S87" s="69">
        <v>118.60181892447689</v>
      </c>
      <c r="T87" s="69">
        <v>118.60181892447689</v>
      </c>
      <c r="U87" s="69">
        <v>118.60181892447689</v>
      </c>
      <c r="V87" s="69">
        <v>118.60181892447689</v>
      </c>
      <c r="W87" s="69">
        <v>118.60181892447689</v>
      </c>
      <c r="X87" s="69">
        <v>118.60181892447689</v>
      </c>
      <c r="Y87" s="69">
        <v>118.60181892447689</v>
      </c>
      <c r="Z87" s="69">
        <v>118.60181892447689</v>
      </c>
      <c r="AA87" s="69">
        <v>118.60181892447689</v>
      </c>
      <c r="AB87" s="69">
        <v>118.60181892447689</v>
      </c>
      <c r="AC87" s="69">
        <v>118.60181892447689</v>
      </c>
      <c r="AD87" s="69">
        <v>118.60181892447689</v>
      </c>
      <c r="AE87" s="69">
        <v>118.60181892447689</v>
      </c>
      <c r="AF87" s="69">
        <v>118.60181892447689</v>
      </c>
      <c r="AG87" s="69">
        <v>118.60181892447689</v>
      </c>
    </row>
    <row r="88" spans="1:33" ht="12.75" customHeight="1">
      <c r="A88" s="231" t="s">
        <v>2374</v>
      </c>
      <c r="B88" s="69" t="s">
        <v>286</v>
      </c>
      <c r="C88" s="69" t="s">
        <v>136</v>
      </c>
      <c r="D88" s="69" t="s">
        <v>191</v>
      </c>
      <c r="E88" s="69" t="s">
        <v>191</v>
      </c>
      <c r="F88" s="69" t="s">
        <v>161</v>
      </c>
      <c r="G88" s="69" t="s">
        <v>192</v>
      </c>
      <c r="H88" s="69" t="s">
        <v>2130</v>
      </c>
      <c r="I88" s="69">
        <v>2</v>
      </c>
      <c r="J88" s="238">
        <v>0.82500000000000007</v>
      </c>
      <c r="K88" s="238">
        <v>0.70497163608542901</v>
      </c>
      <c r="L88" s="69">
        <v>109.81489691553389</v>
      </c>
      <c r="M88" s="69">
        <v>0</v>
      </c>
      <c r="N88" s="69">
        <v>0</v>
      </c>
      <c r="O88" s="69">
        <v>0</v>
      </c>
      <c r="P88" s="69">
        <v>0</v>
      </c>
      <c r="Q88" s="69">
        <v>216.80999999999989</v>
      </c>
      <c r="R88" s="69">
        <v>216.80999999999989</v>
      </c>
      <c r="S88" s="69">
        <v>216.80999999999989</v>
      </c>
      <c r="T88" s="69">
        <v>216.80999999999989</v>
      </c>
      <c r="U88" s="69">
        <v>216.80999999999989</v>
      </c>
      <c r="V88" s="69">
        <v>216.80999999999989</v>
      </c>
      <c r="W88" s="69">
        <v>216.80999999999989</v>
      </c>
      <c r="X88" s="69">
        <v>216.80999999999989</v>
      </c>
      <c r="Y88" s="69">
        <v>216.80999999999989</v>
      </c>
      <c r="Z88" s="69">
        <v>216.80999999999989</v>
      </c>
      <c r="AA88" s="69">
        <v>216.80999999999989</v>
      </c>
      <c r="AB88" s="69">
        <v>216.80999999999989</v>
      </c>
      <c r="AC88" s="69">
        <v>216.80999999999989</v>
      </c>
      <c r="AD88" s="69">
        <v>216.80999999999989</v>
      </c>
      <c r="AE88" s="69">
        <v>216.80999999999989</v>
      </c>
      <c r="AF88" s="69">
        <v>216.80999999999989</v>
      </c>
      <c r="AG88" s="69">
        <v>216.80999999999989</v>
      </c>
    </row>
    <row r="89" spans="1:33" ht="12.75" customHeight="1">
      <c r="A89" s="231" t="s">
        <v>2374</v>
      </c>
      <c r="B89" s="69" t="s">
        <v>287</v>
      </c>
      <c r="C89" s="69" t="s">
        <v>184</v>
      </c>
      <c r="D89" s="69" t="s">
        <v>140</v>
      </c>
      <c r="E89" s="69" t="s">
        <v>191</v>
      </c>
      <c r="F89" s="69" t="s">
        <v>167</v>
      </c>
      <c r="G89" s="69" t="s">
        <v>192</v>
      </c>
      <c r="H89" s="69" t="s">
        <v>804</v>
      </c>
      <c r="I89" s="69">
        <v>2</v>
      </c>
      <c r="J89" s="238">
        <v>0.8</v>
      </c>
      <c r="K89" s="238">
        <v>0</v>
      </c>
      <c r="L89" s="69">
        <v>114.19797366361543</v>
      </c>
      <c r="M89" s="69">
        <v>0</v>
      </c>
      <c r="N89" s="69">
        <v>0</v>
      </c>
      <c r="O89" s="69">
        <v>0</v>
      </c>
      <c r="P89" s="69">
        <v>14.015999999999622</v>
      </c>
      <c r="Q89" s="69">
        <v>14.015999999999622</v>
      </c>
      <c r="R89" s="69">
        <v>14.015999999999622</v>
      </c>
      <c r="S89" s="69">
        <v>14.015999999999622</v>
      </c>
      <c r="T89" s="69">
        <v>14.015999999999622</v>
      </c>
      <c r="U89" s="69">
        <v>14.015999999999622</v>
      </c>
      <c r="V89" s="69">
        <v>14.015999999999622</v>
      </c>
      <c r="W89" s="69">
        <v>14.015999999999622</v>
      </c>
      <c r="X89" s="69">
        <v>14.015999999999622</v>
      </c>
      <c r="Y89" s="69">
        <v>14.015999999999622</v>
      </c>
      <c r="Z89" s="69">
        <v>14.015999999999622</v>
      </c>
      <c r="AA89" s="69">
        <v>14.015999999999622</v>
      </c>
      <c r="AB89" s="69">
        <v>14.015999999999622</v>
      </c>
      <c r="AC89" s="69">
        <v>14.015999999999622</v>
      </c>
      <c r="AD89" s="69">
        <v>14.015999999999622</v>
      </c>
      <c r="AE89" s="69">
        <v>14.015999999999622</v>
      </c>
      <c r="AF89" s="69">
        <v>14.015999999999622</v>
      </c>
      <c r="AG89" s="69">
        <v>14.015999999999622</v>
      </c>
    </row>
    <row r="90" spans="1:33" ht="12.75" customHeight="1">
      <c r="A90" s="231" t="s">
        <v>2374</v>
      </c>
      <c r="B90" s="69" t="s">
        <v>288</v>
      </c>
      <c r="C90" s="69" t="s">
        <v>184</v>
      </c>
      <c r="D90" s="69" t="s">
        <v>140</v>
      </c>
      <c r="E90" s="69" t="s">
        <v>191</v>
      </c>
      <c r="F90" s="69" t="s">
        <v>177</v>
      </c>
      <c r="G90" s="69" t="s">
        <v>192</v>
      </c>
      <c r="H90" s="69" t="s">
        <v>804</v>
      </c>
      <c r="I90" s="69">
        <v>2</v>
      </c>
      <c r="J90" s="238">
        <v>0.8</v>
      </c>
      <c r="K90" s="238">
        <v>0</v>
      </c>
      <c r="L90" s="69">
        <v>114.19797366361543</v>
      </c>
      <c r="M90" s="69">
        <v>0</v>
      </c>
      <c r="N90" s="69">
        <v>0</v>
      </c>
      <c r="O90" s="69">
        <v>0</v>
      </c>
      <c r="P90" s="69">
        <v>14.015999999999622</v>
      </c>
      <c r="Q90" s="69">
        <v>14.015999999999622</v>
      </c>
      <c r="R90" s="69">
        <v>14.015999999999622</v>
      </c>
      <c r="S90" s="69">
        <v>14.015999999999622</v>
      </c>
      <c r="T90" s="69">
        <v>14.015999999999622</v>
      </c>
      <c r="U90" s="69">
        <v>14.015999999999622</v>
      </c>
      <c r="V90" s="69">
        <v>14.015999999999622</v>
      </c>
      <c r="W90" s="69">
        <v>14.015999999999622</v>
      </c>
      <c r="X90" s="69">
        <v>14.015999999999622</v>
      </c>
      <c r="Y90" s="69">
        <v>14.015999999999622</v>
      </c>
      <c r="Z90" s="69">
        <v>14.015999999999622</v>
      </c>
      <c r="AA90" s="69">
        <v>14.015999999999622</v>
      </c>
      <c r="AB90" s="69">
        <v>14.015999999999622</v>
      </c>
      <c r="AC90" s="69">
        <v>14.015999999999622</v>
      </c>
      <c r="AD90" s="69">
        <v>14.015999999999622</v>
      </c>
      <c r="AE90" s="69">
        <v>14.015999999999622</v>
      </c>
      <c r="AF90" s="69">
        <v>14.015999999999622</v>
      </c>
      <c r="AG90" s="69">
        <v>14.015999999999622</v>
      </c>
    </row>
    <row r="91" spans="1:33" ht="12.75" customHeight="1">
      <c r="A91" s="231" t="s">
        <v>2374</v>
      </c>
      <c r="B91" s="69" t="s">
        <v>289</v>
      </c>
      <c r="C91" s="69" t="s">
        <v>187</v>
      </c>
      <c r="D91" s="69" t="s">
        <v>191</v>
      </c>
      <c r="E91" s="69" t="s">
        <v>191</v>
      </c>
      <c r="F91" s="69" t="s">
        <v>180</v>
      </c>
      <c r="G91" s="69" t="s">
        <v>192</v>
      </c>
      <c r="H91" s="69" t="s">
        <v>804</v>
      </c>
      <c r="I91" s="69">
        <v>2</v>
      </c>
      <c r="J91" s="238">
        <v>0.2668262983999703</v>
      </c>
      <c r="K91" s="238">
        <v>0.82586438133842643</v>
      </c>
      <c r="L91" s="69">
        <v>192.38629588063705</v>
      </c>
      <c r="M91" s="69">
        <v>0</v>
      </c>
      <c r="N91" s="69">
        <v>0</v>
      </c>
      <c r="O91" s="69">
        <v>0</v>
      </c>
      <c r="P91" s="69">
        <v>0</v>
      </c>
      <c r="Q91" s="69">
        <v>0</v>
      </c>
      <c r="R91" s="69">
        <v>245.42682926829002</v>
      </c>
      <c r="S91" s="69">
        <v>245.42682926829002</v>
      </c>
      <c r="T91" s="69">
        <v>245.42682926829002</v>
      </c>
      <c r="U91" s="69">
        <v>245.42682926829002</v>
      </c>
      <c r="V91" s="69">
        <v>245.42682926829002</v>
      </c>
      <c r="W91" s="69">
        <v>245.42682926829002</v>
      </c>
      <c r="X91" s="69">
        <v>245.42682926829002</v>
      </c>
      <c r="Y91" s="69">
        <v>245.42682926829002</v>
      </c>
      <c r="Z91" s="69">
        <v>245.42682926829002</v>
      </c>
      <c r="AA91" s="69">
        <v>245.42682926829002</v>
      </c>
      <c r="AB91" s="69">
        <v>245.42682926829002</v>
      </c>
      <c r="AC91" s="69">
        <v>245.42682926829002</v>
      </c>
      <c r="AD91" s="69">
        <v>245.42682926829002</v>
      </c>
      <c r="AE91" s="69">
        <v>245.42682926829002</v>
      </c>
      <c r="AF91" s="69">
        <v>245.42682926829002</v>
      </c>
      <c r="AG91" s="69">
        <v>245.42682926829002</v>
      </c>
    </row>
    <row r="92" spans="1:33" ht="12.75" customHeight="1">
      <c r="A92" s="231" t="s">
        <v>2374</v>
      </c>
      <c r="B92" s="69" t="s">
        <v>290</v>
      </c>
      <c r="C92" s="69" t="s">
        <v>137</v>
      </c>
      <c r="D92" s="69" t="s">
        <v>191</v>
      </c>
      <c r="E92" s="69" t="s">
        <v>191</v>
      </c>
      <c r="F92" s="69" t="s">
        <v>168</v>
      </c>
      <c r="G92" s="69" t="s">
        <v>199</v>
      </c>
      <c r="H92" s="69" t="s">
        <v>2417</v>
      </c>
      <c r="I92" s="69">
        <v>1</v>
      </c>
      <c r="J92" s="238">
        <v>0.29204999999999998</v>
      </c>
      <c r="K92" s="238">
        <v>0.18436399478639695</v>
      </c>
      <c r="L92" s="69">
        <v>95.155627725733936</v>
      </c>
      <c r="M92" s="69">
        <v>0</v>
      </c>
      <c r="N92" s="69">
        <v>0</v>
      </c>
      <c r="O92" s="69">
        <v>0</v>
      </c>
      <c r="P92" s="69">
        <v>358.17012000000068</v>
      </c>
      <c r="Q92" s="69">
        <v>358.17012000000068</v>
      </c>
      <c r="R92" s="69">
        <v>358.17012000000068</v>
      </c>
      <c r="S92" s="69">
        <v>358.17012000000068</v>
      </c>
      <c r="T92" s="69">
        <v>358.17012000000068</v>
      </c>
      <c r="U92" s="69">
        <v>358.17012000000068</v>
      </c>
      <c r="V92" s="69">
        <v>358.17012000000068</v>
      </c>
      <c r="W92" s="69">
        <v>358.17012000000068</v>
      </c>
      <c r="X92" s="69">
        <v>358.17012000000068</v>
      </c>
      <c r="Y92" s="69">
        <v>358.17012000000068</v>
      </c>
      <c r="Z92" s="69">
        <v>358.17012000000068</v>
      </c>
      <c r="AA92" s="69">
        <v>358.17012000000068</v>
      </c>
      <c r="AB92" s="69">
        <v>358.17012000000068</v>
      </c>
      <c r="AC92" s="69">
        <v>358.17012000000068</v>
      </c>
      <c r="AD92" s="69">
        <v>358.17012000000068</v>
      </c>
      <c r="AE92" s="69">
        <v>358.17012000000068</v>
      </c>
      <c r="AF92" s="69">
        <v>358.17012000000068</v>
      </c>
      <c r="AG92" s="69">
        <v>358.17012000000068</v>
      </c>
    </row>
    <row r="93" spans="1:33" ht="12.75" customHeight="1">
      <c r="A93" s="231" t="s">
        <v>2374</v>
      </c>
      <c r="B93" s="69" t="s">
        <v>290</v>
      </c>
      <c r="C93" s="69" t="s">
        <v>137</v>
      </c>
      <c r="D93" s="69" t="s">
        <v>191</v>
      </c>
      <c r="E93" s="69" t="s">
        <v>191</v>
      </c>
      <c r="F93" s="69" t="s">
        <v>168</v>
      </c>
      <c r="G93" s="69" t="s">
        <v>199</v>
      </c>
      <c r="H93" s="69" t="s">
        <v>2417</v>
      </c>
      <c r="I93" s="69">
        <v>1</v>
      </c>
      <c r="J93" s="238">
        <v>0.29204999999999998</v>
      </c>
      <c r="K93" s="238">
        <v>0.18436399478639695</v>
      </c>
      <c r="L93" s="69">
        <v>95.155627725733936</v>
      </c>
      <c r="M93" s="69">
        <v>0</v>
      </c>
      <c r="N93" s="69">
        <v>0</v>
      </c>
      <c r="O93" s="69">
        <v>0</v>
      </c>
      <c r="P93" s="69">
        <v>358.17012000000068</v>
      </c>
      <c r="Q93" s="69">
        <v>358.17012000000068</v>
      </c>
      <c r="R93" s="69">
        <v>358.17012000000068</v>
      </c>
      <c r="S93" s="69">
        <v>358.17012000000068</v>
      </c>
      <c r="T93" s="69">
        <v>358.17012000000068</v>
      </c>
      <c r="U93" s="69">
        <v>358.17012000000068</v>
      </c>
      <c r="V93" s="69">
        <v>358.17012000000068</v>
      </c>
      <c r="W93" s="69">
        <v>358.17012000000068</v>
      </c>
      <c r="X93" s="69">
        <v>358.17012000000068</v>
      </c>
      <c r="Y93" s="69">
        <v>358.17012000000068</v>
      </c>
      <c r="Z93" s="69">
        <v>358.17012000000068</v>
      </c>
      <c r="AA93" s="69">
        <v>358.17012000000068</v>
      </c>
      <c r="AB93" s="69">
        <v>358.17012000000068</v>
      </c>
      <c r="AC93" s="69">
        <v>358.17012000000068</v>
      </c>
      <c r="AD93" s="69">
        <v>358.17012000000068</v>
      </c>
      <c r="AE93" s="69">
        <v>358.17012000000068</v>
      </c>
      <c r="AF93" s="69">
        <v>358.17012000000068</v>
      </c>
      <c r="AG93" s="69">
        <v>358.17012000000068</v>
      </c>
    </row>
    <row r="94" spans="1:33" ht="12.75" customHeight="1">
      <c r="A94" s="231" t="s">
        <v>2374</v>
      </c>
      <c r="B94" s="69" t="s">
        <v>290</v>
      </c>
      <c r="C94" s="69" t="s">
        <v>137</v>
      </c>
      <c r="D94" s="69" t="s">
        <v>191</v>
      </c>
      <c r="E94" s="69" t="s">
        <v>191</v>
      </c>
      <c r="F94" s="69" t="s">
        <v>168</v>
      </c>
      <c r="G94" s="69" t="s">
        <v>199</v>
      </c>
      <c r="H94" s="69" t="s">
        <v>2417</v>
      </c>
      <c r="I94" s="69">
        <v>1</v>
      </c>
      <c r="J94" s="238">
        <v>0.29204999999999998</v>
      </c>
      <c r="K94" s="238">
        <v>0.18436399478639695</v>
      </c>
      <c r="L94" s="69">
        <v>95.155627725733936</v>
      </c>
      <c r="M94" s="69">
        <v>0</v>
      </c>
      <c r="N94" s="69">
        <v>0</v>
      </c>
      <c r="O94" s="69">
        <v>0</v>
      </c>
      <c r="P94" s="69">
        <v>358.17012000000068</v>
      </c>
      <c r="Q94" s="69">
        <v>358.17012000000068</v>
      </c>
      <c r="R94" s="69">
        <v>358.17012000000068</v>
      </c>
      <c r="S94" s="69">
        <v>358.17012000000068</v>
      </c>
      <c r="T94" s="69">
        <v>358.17012000000068</v>
      </c>
      <c r="U94" s="69">
        <v>358.17012000000068</v>
      </c>
      <c r="V94" s="69">
        <v>358.17012000000068</v>
      </c>
      <c r="W94" s="69">
        <v>358.17012000000068</v>
      </c>
      <c r="X94" s="69">
        <v>358.17012000000068</v>
      </c>
      <c r="Y94" s="69">
        <v>358.17012000000068</v>
      </c>
      <c r="Z94" s="69">
        <v>358.17012000000068</v>
      </c>
      <c r="AA94" s="69">
        <v>358.17012000000068</v>
      </c>
      <c r="AB94" s="69">
        <v>358.17012000000068</v>
      </c>
      <c r="AC94" s="69">
        <v>358.17012000000068</v>
      </c>
      <c r="AD94" s="69">
        <v>358.17012000000068</v>
      </c>
      <c r="AE94" s="69">
        <v>358.17012000000068</v>
      </c>
      <c r="AF94" s="69">
        <v>358.17012000000068</v>
      </c>
      <c r="AG94" s="69">
        <v>358.17012000000068</v>
      </c>
    </row>
    <row r="95" spans="1:33" ht="12.75" customHeight="1">
      <c r="A95" s="231" t="s">
        <v>2374</v>
      </c>
      <c r="B95" s="69" t="s">
        <v>291</v>
      </c>
      <c r="C95" s="69" t="s">
        <v>184</v>
      </c>
      <c r="D95" s="69" t="s">
        <v>140</v>
      </c>
      <c r="E95" s="69" t="s">
        <v>191</v>
      </c>
      <c r="F95" s="69" t="s">
        <v>180</v>
      </c>
      <c r="G95" s="69" t="s">
        <v>192</v>
      </c>
      <c r="H95" s="69" t="s">
        <v>804</v>
      </c>
      <c r="I95" s="69">
        <v>2</v>
      </c>
      <c r="J95" s="238">
        <v>0.8</v>
      </c>
      <c r="K95" s="238">
        <v>0</v>
      </c>
      <c r="L95" s="69">
        <v>114.19797366361543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>
        <v>14.015999999999622</v>
      </c>
      <c r="S95" s="69">
        <v>14.015999999999622</v>
      </c>
      <c r="T95" s="69">
        <v>14.015999999999622</v>
      </c>
      <c r="U95" s="69">
        <v>14.015999999999622</v>
      </c>
      <c r="V95" s="69">
        <v>14.015999999999622</v>
      </c>
      <c r="W95" s="69">
        <v>14.015999999999622</v>
      </c>
      <c r="X95" s="69">
        <v>14.015999999999622</v>
      </c>
      <c r="Y95" s="69">
        <v>14.015999999999622</v>
      </c>
      <c r="Z95" s="69">
        <v>14.015999999999622</v>
      </c>
      <c r="AA95" s="69">
        <v>14.015999999999622</v>
      </c>
      <c r="AB95" s="69">
        <v>14.015999999999622</v>
      </c>
      <c r="AC95" s="69">
        <v>14.015999999999622</v>
      </c>
      <c r="AD95" s="69">
        <v>14.015999999999622</v>
      </c>
      <c r="AE95" s="69">
        <v>14.015999999999622</v>
      </c>
      <c r="AF95" s="69">
        <v>14.015999999999622</v>
      </c>
      <c r="AG95" s="69">
        <v>14.015999999999622</v>
      </c>
    </row>
    <row r="96" spans="1:33" ht="12.75" customHeight="1">
      <c r="A96" s="231" t="s">
        <v>2374</v>
      </c>
      <c r="B96" s="69" t="s">
        <v>292</v>
      </c>
      <c r="C96" s="69" t="s">
        <v>184</v>
      </c>
      <c r="D96" s="69" t="s">
        <v>140</v>
      </c>
      <c r="E96" s="69" t="s">
        <v>191</v>
      </c>
      <c r="F96" s="69" t="s">
        <v>177</v>
      </c>
      <c r="G96" s="69" t="s">
        <v>192</v>
      </c>
      <c r="H96" s="69" t="s">
        <v>804</v>
      </c>
      <c r="I96" s="69">
        <v>2</v>
      </c>
      <c r="J96" s="238">
        <v>0.8</v>
      </c>
      <c r="K96" s="238">
        <v>0</v>
      </c>
      <c r="L96" s="69">
        <v>114.19797366361543</v>
      </c>
      <c r="M96" s="69">
        <v>0</v>
      </c>
      <c r="N96" s="69">
        <v>0</v>
      </c>
      <c r="O96" s="69">
        <v>0</v>
      </c>
      <c r="P96" s="69">
        <v>35.040000000000873</v>
      </c>
      <c r="Q96" s="69">
        <v>35.040000000000873</v>
      </c>
      <c r="R96" s="69">
        <v>35.040000000000873</v>
      </c>
      <c r="S96" s="69">
        <v>35.040000000000873</v>
      </c>
      <c r="T96" s="69">
        <v>35.040000000000873</v>
      </c>
      <c r="U96" s="69">
        <v>35.040000000000873</v>
      </c>
      <c r="V96" s="69">
        <v>35.040000000000873</v>
      </c>
      <c r="W96" s="69">
        <v>35.040000000000873</v>
      </c>
      <c r="X96" s="69">
        <v>35.040000000000873</v>
      </c>
      <c r="Y96" s="69">
        <v>35.040000000000873</v>
      </c>
      <c r="Z96" s="69">
        <v>35.040000000000873</v>
      </c>
      <c r="AA96" s="69">
        <v>35.040000000000873</v>
      </c>
      <c r="AB96" s="69">
        <v>35.040000000000873</v>
      </c>
      <c r="AC96" s="69">
        <v>35.040000000000873</v>
      </c>
      <c r="AD96" s="69">
        <v>35.040000000000873</v>
      </c>
      <c r="AE96" s="69">
        <v>35.040000000000873</v>
      </c>
      <c r="AF96" s="69">
        <v>35.040000000000873</v>
      </c>
      <c r="AG96" s="69">
        <v>35.040000000000873</v>
      </c>
    </row>
    <row r="97" spans="1:33" ht="12.75" customHeight="1">
      <c r="A97" s="231" t="s">
        <v>2374</v>
      </c>
      <c r="B97" s="69" t="s">
        <v>293</v>
      </c>
      <c r="C97" s="69" t="s">
        <v>137</v>
      </c>
      <c r="D97" s="69" t="s">
        <v>191</v>
      </c>
      <c r="E97" s="69" t="s">
        <v>191</v>
      </c>
      <c r="F97" s="69" t="s">
        <v>181</v>
      </c>
      <c r="G97" s="69" t="s">
        <v>294</v>
      </c>
      <c r="H97" s="69" t="s">
        <v>2417</v>
      </c>
      <c r="I97" s="69">
        <v>1</v>
      </c>
      <c r="J97" s="238">
        <v>0.28989999999999999</v>
      </c>
      <c r="K97" s="238">
        <v>0.18559014484515421</v>
      </c>
      <c r="L97" s="69">
        <v>91.706640833021837</v>
      </c>
      <c r="M97" s="69">
        <v>0</v>
      </c>
      <c r="N97" s="69">
        <v>228.55716000000029</v>
      </c>
      <c r="O97" s="69">
        <v>228.55716000000029</v>
      </c>
      <c r="P97" s="69">
        <v>228.55716000000029</v>
      </c>
      <c r="Q97" s="69">
        <v>228.55716000000029</v>
      </c>
      <c r="R97" s="69">
        <v>228.55716000000029</v>
      </c>
      <c r="S97" s="69">
        <v>228.55716000000029</v>
      </c>
      <c r="T97" s="69">
        <v>228.55716000000029</v>
      </c>
      <c r="U97" s="69">
        <v>228.55716000000029</v>
      </c>
      <c r="V97" s="69">
        <v>228.55716000000029</v>
      </c>
      <c r="W97" s="69">
        <v>228.55716000000029</v>
      </c>
      <c r="X97" s="69">
        <v>228.55716000000029</v>
      </c>
      <c r="Y97" s="69">
        <v>228.55716000000029</v>
      </c>
      <c r="Z97" s="69">
        <v>228.55716000000029</v>
      </c>
      <c r="AA97" s="69">
        <v>228.55716000000029</v>
      </c>
      <c r="AB97" s="69">
        <v>228.55716000000029</v>
      </c>
      <c r="AC97" s="69">
        <v>228.55716000000029</v>
      </c>
      <c r="AD97" s="69">
        <v>228.55716000000029</v>
      </c>
      <c r="AE97" s="69">
        <v>228.55716000000029</v>
      </c>
      <c r="AF97" s="69">
        <v>228.55716000000029</v>
      </c>
      <c r="AG97" s="69">
        <v>228.55716000000029</v>
      </c>
    </row>
    <row r="98" spans="1:33" ht="12.75" customHeight="1">
      <c r="A98" s="231" t="s">
        <v>2374</v>
      </c>
      <c r="B98" s="69" t="s">
        <v>295</v>
      </c>
      <c r="C98" s="69" t="s">
        <v>137</v>
      </c>
      <c r="D98" s="69" t="s">
        <v>191</v>
      </c>
      <c r="E98" s="69" t="s">
        <v>191</v>
      </c>
      <c r="F98" s="69" t="s">
        <v>168</v>
      </c>
      <c r="G98" s="69" t="s">
        <v>199</v>
      </c>
      <c r="H98" s="69" t="s">
        <v>2417</v>
      </c>
      <c r="I98" s="69">
        <v>1</v>
      </c>
      <c r="J98" s="238">
        <v>0.29204999999999998</v>
      </c>
      <c r="K98" s="238">
        <v>0.18436399478639695</v>
      </c>
      <c r="L98" s="69">
        <v>95.155627725733964</v>
      </c>
      <c r="M98" s="69">
        <v>0</v>
      </c>
      <c r="N98" s="69">
        <v>0</v>
      </c>
      <c r="O98" s="69">
        <v>266.06923199999983</v>
      </c>
      <c r="P98" s="69">
        <v>266.06923199999983</v>
      </c>
      <c r="Q98" s="69">
        <v>266.06923199999983</v>
      </c>
      <c r="R98" s="69">
        <v>266.06923199999983</v>
      </c>
      <c r="S98" s="69">
        <v>266.06923199999983</v>
      </c>
      <c r="T98" s="69">
        <v>266.06923199999983</v>
      </c>
      <c r="U98" s="69">
        <v>266.06923199999983</v>
      </c>
      <c r="V98" s="69">
        <v>266.06923199999983</v>
      </c>
      <c r="W98" s="69">
        <v>266.06923199999983</v>
      </c>
      <c r="X98" s="69">
        <v>266.06923199999983</v>
      </c>
      <c r="Y98" s="69">
        <v>266.06923199999983</v>
      </c>
      <c r="Z98" s="69">
        <v>266.06923199999983</v>
      </c>
      <c r="AA98" s="69">
        <v>266.06923199999983</v>
      </c>
      <c r="AB98" s="69">
        <v>266.06923199999983</v>
      </c>
      <c r="AC98" s="69">
        <v>266.06923199999983</v>
      </c>
      <c r="AD98" s="69">
        <v>266.06923199999983</v>
      </c>
      <c r="AE98" s="69">
        <v>266.06923199999983</v>
      </c>
      <c r="AF98" s="69">
        <v>266.06923199999983</v>
      </c>
      <c r="AG98" s="69">
        <v>266.06923199999983</v>
      </c>
    </row>
    <row r="99" spans="1:33" ht="12.75" customHeight="1">
      <c r="A99" s="231" t="s">
        <v>2374</v>
      </c>
      <c r="B99" s="69" t="s">
        <v>296</v>
      </c>
      <c r="C99" s="69" t="s">
        <v>184</v>
      </c>
      <c r="D99" s="69" t="s">
        <v>140</v>
      </c>
      <c r="E99" s="69" t="s">
        <v>191</v>
      </c>
      <c r="F99" s="69" t="s">
        <v>167</v>
      </c>
      <c r="G99" s="69" t="s">
        <v>192</v>
      </c>
      <c r="H99" s="69" t="s">
        <v>804</v>
      </c>
      <c r="I99" s="69">
        <v>2</v>
      </c>
      <c r="J99" s="238">
        <v>0.8</v>
      </c>
      <c r="K99" s="238">
        <v>0</v>
      </c>
      <c r="L99" s="69">
        <v>114.19797366361543</v>
      </c>
      <c r="M99" s="69">
        <v>0</v>
      </c>
      <c r="N99" s="69">
        <v>0</v>
      </c>
      <c r="O99" s="69">
        <v>0</v>
      </c>
      <c r="P99" s="69">
        <v>0</v>
      </c>
      <c r="Q99" s="69">
        <v>0</v>
      </c>
      <c r="R99" s="69">
        <v>21.024000000001251</v>
      </c>
      <c r="S99" s="69">
        <v>21.024000000001251</v>
      </c>
      <c r="T99" s="69">
        <v>21.024000000001251</v>
      </c>
      <c r="U99" s="69">
        <v>21.024000000001251</v>
      </c>
      <c r="V99" s="69">
        <v>21.024000000001251</v>
      </c>
      <c r="W99" s="69">
        <v>21.024000000001251</v>
      </c>
      <c r="X99" s="69">
        <v>21.024000000001251</v>
      </c>
      <c r="Y99" s="69">
        <v>21.024000000001251</v>
      </c>
      <c r="Z99" s="69">
        <v>21.024000000001251</v>
      </c>
      <c r="AA99" s="69">
        <v>21.024000000001251</v>
      </c>
      <c r="AB99" s="69">
        <v>21.024000000001251</v>
      </c>
      <c r="AC99" s="69">
        <v>21.024000000001251</v>
      </c>
      <c r="AD99" s="69">
        <v>21.024000000001251</v>
      </c>
      <c r="AE99" s="69">
        <v>21.024000000001251</v>
      </c>
      <c r="AF99" s="69">
        <v>21.024000000001251</v>
      </c>
      <c r="AG99" s="69">
        <v>21.024000000001251</v>
      </c>
    </row>
    <row r="100" spans="1:33" ht="12.75" customHeight="1">
      <c r="A100" s="231" t="s">
        <v>2374</v>
      </c>
      <c r="B100" s="69" t="s">
        <v>297</v>
      </c>
      <c r="C100" s="69" t="s">
        <v>184</v>
      </c>
      <c r="D100" s="69" t="s">
        <v>140</v>
      </c>
      <c r="E100" s="69" t="s">
        <v>191</v>
      </c>
      <c r="F100" s="69" t="s">
        <v>167</v>
      </c>
      <c r="G100" s="69" t="s">
        <v>192</v>
      </c>
      <c r="H100" s="69" t="s">
        <v>804</v>
      </c>
      <c r="I100" s="69">
        <v>2</v>
      </c>
      <c r="J100" s="238">
        <v>0.8</v>
      </c>
      <c r="K100" s="238">
        <v>0</v>
      </c>
      <c r="L100" s="69">
        <v>114.19797366361543</v>
      </c>
      <c r="M100" s="69">
        <v>0</v>
      </c>
      <c r="N100" s="69">
        <v>0</v>
      </c>
      <c r="O100" s="69">
        <v>0</v>
      </c>
      <c r="P100" s="69">
        <v>0</v>
      </c>
      <c r="Q100" s="69">
        <v>0</v>
      </c>
      <c r="R100" s="69">
        <v>0</v>
      </c>
      <c r="S100" s="69">
        <v>0</v>
      </c>
      <c r="T100" s="69">
        <v>0</v>
      </c>
      <c r="U100" s="69">
        <v>0</v>
      </c>
      <c r="V100" s="69">
        <v>21.024000000001251</v>
      </c>
      <c r="W100" s="69">
        <v>21.024000000001251</v>
      </c>
      <c r="X100" s="69">
        <v>21.024000000001251</v>
      </c>
      <c r="Y100" s="69">
        <v>21.024000000001251</v>
      </c>
      <c r="Z100" s="69">
        <v>21.024000000001251</v>
      </c>
      <c r="AA100" s="69">
        <v>21.024000000001251</v>
      </c>
      <c r="AB100" s="69">
        <v>21.024000000001251</v>
      </c>
      <c r="AC100" s="69">
        <v>21.024000000001251</v>
      </c>
      <c r="AD100" s="69">
        <v>21.024000000001251</v>
      </c>
      <c r="AE100" s="69">
        <v>21.024000000001251</v>
      </c>
      <c r="AF100" s="69">
        <v>21.024000000001251</v>
      </c>
      <c r="AG100" s="69">
        <v>21.024000000001251</v>
      </c>
    </row>
    <row r="101" spans="1:33" ht="12.75" customHeight="1">
      <c r="A101" s="231" t="s">
        <v>2374</v>
      </c>
      <c r="B101" s="69" t="s">
        <v>298</v>
      </c>
      <c r="C101" s="69" t="s">
        <v>137</v>
      </c>
      <c r="D101" s="69" t="s">
        <v>191</v>
      </c>
      <c r="E101" s="69" t="s">
        <v>191</v>
      </c>
      <c r="F101" s="69" t="s">
        <v>180</v>
      </c>
      <c r="G101" s="69" t="s">
        <v>192</v>
      </c>
      <c r="H101" s="69" t="s">
        <v>804</v>
      </c>
      <c r="I101" s="69">
        <v>1</v>
      </c>
      <c r="J101" s="238">
        <v>0.32235762917068039</v>
      </c>
      <c r="K101" s="238">
        <v>0.160195270625522</v>
      </c>
      <c r="L101" s="69">
        <v>96.038728079112815</v>
      </c>
      <c r="M101" s="69">
        <v>0</v>
      </c>
      <c r="N101" s="69">
        <v>0</v>
      </c>
      <c r="O101" s="69">
        <v>0</v>
      </c>
      <c r="P101" s="69">
        <v>0</v>
      </c>
      <c r="Q101" s="69">
        <v>0</v>
      </c>
      <c r="R101" s="69">
        <v>395.3393964149227</v>
      </c>
      <c r="S101" s="69">
        <v>395.3393964149227</v>
      </c>
      <c r="T101" s="69">
        <v>395.3393964149227</v>
      </c>
      <c r="U101" s="69">
        <v>395.3393964149227</v>
      </c>
      <c r="V101" s="69">
        <v>395.3393964149227</v>
      </c>
      <c r="W101" s="69">
        <v>395.3393964149227</v>
      </c>
      <c r="X101" s="69">
        <v>395.3393964149227</v>
      </c>
      <c r="Y101" s="69">
        <v>395.3393964149227</v>
      </c>
      <c r="Z101" s="69">
        <v>395.3393964149227</v>
      </c>
      <c r="AA101" s="69">
        <v>395.3393964149227</v>
      </c>
      <c r="AB101" s="69">
        <v>395.3393964149227</v>
      </c>
      <c r="AC101" s="69">
        <v>395.3393964149227</v>
      </c>
      <c r="AD101" s="69">
        <v>395.3393964149227</v>
      </c>
      <c r="AE101" s="69">
        <v>395.3393964149227</v>
      </c>
      <c r="AF101" s="69">
        <v>395.3393964149227</v>
      </c>
      <c r="AG101" s="69">
        <v>395.3393964149227</v>
      </c>
    </row>
    <row r="102" spans="1:33" ht="12.75" customHeight="1">
      <c r="A102" s="231" t="s">
        <v>2374</v>
      </c>
      <c r="B102" s="69" t="s">
        <v>299</v>
      </c>
      <c r="C102" s="69" t="s">
        <v>187</v>
      </c>
      <c r="D102" s="69" t="s">
        <v>191</v>
      </c>
      <c r="E102" s="69" t="s">
        <v>191</v>
      </c>
      <c r="F102" s="69" t="s">
        <v>161</v>
      </c>
      <c r="G102" s="69" t="s">
        <v>192</v>
      </c>
      <c r="H102" s="69" t="s">
        <v>2130</v>
      </c>
      <c r="I102" s="69">
        <v>1</v>
      </c>
      <c r="J102" s="238">
        <v>0.2668262983999703</v>
      </c>
      <c r="K102" s="238">
        <v>0.69294738572207071</v>
      </c>
      <c r="L102" s="69">
        <v>192.38629588063705</v>
      </c>
      <c r="M102" s="69">
        <v>0</v>
      </c>
      <c r="N102" s="69">
        <v>0</v>
      </c>
      <c r="O102" s="69">
        <v>0</v>
      </c>
      <c r="P102" s="69">
        <v>0</v>
      </c>
      <c r="Q102" s="69">
        <v>0</v>
      </c>
      <c r="R102" s="69">
        <v>701.21951219512152</v>
      </c>
      <c r="S102" s="69">
        <v>701.21951219512152</v>
      </c>
      <c r="T102" s="69">
        <v>701.21951219512152</v>
      </c>
      <c r="U102" s="69">
        <v>701.21951219512152</v>
      </c>
      <c r="V102" s="69">
        <v>701.21951219512152</v>
      </c>
      <c r="W102" s="69">
        <v>701.21951219512152</v>
      </c>
      <c r="X102" s="69">
        <v>701.21951219512152</v>
      </c>
      <c r="Y102" s="69">
        <v>701.21951219512152</v>
      </c>
      <c r="Z102" s="69">
        <v>701.21951219512152</v>
      </c>
      <c r="AA102" s="69">
        <v>701.21951219512152</v>
      </c>
      <c r="AB102" s="69">
        <v>701.21951219512152</v>
      </c>
      <c r="AC102" s="69">
        <v>701.21951219512152</v>
      </c>
      <c r="AD102" s="69">
        <v>701.21951219512152</v>
      </c>
      <c r="AE102" s="69">
        <v>701.21951219512152</v>
      </c>
      <c r="AF102" s="69">
        <v>701.21951219512152</v>
      </c>
      <c r="AG102" s="69">
        <v>701.21951219512152</v>
      </c>
    </row>
    <row r="103" spans="1:33" ht="12.75" customHeight="1">
      <c r="A103" s="231" t="s">
        <v>2374</v>
      </c>
      <c r="B103" s="69" t="s">
        <v>300</v>
      </c>
      <c r="C103" s="69" t="s">
        <v>139</v>
      </c>
      <c r="D103" s="69" t="s">
        <v>191</v>
      </c>
      <c r="E103" s="69" t="s">
        <v>191</v>
      </c>
      <c r="F103" s="69" t="s">
        <v>178</v>
      </c>
      <c r="G103" s="69" t="s">
        <v>192</v>
      </c>
      <c r="H103" s="69" t="s">
        <v>2130</v>
      </c>
      <c r="I103" s="69">
        <v>1</v>
      </c>
      <c r="J103" s="238">
        <v>0.85000000000000009</v>
      </c>
      <c r="K103" s="238">
        <v>0.65417202707739608</v>
      </c>
      <c r="L103" s="69">
        <v>127.99027888971091</v>
      </c>
      <c r="M103" s="69">
        <v>0</v>
      </c>
      <c r="N103" s="69">
        <v>0</v>
      </c>
      <c r="O103" s="69">
        <v>0</v>
      </c>
      <c r="P103" s="69">
        <v>0</v>
      </c>
      <c r="Q103" s="69">
        <v>156.36599999999999</v>
      </c>
      <c r="R103" s="69">
        <v>156.36599999999999</v>
      </c>
      <c r="S103" s="69">
        <v>156.36599999999999</v>
      </c>
      <c r="T103" s="69">
        <v>156.36599999999999</v>
      </c>
      <c r="U103" s="69">
        <v>156.36599999999999</v>
      </c>
      <c r="V103" s="69">
        <v>156.36599999999999</v>
      </c>
      <c r="W103" s="69">
        <v>156.36599999999999</v>
      </c>
      <c r="X103" s="69">
        <v>156.36599999999999</v>
      </c>
      <c r="Y103" s="69">
        <v>156.36599999999999</v>
      </c>
      <c r="Z103" s="69">
        <v>156.36599999999999</v>
      </c>
      <c r="AA103" s="69">
        <v>156.36599999999999</v>
      </c>
      <c r="AB103" s="69">
        <v>156.36599999999999</v>
      </c>
      <c r="AC103" s="69">
        <v>156.36599999999999</v>
      </c>
      <c r="AD103" s="69">
        <v>156.36599999999999</v>
      </c>
      <c r="AE103" s="69">
        <v>156.36599999999999</v>
      </c>
      <c r="AF103" s="69">
        <v>156.36599999999999</v>
      </c>
      <c r="AG103" s="69">
        <v>156.36599999999999</v>
      </c>
    </row>
    <row r="104" spans="1:33" ht="12.75" customHeight="1">
      <c r="A104" s="231" t="s">
        <v>2374</v>
      </c>
      <c r="B104" s="69" t="s">
        <v>301</v>
      </c>
      <c r="C104" s="69" t="s">
        <v>136</v>
      </c>
      <c r="D104" s="69" t="s">
        <v>191</v>
      </c>
      <c r="E104" s="69" t="s">
        <v>191</v>
      </c>
      <c r="F104" s="69" t="s">
        <v>161</v>
      </c>
      <c r="G104" s="69" t="s">
        <v>192</v>
      </c>
      <c r="H104" s="69" t="s">
        <v>2130</v>
      </c>
      <c r="I104" s="69">
        <v>2</v>
      </c>
      <c r="J104" s="238">
        <v>0.82499999999999996</v>
      </c>
      <c r="K104" s="238">
        <v>0.70497163608542901</v>
      </c>
      <c r="L104" s="69">
        <v>109.81489691553389</v>
      </c>
      <c r="M104" s="69">
        <v>0</v>
      </c>
      <c r="N104" s="69">
        <v>0</v>
      </c>
      <c r="O104" s="69">
        <v>0</v>
      </c>
      <c r="P104" s="69">
        <v>0</v>
      </c>
      <c r="Q104" s="69">
        <v>144.53999999999991</v>
      </c>
      <c r="R104" s="69">
        <v>144.53999999999991</v>
      </c>
      <c r="S104" s="69">
        <v>144.53999999999991</v>
      </c>
      <c r="T104" s="69">
        <v>144.53999999999991</v>
      </c>
      <c r="U104" s="69">
        <v>144.53999999999991</v>
      </c>
      <c r="V104" s="69">
        <v>144.53999999999991</v>
      </c>
      <c r="W104" s="69">
        <v>144.53999999999991</v>
      </c>
      <c r="X104" s="69">
        <v>144.53999999999991</v>
      </c>
      <c r="Y104" s="69">
        <v>144.53999999999991</v>
      </c>
      <c r="Z104" s="69">
        <v>144.53999999999991</v>
      </c>
      <c r="AA104" s="69">
        <v>144.53999999999991</v>
      </c>
      <c r="AB104" s="69">
        <v>144.53999999999991</v>
      </c>
      <c r="AC104" s="69">
        <v>144.53999999999991</v>
      </c>
      <c r="AD104" s="69">
        <v>144.53999999999991</v>
      </c>
      <c r="AE104" s="69">
        <v>144.53999999999991</v>
      </c>
      <c r="AF104" s="69">
        <v>144.53999999999991</v>
      </c>
      <c r="AG104" s="69">
        <v>144.53999999999991</v>
      </c>
    </row>
    <row r="105" spans="1:33" ht="12.75" customHeight="1">
      <c r="A105" s="231" t="s">
        <v>2374</v>
      </c>
      <c r="B105" s="69" t="s">
        <v>302</v>
      </c>
      <c r="C105" s="69" t="s">
        <v>185</v>
      </c>
      <c r="D105" s="69" t="s">
        <v>193</v>
      </c>
      <c r="E105" s="69" t="s">
        <v>194</v>
      </c>
      <c r="F105" s="69" t="s">
        <v>161</v>
      </c>
      <c r="G105" s="69" t="s">
        <v>192</v>
      </c>
      <c r="H105" s="69" t="s">
        <v>2130</v>
      </c>
      <c r="I105" s="69">
        <v>1</v>
      </c>
      <c r="J105" s="238">
        <v>0.28999999999999998</v>
      </c>
      <c r="K105" s="238">
        <v>0.63643272702156795</v>
      </c>
      <c r="L105" s="69">
        <v>160.03163342556323</v>
      </c>
      <c r="M105" s="69">
        <v>0</v>
      </c>
      <c r="N105" s="69">
        <v>0</v>
      </c>
      <c r="O105" s="69">
        <v>0</v>
      </c>
      <c r="P105" s="69">
        <v>0</v>
      </c>
      <c r="Q105" s="69">
        <v>125.49575999999993</v>
      </c>
      <c r="R105" s="69">
        <v>125.49575999999993</v>
      </c>
      <c r="S105" s="69">
        <v>125.49575999999993</v>
      </c>
      <c r="T105" s="69">
        <v>125.49575999999993</v>
      </c>
      <c r="U105" s="69">
        <v>125.49575999999993</v>
      </c>
      <c r="V105" s="69">
        <v>125.49575999999993</v>
      </c>
      <c r="W105" s="69">
        <v>125.49575999999993</v>
      </c>
      <c r="X105" s="69">
        <v>125.49575999999993</v>
      </c>
      <c r="Y105" s="69">
        <v>125.49575999999993</v>
      </c>
      <c r="Z105" s="69">
        <v>125.49575999999993</v>
      </c>
      <c r="AA105" s="69">
        <v>125.49575999999993</v>
      </c>
      <c r="AB105" s="69">
        <v>125.49575999999993</v>
      </c>
      <c r="AC105" s="69">
        <v>125.49575999999993</v>
      </c>
      <c r="AD105" s="69">
        <v>125.49575999999993</v>
      </c>
      <c r="AE105" s="69">
        <v>125.49575999999993</v>
      </c>
      <c r="AF105" s="69">
        <v>125.49575999999993</v>
      </c>
      <c r="AG105" s="69">
        <v>125.49575999999993</v>
      </c>
    </row>
    <row r="106" spans="1:33" ht="12.75" customHeight="1">
      <c r="A106" s="231" t="s">
        <v>2374</v>
      </c>
      <c r="B106" s="69" t="s">
        <v>303</v>
      </c>
      <c r="C106" s="69" t="s">
        <v>136</v>
      </c>
      <c r="D106" s="69" t="s">
        <v>191</v>
      </c>
      <c r="E106" s="69" t="s">
        <v>191</v>
      </c>
      <c r="F106" s="69" t="s">
        <v>161</v>
      </c>
      <c r="G106" s="69" t="s">
        <v>192</v>
      </c>
      <c r="H106" s="69" t="s">
        <v>2130</v>
      </c>
      <c r="I106" s="69">
        <v>2</v>
      </c>
      <c r="J106" s="238">
        <v>0.82499999999999996</v>
      </c>
      <c r="K106" s="238">
        <v>0.70497163608542901</v>
      </c>
      <c r="L106" s="69">
        <v>109.81489691553389</v>
      </c>
      <c r="M106" s="69">
        <v>0</v>
      </c>
      <c r="N106" s="69">
        <v>0</v>
      </c>
      <c r="O106" s="69">
        <v>0</v>
      </c>
      <c r="P106" s="69">
        <v>0</v>
      </c>
      <c r="Q106" s="69">
        <v>289.07999999999981</v>
      </c>
      <c r="R106" s="69">
        <v>289.07999999999981</v>
      </c>
      <c r="S106" s="69">
        <v>289.07999999999981</v>
      </c>
      <c r="T106" s="69">
        <v>289.07999999999981</v>
      </c>
      <c r="U106" s="69">
        <v>289.07999999999981</v>
      </c>
      <c r="V106" s="69">
        <v>289.07999999999981</v>
      </c>
      <c r="W106" s="69">
        <v>289.07999999999981</v>
      </c>
      <c r="X106" s="69">
        <v>289.07999999999981</v>
      </c>
      <c r="Y106" s="69">
        <v>289.07999999999981</v>
      </c>
      <c r="Z106" s="69">
        <v>289.07999999999981</v>
      </c>
      <c r="AA106" s="69">
        <v>289.07999999999981</v>
      </c>
      <c r="AB106" s="69">
        <v>289.07999999999981</v>
      </c>
      <c r="AC106" s="69">
        <v>289.07999999999981</v>
      </c>
      <c r="AD106" s="69">
        <v>289.07999999999981</v>
      </c>
      <c r="AE106" s="69">
        <v>289.07999999999981</v>
      </c>
      <c r="AF106" s="69">
        <v>289.07999999999981</v>
      </c>
      <c r="AG106" s="69">
        <v>289.07999999999981</v>
      </c>
    </row>
    <row r="107" spans="1:33" ht="12.75" customHeight="1">
      <c r="A107" s="231" t="s">
        <v>2374</v>
      </c>
      <c r="B107" s="69" t="s">
        <v>304</v>
      </c>
      <c r="C107" s="69" t="s">
        <v>139</v>
      </c>
      <c r="D107" s="69" t="s">
        <v>191</v>
      </c>
      <c r="E107" s="69" t="s">
        <v>191</v>
      </c>
      <c r="F107" s="69" t="s">
        <v>167</v>
      </c>
      <c r="G107" s="69" t="s">
        <v>192</v>
      </c>
      <c r="H107" s="69" t="s">
        <v>805</v>
      </c>
      <c r="I107" s="69">
        <v>1</v>
      </c>
      <c r="J107" s="238">
        <v>0.84999999999999987</v>
      </c>
      <c r="K107" s="238">
        <v>0.66</v>
      </c>
      <c r="L107" s="69">
        <v>127.99027888971092</v>
      </c>
      <c r="M107" s="69">
        <v>0</v>
      </c>
      <c r="N107" s="69">
        <v>81.905999999999949</v>
      </c>
      <c r="O107" s="69">
        <v>81.905999999999949</v>
      </c>
      <c r="P107" s="69">
        <v>81.905999999999949</v>
      </c>
      <c r="Q107" s="69">
        <v>81.905999999999949</v>
      </c>
      <c r="R107" s="69">
        <v>81.905999999999949</v>
      </c>
      <c r="S107" s="69">
        <v>81.905999999999949</v>
      </c>
      <c r="T107" s="69">
        <v>81.905999999999949</v>
      </c>
      <c r="U107" s="69">
        <v>81.905999999999949</v>
      </c>
      <c r="V107" s="69">
        <v>81.905999999999949</v>
      </c>
      <c r="W107" s="69">
        <v>81.905999999999949</v>
      </c>
      <c r="X107" s="69">
        <v>81.905999999999949</v>
      </c>
      <c r="Y107" s="69">
        <v>81.905999999999949</v>
      </c>
      <c r="Z107" s="69">
        <v>81.905999999999949</v>
      </c>
      <c r="AA107" s="69">
        <v>81.905999999999949</v>
      </c>
      <c r="AB107" s="69">
        <v>81.905999999999949</v>
      </c>
      <c r="AC107" s="69">
        <v>81.905999999999949</v>
      </c>
      <c r="AD107" s="69">
        <v>81.905999999999949</v>
      </c>
      <c r="AE107" s="69">
        <v>81.905999999999949</v>
      </c>
      <c r="AF107" s="69">
        <v>81.905999999999949</v>
      </c>
      <c r="AG107" s="69">
        <v>81.905999999999949</v>
      </c>
    </row>
    <row r="108" spans="1:33" ht="12.75" customHeight="1">
      <c r="A108" s="231" t="s">
        <v>2374</v>
      </c>
      <c r="B108" s="69" t="s">
        <v>305</v>
      </c>
      <c r="C108" s="69" t="s">
        <v>137</v>
      </c>
      <c r="D108" s="69" t="s">
        <v>191</v>
      </c>
      <c r="E108" s="69" t="s">
        <v>191</v>
      </c>
      <c r="F108" s="69" t="s">
        <v>163</v>
      </c>
      <c r="G108" s="69" t="s">
        <v>306</v>
      </c>
      <c r="H108" s="69" t="s">
        <v>2417</v>
      </c>
      <c r="I108" s="69">
        <v>1</v>
      </c>
      <c r="J108" s="238">
        <v>0.37809999999999999</v>
      </c>
      <c r="K108" s="238">
        <v>0.1774753372665249</v>
      </c>
      <c r="L108" s="69">
        <v>72.572266000309625</v>
      </c>
      <c r="M108" s="69">
        <v>0</v>
      </c>
      <c r="N108" s="69">
        <v>0</v>
      </c>
      <c r="O108" s="69">
        <v>993.64679999999953</v>
      </c>
      <c r="P108" s="69">
        <v>993.64679999999953</v>
      </c>
      <c r="Q108" s="69">
        <v>993.64679999999953</v>
      </c>
      <c r="R108" s="69">
        <v>993.64679999999953</v>
      </c>
      <c r="S108" s="69">
        <v>993.64679999999953</v>
      </c>
      <c r="T108" s="69">
        <v>993.64679999999953</v>
      </c>
      <c r="U108" s="69">
        <v>993.64679999999953</v>
      </c>
      <c r="V108" s="69">
        <v>993.64679999999953</v>
      </c>
      <c r="W108" s="69">
        <v>993.64679999999953</v>
      </c>
      <c r="X108" s="69">
        <v>993.64679999999953</v>
      </c>
      <c r="Y108" s="69">
        <v>993.64679999999953</v>
      </c>
      <c r="Z108" s="69">
        <v>993.64679999999953</v>
      </c>
      <c r="AA108" s="69">
        <v>993.64679999999953</v>
      </c>
      <c r="AB108" s="69">
        <v>993.64679999999953</v>
      </c>
      <c r="AC108" s="69">
        <v>993.64679999999953</v>
      </c>
      <c r="AD108" s="69">
        <v>993.64679999999953</v>
      </c>
      <c r="AE108" s="69">
        <v>993.64679999999953</v>
      </c>
      <c r="AF108" s="69">
        <v>993.64679999999953</v>
      </c>
      <c r="AG108" s="69">
        <v>993.64679999999953</v>
      </c>
    </row>
    <row r="109" spans="1:33" ht="12.75" customHeight="1">
      <c r="A109" s="231" t="s">
        <v>2374</v>
      </c>
      <c r="B109" s="69" t="s">
        <v>307</v>
      </c>
      <c r="C109" s="69" t="s">
        <v>185</v>
      </c>
      <c r="D109" s="69" t="s">
        <v>193</v>
      </c>
      <c r="E109" s="105" t="s">
        <v>203</v>
      </c>
      <c r="F109" s="69" t="s">
        <v>167</v>
      </c>
      <c r="G109" s="69" t="s">
        <v>192</v>
      </c>
      <c r="H109" s="69" t="s">
        <v>805</v>
      </c>
      <c r="I109" s="69">
        <v>2</v>
      </c>
      <c r="J109" s="238">
        <v>0.26649999999999996</v>
      </c>
      <c r="K109" s="238">
        <v>0.65</v>
      </c>
      <c r="L109" s="69">
        <v>173.91260768823273</v>
      </c>
      <c r="M109" s="69">
        <v>0</v>
      </c>
      <c r="N109" s="69">
        <v>0</v>
      </c>
      <c r="O109" s="69">
        <v>0</v>
      </c>
      <c r="P109" s="69">
        <v>0</v>
      </c>
      <c r="Q109" s="69">
        <v>0</v>
      </c>
      <c r="R109" s="69">
        <v>542.78055000000313</v>
      </c>
      <c r="S109" s="69">
        <v>542.78055000000313</v>
      </c>
      <c r="T109" s="69">
        <v>542.78055000000313</v>
      </c>
      <c r="U109" s="69">
        <v>542.78055000000313</v>
      </c>
      <c r="V109" s="69">
        <v>542.78055000000313</v>
      </c>
      <c r="W109" s="69">
        <v>542.78055000000313</v>
      </c>
      <c r="X109" s="69">
        <v>542.78055000000313</v>
      </c>
      <c r="Y109" s="69">
        <v>542.78055000000313</v>
      </c>
      <c r="Z109" s="69">
        <v>542.78055000000313</v>
      </c>
      <c r="AA109" s="69">
        <v>542.78055000000313</v>
      </c>
      <c r="AB109" s="69">
        <v>542.78055000000313</v>
      </c>
      <c r="AC109" s="69">
        <v>542.78055000000313</v>
      </c>
      <c r="AD109" s="69">
        <v>542.78055000000313</v>
      </c>
      <c r="AE109" s="69">
        <v>542.78055000000313</v>
      </c>
      <c r="AF109" s="69">
        <v>542.78055000000313</v>
      </c>
      <c r="AG109" s="69">
        <v>542.78055000000313</v>
      </c>
    </row>
    <row r="110" spans="1:33" ht="12.75" customHeight="1">
      <c r="A110" s="231" t="s">
        <v>2374</v>
      </c>
      <c r="B110" s="69" t="s">
        <v>308</v>
      </c>
      <c r="C110" s="69" t="s">
        <v>185</v>
      </c>
      <c r="D110" s="69" t="s">
        <v>205</v>
      </c>
      <c r="E110" s="69" t="s">
        <v>203</v>
      </c>
      <c r="F110" s="69" t="s">
        <v>180</v>
      </c>
      <c r="G110" s="69" t="s">
        <v>192</v>
      </c>
      <c r="H110" s="69" t="s">
        <v>804</v>
      </c>
      <c r="I110" s="69">
        <v>2</v>
      </c>
      <c r="J110" s="238">
        <v>0.23499999999999999</v>
      </c>
      <c r="K110" s="238">
        <v>0.50535649574198227</v>
      </c>
      <c r="L110" s="69">
        <v>166.98446712238427</v>
      </c>
      <c r="M110" s="69">
        <v>0</v>
      </c>
      <c r="N110" s="69">
        <v>0</v>
      </c>
      <c r="O110" s="69">
        <v>0</v>
      </c>
      <c r="P110" s="69">
        <v>0</v>
      </c>
      <c r="Q110" s="69">
        <v>0</v>
      </c>
      <c r="R110" s="69">
        <v>2806.9011000000023</v>
      </c>
      <c r="S110" s="69">
        <v>2806.9011000000023</v>
      </c>
      <c r="T110" s="69">
        <v>2806.9011000000023</v>
      </c>
      <c r="U110" s="69">
        <v>2806.9011000000023</v>
      </c>
      <c r="V110" s="69">
        <v>2806.9011000000023</v>
      </c>
      <c r="W110" s="69">
        <v>2806.9011000000023</v>
      </c>
      <c r="X110" s="69">
        <v>2806.9011000000023</v>
      </c>
      <c r="Y110" s="69">
        <v>2806.9011000000023</v>
      </c>
      <c r="Z110" s="69">
        <v>2806.9011000000023</v>
      </c>
      <c r="AA110" s="69">
        <v>2806.9011000000023</v>
      </c>
      <c r="AB110" s="69">
        <v>2806.9011000000023</v>
      </c>
      <c r="AC110" s="69">
        <v>2806.9011000000023</v>
      </c>
      <c r="AD110" s="69">
        <v>2806.9011000000023</v>
      </c>
      <c r="AE110" s="69">
        <v>2806.9011000000023</v>
      </c>
      <c r="AF110" s="69">
        <v>2806.9011000000023</v>
      </c>
      <c r="AG110" s="69">
        <v>2806.9011000000023</v>
      </c>
    </row>
    <row r="111" spans="1:33" ht="12.75" customHeight="1">
      <c r="A111" s="231" t="s">
        <v>2374</v>
      </c>
      <c r="B111" s="69" t="s">
        <v>309</v>
      </c>
      <c r="C111" s="69" t="s">
        <v>137</v>
      </c>
      <c r="D111" s="69" t="s">
        <v>191</v>
      </c>
      <c r="E111" s="69" t="s">
        <v>191</v>
      </c>
      <c r="F111" s="69" t="s">
        <v>180</v>
      </c>
      <c r="G111" s="69" t="s">
        <v>192</v>
      </c>
      <c r="H111" s="69" t="s">
        <v>804</v>
      </c>
      <c r="I111" s="69">
        <v>2</v>
      </c>
      <c r="J111" s="238">
        <v>0.32235762917068039</v>
      </c>
      <c r="K111" s="238">
        <v>0.160195270625522</v>
      </c>
      <c r="L111" s="69">
        <v>96.038728079112815</v>
      </c>
      <c r="M111" s="69">
        <v>0</v>
      </c>
      <c r="N111" s="69">
        <v>0</v>
      </c>
      <c r="O111" s="69">
        <v>0</v>
      </c>
      <c r="P111" s="69">
        <v>0</v>
      </c>
      <c r="Q111" s="69">
        <v>0</v>
      </c>
      <c r="R111" s="69">
        <v>2006.3474368057325</v>
      </c>
      <c r="S111" s="69">
        <v>2006.3474368057325</v>
      </c>
      <c r="T111" s="69">
        <v>2006.3474368057325</v>
      </c>
      <c r="U111" s="69">
        <v>2006.3474368057325</v>
      </c>
      <c r="V111" s="69">
        <v>2006.3474368057325</v>
      </c>
      <c r="W111" s="69">
        <v>2006.3474368057325</v>
      </c>
      <c r="X111" s="69">
        <v>2006.3474368057325</v>
      </c>
      <c r="Y111" s="69">
        <v>2006.3474368057325</v>
      </c>
      <c r="Z111" s="69">
        <v>2006.3474368057325</v>
      </c>
      <c r="AA111" s="69">
        <v>2006.3474368057325</v>
      </c>
      <c r="AB111" s="69">
        <v>2006.3474368057325</v>
      </c>
      <c r="AC111" s="69">
        <v>2006.3474368057325</v>
      </c>
      <c r="AD111" s="69">
        <v>2006.3474368057325</v>
      </c>
      <c r="AE111" s="69">
        <v>2006.3474368057325</v>
      </c>
      <c r="AF111" s="69">
        <v>2006.3474368057325</v>
      </c>
      <c r="AG111" s="69">
        <v>2006.3474368057325</v>
      </c>
    </row>
    <row r="112" spans="1:33" ht="12.75" customHeight="1">
      <c r="A112" s="231" t="s">
        <v>2374</v>
      </c>
      <c r="B112" s="69" t="s">
        <v>310</v>
      </c>
      <c r="C112" s="69" t="s">
        <v>137</v>
      </c>
      <c r="D112" s="69" t="s">
        <v>191</v>
      </c>
      <c r="E112" s="69" t="s">
        <v>191</v>
      </c>
      <c r="F112" s="69" t="s">
        <v>168</v>
      </c>
      <c r="G112" s="69" t="s">
        <v>199</v>
      </c>
      <c r="H112" s="69" t="s">
        <v>2417</v>
      </c>
      <c r="I112" s="69">
        <v>2</v>
      </c>
      <c r="J112" s="238">
        <v>0.29204999999999998</v>
      </c>
      <c r="K112" s="238">
        <v>0.18436399478639695</v>
      </c>
      <c r="L112" s="69">
        <v>95.155627725733936</v>
      </c>
      <c r="M112" s="69">
        <v>0</v>
      </c>
      <c r="N112" s="69">
        <v>0</v>
      </c>
      <c r="O112" s="69">
        <v>0</v>
      </c>
      <c r="P112" s="69">
        <v>0</v>
      </c>
      <c r="Q112" s="69">
        <v>0</v>
      </c>
      <c r="R112" s="69">
        <v>1916.2101419999963</v>
      </c>
      <c r="S112" s="69">
        <v>1916.2101419999963</v>
      </c>
      <c r="T112" s="69">
        <v>1916.2101419999963</v>
      </c>
      <c r="U112" s="69">
        <v>1916.2101419999963</v>
      </c>
      <c r="V112" s="69">
        <v>1916.2101419999963</v>
      </c>
      <c r="W112" s="69">
        <v>1916.2101419999963</v>
      </c>
      <c r="X112" s="69">
        <v>1916.2101419999963</v>
      </c>
      <c r="Y112" s="69">
        <v>1916.2101419999963</v>
      </c>
      <c r="Z112" s="69">
        <v>1916.2101419999963</v>
      </c>
      <c r="AA112" s="69">
        <v>1916.2101419999963</v>
      </c>
      <c r="AB112" s="69">
        <v>1916.2101419999963</v>
      </c>
      <c r="AC112" s="69">
        <v>1916.2101419999963</v>
      </c>
      <c r="AD112" s="69">
        <v>1916.2101419999963</v>
      </c>
      <c r="AE112" s="69">
        <v>1916.2101419999963</v>
      </c>
      <c r="AF112" s="69">
        <v>1916.2101419999963</v>
      </c>
      <c r="AG112" s="69">
        <v>1916.2101419999963</v>
      </c>
    </row>
    <row r="113" spans="1:33" ht="12.75" customHeight="1">
      <c r="A113" s="231" t="s">
        <v>2374</v>
      </c>
      <c r="B113" s="69" t="s">
        <v>311</v>
      </c>
      <c r="C113" s="69" t="s">
        <v>137</v>
      </c>
      <c r="D113" s="69" t="s">
        <v>191</v>
      </c>
      <c r="E113" s="69" t="s">
        <v>191</v>
      </c>
      <c r="F113" s="69" t="s">
        <v>168</v>
      </c>
      <c r="G113" s="69" t="s">
        <v>199</v>
      </c>
      <c r="H113" s="69" t="s">
        <v>2417</v>
      </c>
      <c r="I113" s="69">
        <v>2</v>
      </c>
      <c r="J113" s="238">
        <v>0.29204999999999998</v>
      </c>
      <c r="K113" s="238">
        <v>0.18436399478639695</v>
      </c>
      <c r="L113" s="69">
        <v>95.155627725733936</v>
      </c>
      <c r="M113" s="69">
        <v>0</v>
      </c>
      <c r="N113" s="69">
        <v>0</v>
      </c>
      <c r="O113" s="69">
        <v>0</v>
      </c>
      <c r="P113" s="69">
        <v>0</v>
      </c>
      <c r="Q113" s="69">
        <v>0</v>
      </c>
      <c r="R113" s="69">
        <v>1130.2825643999968</v>
      </c>
      <c r="S113" s="69">
        <v>1130.2825643999968</v>
      </c>
      <c r="T113" s="69">
        <v>1130.2825643999968</v>
      </c>
      <c r="U113" s="69">
        <v>1130.2825643999968</v>
      </c>
      <c r="V113" s="69">
        <v>1130.2825643999968</v>
      </c>
      <c r="W113" s="69">
        <v>1130.2825643999968</v>
      </c>
      <c r="X113" s="69">
        <v>1130.2825643999968</v>
      </c>
      <c r="Y113" s="69">
        <v>1130.2825643999968</v>
      </c>
      <c r="Z113" s="69">
        <v>1130.2825643999968</v>
      </c>
      <c r="AA113" s="69">
        <v>1130.2825643999968</v>
      </c>
      <c r="AB113" s="69">
        <v>1130.2825643999968</v>
      </c>
      <c r="AC113" s="69">
        <v>1130.2825643999968</v>
      </c>
      <c r="AD113" s="69">
        <v>1130.2825643999968</v>
      </c>
      <c r="AE113" s="69">
        <v>1130.2825643999968</v>
      </c>
      <c r="AF113" s="69">
        <v>1130.2825643999968</v>
      </c>
      <c r="AG113" s="69">
        <v>1130.2825643999968</v>
      </c>
    </row>
    <row r="114" spans="1:33" ht="12.75" customHeight="1">
      <c r="A114" s="231" t="s">
        <v>2374</v>
      </c>
      <c r="B114" s="69" t="s">
        <v>312</v>
      </c>
      <c r="C114" s="69" t="s">
        <v>137</v>
      </c>
      <c r="D114" s="69" t="s">
        <v>191</v>
      </c>
      <c r="E114" s="69" t="s">
        <v>191</v>
      </c>
      <c r="F114" s="69" t="s">
        <v>156</v>
      </c>
      <c r="G114" s="69" t="s">
        <v>313</v>
      </c>
      <c r="H114" s="69" t="s">
        <v>2417</v>
      </c>
      <c r="I114" s="69">
        <v>2</v>
      </c>
      <c r="J114" s="238">
        <v>0.31759999999999999</v>
      </c>
      <c r="K114" s="238">
        <v>0.18058588251804827</v>
      </c>
      <c r="L114" s="69">
        <v>86.538452901949512</v>
      </c>
      <c r="M114" s="69">
        <v>0</v>
      </c>
      <c r="N114" s="69">
        <v>0</v>
      </c>
      <c r="O114" s="69">
        <v>0</v>
      </c>
      <c r="P114" s="69">
        <v>0</v>
      </c>
      <c r="Q114" s="69">
        <v>0</v>
      </c>
      <c r="R114" s="69">
        <v>1168.5139199999976</v>
      </c>
      <c r="S114" s="69">
        <v>1168.5139199999976</v>
      </c>
      <c r="T114" s="69">
        <v>1168.5139199999976</v>
      </c>
      <c r="U114" s="69">
        <v>1168.5139199999976</v>
      </c>
      <c r="V114" s="69">
        <v>1168.5139199999976</v>
      </c>
      <c r="W114" s="69">
        <v>1168.5139199999976</v>
      </c>
      <c r="X114" s="69">
        <v>1168.5139199999976</v>
      </c>
      <c r="Y114" s="69">
        <v>1168.5139199999976</v>
      </c>
      <c r="Z114" s="69">
        <v>1168.5139199999976</v>
      </c>
      <c r="AA114" s="69">
        <v>1168.5139199999976</v>
      </c>
      <c r="AB114" s="69">
        <v>1168.5139199999976</v>
      </c>
      <c r="AC114" s="69">
        <v>1168.5139199999976</v>
      </c>
      <c r="AD114" s="69">
        <v>1168.5139199999976</v>
      </c>
      <c r="AE114" s="69">
        <v>1168.5139199999976</v>
      </c>
      <c r="AF114" s="69">
        <v>1168.5139199999976</v>
      </c>
      <c r="AG114" s="69">
        <v>1168.5139199999976</v>
      </c>
    </row>
    <row r="115" spans="1:33" ht="12.75" customHeight="1">
      <c r="A115" s="231" t="s">
        <v>2374</v>
      </c>
      <c r="B115" s="69" t="s">
        <v>314</v>
      </c>
      <c r="C115" s="69" t="s">
        <v>137</v>
      </c>
      <c r="D115" s="69" t="s">
        <v>191</v>
      </c>
      <c r="E115" s="69" t="s">
        <v>213</v>
      </c>
      <c r="F115" s="69" t="s">
        <v>152</v>
      </c>
      <c r="G115" s="69" t="s">
        <v>214</v>
      </c>
      <c r="H115" s="69" t="s">
        <v>2417</v>
      </c>
      <c r="I115" s="69">
        <v>2</v>
      </c>
      <c r="J115" s="238">
        <v>0.312</v>
      </c>
      <c r="K115" s="238">
        <v>0.17064699981121567</v>
      </c>
      <c r="L115" s="69">
        <v>118.33197577111784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1191.6403199999986</v>
      </c>
      <c r="S115" s="69">
        <v>1191.6403199999986</v>
      </c>
      <c r="T115" s="69">
        <v>1191.6403199999986</v>
      </c>
      <c r="U115" s="69">
        <v>1191.6403199999986</v>
      </c>
      <c r="V115" s="69">
        <v>1191.6403199999986</v>
      </c>
      <c r="W115" s="69">
        <v>1191.6403199999986</v>
      </c>
      <c r="X115" s="69">
        <v>1191.6403199999986</v>
      </c>
      <c r="Y115" s="69">
        <v>1191.6403199999986</v>
      </c>
      <c r="Z115" s="69">
        <v>1191.6403199999986</v>
      </c>
      <c r="AA115" s="69">
        <v>1191.6403199999986</v>
      </c>
      <c r="AB115" s="69">
        <v>1191.6403199999986</v>
      </c>
      <c r="AC115" s="69">
        <v>1191.6403199999986</v>
      </c>
      <c r="AD115" s="69">
        <v>1191.6403199999986</v>
      </c>
      <c r="AE115" s="69">
        <v>1191.6403199999986</v>
      </c>
      <c r="AF115" s="69">
        <v>1191.6403199999986</v>
      </c>
      <c r="AG115" s="69">
        <v>1191.6403199999986</v>
      </c>
    </row>
    <row r="116" spans="1:33" ht="12.75" customHeight="1">
      <c r="A116" s="231" t="s">
        <v>2374</v>
      </c>
      <c r="B116" s="69" t="s">
        <v>315</v>
      </c>
      <c r="C116" s="69" t="s">
        <v>137</v>
      </c>
      <c r="D116" s="69" t="s">
        <v>191</v>
      </c>
      <c r="E116" s="69" t="s">
        <v>191</v>
      </c>
      <c r="F116" s="69" t="s">
        <v>179</v>
      </c>
      <c r="G116" s="69" t="s">
        <v>192</v>
      </c>
      <c r="H116" s="69" t="s">
        <v>805</v>
      </c>
      <c r="I116" s="69">
        <v>2</v>
      </c>
      <c r="J116" s="238">
        <v>0.32235762917068039</v>
      </c>
      <c r="K116" s="238">
        <v>0.16152665976075289</v>
      </c>
      <c r="L116" s="69">
        <v>96.038728079112815</v>
      </c>
      <c r="M116" s="69">
        <v>0</v>
      </c>
      <c r="N116" s="69">
        <v>0</v>
      </c>
      <c r="O116" s="69">
        <v>0</v>
      </c>
      <c r="P116" s="69">
        <v>0</v>
      </c>
      <c r="Q116" s="69">
        <v>0</v>
      </c>
      <c r="R116" s="69">
        <v>0</v>
      </c>
      <c r="S116" s="69">
        <v>0</v>
      </c>
      <c r="T116" s="69">
        <v>561.3819429091908</v>
      </c>
      <c r="U116" s="69">
        <v>561.3819429091908</v>
      </c>
      <c r="V116" s="69">
        <v>561.3819429091908</v>
      </c>
      <c r="W116" s="69">
        <v>561.3819429091908</v>
      </c>
      <c r="X116" s="69">
        <v>561.3819429091908</v>
      </c>
      <c r="Y116" s="69">
        <v>561.3819429091908</v>
      </c>
      <c r="Z116" s="69">
        <v>561.3819429091908</v>
      </c>
      <c r="AA116" s="69">
        <v>561.3819429091908</v>
      </c>
      <c r="AB116" s="69">
        <v>561.3819429091908</v>
      </c>
      <c r="AC116" s="69">
        <v>561.3819429091908</v>
      </c>
      <c r="AD116" s="69">
        <v>561.3819429091908</v>
      </c>
      <c r="AE116" s="69">
        <v>561.3819429091908</v>
      </c>
      <c r="AF116" s="69">
        <v>561.3819429091908</v>
      </c>
      <c r="AG116" s="69">
        <v>561.3819429091908</v>
      </c>
    </row>
    <row r="117" spans="1:33" ht="12.75" customHeight="1">
      <c r="A117" s="231" t="s">
        <v>2374</v>
      </c>
      <c r="B117" s="69" t="s">
        <v>316</v>
      </c>
      <c r="C117" s="69" t="s">
        <v>137</v>
      </c>
      <c r="D117" s="69" t="s">
        <v>191</v>
      </c>
      <c r="E117" s="69" t="s">
        <v>191</v>
      </c>
      <c r="F117" s="69" t="s">
        <v>161</v>
      </c>
      <c r="G117" s="69" t="s">
        <v>192</v>
      </c>
      <c r="H117" s="69" t="s">
        <v>2130</v>
      </c>
      <c r="I117" s="69">
        <v>2</v>
      </c>
      <c r="J117" s="238">
        <v>0.32235762917068039</v>
      </c>
      <c r="K117" s="238">
        <v>0.15829280011723607</v>
      </c>
      <c r="L117" s="69">
        <v>96.038728079112815</v>
      </c>
      <c r="M117" s="69">
        <v>0</v>
      </c>
      <c r="N117" s="69">
        <v>0</v>
      </c>
      <c r="O117" s="69">
        <v>0</v>
      </c>
      <c r="P117" s="69">
        <v>0</v>
      </c>
      <c r="Q117" s="69">
        <v>0</v>
      </c>
      <c r="R117" s="69">
        <v>0</v>
      </c>
      <c r="S117" s="69">
        <v>448.45659694256329</v>
      </c>
      <c r="T117" s="69">
        <v>448.45659694256329</v>
      </c>
      <c r="U117" s="69">
        <v>448.45659694256329</v>
      </c>
      <c r="V117" s="69">
        <v>506.7085630130378</v>
      </c>
      <c r="W117" s="69">
        <v>506.7085630130378</v>
      </c>
      <c r="X117" s="69">
        <v>506.7085630130378</v>
      </c>
      <c r="Y117" s="69">
        <v>506.7085630130378</v>
      </c>
      <c r="Z117" s="69">
        <v>506.7085630130378</v>
      </c>
      <c r="AA117" s="69">
        <v>506.7085630130378</v>
      </c>
      <c r="AB117" s="69">
        <v>506.7085630130378</v>
      </c>
      <c r="AC117" s="69">
        <v>506.7085630130378</v>
      </c>
      <c r="AD117" s="69">
        <v>506.7085630130378</v>
      </c>
      <c r="AE117" s="69">
        <v>506.7085630130378</v>
      </c>
      <c r="AF117" s="69">
        <v>506.7085630130378</v>
      </c>
      <c r="AG117" s="69">
        <v>506.7085630130378</v>
      </c>
    </row>
    <row r="118" spans="1:33" ht="12.75" customHeight="1">
      <c r="A118" s="231" t="s">
        <v>2374</v>
      </c>
      <c r="B118" s="69" t="s">
        <v>317</v>
      </c>
      <c r="C118" s="69" t="s">
        <v>137</v>
      </c>
      <c r="D118" s="69" t="s">
        <v>191</v>
      </c>
      <c r="E118" s="69" t="s">
        <v>191</v>
      </c>
      <c r="F118" s="69" t="s">
        <v>178</v>
      </c>
      <c r="G118" s="69" t="s">
        <v>192</v>
      </c>
      <c r="H118" s="69" t="s">
        <v>2130</v>
      </c>
      <c r="I118" s="69">
        <v>2</v>
      </c>
      <c r="J118" s="238">
        <v>0.32235762917068039</v>
      </c>
      <c r="K118" s="238">
        <v>0.16023967225809357</v>
      </c>
      <c r="L118" s="69">
        <v>96.038728079112801</v>
      </c>
      <c r="M118" s="69">
        <v>0</v>
      </c>
      <c r="N118" s="69">
        <v>0</v>
      </c>
      <c r="O118" s="69">
        <v>0</v>
      </c>
      <c r="P118" s="69">
        <v>0</v>
      </c>
      <c r="Q118" s="69">
        <v>0</v>
      </c>
      <c r="R118" s="69">
        <v>1070.2402231518245</v>
      </c>
      <c r="S118" s="69">
        <v>1070.2402231518245</v>
      </c>
      <c r="T118" s="69">
        <v>1070.2402231518245</v>
      </c>
      <c r="U118" s="69">
        <v>1070.2402231518245</v>
      </c>
      <c r="V118" s="69">
        <v>1070.2402231518245</v>
      </c>
      <c r="W118" s="69">
        <v>1070.2402231518245</v>
      </c>
      <c r="X118" s="69">
        <v>1070.2402231518245</v>
      </c>
      <c r="Y118" s="69">
        <v>1070.2402231518245</v>
      </c>
      <c r="Z118" s="69">
        <v>1070.2402231518245</v>
      </c>
      <c r="AA118" s="69">
        <v>1070.2402231518245</v>
      </c>
      <c r="AB118" s="69">
        <v>1070.2402231518245</v>
      </c>
      <c r="AC118" s="69">
        <v>1070.2402231518245</v>
      </c>
      <c r="AD118" s="69">
        <v>1070.2402231518245</v>
      </c>
      <c r="AE118" s="69">
        <v>1070.2402231518245</v>
      </c>
      <c r="AF118" s="69">
        <v>1070.2402231518245</v>
      </c>
      <c r="AG118" s="69">
        <v>1070.2402231518245</v>
      </c>
    </row>
    <row r="119" spans="1:33" ht="12.75" customHeight="1">
      <c r="A119" s="231" t="s">
        <v>2374</v>
      </c>
      <c r="B119" s="69" t="s">
        <v>318</v>
      </c>
      <c r="C119" s="69" t="s">
        <v>186</v>
      </c>
      <c r="D119" s="69" t="s">
        <v>218</v>
      </c>
      <c r="E119" s="69" t="s">
        <v>203</v>
      </c>
      <c r="F119" s="69" t="s">
        <v>157</v>
      </c>
      <c r="G119" s="69" t="s">
        <v>192</v>
      </c>
      <c r="H119" s="69" t="s">
        <v>805</v>
      </c>
      <c r="I119" s="69">
        <v>1</v>
      </c>
      <c r="J119" s="238">
        <v>0.23561922263058246</v>
      </c>
      <c r="K119" s="238">
        <v>0</v>
      </c>
      <c r="L119" s="69">
        <v>200.17205317577552</v>
      </c>
      <c r="M119" s="69">
        <v>-4.8449039881831615</v>
      </c>
      <c r="N119" s="69">
        <v>0</v>
      </c>
      <c r="O119" s="69">
        <v>0</v>
      </c>
      <c r="P119" s="69">
        <v>0</v>
      </c>
      <c r="Q119" s="69">
        <v>224.9786585365855</v>
      </c>
      <c r="R119" s="69">
        <v>224.9786585365855</v>
      </c>
      <c r="S119" s="69">
        <v>224.9786585365855</v>
      </c>
      <c r="T119" s="69">
        <v>224.9786585365855</v>
      </c>
      <c r="U119" s="69">
        <v>224.9786585365855</v>
      </c>
      <c r="V119" s="69">
        <v>224.9786585365855</v>
      </c>
      <c r="W119" s="69">
        <v>224.9786585365855</v>
      </c>
      <c r="X119" s="69">
        <v>224.9786585365855</v>
      </c>
      <c r="Y119" s="69">
        <v>224.9786585365855</v>
      </c>
      <c r="Z119" s="69">
        <v>224.9786585365855</v>
      </c>
      <c r="AA119" s="69">
        <v>224.9786585365855</v>
      </c>
      <c r="AB119" s="69">
        <v>224.9786585365855</v>
      </c>
      <c r="AC119" s="69">
        <v>224.9786585365855</v>
      </c>
      <c r="AD119" s="69">
        <v>224.9786585365855</v>
      </c>
      <c r="AE119" s="69">
        <v>224.9786585365855</v>
      </c>
      <c r="AF119" s="69">
        <v>224.9786585365855</v>
      </c>
      <c r="AG119" s="69">
        <v>224.9786585365855</v>
      </c>
    </row>
    <row r="120" spans="1:33" ht="12.75" customHeight="1">
      <c r="A120" s="231" t="s">
        <v>2374</v>
      </c>
      <c r="B120" s="69" t="s">
        <v>319</v>
      </c>
      <c r="C120" s="69" t="s">
        <v>184</v>
      </c>
      <c r="D120" s="69" t="s">
        <v>140</v>
      </c>
      <c r="E120" s="69" t="s">
        <v>191</v>
      </c>
      <c r="F120" s="69" t="s">
        <v>167</v>
      </c>
      <c r="G120" s="69" t="s">
        <v>192</v>
      </c>
      <c r="H120" s="69" t="s">
        <v>148</v>
      </c>
      <c r="I120" s="69">
        <v>4</v>
      </c>
      <c r="J120" s="238">
        <v>0.8</v>
      </c>
      <c r="K120" s="238">
        <v>0</v>
      </c>
      <c r="L120" s="69">
        <v>114.19797366361543</v>
      </c>
      <c r="M120" s="69">
        <v>0</v>
      </c>
      <c r="N120" s="69">
        <v>0</v>
      </c>
      <c r="O120" s="69">
        <v>0</v>
      </c>
      <c r="P120" s="69">
        <v>0</v>
      </c>
      <c r="Q120" s="69">
        <v>0</v>
      </c>
      <c r="R120" s="69">
        <v>1013</v>
      </c>
      <c r="S120" s="69">
        <v>1013</v>
      </c>
      <c r="T120" s="69">
        <v>1013</v>
      </c>
      <c r="U120" s="69">
        <v>1013</v>
      </c>
      <c r="V120" s="69">
        <v>1013</v>
      </c>
      <c r="W120" s="69">
        <v>1013</v>
      </c>
      <c r="X120" s="69">
        <v>1013</v>
      </c>
      <c r="Y120" s="69">
        <v>1013</v>
      </c>
      <c r="Z120" s="69">
        <v>1013</v>
      </c>
      <c r="AA120" s="69">
        <v>1013</v>
      </c>
      <c r="AB120" s="69">
        <v>1013</v>
      </c>
      <c r="AC120" s="69">
        <v>1013</v>
      </c>
      <c r="AD120" s="69">
        <v>1013</v>
      </c>
      <c r="AE120" s="69">
        <v>1013</v>
      </c>
      <c r="AF120" s="69">
        <v>1013</v>
      </c>
      <c r="AG120" s="69">
        <v>1013</v>
      </c>
    </row>
    <row r="121" spans="1:33" ht="12.75" customHeight="1">
      <c r="A121" s="231" t="s">
        <v>2374</v>
      </c>
      <c r="B121" s="69" t="s">
        <v>320</v>
      </c>
      <c r="C121" s="69" t="s">
        <v>139</v>
      </c>
      <c r="D121" s="69" t="s">
        <v>191</v>
      </c>
      <c r="E121" s="69" t="s">
        <v>213</v>
      </c>
      <c r="F121" s="69" t="s">
        <v>154</v>
      </c>
      <c r="G121" s="69" t="s">
        <v>225</v>
      </c>
      <c r="H121" s="69" t="s">
        <v>148</v>
      </c>
      <c r="I121" s="69">
        <v>4</v>
      </c>
      <c r="J121" s="238">
        <v>0.85</v>
      </c>
      <c r="K121" s="238">
        <v>0.58204398831457249</v>
      </c>
      <c r="L121" s="69">
        <v>139.86106095076619</v>
      </c>
      <c r="M121" s="69">
        <v>0</v>
      </c>
      <c r="N121" s="69">
        <v>0</v>
      </c>
      <c r="O121" s="69">
        <v>0</v>
      </c>
      <c r="P121" s="69">
        <v>0</v>
      </c>
      <c r="Q121" s="69">
        <v>0</v>
      </c>
      <c r="R121" s="69">
        <v>12</v>
      </c>
      <c r="S121" s="69">
        <v>12</v>
      </c>
      <c r="T121" s="69">
        <v>12</v>
      </c>
      <c r="U121" s="69">
        <v>12</v>
      </c>
      <c r="V121" s="69">
        <v>12</v>
      </c>
      <c r="W121" s="69">
        <v>12</v>
      </c>
      <c r="X121" s="69">
        <v>12</v>
      </c>
      <c r="Y121" s="69">
        <v>12</v>
      </c>
      <c r="Z121" s="69">
        <v>12</v>
      </c>
      <c r="AA121" s="69">
        <v>12</v>
      </c>
      <c r="AB121" s="69">
        <v>12</v>
      </c>
      <c r="AC121" s="69">
        <v>12</v>
      </c>
      <c r="AD121" s="69">
        <v>12</v>
      </c>
      <c r="AE121" s="69">
        <v>12</v>
      </c>
      <c r="AF121" s="69">
        <v>12</v>
      </c>
      <c r="AG121" s="69">
        <v>12</v>
      </c>
    </row>
    <row r="122" spans="1:33" ht="12.75" customHeight="1">
      <c r="A122" s="231" t="s">
        <v>2374</v>
      </c>
      <c r="B122" s="69" t="s">
        <v>321</v>
      </c>
      <c r="C122" s="69" t="s">
        <v>136</v>
      </c>
      <c r="D122" s="69" t="s">
        <v>191</v>
      </c>
      <c r="E122" s="69" t="s">
        <v>191</v>
      </c>
      <c r="F122" s="69" t="s">
        <v>181</v>
      </c>
      <c r="G122" s="69" t="s">
        <v>294</v>
      </c>
      <c r="H122" s="69" t="s">
        <v>148</v>
      </c>
      <c r="I122" s="69">
        <v>4</v>
      </c>
      <c r="J122" s="238">
        <v>0.82500000000000007</v>
      </c>
      <c r="K122" s="238">
        <v>0.66812452144255507</v>
      </c>
      <c r="L122" s="69">
        <v>97.919965869917917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>
        <v>0</v>
      </c>
      <c r="S122" s="69">
        <v>0</v>
      </c>
      <c r="T122" s="69">
        <v>810.41860465116406</v>
      </c>
      <c r="U122" s="69">
        <v>810.41860465116406</v>
      </c>
      <c r="V122" s="69">
        <v>810.41860465116406</v>
      </c>
      <c r="W122" s="69">
        <v>810.41860465116406</v>
      </c>
      <c r="X122" s="69">
        <v>810.41860465116406</v>
      </c>
      <c r="Y122" s="69">
        <v>810.41860465116406</v>
      </c>
      <c r="Z122" s="69">
        <v>810.41860465116406</v>
      </c>
      <c r="AA122" s="69">
        <v>810.41860465116406</v>
      </c>
      <c r="AB122" s="69">
        <v>810.41860465116406</v>
      </c>
      <c r="AC122" s="69">
        <v>810.41860465116406</v>
      </c>
      <c r="AD122" s="69">
        <v>810.41860465116406</v>
      </c>
      <c r="AE122" s="69">
        <v>810.41860465116406</v>
      </c>
      <c r="AF122" s="69">
        <v>810.41860465116406</v>
      </c>
      <c r="AG122" s="69">
        <v>810.41860465116406</v>
      </c>
    </row>
    <row r="123" spans="1:33" ht="12.75" customHeight="1">
      <c r="A123" s="231" t="s">
        <v>2374</v>
      </c>
      <c r="B123" s="69" t="s">
        <v>322</v>
      </c>
      <c r="C123" s="69" t="s">
        <v>136</v>
      </c>
      <c r="D123" s="69" t="s">
        <v>191</v>
      </c>
      <c r="E123" s="69" t="s">
        <v>191</v>
      </c>
      <c r="F123" s="69" t="s">
        <v>161</v>
      </c>
      <c r="G123" s="69" t="s">
        <v>192</v>
      </c>
      <c r="H123" s="69" t="s">
        <v>148</v>
      </c>
      <c r="I123" s="69">
        <v>4</v>
      </c>
      <c r="J123" s="238">
        <v>0.82500000000000007</v>
      </c>
      <c r="K123" s="238">
        <v>0.70497163608542901</v>
      </c>
      <c r="L123" s="69">
        <v>109.81489691553389</v>
      </c>
      <c r="M123" s="69">
        <v>0</v>
      </c>
      <c r="N123" s="69">
        <v>0</v>
      </c>
      <c r="O123" s="69">
        <v>0</v>
      </c>
      <c r="P123" s="69">
        <v>0</v>
      </c>
      <c r="Q123" s="69">
        <v>0</v>
      </c>
      <c r="R123" s="69">
        <v>0</v>
      </c>
      <c r="S123" s="69">
        <v>0</v>
      </c>
      <c r="T123" s="69">
        <v>0</v>
      </c>
      <c r="U123" s="69">
        <v>3163.906976744192</v>
      </c>
      <c r="V123" s="69">
        <v>3163.906976744192</v>
      </c>
      <c r="W123" s="69">
        <v>3163.906976744192</v>
      </c>
      <c r="X123" s="69">
        <v>3163.906976744192</v>
      </c>
      <c r="Y123" s="69">
        <v>3163.906976744192</v>
      </c>
      <c r="Z123" s="69">
        <v>3163.906976744192</v>
      </c>
      <c r="AA123" s="69">
        <v>3163.906976744192</v>
      </c>
      <c r="AB123" s="69">
        <v>3163.906976744192</v>
      </c>
      <c r="AC123" s="69">
        <v>3163.906976744192</v>
      </c>
      <c r="AD123" s="69">
        <v>3163.906976744192</v>
      </c>
      <c r="AE123" s="69">
        <v>3163.906976744192</v>
      </c>
      <c r="AF123" s="69">
        <v>3163.906976744192</v>
      </c>
      <c r="AG123" s="69">
        <v>3163.906976744192</v>
      </c>
    </row>
    <row r="124" spans="1:33" ht="12.75" customHeight="1">
      <c r="A124" s="231" t="s">
        <v>2374</v>
      </c>
      <c r="B124" s="69" t="s">
        <v>323</v>
      </c>
      <c r="C124" s="69" t="s">
        <v>136</v>
      </c>
      <c r="D124" s="69" t="s">
        <v>191</v>
      </c>
      <c r="E124" s="69" t="s">
        <v>191</v>
      </c>
      <c r="F124" s="69" t="s">
        <v>181</v>
      </c>
      <c r="G124" s="69" t="s">
        <v>294</v>
      </c>
      <c r="H124" s="69" t="s">
        <v>148</v>
      </c>
      <c r="I124" s="69">
        <v>4</v>
      </c>
      <c r="J124" s="238">
        <v>0.82499999999999996</v>
      </c>
      <c r="K124" s="238">
        <v>0.66812452144255507</v>
      </c>
      <c r="L124" s="69">
        <v>97.919965869917917</v>
      </c>
      <c r="M124" s="69">
        <v>0</v>
      </c>
      <c r="N124" s="69">
        <v>0</v>
      </c>
      <c r="O124" s="69">
        <v>0</v>
      </c>
      <c r="P124" s="69">
        <v>0</v>
      </c>
      <c r="Q124" s="69">
        <v>0</v>
      </c>
      <c r="R124" s="69">
        <v>305.95348837209531</v>
      </c>
      <c r="S124" s="69">
        <v>305.95348837209531</v>
      </c>
      <c r="T124" s="69">
        <v>305.95348837209531</v>
      </c>
      <c r="U124" s="69">
        <v>305.95348837209531</v>
      </c>
      <c r="V124" s="69">
        <v>305.95348837209531</v>
      </c>
      <c r="W124" s="69">
        <v>305.95348837209531</v>
      </c>
      <c r="X124" s="69">
        <v>305.95348837209531</v>
      </c>
      <c r="Y124" s="69">
        <v>305.95348837209531</v>
      </c>
      <c r="Z124" s="69">
        <v>305.95348837209531</v>
      </c>
      <c r="AA124" s="69">
        <v>305.95348837209531</v>
      </c>
      <c r="AB124" s="69">
        <v>305.95348837209531</v>
      </c>
      <c r="AC124" s="69">
        <v>305.95348837209531</v>
      </c>
      <c r="AD124" s="69">
        <v>305.95348837209531</v>
      </c>
      <c r="AE124" s="69">
        <v>305.95348837209531</v>
      </c>
      <c r="AF124" s="69">
        <v>305.95348837209531</v>
      </c>
      <c r="AG124" s="69">
        <v>305.95348837209531</v>
      </c>
    </row>
    <row r="125" spans="1:33" ht="12.75" customHeight="1">
      <c r="A125" s="231" t="s">
        <v>2374</v>
      </c>
      <c r="B125" s="69" t="s">
        <v>324</v>
      </c>
      <c r="C125" s="69" t="s">
        <v>18</v>
      </c>
      <c r="D125" s="69" t="s">
        <v>325</v>
      </c>
      <c r="E125" s="69" t="s">
        <v>191</v>
      </c>
      <c r="F125" s="69" t="s">
        <v>168</v>
      </c>
      <c r="G125" s="69" t="s">
        <v>199</v>
      </c>
      <c r="H125" s="69" t="s">
        <v>148</v>
      </c>
      <c r="I125" s="69">
        <v>4</v>
      </c>
      <c r="J125" s="238">
        <v>0.35</v>
      </c>
      <c r="K125" s="238">
        <v>0</v>
      </c>
      <c r="L125" s="69">
        <v>138.77253590202551</v>
      </c>
      <c r="M125" s="69">
        <v>0</v>
      </c>
      <c r="N125" s="69">
        <v>0</v>
      </c>
      <c r="O125" s="69">
        <v>0</v>
      </c>
      <c r="P125" s="69">
        <v>0</v>
      </c>
      <c r="Q125" s="69">
        <v>0</v>
      </c>
      <c r="R125" s="69">
        <v>48</v>
      </c>
      <c r="S125" s="69">
        <v>48</v>
      </c>
      <c r="T125" s="69">
        <v>48</v>
      </c>
      <c r="U125" s="69">
        <v>48</v>
      </c>
      <c r="V125" s="69">
        <v>48</v>
      </c>
      <c r="W125" s="69">
        <v>48</v>
      </c>
      <c r="X125" s="69">
        <v>48</v>
      </c>
      <c r="Y125" s="69">
        <v>48</v>
      </c>
      <c r="Z125" s="69">
        <v>48</v>
      </c>
      <c r="AA125" s="69">
        <v>48</v>
      </c>
      <c r="AB125" s="69">
        <v>48</v>
      </c>
      <c r="AC125" s="69">
        <v>48</v>
      </c>
      <c r="AD125" s="69">
        <v>48</v>
      </c>
      <c r="AE125" s="69">
        <v>48</v>
      </c>
      <c r="AF125" s="69">
        <v>48</v>
      </c>
      <c r="AG125" s="69">
        <v>48</v>
      </c>
    </row>
    <row r="126" spans="1:33" ht="12.75" customHeight="1">
      <c r="A126" s="231" t="s">
        <v>2374</v>
      </c>
      <c r="B126" s="69" t="s">
        <v>326</v>
      </c>
      <c r="C126" s="69" t="s">
        <v>187</v>
      </c>
      <c r="D126" s="69" t="s">
        <v>191</v>
      </c>
      <c r="E126" s="69" t="s">
        <v>191</v>
      </c>
      <c r="F126" s="69" t="s">
        <v>167</v>
      </c>
      <c r="G126" s="69" t="s">
        <v>192</v>
      </c>
      <c r="H126" s="69" t="s">
        <v>148</v>
      </c>
      <c r="I126" s="69">
        <v>4</v>
      </c>
      <c r="J126" s="238">
        <v>0.2668262983999703</v>
      </c>
      <c r="K126" s="238">
        <v>0.770025573694614</v>
      </c>
      <c r="L126" s="69">
        <v>192.38629588063708</v>
      </c>
      <c r="M126" s="69">
        <v>0</v>
      </c>
      <c r="N126" s="69">
        <v>0</v>
      </c>
      <c r="O126" s="69">
        <v>0</v>
      </c>
      <c r="P126" s="69">
        <v>0</v>
      </c>
      <c r="Q126" s="69">
        <v>0</v>
      </c>
      <c r="R126" s="69">
        <v>0</v>
      </c>
      <c r="S126" s="69">
        <v>0</v>
      </c>
      <c r="T126" s="69">
        <v>865.24336157038488</v>
      </c>
      <c r="U126" s="69">
        <v>865.24336157038488</v>
      </c>
      <c r="V126" s="69">
        <v>865.24336157038488</v>
      </c>
      <c r="W126" s="69">
        <v>865.24336157038488</v>
      </c>
      <c r="X126" s="69">
        <v>865.24336157038488</v>
      </c>
      <c r="Y126" s="69">
        <v>865.24336157038488</v>
      </c>
      <c r="Z126" s="69">
        <v>865.24336157038488</v>
      </c>
      <c r="AA126" s="69">
        <v>865.24336157038488</v>
      </c>
      <c r="AB126" s="69">
        <v>865.24336157038488</v>
      </c>
      <c r="AC126" s="69">
        <v>865.24336157038488</v>
      </c>
      <c r="AD126" s="69">
        <v>865.24336157038488</v>
      </c>
      <c r="AE126" s="69">
        <v>865.24336157038488</v>
      </c>
      <c r="AF126" s="69">
        <v>865.24336157038488</v>
      </c>
      <c r="AG126" s="69">
        <v>865.24336157038488</v>
      </c>
    </row>
    <row r="127" spans="1:33" ht="12.75" customHeight="1">
      <c r="A127" s="231" t="s">
        <v>2374</v>
      </c>
      <c r="B127" s="69" t="s">
        <v>327</v>
      </c>
      <c r="C127" s="69" t="s">
        <v>137</v>
      </c>
      <c r="D127" s="69" t="s">
        <v>191</v>
      </c>
      <c r="E127" s="69" t="s">
        <v>191</v>
      </c>
      <c r="F127" s="69" t="s">
        <v>181</v>
      </c>
      <c r="G127" s="69" t="s">
        <v>294</v>
      </c>
      <c r="H127" s="69" t="s">
        <v>148</v>
      </c>
      <c r="I127" s="69">
        <v>4</v>
      </c>
      <c r="J127" s="238">
        <v>0.28989999999999999</v>
      </c>
      <c r="K127" s="238">
        <v>0.18559014484515421</v>
      </c>
      <c r="L127" s="69">
        <v>91.706640833021837</v>
      </c>
      <c r="M127" s="69">
        <v>0</v>
      </c>
      <c r="N127" s="69">
        <v>0</v>
      </c>
      <c r="O127" s="69">
        <v>0</v>
      </c>
      <c r="P127" s="69">
        <v>0</v>
      </c>
      <c r="Q127" s="69">
        <v>34.32910017062386</v>
      </c>
      <c r="R127" s="69">
        <v>34.32910017062386</v>
      </c>
      <c r="S127" s="69">
        <v>34.32910017062386</v>
      </c>
      <c r="T127" s="69">
        <v>34.32910017062386</v>
      </c>
      <c r="U127" s="69">
        <v>34.32910017062386</v>
      </c>
      <c r="V127" s="69">
        <v>34.32910017062386</v>
      </c>
      <c r="W127" s="69">
        <v>34.32910017062386</v>
      </c>
      <c r="X127" s="69">
        <v>34.32910017062386</v>
      </c>
      <c r="Y127" s="69">
        <v>34.32910017062386</v>
      </c>
      <c r="Z127" s="69">
        <v>34.32910017062386</v>
      </c>
      <c r="AA127" s="69">
        <v>34.32910017062386</v>
      </c>
      <c r="AB127" s="69">
        <v>34.32910017062386</v>
      </c>
      <c r="AC127" s="69">
        <v>34.32910017062386</v>
      </c>
      <c r="AD127" s="69">
        <v>34.32910017062386</v>
      </c>
      <c r="AE127" s="69">
        <v>34.32910017062386</v>
      </c>
      <c r="AF127" s="69">
        <v>34.32910017062386</v>
      </c>
      <c r="AG127" s="69">
        <v>34.32910017062386</v>
      </c>
    </row>
    <row r="128" spans="1:33" ht="12.75" customHeight="1">
      <c r="A128" s="231" t="s">
        <v>2374</v>
      </c>
      <c r="B128" s="69" t="s">
        <v>328</v>
      </c>
      <c r="C128" s="69" t="s">
        <v>137</v>
      </c>
      <c r="D128" s="69" t="s">
        <v>191</v>
      </c>
      <c r="E128" s="69" t="s">
        <v>191</v>
      </c>
      <c r="F128" s="69" t="s">
        <v>183</v>
      </c>
      <c r="G128" s="69" t="s">
        <v>329</v>
      </c>
      <c r="H128" s="69" t="s">
        <v>148</v>
      </c>
      <c r="I128" s="69">
        <v>4</v>
      </c>
      <c r="J128" s="238">
        <v>0.37659999999999999</v>
      </c>
      <c r="K128" s="238">
        <v>0.17884977722471748</v>
      </c>
      <c r="L128" s="69">
        <v>70.728535467115464</v>
      </c>
      <c r="M128" s="69">
        <v>0</v>
      </c>
      <c r="N128" s="69">
        <v>0</v>
      </c>
      <c r="O128" s="69">
        <v>0</v>
      </c>
      <c r="P128" s="69">
        <v>0</v>
      </c>
      <c r="Q128" s="69">
        <v>0</v>
      </c>
      <c r="R128" s="69">
        <v>316.74493746021471</v>
      </c>
      <c r="S128" s="69">
        <v>316.74493746021471</v>
      </c>
      <c r="T128" s="69">
        <v>316.74493746021471</v>
      </c>
      <c r="U128" s="69">
        <v>316.74493746021471</v>
      </c>
      <c r="V128" s="69">
        <v>316.74493746021471</v>
      </c>
      <c r="W128" s="69">
        <v>316.74493746021471</v>
      </c>
      <c r="X128" s="69">
        <v>316.74493746021471</v>
      </c>
      <c r="Y128" s="69">
        <v>316.74493746021471</v>
      </c>
      <c r="Z128" s="69">
        <v>316.74493746021471</v>
      </c>
      <c r="AA128" s="69">
        <v>316.74493746021471</v>
      </c>
      <c r="AB128" s="69">
        <v>316.74493746021471</v>
      </c>
      <c r="AC128" s="69">
        <v>316.74493746021471</v>
      </c>
      <c r="AD128" s="69">
        <v>316.74493746021471</v>
      </c>
      <c r="AE128" s="69">
        <v>316.74493746021471</v>
      </c>
      <c r="AF128" s="69">
        <v>316.74493746021471</v>
      </c>
      <c r="AG128" s="69">
        <v>316.74493746021471</v>
      </c>
    </row>
    <row r="129" spans="1:33" ht="12.75" customHeight="1">
      <c r="A129" s="231" t="s">
        <v>2374</v>
      </c>
      <c r="B129" s="69" t="s">
        <v>330</v>
      </c>
      <c r="C129" s="69" t="s">
        <v>137</v>
      </c>
      <c r="D129" s="69" t="s">
        <v>191</v>
      </c>
      <c r="E129" s="69" t="s">
        <v>191</v>
      </c>
      <c r="F129" s="69" t="s">
        <v>168</v>
      </c>
      <c r="G129" s="69" t="s">
        <v>199</v>
      </c>
      <c r="H129" s="69" t="s">
        <v>148</v>
      </c>
      <c r="I129" s="69">
        <v>4</v>
      </c>
      <c r="J129" s="238">
        <v>0.29204999999999998</v>
      </c>
      <c r="K129" s="238">
        <v>0.18436399478639695</v>
      </c>
      <c r="L129" s="69">
        <v>95.155627725733936</v>
      </c>
      <c r="M129" s="69">
        <v>0</v>
      </c>
      <c r="N129" s="69">
        <v>0</v>
      </c>
      <c r="O129" s="69">
        <v>0</v>
      </c>
      <c r="P129" s="69">
        <v>0</v>
      </c>
      <c r="Q129" s="69">
        <v>0</v>
      </c>
      <c r="R129" s="69">
        <v>1378.470684334854</v>
      </c>
      <c r="S129" s="69">
        <v>1378.470684334854</v>
      </c>
      <c r="T129" s="69">
        <v>1378.470684334854</v>
      </c>
      <c r="U129" s="69">
        <v>1378.470684334854</v>
      </c>
      <c r="V129" s="69">
        <v>1378.470684334854</v>
      </c>
      <c r="W129" s="69">
        <v>1378.470684334854</v>
      </c>
      <c r="X129" s="69">
        <v>1378.470684334854</v>
      </c>
      <c r="Y129" s="69">
        <v>1378.470684334854</v>
      </c>
      <c r="Z129" s="69">
        <v>1378.470684334854</v>
      </c>
      <c r="AA129" s="69">
        <v>1378.470684334854</v>
      </c>
      <c r="AB129" s="69">
        <v>1378.470684334854</v>
      </c>
      <c r="AC129" s="69">
        <v>1378.470684334854</v>
      </c>
      <c r="AD129" s="69">
        <v>1378.470684334854</v>
      </c>
      <c r="AE129" s="69">
        <v>1378.470684334854</v>
      </c>
      <c r="AF129" s="69">
        <v>1378.470684334854</v>
      </c>
      <c r="AG129" s="69">
        <v>1378.470684334854</v>
      </c>
    </row>
    <row r="130" spans="1:33" ht="12.75" customHeight="1">
      <c r="A130" s="231" t="s">
        <v>2374</v>
      </c>
      <c r="B130" s="69" t="s">
        <v>331</v>
      </c>
      <c r="C130" s="69" t="s">
        <v>137</v>
      </c>
      <c r="D130" s="69" t="s">
        <v>191</v>
      </c>
      <c r="E130" s="69" t="s">
        <v>191</v>
      </c>
      <c r="F130" s="69" t="s">
        <v>180</v>
      </c>
      <c r="G130" s="69" t="s">
        <v>192</v>
      </c>
      <c r="H130" s="69" t="s">
        <v>148</v>
      </c>
      <c r="I130" s="69">
        <v>4</v>
      </c>
      <c r="J130" s="238">
        <v>0.32235762917068039</v>
      </c>
      <c r="K130" s="238">
        <v>0.160195270625522</v>
      </c>
      <c r="L130" s="69">
        <v>96.038728079112815</v>
      </c>
      <c r="M130" s="69">
        <v>0</v>
      </c>
      <c r="N130" s="69">
        <v>0</v>
      </c>
      <c r="O130" s="69">
        <v>0</v>
      </c>
      <c r="P130" s="69">
        <v>0</v>
      </c>
      <c r="Q130" s="69">
        <v>0</v>
      </c>
      <c r="R130" s="69">
        <v>768.34665922935903</v>
      </c>
      <c r="S130" s="69">
        <v>768.34665922935903</v>
      </c>
      <c r="T130" s="69">
        <v>768.34665922935903</v>
      </c>
      <c r="U130" s="69">
        <v>768.34665922935903</v>
      </c>
      <c r="V130" s="69">
        <v>768.34665922935903</v>
      </c>
      <c r="W130" s="69">
        <v>768.34665922935903</v>
      </c>
      <c r="X130" s="69">
        <v>768.34665922935903</v>
      </c>
      <c r="Y130" s="69">
        <v>768.34665922935903</v>
      </c>
      <c r="Z130" s="69">
        <v>768.34665922935903</v>
      </c>
      <c r="AA130" s="69">
        <v>768.34665922935903</v>
      </c>
      <c r="AB130" s="69">
        <v>768.34665922935903</v>
      </c>
      <c r="AC130" s="69">
        <v>768.34665922935903</v>
      </c>
      <c r="AD130" s="69">
        <v>768.34665922935903</v>
      </c>
      <c r="AE130" s="69">
        <v>768.34665922935903</v>
      </c>
      <c r="AF130" s="69">
        <v>768.34665922935903</v>
      </c>
      <c r="AG130" s="69">
        <v>768.34665922935903</v>
      </c>
    </row>
    <row r="131" spans="1:33" ht="12.75" customHeight="1">
      <c r="A131" s="231" t="s">
        <v>2374</v>
      </c>
      <c r="B131" s="69" t="s">
        <v>332</v>
      </c>
      <c r="C131" s="69" t="s">
        <v>137</v>
      </c>
      <c r="D131" s="69" t="s">
        <v>191</v>
      </c>
      <c r="E131" s="69" t="s">
        <v>191</v>
      </c>
      <c r="F131" s="69" t="s">
        <v>179</v>
      </c>
      <c r="G131" s="69" t="s">
        <v>192</v>
      </c>
      <c r="H131" s="69" t="s">
        <v>148</v>
      </c>
      <c r="I131" s="69">
        <v>4</v>
      </c>
      <c r="J131" s="238">
        <v>0.32235762917068039</v>
      </c>
      <c r="K131" s="238">
        <v>0.16152665976075289</v>
      </c>
      <c r="L131" s="69">
        <v>96.038728079112801</v>
      </c>
      <c r="M131" s="69">
        <v>0</v>
      </c>
      <c r="N131" s="69">
        <v>0</v>
      </c>
      <c r="O131" s="69">
        <v>0</v>
      </c>
      <c r="P131" s="69">
        <v>0</v>
      </c>
      <c r="Q131" s="69">
        <v>0</v>
      </c>
      <c r="R131" s="69">
        <v>0</v>
      </c>
      <c r="S131" s="69">
        <v>0</v>
      </c>
      <c r="T131" s="69">
        <v>655.78644930552457</v>
      </c>
      <c r="U131" s="69">
        <v>655.78644930552457</v>
      </c>
      <c r="V131" s="69">
        <v>655.78644930552457</v>
      </c>
      <c r="W131" s="69">
        <v>655.78644930552457</v>
      </c>
      <c r="X131" s="69">
        <v>655.78644930552457</v>
      </c>
      <c r="Y131" s="69">
        <v>655.78644930552457</v>
      </c>
      <c r="Z131" s="69">
        <v>655.78644930552457</v>
      </c>
      <c r="AA131" s="69">
        <v>655.78644930552457</v>
      </c>
      <c r="AB131" s="69">
        <v>655.78644930552457</v>
      </c>
      <c r="AC131" s="69">
        <v>655.78644930552457</v>
      </c>
      <c r="AD131" s="69">
        <v>655.78644930552457</v>
      </c>
      <c r="AE131" s="69">
        <v>655.78644930552457</v>
      </c>
      <c r="AF131" s="69">
        <v>655.78644930552457</v>
      </c>
      <c r="AG131" s="69">
        <v>655.78644930552457</v>
      </c>
    </row>
    <row r="132" spans="1:33" ht="12.75" customHeight="1">
      <c r="A132" s="231" t="s">
        <v>2374</v>
      </c>
      <c r="B132" s="69" t="s">
        <v>333</v>
      </c>
      <c r="C132" s="69" t="s">
        <v>186</v>
      </c>
      <c r="D132" s="69" t="s">
        <v>334</v>
      </c>
      <c r="E132" s="69" t="s">
        <v>260</v>
      </c>
      <c r="F132" s="69" t="s">
        <v>157</v>
      </c>
      <c r="G132" s="69" t="s">
        <v>192</v>
      </c>
      <c r="H132" s="69" t="s">
        <v>805</v>
      </c>
      <c r="I132" s="69">
        <v>1</v>
      </c>
      <c r="J132" s="238">
        <v>0.19559527787058692</v>
      </c>
      <c r="K132" s="238">
        <v>0</v>
      </c>
      <c r="L132" s="69">
        <v>307.09437722419932</v>
      </c>
      <c r="M132" s="69">
        <v>-26.263345195729539</v>
      </c>
      <c r="N132" s="69">
        <v>6.1682926829271318</v>
      </c>
      <c r="O132" s="69">
        <v>6.1682926829271318</v>
      </c>
      <c r="P132" s="69">
        <v>6.1682926829271318</v>
      </c>
      <c r="Q132" s="69">
        <v>6.1682926829271318</v>
      </c>
      <c r="R132" s="69">
        <v>6.1682926829271318</v>
      </c>
      <c r="S132" s="69">
        <v>6.1682926829271318</v>
      </c>
      <c r="T132" s="69">
        <v>6.1682926829271318</v>
      </c>
      <c r="U132" s="69">
        <v>6.1682926829271318</v>
      </c>
      <c r="V132" s="69">
        <v>6.1682926829271318</v>
      </c>
      <c r="W132" s="69">
        <v>6.1682926829271318</v>
      </c>
      <c r="X132" s="69">
        <v>6.1682926829271318</v>
      </c>
      <c r="Y132" s="69">
        <v>6.1682926829271318</v>
      </c>
      <c r="Z132" s="69">
        <v>6.1682926829271318</v>
      </c>
      <c r="AA132" s="69">
        <v>6.1682926829271318</v>
      </c>
      <c r="AB132" s="69">
        <v>6.1682926829271318</v>
      </c>
      <c r="AC132" s="69">
        <v>6.1682926829271318</v>
      </c>
      <c r="AD132" s="69">
        <v>6.1682926829271318</v>
      </c>
      <c r="AE132" s="69">
        <v>6.1682926829271318</v>
      </c>
      <c r="AF132" s="69">
        <v>6.1682926829271318</v>
      </c>
      <c r="AG132" s="69">
        <v>6.1682926829271318</v>
      </c>
    </row>
    <row r="133" spans="1:33" ht="12.75" customHeight="1">
      <c r="A133" s="231" t="s">
        <v>2374</v>
      </c>
      <c r="B133" s="69" t="s">
        <v>335</v>
      </c>
      <c r="C133" s="69" t="s">
        <v>186</v>
      </c>
      <c r="D133" s="69" t="s">
        <v>334</v>
      </c>
      <c r="E133" s="69" t="s">
        <v>260</v>
      </c>
      <c r="F133" s="69" t="s">
        <v>157</v>
      </c>
      <c r="G133" s="69" t="s">
        <v>192</v>
      </c>
      <c r="H133" s="69" t="s">
        <v>805</v>
      </c>
      <c r="I133" s="69">
        <v>1</v>
      </c>
      <c r="J133" s="238">
        <v>0.19559527787058692</v>
      </c>
      <c r="K133" s="238">
        <v>0</v>
      </c>
      <c r="L133" s="69">
        <v>307.09437722419932</v>
      </c>
      <c r="M133" s="69">
        <v>-26.263345195729539</v>
      </c>
      <c r="N133" s="69">
        <v>0</v>
      </c>
      <c r="O133" s="69">
        <v>6.1682926829271318</v>
      </c>
      <c r="P133" s="69">
        <v>6.1682926829271318</v>
      </c>
      <c r="Q133" s="69">
        <v>6.1682926829271318</v>
      </c>
      <c r="R133" s="69">
        <v>6.1682926829271318</v>
      </c>
      <c r="S133" s="69">
        <v>6.1682926829271318</v>
      </c>
      <c r="T133" s="69">
        <v>6.1682926829271318</v>
      </c>
      <c r="U133" s="69">
        <v>6.1682926829271318</v>
      </c>
      <c r="V133" s="69">
        <v>6.1682926829271318</v>
      </c>
      <c r="W133" s="69">
        <v>6.1682926829271318</v>
      </c>
      <c r="X133" s="69">
        <v>6.1682926829271318</v>
      </c>
      <c r="Y133" s="69">
        <v>6.1682926829271318</v>
      </c>
      <c r="Z133" s="69">
        <v>6.1682926829271318</v>
      </c>
      <c r="AA133" s="69">
        <v>6.1682926829271318</v>
      </c>
      <c r="AB133" s="69">
        <v>6.1682926829271318</v>
      </c>
      <c r="AC133" s="69">
        <v>6.1682926829271318</v>
      </c>
      <c r="AD133" s="69">
        <v>6.1682926829271318</v>
      </c>
      <c r="AE133" s="69">
        <v>6.1682926829271318</v>
      </c>
      <c r="AF133" s="69">
        <v>6.1682926829271318</v>
      </c>
      <c r="AG133" s="69">
        <v>6.1682926829271318</v>
      </c>
    </row>
    <row r="134" spans="1:33" ht="12.75" customHeight="1">
      <c r="A134" s="231" t="s">
        <v>2374</v>
      </c>
      <c r="B134" s="69" t="s">
        <v>336</v>
      </c>
      <c r="C134" s="69" t="s">
        <v>186</v>
      </c>
      <c r="D134" s="69" t="s">
        <v>334</v>
      </c>
      <c r="E134" s="69" t="s">
        <v>260</v>
      </c>
      <c r="F134" s="69" t="s">
        <v>157</v>
      </c>
      <c r="G134" s="69" t="s">
        <v>192</v>
      </c>
      <c r="H134" s="69" t="s">
        <v>805</v>
      </c>
      <c r="I134" s="69">
        <v>1</v>
      </c>
      <c r="J134" s="238">
        <v>0.19559527787058692</v>
      </c>
      <c r="K134" s="238">
        <v>0</v>
      </c>
      <c r="L134" s="69">
        <v>307.09437722419932</v>
      </c>
      <c r="M134" s="69">
        <v>-26.263345195729539</v>
      </c>
      <c r="N134" s="69">
        <v>0</v>
      </c>
      <c r="O134" s="69">
        <v>0</v>
      </c>
      <c r="P134" s="69">
        <v>6.1682926829271318</v>
      </c>
      <c r="Q134" s="69">
        <v>6.1682926829271318</v>
      </c>
      <c r="R134" s="69">
        <v>6.1682926829271318</v>
      </c>
      <c r="S134" s="69">
        <v>6.1682926829271318</v>
      </c>
      <c r="T134" s="69">
        <v>6.1682926829271318</v>
      </c>
      <c r="U134" s="69">
        <v>6.1682926829271318</v>
      </c>
      <c r="V134" s="69">
        <v>6.1682926829271318</v>
      </c>
      <c r="W134" s="69">
        <v>6.1682926829271318</v>
      </c>
      <c r="X134" s="69">
        <v>6.1682926829271318</v>
      </c>
      <c r="Y134" s="69">
        <v>6.1682926829271318</v>
      </c>
      <c r="Z134" s="69">
        <v>6.1682926829271318</v>
      </c>
      <c r="AA134" s="69">
        <v>6.1682926829271318</v>
      </c>
      <c r="AB134" s="69">
        <v>6.1682926829271318</v>
      </c>
      <c r="AC134" s="69">
        <v>6.1682926829271318</v>
      </c>
      <c r="AD134" s="69">
        <v>6.1682926829271318</v>
      </c>
      <c r="AE134" s="69">
        <v>6.1682926829271318</v>
      </c>
      <c r="AF134" s="69">
        <v>6.1682926829271318</v>
      </c>
      <c r="AG134" s="69">
        <v>6.1682926829271318</v>
      </c>
    </row>
    <row r="135" spans="1:33" ht="12.75" customHeight="1">
      <c r="A135" s="231" t="s">
        <v>2374</v>
      </c>
      <c r="B135" s="69" t="s">
        <v>337</v>
      </c>
      <c r="C135" s="69" t="s">
        <v>186</v>
      </c>
      <c r="D135" s="69" t="s">
        <v>334</v>
      </c>
      <c r="E135" s="69" t="s">
        <v>260</v>
      </c>
      <c r="F135" s="69" t="s">
        <v>157</v>
      </c>
      <c r="G135" s="69" t="s">
        <v>192</v>
      </c>
      <c r="H135" s="69" t="s">
        <v>805</v>
      </c>
      <c r="I135" s="69">
        <v>1</v>
      </c>
      <c r="J135" s="238">
        <v>0.19559527787058692</v>
      </c>
      <c r="K135" s="238">
        <v>0</v>
      </c>
      <c r="L135" s="69">
        <v>307.09437722419932</v>
      </c>
      <c r="M135" s="69">
        <v>-26.263345195729539</v>
      </c>
      <c r="N135" s="69">
        <v>0</v>
      </c>
      <c r="O135" s="69">
        <v>0</v>
      </c>
      <c r="P135" s="69">
        <v>0</v>
      </c>
      <c r="Q135" s="69">
        <v>6.1682926829271318</v>
      </c>
      <c r="R135" s="69">
        <v>6.1682926829271318</v>
      </c>
      <c r="S135" s="69">
        <v>6.1682926829271318</v>
      </c>
      <c r="T135" s="69">
        <v>6.1682926829271318</v>
      </c>
      <c r="U135" s="69">
        <v>6.1682926829271318</v>
      </c>
      <c r="V135" s="69">
        <v>6.1682926829271318</v>
      </c>
      <c r="W135" s="69">
        <v>6.1682926829271318</v>
      </c>
      <c r="X135" s="69">
        <v>6.1682926829271318</v>
      </c>
      <c r="Y135" s="69">
        <v>6.1682926829271318</v>
      </c>
      <c r="Z135" s="69">
        <v>6.1682926829271318</v>
      </c>
      <c r="AA135" s="69">
        <v>6.1682926829271318</v>
      </c>
      <c r="AB135" s="69">
        <v>6.1682926829271318</v>
      </c>
      <c r="AC135" s="69">
        <v>6.1682926829271318</v>
      </c>
      <c r="AD135" s="69">
        <v>6.1682926829271318</v>
      </c>
      <c r="AE135" s="69">
        <v>6.1682926829271318</v>
      </c>
      <c r="AF135" s="69">
        <v>6.1682926829271318</v>
      </c>
      <c r="AG135" s="69">
        <v>6.1682926829271318</v>
      </c>
    </row>
    <row r="136" spans="1:33" ht="12.75" customHeight="1">
      <c r="A136" s="231" t="s">
        <v>2374</v>
      </c>
      <c r="B136" s="69" t="s">
        <v>338</v>
      </c>
      <c r="C136" s="69" t="s">
        <v>186</v>
      </c>
      <c r="D136" s="69" t="s">
        <v>334</v>
      </c>
      <c r="E136" s="69" t="s">
        <v>260</v>
      </c>
      <c r="F136" s="69" t="s">
        <v>157</v>
      </c>
      <c r="G136" s="69" t="s">
        <v>192</v>
      </c>
      <c r="H136" s="69" t="s">
        <v>805</v>
      </c>
      <c r="I136" s="69">
        <v>1</v>
      </c>
      <c r="J136" s="238">
        <v>0.19559527787058692</v>
      </c>
      <c r="K136" s="238">
        <v>0</v>
      </c>
      <c r="L136" s="69">
        <v>307.09437722419932</v>
      </c>
      <c r="M136" s="69">
        <v>-26.263345195729539</v>
      </c>
      <c r="N136" s="69">
        <v>0</v>
      </c>
      <c r="O136" s="69">
        <v>0</v>
      </c>
      <c r="P136" s="69">
        <v>0</v>
      </c>
      <c r="Q136" s="69">
        <v>0</v>
      </c>
      <c r="R136" s="69">
        <v>6.1682926829271318</v>
      </c>
      <c r="S136" s="69">
        <v>6.1682926829271318</v>
      </c>
      <c r="T136" s="69">
        <v>6.1682926829271318</v>
      </c>
      <c r="U136" s="69">
        <v>6.1682926829271318</v>
      </c>
      <c r="V136" s="69">
        <v>6.1682926829271318</v>
      </c>
      <c r="W136" s="69">
        <v>6.1682926829271318</v>
      </c>
      <c r="X136" s="69">
        <v>6.1682926829271318</v>
      </c>
      <c r="Y136" s="69">
        <v>6.1682926829271318</v>
      </c>
      <c r="Z136" s="69">
        <v>6.1682926829271318</v>
      </c>
      <c r="AA136" s="69">
        <v>6.1682926829271318</v>
      </c>
      <c r="AB136" s="69">
        <v>6.1682926829271318</v>
      </c>
      <c r="AC136" s="69">
        <v>6.1682926829271318</v>
      </c>
      <c r="AD136" s="69">
        <v>6.1682926829271318</v>
      </c>
      <c r="AE136" s="69">
        <v>6.1682926829271318</v>
      </c>
      <c r="AF136" s="69">
        <v>6.1682926829271318</v>
      </c>
      <c r="AG136" s="69">
        <v>6.1682926829271318</v>
      </c>
    </row>
    <row r="137" spans="1:33" ht="12.75" customHeight="1">
      <c r="A137" s="231" t="s">
        <v>2374</v>
      </c>
      <c r="B137" s="69" t="s">
        <v>339</v>
      </c>
      <c r="C137" s="69" t="s">
        <v>186</v>
      </c>
      <c r="D137" s="69" t="s">
        <v>218</v>
      </c>
      <c r="E137" s="69" t="s">
        <v>260</v>
      </c>
      <c r="F137" s="69" t="s">
        <v>157</v>
      </c>
      <c r="G137" s="69" t="s">
        <v>192</v>
      </c>
      <c r="H137" s="69" t="s">
        <v>805</v>
      </c>
      <c r="I137" s="69">
        <v>1</v>
      </c>
      <c r="J137" s="238">
        <v>0.21868155325388869</v>
      </c>
      <c r="K137" s="238">
        <v>0</v>
      </c>
      <c r="L137" s="69">
        <v>215.67609549071619</v>
      </c>
      <c r="M137" s="69">
        <v>-5.2201591511936343</v>
      </c>
      <c r="N137" s="69">
        <v>26.249425539017466</v>
      </c>
      <c r="O137" s="69">
        <v>26.249425539017466</v>
      </c>
      <c r="P137" s="69">
        <v>26.249425539017466</v>
      </c>
      <c r="Q137" s="69">
        <v>26.249425539017466</v>
      </c>
      <c r="R137" s="69">
        <v>26.249425539017466</v>
      </c>
      <c r="S137" s="69">
        <v>26.249425539017466</v>
      </c>
      <c r="T137" s="69">
        <v>26.249425539017466</v>
      </c>
      <c r="U137" s="69">
        <v>26.249425539017466</v>
      </c>
      <c r="V137" s="69">
        <v>26.249425539017466</v>
      </c>
      <c r="W137" s="69">
        <v>26.249425539017466</v>
      </c>
      <c r="X137" s="69">
        <v>26.249425539017466</v>
      </c>
      <c r="Y137" s="69">
        <v>26.249425539017466</v>
      </c>
      <c r="Z137" s="69">
        <v>26.249425539017466</v>
      </c>
      <c r="AA137" s="69">
        <v>26.249425539017466</v>
      </c>
      <c r="AB137" s="69">
        <v>26.249425539017466</v>
      </c>
      <c r="AC137" s="69">
        <v>26.249425539017466</v>
      </c>
      <c r="AD137" s="69">
        <v>26.249425539017466</v>
      </c>
      <c r="AE137" s="69">
        <v>26.249425539017466</v>
      </c>
      <c r="AF137" s="69">
        <v>26.249425539017466</v>
      </c>
      <c r="AG137" s="69">
        <v>26.249425539017466</v>
      </c>
    </row>
    <row r="138" spans="1:33" ht="12.75" customHeight="1">
      <c r="A138" s="231" t="s">
        <v>2374</v>
      </c>
      <c r="B138" s="69" t="s">
        <v>340</v>
      </c>
      <c r="C138" s="69" t="s">
        <v>186</v>
      </c>
      <c r="D138" s="69" t="s">
        <v>218</v>
      </c>
      <c r="E138" s="69" t="s">
        <v>203</v>
      </c>
      <c r="F138" s="69" t="s">
        <v>157</v>
      </c>
      <c r="G138" s="69" t="s">
        <v>192</v>
      </c>
      <c r="H138" s="69" t="s">
        <v>805</v>
      </c>
      <c r="I138" s="69">
        <v>1</v>
      </c>
      <c r="J138" s="238">
        <v>0.23561922263058244</v>
      </c>
      <c r="K138" s="238">
        <v>0</v>
      </c>
      <c r="L138" s="69">
        <v>200.17205317577549</v>
      </c>
      <c r="M138" s="69">
        <v>-4.8449039881831615</v>
      </c>
      <c r="N138" s="69">
        <v>69.965023431977897</v>
      </c>
      <c r="O138" s="69">
        <v>69.965023431977897</v>
      </c>
      <c r="P138" s="69">
        <v>69.965023431977897</v>
      </c>
      <c r="Q138" s="69">
        <v>69.965023431977897</v>
      </c>
      <c r="R138" s="69">
        <v>69.965023431977897</v>
      </c>
      <c r="S138" s="69">
        <v>69.965023431977897</v>
      </c>
      <c r="T138" s="69">
        <v>69.965023431977897</v>
      </c>
      <c r="U138" s="69">
        <v>69.965023431977897</v>
      </c>
      <c r="V138" s="69">
        <v>69.965023431977897</v>
      </c>
      <c r="W138" s="69">
        <v>69.965023431977897</v>
      </c>
      <c r="X138" s="69">
        <v>69.965023431977897</v>
      </c>
      <c r="Y138" s="69">
        <v>69.965023431977897</v>
      </c>
      <c r="Z138" s="69">
        <v>69.965023431977897</v>
      </c>
      <c r="AA138" s="69">
        <v>69.965023431977897</v>
      </c>
      <c r="AB138" s="69">
        <v>69.965023431977897</v>
      </c>
      <c r="AC138" s="69">
        <v>69.965023431977897</v>
      </c>
      <c r="AD138" s="69">
        <v>69.965023431977897</v>
      </c>
      <c r="AE138" s="69">
        <v>69.965023431977897</v>
      </c>
      <c r="AF138" s="69">
        <v>69.965023431977897</v>
      </c>
      <c r="AG138" s="69">
        <v>69.965023431977897</v>
      </c>
    </row>
    <row r="139" spans="1:33" ht="12.75" customHeight="1">
      <c r="A139" s="231" t="s">
        <v>2374</v>
      </c>
      <c r="B139" s="69" t="s">
        <v>341</v>
      </c>
      <c r="C139" s="69" t="s">
        <v>186</v>
      </c>
      <c r="D139" s="69" t="s">
        <v>218</v>
      </c>
      <c r="E139" s="69" t="s">
        <v>260</v>
      </c>
      <c r="F139" s="69" t="s">
        <v>157</v>
      </c>
      <c r="G139" s="69" t="s">
        <v>192</v>
      </c>
      <c r="H139" s="69" t="s">
        <v>805</v>
      </c>
      <c r="I139" s="69">
        <v>1</v>
      </c>
      <c r="J139" s="238">
        <v>0.21868155325388869</v>
      </c>
      <c r="K139" s="238">
        <v>0</v>
      </c>
      <c r="L139" s="69">
        <v>215.67609549071619</v>
      </c>
      <c r="M139" s="69">
        <v>-5.2201591511936343</v>
      </c>
      <c r="N139" s="69">
        <v>0</v>
      </c>
      <c r="O139" s="69">
        <v>26.249425539017466</v>
      </c>
      <c r="P139" s="69">
        <v>26.249425539017466</v>
      </c>
      <c r="Q139" s="69">
        <v>26.249425539017466</v>
      </c>
      <c r="R139" s="69">
        <v>26.249425539017466</v>
      </c>
      <c r="S139" s="69">
        <v>26.249425539017466</v>
      </c>
      <c r="T139" s="69">
        <v>26.249425539017466</v>
      </c>
      <c r="U139" s="69">
        <v>26.249425539017466</v>
      </c>
      <c r="V139" s="69">
        <v>26.249425539017466</v>
      </c>
      <c r="W139" s="69">
        <v>26.249425539017466</v>
      </c>
      <c r="X139" s="69">
        <v>26.249425539017466</v>
      </c>
      <c r="Y139" s="69">
        <v>26.249425539017466</v>
      </c>
      <c r="Z139" s="69">
        <v>26.249425539017466</v>
      </c>
      <c r="AA139" s="69">
        <v>26.249425539017466</v>
      </c>
      <c r="AB139" s="69">
        <v>26.249425539017466</v>
      </c>
      <c r="AC139" s="69">
        <v>26.249425539017466</v>
      </c>
      <c r="AD139" s="69">
        <v>26.249425539017466</v>
      </c>
      <c r="AE139" s="69">
        <v>26.249425539017466</v>
      </c>
      <c r="AF139" s="69">
        <v>26.249425539017466</v>
      </c>
      <c r="AG139" s="69">
        <v>26.249425539017466</v>
      </c>
    </row>
    <row r="140" spans="1:33" ht="12.75" customHeight="1">
      <c r="A140" s="231" t="s">
        <v>2374</v>
      </c>
      <c r="B140" s="69" t="s">
        <v>342</v>
      </c>
      <c r="C140" s="69" t="s">
        <v>186</v>
      </c>
      <c r="D140" s="69" t="s">
        <v>218</v>
      </c>
      <c r="E140" s="69" t="s">
        <v>203</v>
      </c>
      <c r="F140" s="69" t="s">
        <v>157</v>
      </c>
      <c r="G140" s="69" t="s">
        <v>192</v>
      </c>
      <c r="H140" s="69" t="s">
        <v>805</v>
      </c>
      <c r="I140" s="69">
        <v>1</v>
      </c>
      <c r="J140" s="238">
        <v>0.23561922263058244</v>
      </c>
      <c r="K140" s="238">
        <v>0</v>
      </c>
      <c r="L140" s="69">
        <v>200.17205317577549</v>
      </c>
      <c r="M140" s="69">
        <v>-4.8449039881831615</v>
      </c>
      <c r="N140" s="69">
        <v>0</v>
      </c>
      <c r="O140" s="69">
        <v>69.965023431977897</v>
      </c>
      <c r="P140" s="69">
        <v>69.965023431977897</v>
      </c>
      <c r="Q140" s="69">
        <v>69.965023431977897</v>
      </c>
      <c r="R140" s="69">
        <v>69.965023431977897</v>
      </c>
      <c r="S140" s="69">
        <v>69.965023431977897</v>
      </c>
      <c r="T140" s="69">
        <v>69.965023431977897</v>
      </c>
      <c r="U140" s="69">
        <v>69.965023431977897</v>
      </c>
      <c r="V140" s="69">
        <v>69.965023431977897</v>
      </c>
      <c r="W140" s="69">
        <v>69.965023431977897</v>
      </c>
      <c r="X140" s="69">
        <v>69.965023431977897</v>
      </c>
      <c r="Y140" s="69">
        <v>69.965023431977897</v>
      </c>
      <c r="Z140" s="69">
        <v>69.965023431977897</v>
      </c>
      <c r="AA140" s="69">
        <v>69.965023431977897</v>
      </c>
      <c r="AB140" s="69">
        <v>69.965023431977897</v>
      </c>
      <c r="AC140" s="69">
        <v>69.965023431977897</v>
      </c>
      <c r="AD140" s="69">
        <v>69.965023431977897</v>
      </c>
      <c r="AE140" s="69">
        <v>69.965023431977897</v>
      </c>
      <c r="AF140" s="69">
        <v>69.965023431977897</v>
      </c>
      <c r="AG140" s="69">
        <v>69.965023431977897</v>
      </c>
    </row>
    <row r="141" spans="1:33" ht="12.75" customHeight="1">
      <c r="A141" s="231" t="s">
        <v>2374</v>
      </c>
      <c r="B141" s="69" t="s">
        <v>343</v>
      </c>
      <c r="C141" s="69" t="s">
        <v>186</v>
      </c>
      <c r="D141" s="69" t="s">
        <v>218</v>
      </c>
      <c r="E141" s="69" t="s">
        <v>260</v>
      </c>
      <c r="F141" s="69" t="s">
        <v>157</v>
      </c>
      <c r="G141" s="69" t="s">
        <v>192</v>
      </c>
      <c r="H141" s="69" t="s">
        <v>805</v>
      </c>
      <c r="I141" s="69">
        <v>1</v>
      </c>
      <c r="J141" s="238">
        <v>0.21868155325388869</v>
      </c>
      <c r="K141" s="238">
        <v>0</v>
      </c>
      <c r="L141" s="69">
        <v>215.67609549071619</v>
      </c>
      <c r="M141" s="69">
        <v>-5.2201591511936343</v>
      </c>
      <c r="N141" s="69">
        <v>0</v>
      </c>
      <c r="O141" s="69">
        <v>0</v>
      </c>
      <c r="P141" s="69">
        <v>26.249425539017466</v>
      </c>
      <c r="Q141" s="69">
        <v>26.249425539017466</v>
      </c>
      <c r="R141" s="69">
        <v>26.249425539017466</v>
      </c>
      <c r="S141" s="69">
        <v>26.249425539017466</v>
      </c>
      <c r="T141" s="69">
        <v>26.249425539017466</v>
      </c>
      <c r="U141" s="69">
        <v>26.249425539017466</v>
      </c>
      <c r="V141" s="69">
        <v>26.249425539017466</v>
      </c>
      <c r="W141" s="69">
        <v>26.249425539017466</v>
      </c>
      <c r="X141" s="69">
        <v>26.249425539017466</v>
      </c>
      <c r="Y141" s="69">
        <v>26.249425539017466</v>
      </c>
      <c r="Z141" s="69">
        <v>26.249425539017466</v>
      </c>
      <c r="AA141" s="69">
        <v>26.249425539017466</v>
      </c>
      <c r="AB141" s="69">
        <v>26.249425539017466</v>
      </c>
      <c r="AC141" s="69">
        <v>26.249425539017466</v>
      </c>
      <c r="AD141" s="69">
        <v>26.249425539017466</v>
      </c>
      <c r="AE141" s="69">
        <v>26.249425539017466</v>
      </c>
      <c r="AF141" s="69">
        <v>26.249425539017466</v>
      </c>
      <c r="AG141" s="69">
        <v>26.249425539017466</v>
      </c>
    </row>
    <row r="142" spans="1:33" ht="12.75" customHeight="1">
      <c r="A142" s="231" t="s">
        <v>2374</v>
      </c>
      <c r="B142" s="69" t="s">
        <v>344</v>
      </c>
      <c r="C142" s="69" t="s">
        <v>186</v>
      </c>
      <c r="D142" s="69" t="s">
        <v>218</v>
      </c>
      <c r="E142" s="69" t="s">
        <v>203</v>
      </c>
      <c r="F142" s="69" t="s">
        <v>157</v>
      </c>
      <c r="G142" s="69" t="s">
        <v>192</v>
      </c>
      <c r="H142" s="69" t="s">
        <v>805</v>
      </c>
      <c r="I142" s="69">
        <v>1</v>
      </c>
      <c r="J142" s="238">
        <v>0.23561922263058244</v>
      </c>
      <c r="K142" s="238">
        <v>0</v>
      </c>
      <c r="L142" s="69">
        <v>200.17205317577549</v>
      </c>
      <c r="M142" s="69">
        <v>-4.8449039881831615</v>
      </c>
      <c r="N142" s="69">
        <v>0</v>
      </c>
      <c r="O142" s="69">
        <v>0</v>
      </c>
      <c r="P142" s="69">
        <v>69.965023431977897</v>
      </c>
      <c r="Q142" s="69">
        <v>69.965023431977897</v>
      </c>
      <c r="R142" s="69">
        <v>69.965023431977897</v>
      </c>
      <c r="S142" s="69">
        <v>69.965023431977897</v>
      </c>
      <c r="T142" s="69">
        <v>69.965023431977897</v>
      </c>
      <c r="U142" s="69">
        <v>69.965023431977897</v>
      </c>
      <c r="V142" s="69">
        <v>69.965023431977897</v>
      </c>
      <c r="W142" s="69">
        <v>69.965023431977897</v>
      </c>
      <c r="X142" s="69">
        <v>69.965023431977897</v>
      </c>
      <c r="Y142" s="69">
        <v>69.965023431977897</v>
      </c>
      <c r="Z142" s="69">
        <v>69.965023431977897</v>
      </c>
      <c r="AA142" s="69">
        <v>69.965023431977897</v>
      </c>
      <c r="AB142" s="69">
        <v>69.965023431977897</v>
      </c>
      <c r="AC142" s="69">
        <v>69.965023431977897</v>
      </c>
      <c r="AD142" s="69">
        <v>69.965023431977897</v>
      </c>
      <c r="AE142" s="69">
        <v>69.965023431977897</v>
      </c>
      <c r="AF142" s="69">
        <v>69.965023431977897</v>
      </c>
      <c r="AG142" s="69">
        <v>69.965023431977897</v>
      </c>
    </row>
    <row r="143" spans="1:33" ht="12.75" customHeight="1">
      <c r="A143" s="231" t="s">
        <v>2374</v>
      </c>
      <c r="B143" s="69" t="s">
        <v>345</v>
      </c>
      <c r="C143" s="69" t="s">
        <v>186</v>
      </c>
      <c r="D143" s="69" t="s">
        <v>218</v>
      </c>
      <c r="E143" s="69" t="s">
        <v>260</v>
      </c>
      <c r="F143" s="69" t="s">
        <v>157</v>
      </c>
      <c r="G143" s="69" t="s">
        <v>192</v>
      </c>
      <c r="H143" s="69" t="s">
        <v>805</v>
      </c>
      <c r="I143" s="69">
        <v>1</v>
      </c>
      <c r="J143" s="238">
        <v>0.21868155325388869</v>
      </c>
      <c r="K143" s="238">
        <v>0</v>
      </c>
      <c r="L143" s="69">
        <v>215.67609549071619</v>
      </c>
      <c r="M143" s="69">
        <v>-5.2201591511936343</v>
      </c>
      <c r="N143" s="69">
        <v>0</v>
      </c>
      <c r="O143" s="69">
        <v>0</v>
      </c>
      <c r="P143" s="69">
        <v>0</v>
      </c>
      <c r="Q143" s="69">
        <v>26.249425539017466</v>
      </c>
      <c r="R143" s="69">
        <v>26.249425539017466</v>
      </c>
      <c r="S143" s="69">
        <v>26.249425539017466</v>
      </c>
      <c r="T143" s="69">
        <v>26.249425539017466</v>
      </c>
      <c r="U143" s="69">
        <v>26.249425539017466</v>
      </c>
      <c r="V143" s="69">
        <v>26.249425539017466</v>
      </c>
      <c r="W143" s="69">
        <v>26.249425539017466</v>
      </c>
      <c r="X143" s="69">
        <v>26.249425539017466</v>
      </c>
      <c r="Y143" s="69">
        <v>26.249425539017466</v>
      </c>
      <c r="Z143" s="69">
        <v>26.249425539017466</v>
      </c>
      <c r="AA143" s="69">
        <v>26.249425539017466</v>
      </c>
      <c r="AB143" s="69">
        <v>26.249425539017466</v>
      </c>
      <c r="AC143" s="69">
        <v>26.249425539017466</v>
      </c>
      <c r="AD143" s="69">
        <v>26.249425539017466</v>
      </c>
      <c r="AE143" s="69">
        <v>26.249425539017466</v>
      </c>
      <c r="AF143" s="69">
        <v>26.249425539017466</v>
      </c>
      <c r="AG143" s="69">
        <v>26.249425539017466</v>
      </c>
    </row>
    <row r="144" spans="1:33" ht="12.75" customHeight="1">
      <c r="A144" s="231" t="s">
        <v>2374</v>
      </c>
      <c r="B144" s="69" t="s">
        <v>346</v>
      </c>
      <c r="C144" s="69" t="s">
        <v>186</v>
      </c>
      <c r="D144" s="69" t="s">
        <v>218</v>
      </c>
      <c r="E144" s="69" t="s">
        <v>203</v>
      </c>
      <c r="F144" s="69" t="s">
        <v>157</v>
      </c>
      <c r="G144" s="69" t="s">
        <v>192</v>
      </c>
      <c r="H144" s="69" t="s">
        <v>805</v>
      </c>
      <c r="I144" s="69">
        <v>1</v>
      </c>
      <c r="J144" s="238">
        <v>0.23561922263058244</v>
      </c>
      <c r="K144" s="238">
        <v>0</v>
      </c>
      <c r="L144" s="69">
        <v>200.17205317577549</v>
      </c>
      <c r="M144" s="69">
        <v>-4.8449039881831615</v>
      </c>
      <c r="N144" s="69">
        <v>0</v>
      </c>
      <c r="O144" s="69">
        <v>0</v>
      </c>
      <c r="P144" s="69">
        <v>0</v>
      </c>
      <c r="Q144" s="69">
        <v>69.965023431977897</v>
      </c>
      <c r="R144" s="69">
        <v>69.965023431977897</v>
      </c>
      <c r="S144" s="69">
        <v>69.965023431977897</v>
      </c>
      <c r="T144" s="69">
        <v>69.965023431977897</v>
      </c>
      <c r="U144" s="69">
        <v>69.965023431977897</v>
      </c>
      <c r="V144" s="69">
        <v>69.965023431977897</v>
      </c>
      <c r="W144" s="69">
        <v>69.965023431977897</v>
      </c>
      <c r="X144" s="69">
        <v>69.965023431977897</v>
      </c>
      <c r="Y144" s="69">
        <v>69.965023431977897</v>
      </c>
      <c r="Z144" s="69">
        <v>69.965023431977897</v>
      </c>
      <c r="AA144" s="69">
        <v>69.965023431977897</v>
      </c>
      <c r="AB144" s="69">
        <v>69.965023431977897</v>
      </c>
      <c r="AC144" s="69">
        <v>69.965023431977897</v>
      </c>
      <c r="AD144" s="69">
        <v>69.965023431977897</v>
      </c>
      <c r="AE144" s="69">
        <v>69.965023431977897</v>
      </c>
      <c r="AF144" s="69">
        <v>69.965023431977897</v>
      </c>
      <c r="AG144" s="69">
        <v>69.965023431977897</v>
      </c>
    </row>
    <row r="145" spans="1:33" ht="12.75" customHeight="1">
      <c r="A145" s="231" t="s">
        <v>2374</v>
      </c>
      <c r="B145" s="69" t="s">
        <v>347</v>
      </c>
      <c r="C145" s="69" t="s">
        <v>186</v>
      </c>
      <c r="D145" s="69" t="s">
        <v>218</v>
      </c>
      <c r="E145" s="69" t="s">
        <v>260</v>
      </c>
      <c r="F145" s="69" t="s">
        <v>157</v>
      </c>
      <c r="G145" s="69" t="s">
        <v>192</v>
      </c>
      <c r="H145" s="69" t="s">
        <v>805</v>
      </c>
      <c r="I145" s="69">
        <v>1</v>
      </c>
      <c r="J145" s="238">
        <v>0.21868155325388869</v>
      </c>
      <c r="K145" s="238">
        <v>0</v>
      </c>
      <c r="L145" s="69">
        <v>215.67609549071619</v>
      </c>
      <c r="M145" s="69">
        <v>-5.2201591511936343</v>
      </c>
      <c r="N145" s="69">
        <v>0</v>
      </c>
      <c r="O145" s="69">
        <v>0</v>
      </c>
      <c r="P145" s="69">
        <v>0</v>
      </c>
      <c r="Q145" s="69">
        <v>0</v>
      </c>
      <c r="R145" s="69">
        <v>26.249425539017466</v>
      </c>
      <c r="S145" s="69">
        <v>26.249425539017466</v>
      </c>
      <c r="T145" s="69">
        <v>26.249425539017466</v>
      </c>
      <c r="U145" s="69">
        <v>26.249425539017466</v>
      </c>
      <c r="V145" s="69">
        <v>26.249425539017466</v>
      </c>
      <c r="W145" s="69">
        <v>26.249425539017466</v>
      </c>
      <c r="X145" s="69">
        <v>26.249425539017466</v>
      </c>
      <c r="Y145" s="69">
        <v>26.249425539017466</v>
      </c>
      <c r="Z145" s="69">
        <v>26.249425539017466</v>
      </c>
      <c r="AA145" s="69">
        <v>26.249425539017466</v>
      </c>
      <c r="AB145" s="69">
        <v>26.249425539017466</v>
      </c>
      <c r="AC145" s="69">
        <v>26.249425539017466</v>
      </c>
      <c r="AD145" s="69">
        <v>26.249425539017466</v>
      </c>
      <c r="AE145" s="69">
        <v>26.249425539017466</v>
      </c>
      <c r="AF145" s="69">
        <v>26.249425539017466</v>
      </c>
      <c r="AG145" s="69">
        <v>26.249425539017466</v>
      </c>
    </row>
    <row r="146" spans="1:33" ht="12.75" customHeight="1">
      <c r="A146" s="231" t="s">
        <v>2374</v>
      </c>
      <c r="B146" s="69" t="s">
        <v>348</v>
      </c>
      <c r="C146" s="69" t="s">
        <v>186</v>
      </c>
      <c r="D146" s="69" t="s">
        <v>218</v>
      </c>
      <c r="E146" s="69" t="s">
        <v>203</v>
      </c>
      <c r="F146" s="69" t="s">
        <v>157</v>
      </c>
      <c r="G146" s="69" t="s">
        <v>192</v>
      </c>
      <c r="H146" s="69" t="s">
        <v>805</v>
      </c>
      <c r="I146" s="69">
        <v>1</v>
      </c>
      <c r="J146" s="238">
        <v>0.23561922263058244</v>
      </c>
      <c r="K146" s="238">
        <v>0</v>
      </c>
      <c r="L146" s="69">
        <v>200.17205317577549</v>
      </c>
      <c r="M146" s="69">
        <v>-4.8449039881831615</v>
      </c>
      <c r="N146" s="69">
        <v>0</v>
      </c>
      <c r="O146" s="69">
        <v>0</v>
      </c>
      <c r="P146" s="69">
        <v>0</v>
      </c>
      <c r="Q146" s="69">
        <v>0</v>
      </c>
      <c r="R146" s="69">
        <v>69.965023431977897</v>
      </c>
      <c r="S146" s="69">
        <v>69.965023431977897</v>
      </c>
      <c r="T146" s="69">
        <v>69.965023431977897</v>
      </c>
      <c r="U146" s="69">
        <v>69.965023431977897</v>
      </c>
      <c r="V146" s="69">
        <v>69.965023431977897</v>
      </c>
      <c r="W146" s="69">
        <v>69.965023431977897</v>
      </c>
      <c r="X146" s="69">
        <v>69.965023431977897</v>
      </c>
      <c r="Y146" s="69">
        <v>69.965023431977897</v>
      </c>
      <c r="Z146" s="69">
        <v>69.965023431977897</v>
      </c>
      <c r="AA146" s="69">
        <v>69.965023431977897</v>
      </c>
      <c r="AB146" s="69">
        <v>69.965023431977897</v>
      </c>
      <c r="AC146" s="69">
        <v>69.965023431977897</v>
      </c>
      <c r="AD146" s="69">
        <v>69.965023431977897</v>
      </c>
      <c r="AE146" s="69">
        <v>69.965023431977897</v>
      </c>
      <c r="AF146" s="69">
        <v>69.965023431977897</v>
      </c>
      <c r="AG146" s="69">
        <v>69.965023431977897</v>
      </c>
    </row>
    <row r="147" spans="1:33" ht="12.75" customHeight="1">
      <c r="A147" s="231" t="s">
        <v>2374</v>
      </c>
      <c r="B147" s="69" t="s">
        <v>349</v>
      </c>
      <c r="C147" s="69" t="s">
        <v>186</v>
      </c>
      <c r="D147" s="69" t="s">
        <v>334</v>
      </c>
      <c r="E147" s="69" t="s">
        <v>242</v>
      </c>
      <c r="F147" s="69" t="s">
        <v>158</v>
      </c>
      <c r="G147" s="69" t="s">
        <v>192</v>
      </c>
      <c r="H147" s="69" t="s">
        <v>804</v>
      </c>
      <c r="I147" s="69">
        <v>1</v>
      </c>
      <c r="J147" s="238">
        <v>0.21172086720867206</v>
      </c>
      <c r="K147" s="238">
        <v>0</v>
      </c>
      <c r="L147" s="69">
        <v>283.70472328767124</v>
      </c>
      <c r="M147" s="69">
        <v>-24.263013698630136</v>
      </c>
      <c r="N147" s="69">
        <v>133.53658536585317</v>
      </c>
      <c r="O147" s="69">
        <v>133.53658536585317</v>
      </c>
      <c r="P147" s="69">
        <v>133.53658536585317</v>
      </c>
      <c r="Q147" s="69">
        <v>133.53658536585317</v>
      </c>
      <c r="R147" s="69">
        <v>133.53658536585317</v>
      </c>
      <c r="S147" s="69">
        <v>133.53658536585317</v>
      </c>
      <c r="T147" s="69">
        <v>133.53658536585317</v>
      </c>
      <c r="U147" s="69">
        <v>133.53658536585317</v>
      </c>
      <c r="V147" s="69">
        <v>133.53658536585317</v>
      </c>
      <c r="W147" s="69">
        <v>133.53658536585317</v>
      </c>
      <c r="X147" s="69">
        <v>133.53658536585317</v>
      </c>
      <c r="Y147" s="69">
        <v>133.53658536585317</v>
      </c>
      <c r="Z147" s="69">
        <v>133.53658536585317</v>
      </c>
      <c r="AA147" s="69">
        <v>133.53658536585317</v>
      </c>
      <c r="AB147" s="69">
        <v>133.53658536585317</v>
      </c>
      <c r="AC147" s="69">
        <v>133.53658536585317</v>
      </c>
      <c r="AD147" s="69">
        <v>133.53658536585317</v>
      </c>
      <c r="AE147" s="69">
        <v>133.53658536585317</v>
      </c>
      <c r="AF147" s="69">
        <v>133.53658536585317</v>
      </c>
      <c r="AG147" s="69">
        <v>133.53658536585317</v>
      </c>
    </row>
    <row r="148" spans="1:33" ht="12.75" customHeight="1">
      <c r="A148" s="231" t="s">
        <v>2374</v>
      </c>
      <c r="B148" s="69" t="s">
        <v>350</v>
      </c>
      <c r="C148" s="69" t="s">
        <v>186</v>
      </c>
      <c r="D148" s="69" t="s">
        <v>334</v>
      </c>
      <c r="E148" s="69" t="s">
        <v>242</v>
      </c>
      <c r="F148" s="69" t="s">
        <v>158</v>
      </c>
      <c r="G148" s="69" t="s">
        <v>192</v>
      </c>
      <c r="H148" s="69" t="s">
        <v>804</v>
      </c>
      <c r="I148" s="69">
        <v>1</v>
      </c>
      <c r="J148" s="238">
        <v>0.21172086720867206</v>
      </c>
      <c r="K148" s="238">
        <v>0</v>
      </c>
      <c r="L148" s="69">
        <v>283.70472328767124</v>
      </c>
      <c r="M148" s="69">
        <v>-24.263013698630136</v>
      </c>
      <c r="N148" s="69">
        <v>0</v>
      </c>
      <c r="O148" s="69">
        <v>133.53658536585317</v>
      </c>
      <c r="P148" s="69">
        <v>133.53658536585317</v>
      </c>
      <c r="Q148" s="69">
        <v>133.53658536585317</v>
      </c>
      <c r="R148" s="69">
        <v>133.53658536585317</v>
      </c>
      <c r="S148" s="69">
        <v>133.53658536585317</v>
      </c>
      <c r="T148" s="69">
        <v>133.53658536585317</v>
      </c>
      <c r="U148" s="69">
        <v>133.53658536585317</v>
      </c>
      <c r="V148" s="69">
        <v>133.53658536585317</v>
      </c>
      <c r="W148" s="69">
        <v>133.53658536585317</v>
      </c>
      <c r="X148" s="69">
        <v>133.53658536585317</v>
      </c>
      <c r="Y148" s="69">
        <v>133.53658536585317</v>
      </c>
      <c r="Z148" s="69">
        <v>133.53658536585317</v>
      </c>
      <c r="AA148" s="69">
        <v>133.53658536585317</v>
      </c>
      <c r="AB148" s="69">
        <v>133.53658536585317</v>
      </c>
      <c r="AC148" s="69">
        <v>133.53658536585317</v>
      </c>
      <c r="AD148" s="69">
        <v>133.53658536585317</v>
      </c>
      <c r="AE148" s="69">
        <v>133.53658536585317</v>
      </c>
      <c r="AF148" s="69">
        <v>133.53658536585317</v>
      </c>
      <c r="AG148" s="69">
        <v>133.53658536585317</v>
      </c>
    </row>
    <row r="149" spans="1:33" ht="12.75" customHeight="1">
      <c r="A149" s="231" t="s">
        <v>2374</v>
      </c>
      <c r="B149" s="69" t="s">
        <v>351</v>
      </c>
      <c r="C149" s="69" t="s">
        <v>186</v>
      </c>
      <c r="D149" s="69" t="s">
        <v>334</v>
      </c>
      <c r="E149" s="69" t="s">
        <v>242</v>
      </c>
      <c r="F149" s="69" t="s">
        <v>158</v>
      </c>
      <c r="G149" s="69" t="s">
        <v>192</v>
      </c>
      <c r="H149" s="69" t="s">
        <v>804</v>
      </c>
      <c r="I149" s="69">
        <v>1</v>
      </c>
      <c r="J149" s="238">
        <v>0.21172086720867206</v>
      </c>
      <c r="K149" s="238">
        <v>0</v>
      </c>
      <c r="L149" s="69">
        <v>283.70472328767124</v>
      </c>
      <c r="M149" s="69">
        <v>-24.263013698630136</v>
      </c>
      <c r="N149" s="69">
        <v>0</v>
      </c>
      <c r="O149" s="69">
        <v>0</v>
      </c>
      <c r="P149" s="69">
        <v>133.53658536585317</v>
      </c>
      <c r="Q149" s="69">
        <v>133.53658536585317</v>
      </c>
      <c r="R149" s="69">
        <v>133.53658536585317</v>
      </c>
      <c r="S149" s="69">
        <v>133.53658536585317</v>
      </c>
      <c r="T149" s="69">
        <v>133.53658536585317</v>
      </c>
      <c r="U149" s="69">
        <v>133.53658536585317</v>
      </c>
      <c r="V149" s="69">
        <v>133.53658536585317</v>
      </c>
      <c r="W149" s="69">
        <v>133.53658536585317</v>
      </c>
      <c r="X149" s="69">
        <v>133.53658536585317</v>
      </c>
      <c r="Y149" s="69">
        <v>133.53658536585317</v>
      </c>
      <c r="Z149" s="69">
        <v>133.53658536585317</v>
      </c>
      <c r="AA149" s="69">
        <v>133.53658536585317</v>
      </c>
      <c r="AB149" s="69">
        <v>133.53658536585317</v>
      </c>
      <c r="AC149" s="69">
        <v>133.53658536585317</v>
      </c>
      <c r="AD149" s="69">
        <v>133.53658536585317</v>
      </c>
      <c r="AE149" s="69">
        <v>133.53658536585317</v>
      </c>
      <c r="AF149" s="69">
        <v>133.53658536585317</v>
      </c>
      <c r="AG149" s="69">
        <v>133.53658536585317</v>
      </c>
    </row>
    <row r="150" spans="1:33" ht="12.75" customHeight="1">
      <c r="A150" s="231" t="s">
        <v>2374</v>
      </c>
      <c r="B150" s="69" t="s">
        <v>352</v>
      </c>
      <c r="C150" s="69" t="s">
        <v>186</v>
      </c>
      <c r="D150" s="69" t="s">
        <v>334</v>
      </c>
      <c r="E150" s="69" t="s">
        <v>242</v>
      </c>
      <c r="F150" s="69" t="s">
        <v>158</v>
      </c>
      <c r="G150" s="69" t="s">
        <v>192</v>
      </c>
      <c r="H150" s="69" t="s">
        <v>804</v>
      </c>
      <c r="I150" s="69">
        <v>1</v>
      </c>
      <c r="J150" s="238">
        <v>0.21172086720867206</v>
      </c>
      <c r="K150" s="238">
        <v>0</v>
      </c>
      <c r="L150" s="69">
        <v>283.70472328767124</v>
      </c>
      <c r="M150" s="69">
        <v>-24.263013698630136</v>
      </c>
      <c r="N150" s="69">
        <v>0</v>
      </c>
      <c r="O150" s="69">
        <v>0</v>
      </c>
      <c r="P150" s="69">
        <v>0</v>
      </c>
      <c r="Q150" s="69">
        <v>133.53658536585317</v>
      </c>
      <c r="R150" s="69">
        <v>133.53658536585317</v>
      </c>
      <c r="S150" s="69">
        <v>133.53658536585317</v>
      </c>
      <c r="T150" s="69">
        <v>133.53658536585317</v>
      </c>
      <c r="U150" s="69">
        <v>133.53658536585317</v>
      </c>
      <c r="V150" s="69">
        <v>133.53658536585317</v>
      </c>
      <c r="W150" s="69">
        <v>133.53658536585317</v>
      </c>
      <c r="X150" s="69">
        <v>133.53658536585317</v>
      </c>
      <c r="Y150" s="69">
        <v>133.53658536585317</v>
      </c>
      <c r="Z150" s="69">
        <v>133.53658536585317</v>
      </c>
      <c r="AA150" s="69">
        <v>133.53658536585317</v>
      </c>
      <c r="AB150" s="69">
        <v>133.53658536585317</v>
      </c>
      <c r="AC150" s="69">
        <v>133.53658536585317</v>
      </c>
      <c r="AD150" s="69">
        <v>133.53658536585317</v>
      </c>
      <c r="AE150" s="69">
        <v>133.53658536585317</v>
      </c>
      <c r="AF150" s="69">
        <v>133.53658536585317</v>
      </c>
      <c r="AG150" s="69">
        <v>133.53658536585317</v>
      </c>
    </row>
    <row r="151" spans="1:33" ht="12.75" customHeight="1">
      <c r="A151" s="231" t="s">
        <v>2374</v>
      </c>
      <c r="B151" s="69" t="s">
        <v>353</v>
      </c>
      <c r="C151" s="69" t="s">
        <v>186</v>
      </c>
      <c r="D151" s="69" t="s">
        <v>334</v>
      </c>
      <c r="E151" s="69" t="s">
        <v>242</v>
      </c>
      <c r="F151" s="69" t="s">
        <v>158</v>
      </c>
      <c r="G151" s="69" t="s">
        <v>192</v>
      </c>
      <c r="H151" s="69" t="s">
        <v>804</v>
      </c>
      <c r="I151" s="69">
        <v>1</v>
      </c>
      <c r="J151" s="238">
        <v>0.21172086720867206</v>
      </c>
      <c r="K151" s="238">
        <v>0</v>
      </c>
      <c r="L151" s="69">
        <v>283.70472328767124</v>
      </c>
      <c r="M151" s="69">
        <v>-24.263013698630136</v>
      </c>
      <c r="N151" s="69">
        <v>0</v>
      </c>
      <c r="O151" s="69">
        <v>0</v>
      </c>
      <c r="P151" s="69">
        <v>0</v>
      </c>
      <c r="Q151" s="69">
        <v>0</v>
      </c>
      <c r="R151" s="69">
        <v>133.53658536585317</v>
      </c>
      <c r="S151" s="69">
        <v>133.53658536585317</v>
      </c>
      <c r="T151" s="69">
        <v>133.53658536585317</v>
      </c>
      <c r="U151" s="69">
        <v>133.53658536585317</v>
      </c>
      <c r="V151" s="69">
        <v>133.53658536585317</v>
      </c>
      <c r="W151" s="69">
        <v>133.53658536585317</v>
      </c>
      <c r="X151" s="69">
        <v>133.53658536585317</v>
      </c>
      <c r="Y151" s="69">
        <v>133.53658536585317</v>
      </c>
      <c r="Z151" s="69">
        <v>133.53658536585317</v>
      </c>
      <c r="AA151" s="69">
        <v>133.53658536585317</v>
      </c>
      <c r="AB151" s="69">
        <v>133.53658536585317</v>
      </c>
      <c r="AC151" s="69">
        <v>133.53658536585317</v>
      </c>
      <c r="AD151" s="69">
        <v>133.53658536585317</v>
      </c>
      <c r="AE151" s="69">
        <v>133.53658536585317</v>
      </c>
      <c r="AF151" s="69">
        <v>133.53658536585317</v>
      </c>
      <c r="AG151" s="69">
        <v>133.53658536585317</v>
      </c>
    </row>
    <row r="152" spans="1:33" ht="12.75" customHeight="1">
      <c r="A152" s="231" t="s">
        <v>2374</v>
      </c>
      <c r="B152" s="69" t="s">
        <v>354</v>
      </c>
      <c r="C152" s="69" t="s">
        <v>186</v>
      </c>
      <c r="D152" s="69" t="s">
        <v>334</v>
      </c>
      <c r="E152" s="69" t="s">
        <v>242</v>
      </c>
      <c r="F152" s="69" t="s">
        <v>159</v>
      </c>
      <c r="G152" s="69" t="s">
        <v>192</v>
      </c>
      <c r="H152" s="69" t="s">
        <v>2130</v>
      </c>
      <c r="I152" s="69">
        <v>1</v>
      </c>
      <c r="J152" s="238">
        <v>0.21172086720867209</v>
      </c>
      <c r="K152" s="238">
        <v>0</v>
      </c>
      <c r="L152" s="69">
        <v>283.7047232876713</v>
      </c>
      <c r="M152" s="69">
        <v>-24.263013698630136</v>
      </c>
      <c r="N152" s="69">
        <v>12.675377468060105</v>
      </c>
      <c r="O152" s="69">
        <v>12.675377468060105</v>
      </c>
      <c r="P152" s="69">
        <v>12.675377468060105</v>
      </c>
      <c r="Q152" s="69">
        <v>12.675377468060105</v>
      </c>
      <c r="R152" s="69">
        <v>12.675377468060105</v>
      </c>
      <c r="S152" s="69">
        <v>12.675377468060105</v>
      </c>
      <c r="T152" s="69">
        <v>12.675377468060105</v>
      </c>
      <c r="U152" s="69">
        <v>12.675377468060105</v>
      </c>
      <c r="V152" s="69">
        <v>12.675377468060105</v>
      </c>
      <c r="W152" s="69">
        <v>12.675377468060105</v>
      </c>
      <c r="X152" s="69">
        <v>12.675377468060105</v>
      </c>
      <c r="Y152" s="69">
        <v>12.675377468060105</v>
      </c>
      <c r="Z152" s="69">
        <v>12.675377468060105</v>
      </c>
      <c r="AA152" s="69">
        <v>12.675377468060105</v>
      </c>
      <c r="AB152" s="69">
        <v>12.675377468060105</v>
      </c>
      <c r="AC152" s="69">
        <v>12.675377468060105</v>
      </c>
      <c r="AD152" s="69">
        <v>12.675377468060105</v>
      </c>
      <c r="AE152" s="69">
        <v>12.675377468060105</v>
      </c>
      <c r="AF152" s="69">
        <v>12.675377468060105</v>
      </c>
      <c r="AG152" s="69">
        <v>12.675377468060105</v>
      </c>
    </row>
    <row r="153" spans="1:33" ht="12.75" customHeight="1">
      <c r="A153" s="231" t="s">
        <v>2374</v>
      </c>
      <c r="B153" s="69" t="s">
        <v>355</v>
      </c>
      <c r="C153" s="69" t="s">
        <v>186</v>
      </c>
      <c r="D153" s="69" t="s">
        <v>334</v>
      </c>
      <c r="E153" s="69" t="s">
        <v>244</v>
      </c>
      <c r="F153" s="69" t="s">
        <v>159</v>
      </c>
      <c r="G153" s="69" t="s">
        <v>192</v>
      </c>
      <c r="H153" s="69" t="s">
        <v>2130</v>
      </c>
      <c r="I153" s="69">
        <v>1</v>
      </c>
      <c r="J153" s="238">
        <v>0.22877454801945279</v>
      </c>
      <c r="K153" s="238">
        <v>0</v>
      </c>
      <c r="L153" s="69">
        <v>262.55634888438135</v>
      </c>
      <c r="M153" s="69">
        <v>-22.454361054766736</v>
      </c>
      <c r="N153" s="69">
        <v>7.1459233449477324</v>
      </c>
      <c r="O153" s="69">
        <v>7.1459233449477324</v>
      </c>
      <c r="P153" s="69">
        <v>7.1459233449477324</v>
      </c>
      <c r="Q153" s="69">
        <v>7.1459233449477324</v>
      </c>
      <c r="R153" s="69">
        <v>7.1459233449477324</v>
      </c>
      <c r="S153" s="69">
        <v>7.1459233449477324</v>
      </c>
      <c r="T153" s="69">
        <v>7.1459233449477324</v>
      </c>
      <c r="U153" s="69">
        <v>7.1459233449477324</v>
      </c>
      <c r="V153" s="69">
        <v>7.1459233449477324</v>
      </c>
      <c r="W153" s="69">
        <v>7.1459233449477324</v>
      </c>
      <c r="X153" s="69">
        <v>7.1459233449477324</v>
      </c>
      <c r="Y153" s="69">
        <v>7.1459233449477324</v>
      </c>
      <c r="Z153" s="69">
        <v>7.1459233449477324</v>
      </c>
      <c r="AA153" s="69">
        <v>7.1459233449477324</v>
      </c>
      <c r="AB153" s="69">
        <v>7.1459233449477324</v>
      </c>
      <c r="AC153" s="69">
        <v>7.1459233449477324</v>
      </c>
      <c r="AD153" s="69">
        <v>7.1459233449477324</v>
      </c>
      <c r="AE153" s="69">
        <v>7.1459233449477324</v>
      </c>
      <c r="AF153" s="69">
        <v>7.1459233449477324</v>
      </c>
      <c r="AG153" s="69">
        <v>7.1459233449477324</v>
      </c>
    </row>
    <row r="154" spans="1:33" ht="12.75" customHeight="1">
      <c r="A154" s="231" t="s">
        <v>2374</v>
      </c>
      <c r="B154" s="69" t="s">
        <v>356</v>
      </c>
      <c r="C154" s="69" t="s">
        <v>186</v>
      </c>
      <c r="D154" s="69" t="s">
        <v>334</v>
      </c>
      <c r="E154" s="69" t="s">
        <v>242</v>
      </c>
      <c r="F154" s="69" t="s">
        <v>159</v>
      </c>
      <c r="G154" s="69" t="s">
        <v>192</v>
      </c>
      <c r="H154" s="69" t="s">
        <v>2130</v>
      </c>
      <c r="I154" s="69">
        <v>1</v>
      </c>
      <c r="J154" s="238">
        <v>0.21172086720867209</v>
      </c>
      <c r="K154" s="238">
        <v>0</v>
      </c>
      <c r="L154" s="69">
        <v>283.7047232876713</v>
      </c>
      <c r="M154" s="69">
        <v>-24.263013698630136</v>
      </c>
      <c r="N154" s="69">
        <v>0</v>
      </c>
      <c r="O154" s="69">
        <v>12.675377468060105</v>
      </c>
      <c r="P154" s="69">
        <v>12.675377468060105</v>
      </c>
      <c r="Q154" s="69">
        <v>12.675377468060105</v>
      </c>
      <c r="R154" s="69">
        <v>12.675377468060105</v>
      </c>
      <c r="S154" s="69">
        <v>12.675377468060105</v>
      </c>
      <c r="T154" s="69">
        <v>12.675377468060105</v>
      </c>
      <c r="U154" s="69">
        <v>12.675377468060105</v>
      </c>
      <c r="V154" s="69">
        <v>12.675377468060105</v>
      </c>
      <c r="W154" s="69">
        <v>12.675377468060105</v>
      </c>
      <c r="X154" s="69">
        <v>12.675377468060105</v>
      </c>
      <c r="Y154" s="69">
        <v>12.675377468060105</v>
      </c>
      <c r="Z154" s="69">
        <v>12.675377468060105</v>
      </c>
      <c r="AA154" s="69">
        <v>12.675377468060105</v>
      </c>
      <c r="AB154" s="69">
        <v>12.675377468060105</v>
      </c>
      <c r="AC154" s="69">
        <v>12.675377468060105</v>
      </c>
      <c r="AD154" s="69">
        <v>12.675377468060105</v>
      </c>
      <c r="AE154" s="69">
        <v>12.675377468060105</v>
      </c>
      <c r="AF154" s="69">
        <v>12.675377468060105</v>
      </c>
      <c r="AG154" s="69">
        <v>12.675377468060105</v>
      </c>
    </row>
    <row r="155" spans="1:33" ht="12.75" customHeight="1">
      <c r="A155" s="231" t="s">
        <v>2374</v>
      </c>
      <c r="B155" s="69" t="s">
        <v>357</v>
      </c>
      <c r="C155" s="69" t="s">
        <v>186</v>
      </c>
      <c r="D155" s="69" t="s">
        <v>334</v>
      </c>
      <c r="E155" s="69" t="s">
        <v>244</v>
      </c>
      <c r="F155" s="69" t="s">
        <v>159</v>
      </c>
      <c r="G155" s="69" t="s">
        <v>192</v>
      </c>
      <c r="H155" s="69" t="s">
        <v>2130</v>
      </c>
      <c r="I155" s="69">
        <v>1</v>
      </c>
      <c r="J155" s="238">
        <v>0.22877454801945279</v>
      </c>
      <c r="K155" s="238">
        <v>0</v>
      </c>
      <c r="L155" s="69">
        <v>262.55634888438135</v>
      </c>
      <c r="M155" s="69">
        <v>-22.454361054766736</v>
      </c>
      <c r="N155" s="69">
        <v>0</v>
      </c>
      <c r="O155" s="69">
        <v>7.1459233449477324</v>
      </c>
      <c r="P155" s="69">
        <v>7.1459233449477324</v>
      </c>
      <c r="Q155" s="69">
        <v>7.1459233449477324</v>
      </c>
      <c r="R155" s="69">
        <v>7.1459233449477324</v>
      </c>
      <c r="S155" s="69">
        <v>7.1459233449477324</v>
      </c>
      <c r="T155" s="69">
        <v>7.1459233449477324</v>
      </c>
      <c r="U155" s="69">
        <v>7.1459233449477324</v>
      </c>
      <c r="V155" s="69">
        <v>7.1459233449477324</v>
      </c>
      <c r="W155" s="69">
        <v>7.1459233449477324</v>
      </c>
      <c r="X155" s="69">
        <v>7.1459233449477324</v>
      </c>
      <c r="Y155" s="69">
        <v>7.1459233449477324</v>
      </c>
      <c r="Z155" s="69">
        <v>7.1459233449477324</v>
      </c>
      <c r="AA155" s="69">
        <v>7.1459233449477324</v>
      </c>
      <c r="AB155" s="69">
        <v>7.1459233449477324</v>
      </c>
      <c r="AC155" s="69">
        <v>7.1459233449477324</v>
      </c>
      <c r="AD155" s="69">
        <v>7.1459233449477324</v>
      </c>
      <c r="AE155" s="69">
        <v>7.1459233449477324</v>
      </c>
      <c r="AF155" s="69">
        <v>7.1459233449477324</v>
      </c>
      <c r="AG155" s="69">
        <v>7.1459233449477324</v>
      </c>
    </row>
    <row r="156" spans="1:33" ht="12.75" customHeight="1">
      <c r="A156" s="231" t="s">
        <v>2374</v>
      </c>
      <c r="B156" s="69" t="s">
        <v>358</v>
      </c>
      <c r="C156" s="69" t="s">
        <v>186</v>
      </c>
      <c r="D156" s="69" t="s">
        <v>334</v>
      </c>
      <c r="E156" s="69" t="s">
        <v>242</v>
      </c>
      <c r="F156" s="69" t="s">
        <v>159</v>
      </c>
      <c r="G156" s="69" t="s">
        <v>192</v>
      </c>
      <c r="H156" s="69" t="s">
        <v>2130</v>
      </c>
      <c r="I156" s="69">
        <v>1</v>
      </c>
      <c r="J156" s="238">
        <v>0.21172086720867209</v>
      </c>
      <c r="K156" s="238">
        <v>0</v>
      </c>
      <c r="L156" s="69">
        <v>283.7047232876713</v>
      </c>
      <c r="M156" s="69">
        <v>-24.263013698630136</v>
      </c>
      <c r="N156" s="69">
        <v>0</v>
      </c>
      <c r="O156" s="69">
        <v>0</v>
      </c>
      <c r="P156" s="69">
        <v>12.675377468060105</v>
      </c>
      <c r="Q156" s="69">
        <v>12.675377468060105</v>
      </c>
      <c r="R156" s="69">
        <v>12.675377468060105</v>
      </c>
      <c r="S156" s="69">
        <v>12.675377468060105</v>
      </c>
      <c r="T156" s="69">
        <v>12.675377468060105</v>
      </c>
      <c r="U156" s="69">
        <v>12.675377468060105</v>
      </c>
      <c r="V156" s="69">
        <v>12.675377468060105</v>
      </c>
      <c r="W156" s="69">
        <v>12.675377468060105</v>
      </c>
      <c r="X156" s="69">
        <v>12.675377468060105</v>
      </c>
      <c r="Y156" s="69">
        <v>12.675377468060105</v>
      </c>
      <c r="Z156" s="69">
        <v>12.675377468060105</v>
      </c>
      <c r="AA156" s="69">
        <v>12.675377468060105</v>
      </c>
      <c r="AB156" s="69">
        <v>12.675377468060105</v>
      </c>
      <c r="AC156" s="69">
        <v>12.675377468060105</v>
      </c>
      <c r="AD156" s="69">
        <v>12.675377468060105</v>
      </c>
      <c r="AE156" s="69">
        <v>12.675377468060105</v>
      </c>
      <c r="AF156" s="69">
        <v>12.675377468060105</v>
      </c>
      <c r="AG156" s="69">
        <v>12.675377468060105</v>
      </c>
    </row>
    <row r="157" spans="1:33" ht="12.75" customHeight="1">
      <c r="A157" s="231" t="s">
        <v>2374</v>
      </c>
      <c r="B157" s="69" t="s">
        <v>359</v>
      </c>
      <c r="C157" s="69" t="s">
        <v>186</v>
      </c>
      <c r="D157" s="69" t="s">
        <v>334</v>
      </c>
      <c r="E157" s="69" t="s">
        <v>244</v>
      </c>
      <c r="F157" s="69" t="s">
        <v>159</v>
      </c>
      <c r="G157" s="69" t="s">
        <v>192</v>
      </c>
      <c r="H157" s="69" t="s">
        <v>2130</v>
      </c>
      <c r="I157" s="69">
        <v>1</v>
      </c>
      <c r="J157" s="238">
        <v>0.22877454801945279</v>
      </c>
      <c r="K157" s="238">
        <v>0</v>
      </c>
      <c r="L157" s="69">
        <v>262.55634888438135</v>
      </c>
      <c r="M157" s="69">
        <v>-22.454361054766736</v>
      </c>
      <c r="N157" s="69">
        <v>0</v>
      </c>
      <c r="O157" s="69">
        <v>0</v>
      </c>
      <c r="P157" s="69">
        <v>7.1459233449477324</v>
      </c>
      <c r="Q157" s="69">
        <v>7.1459233449477324</v>
      </c>
      <c r="R157" s="69">
        <v>7.1459233449477324</v>
      </c>
      <c r="S157" s="69">
        <v>7.1459233449477324</v>
      </c>
      <c r="T157" s="69">
        <v>7.1459233449477324</v>
      </c>
      <c r="U157" s="69">
        <v>7.1459233449477324</v>
      </c>
      <c r="V157" s="69">
        <v>7.1459233449477324</v>
      </c>
      <c r="W157" s="69">
        <v>7.1459233449477324</v>
      </c>
      <c r="X157" s="69">
        <v>7.1459233449477324</v>
      </c>
      <c r="Y157" s="69">
        <v>7.1459233449477324</v>
      </c>
      <c r="Z157" s="69">
        <v>7.1459233449477324</v>
      </c>
      <c r="AA157" s="69">
        <v>7.1459233449477324</v>
      </c>
      <c r="AB157" s="69">
        <v>7.1459233449477324</v>
      </c>
      <c r="AC157" s="69">
        <v>7.1459233449477324</v>
      </c>
      <c r="AD157" s="69">
        <v>7.1459233449477324</v>
      </c>
      <c r="AE157" s="69">
        <v>7.1459233449477324</v>
      </c>
      <c r="AF157" s="69">
        <v>7.1459233449477324</v>
      </c>
      <c r="AG157" s="69">
        <v>7.1459233449477324</v>
      </c>
    </row>
    <row r="158" spans="1:33" ht="12.75" customHeight="1">
      <c r="A158" s="231" t="s">
        <v>2374</v>
      </c>
      <c r="B158" s="69" t="s">
        <v>360</v>
      </c>
      <c r="C158" s="69" t="s">
        <v>186</v>
      </c>
      <c r="D158" s="69" t="s">
        <v>334</v>
      </c>
      <c r="E158" s="69" t="s">
        <v>242</v>
      </c>
      <c r="F158" s="69" t="s">
        <v>159</v>
      </c>
      <c r="G158" s="69" t="s">
        <v>192</v>
      </c>
      <c r="H158" s="69" t="s">
        <v>2130</v>
      </c>
      <c r="I158" s="69">
        <v>1</v>
      </c>
      <c r="J158" s="238">
        <v>0.21172086720867209</v>
      </c>
      <c r="K158" s="238">
        <v>0</v>
      </c>
      <c r="L158" s="69">
        <v>283.7047232876713</v>
      </c>
      <c r="M158" s="69">
        <v>-24.263013698630136</v>
      </c>
      <c r="N158" s="69">
        <v>0</v>
      </c>
      <c r="O158" s="69">
        <v>0</v>
      </c>
      <c r="P158" s="69">
        <v>0</v>
      </c>
      <c r="Q158" s="69">
        <v>12.675377468060105</v>
      </c>
      <c r="R158" s="69">
        <v>12.675377468060105</v>
      </c>
      <c r="S158" s="69">
        <v>12.675377468060105</v>
      </c>
      <c r="T158" s="69">
        <v>12.675377468060105</v>
      </c>
      <c r="U158" s="69">
        <v>12.675377468060105</v>
      </c>
      <c r="V158" s="69">
        <v>12.675377468060105</v>
      </c>
      <c r="W158" s="69">
        <v>12.675377468060105</v>
      </c>
      <c r="X158" s="69">
        <v>12.675377468060105</v>
      </c>
      <c r="Y158" s="69">
        <v>12.675377468060105</v>
      </c>
      <c r="Z158" s="69">
        <v>12.675377468060105</v>
      </c>
      <c r="AA158" s="69">
        <v>12.675377468060105</v>
      </c>
      <c r="AB158" s="69">
        <v>12.675377468060105</v>
      </c>
      <c r="AC158" s="69">
        <v>12.675377468060105</v>
      </c>
      <c r="AD158" s="69">
        <v>12.675377468060105</v>
      </c>
      <c r="AE158" s="69">
        <v>12.675377468060105</v>
      </c>
      <c r="AF158" s="69">
        <v>12.675377468060105</v>
      </c>
      <c r="AG158" s="69">
        <v>12.675377468060105</v>
      </c>
    </row>
    <row r="159" spans="1:33" ht="12.75" customHeight="1">
      <c r="A159" s="231" t="s">
        <v>2374</v>
      </c>
      <c r="B159" s="69" t="s">
        <v>361</v>
      </c>
      <c r="C159" s="69" t="s">
        <v>186</v>
      </c>
      <c r="D159" s="69" t="s">
        <v>334</v>
      </c>
      <c r="E159" s="69" t="s">
        <v>244</v>
      </c>
      <c r="F159" s="69" t="s">
        <v>159</v>
      </c>
      <c r="G159" s="69" t="s">
        <v>192</v>
      </c>
      <c r="H159" s="69" t="s">
        <v>2130</v>
      </c>
      <c r="I159" s="69">
        <v>1</v>
      </c>
      <c r="J159" s="238">
        <v>0.22877454801945279</v>
      </c>
      <c r="K159" s="238">
        <v>0</v>
      </c>
      <c r="L159" s="69">
        <v>262.55634888438135</v>
      </c>
      <c r="M159" s="69">
        <v>-22.454361054766736</v>
      </c>
      <c r="N159" s="69">
        <v>0</v>
      </c>
      <c r="O159" s="69">
        <v>0</v>
      </c>
      <c r="P159" s="69">
        <v>0</v>
      </c>
      <c r="Q159" s="69">
        <v>7.1459233449477324</v>
      </c>
      <c r="R159" s="69">
        <v>7.1459233449477324</v>
      </c>
      <c r="S159" s="69">
        <v>7.1459233449477324</v>
      </c>
      <c r="T159" s="69">
        <v>7.1459233449477324</v>
      </c>
      <c r="U159" s="69">
        <v>7.1459233449477324</v>
      </c>
      <c r="V159" s="69">
        <v>7.1459233449477324</v>
      </c>
      <c r="W159" s="69">
        <v>7.1459233449477324</v>
      </c>
      <c r="X159" s="69">
        <v>7.1459233449477324</v>
      </c>
      <c r="Y159" s="69">
        <v>7.1459233449477324</v>
      </c>
      <c r="Z159" s="69">
        <v>7.1459233449477324</v>
      </c>
      <c r="AA159" s="69">
        <v>7.1459233449477324</v>
      </c>
      <c r="AB159" s="69">
        <v>7.1459233449477324</v>
      </c>
      <c r="AC159" s="69">
        <v>7.1459233449477324</v>
      </c>
      <c r="AD159" s="69">
        <v>7.1459233449477324</v>
      </c>
      <c r="AE159" s="69">
        <v>7.1459233449477324</v>
      </c>
      <c r="AF159" s="69">
        <v>7.1459233449477324</v>
      </c>
      <c r="AG159" s="69">
        <v>7.1459233449477324</v>
      </c>
    </row>
    <row r="160" spans="1:33" ht="12.75" customHeight="1">
      <c r="A160" s="231" t="s">
        <v>2374</v>
      </c>
      <c r="B160" s="69" t="s">
        <v>362</v>
      </c>
      <c r="C160" s="69" t="s">
        <v>186</v>
      </c>
      <c r="D160" s="69" t="s">
        <v>334</v>
      </c>
      <c r="E160" s="69" t="s">
        <v>242</v>
      </c>
      <c r="F160" s="69" t="s">
        <v>159</v>
      </c>
      <c r="G160" s="69" t="s">
        <v>192</v>
      </c>
      <c r="H160" s="69" t="s">
        <v>2130</v>
      </c>
      <c r="I160" s="69">
        <v>1</v>
      </c>
      <c r="J160" s="238">
        <v>0.21172086720867209</v>
      </c>
      <c r="K160" s="238">
        <v>0</v>
      </c>
      <c r="L160" s="69">
        <v>283.7047232876713</v>
      </c>
      <c r="M160" s="69">
        <v>-24.263013698630136</v>
      </c>
      <c r="N160" s="69">
        <v>0</v>
      </c>
      <c r="O160" s="69">
        <v>0</v>
      </c>
      <c r="P160" s="69">
        <v>0</v>
      </c>
      <c r="Q160" s="69">
        <v>0</v>
      </c>
      <c r="R160" s="69">
        <v>12.675377468060105</v>
      </c>
      <c r="S160" s="69">
        <v>12.675377468060105</v>
      </c>
      <c r="T160" s="69">
        <v>12.675377468060105</v>
      </c>
      <c r="U160" s="69">
        <v>12.675377468060105</v>
      </c>
      <c r="V160" s="69">
        <v>12.675377468060105</v>
      </c>
      <c r="W160" s="69">
        <v>12.675377468060105</v>
      </c>
      <c r="X160" s="69">
        <v>12.675377468060105</v>
      </c>
      <c r="Y160" s="69">
        <v>12.675377468060105</v>
      </c>
      <c r="Z160" s="69">
        <v>12.675377468060105</v>
      </c>
      <c r="AA160" s="69">
        <v>12.675377468060105</v>
      </c>
      <c r="AB160" s="69">
        <v>12.675377468060105</v>
      </c>
      <c r="AC160" s="69">
        <v>12.675377468060105</v>
      </c>
      <c r="AD160" s="69">
        <v>12.675377468060105</v>
      </c>
      <c r="AE160" s="69">
        <v>12.675377468060105</v>
      </c>
      <c r="AF160" s="69">
        <v>12.675377468060105</v>
      </c>
      <c r="AG160" s="69">
        <v>12.675377468060105</v>
      </c>
    </row>
    <row r="161" spans="1:33" ht="12.75" customHeight="1">
      <c r="A161" s="231" t="s">
        <v>2374</v>
      </c>
      <c r="B161" s="69" t="s">
        <v>363</v>
      </c>
      <c r="C161" s="69" t="s">
        <v>186</v>
      </c>
      <c r="D161" s="69" t="s">
        <v>334</v>
      </c>
      <c r="E161" s="69" t="s">
        <v>244</v>
      </c>
      <c r="F161" s="69" t="s">
        <v>159</v>
      </c>
      <c r="G161" s="69" t="s">
        <v>192</v>
      </c>
      <c r="H161" s="69" t="s">
        <v>2130</v>
      </c>
      <c r="I161" s="69">
        <v>1</v>
      </c>
      <c r="J161" s="238">
        <v>0.22877454801945279</v>
      </c>
      <c r="K161" s="238">
        <v>0</v>
      </c>
      <c r="L161" s="69">
        <v>262.55634888438135</v>
      </c>
      <c r="M161" s="69">
        <v>-22.454361054766736</v>
      </c>
      <c r="N161" s="69">
        <v>0</v>
      </c>
      <c r="O161" s="69">
        <v>0</v>
      </c>
      <c r="P161" s="69">
        <v>0</v>
      </c>
      <c r="Q161" s="69">
        <v>0</v>
      </c>
      <c r="R161" s="69">
        <v>7.1459233449477324</v>
      </c>
      <c r="S161" s="69">
        <v>7.1459233449477324</v>
      </c>
      <c r="T161" s="69">
        <v>7.1459233449477324</v>
      </c>
      <c r="U161" s="69">
        <v>7.1459233449477324</v>
      </c>
      <c r="V161" s="69">
        <v>7.1459233449477324</v>
      </c>
      <c r="W161" s="69">
        <v>7.1459233449477324</v>
      </c>
      <c r="X161" s="69">
        <v>7.1459233449477324</v>
      </c>
      <c r="Y161" s="69">
        <v>7.1459233449477324</v>
      </c>
      <c r="Z161" s="69">
        <v>7.1459233449477324</v>
      </c>
      <c r="AA161" s="69">
        <v>7.1459233449477324</v>
      </c>
      <c r="AB161" s="69">
        <v>7.1459233449477324</v>
      </c>
      <c r="AC161" s="69">
        <v>7.1459233449477324</v>
      </c>
      <c r="AD161" s="69">
        <v>7.1459233449477324</v>
      </c>
      <c r="AE161" s="69">
        <v>7.1459233449477324</v>
      </c>
      <c r="AF161" s="69">
        <v>7.1459233449477324</v>
      </c>
      <c r="AG161" s="69">
        <v>7.1459233449477324</v>
      </c>
    </row>
    <row r="162" spans="1:33" ht="12.75" customHeight="1">
      <c r="A162" s="231" t="s">
        <v>2374</v>
      </c>
      <c r="B162" s="69" t="s">
        <v>375</v>
      </c>
      <c r="C162" s="69" t="s">
        <v>136</v>
      </c>
      <c r="D162" s="69" t="s">
        <v>191</v>
      </c>
      <c r="E162" s="69" t="s">
        <v>191</v>
      </c>
      <c r="F162" s="69" t="s">
        <v>161</v>
      </c>
      <c r="G162" s="69" t="s">
        <v>192</v>
      </c>
      <c r="H162" s="69" t="s">
        <v>2130</v>
      </c>
      <c r="I162" s="69">
        <v>3</v>
      </c>
      <c r="J162" s="238">
        <v>0.8</v>
      </c>
      <c r="K162" s="238">
        <v>0.70497163608542901</v>
      </c>
      <c r="L162" s="69">
        <v>88.474187468150532</v>
      </c>
      <c r="M162" s="69">
        <v>0</v>
      </c>
      <c r="N162" s="69">
        <v>0</v>
      </c>
      <c r="O162" s="69">
        <v>0</v>
      </c>
      <c r="P162" s="69">
        <v>0</v>
      </c>
      <c r="Q162" s="69">
        <v>0</v>
      </c>
      <c r="R162" s="69">
        <v>0</v>
      </c>
      <c r="S162" s="69">
        <v>0</v>
      </c>
      <c r="T162" s="69">
        <v>0</v>
      </c>
      <c r="U162" s="69">
        <v>0</v>
      </c>
      <c r="V162" s="69">
        <v>57.654435155239078</v>
      </c>
      <c r="W162" s="69">
        <v>57.654435155239078</v>
      </c>
      <c r="X162" s="69">
        <v>57.654435155239078</v>
      </c>
      <c r="Y162" s="69">
        <v>57.654435155239078</v>
      </c>
      <c r="Z162" s="69">
        <v>57.654435155239078</v>
      </c>
      <c r="AA162" s="69">
        <v>57.654435155239078</v>
      </c>
      <c r="AB162" s="69">
        <v>57.654435155239078</v>
      </c>
      <c r="AC162" s="69">
        <v>57.654435155239078</v>
      </c>
      <c r="AD162" s="69">
        <v>57.654435155239078</v>
      </c>
      <c r="AE162" s="69">
        <v>57.654435155239078</v>
      </c>
      <c r="AF162" s="69">
        <v>57.654435155239078</v>
      </c>
      <c r="AG162" s="69">
        <v>57.654435155239078</v>
      </c>
    </row>
    <row r="163" spans="1:33" ht="12.75" customHeight="1">
      <c r="A163" s="231" t="s">
        <v>2374</v>
      </c>
      <c r="B163" s="69" t="s">
        <v>376</v>
      </c>
      <c r="C163" s="69" t="s">
        <v>136</v>
      </c>
      <c r="D163" s="69" t="s">
        <v>191</v>
      </c>
      <c r="E163" s="69" t="s">
        <v>191</v>
      </c>
      <c r="F163" s="69" t="s">
        <v>161</v>
      </c>
      <c r="G163" s="69" t="s">
        <v>192</v>
      </c>
      <c r="H163" s="69" t="s">
        <v>2130</v>
      </c>
      <c r="I163" s="69">
        <v>3</v>
      </c>
      <c r="J163" s="238">
        <v>0.8</v>
      </c>
      <c r="K163" s="238">
        <v>0.7049716360854289</v>
      </c>
      <c r="L163" s="69">
        <v>122.9134568544917</v>
      </c>
      <c r="M163" s="69">
        <v>0</v>
      </c>
      <c r="N163" s="69">
        <v>0</v>
      </c>
      <c r="O163" s="69">
        <v>0</v>
      </c>
      <c r="P163" s="69">
        <v>0</v>
      </c>
      <c r="Q163" s="69">
        <v>0</v>
      </c>
      <c r="R163" s="69">
        <v>0</v>
      </c>
      <c r="S163" s="69">
        <v>0</v>
      </c>
      <c r="T163" s="69">
        <v>0</v>
      </c>
      <c r="U163" s="69">
        <v>0</v>
      </c>
      <c r="V163" s="69">
        <v>3.5350096234995028</v>
      </c>
      <c r="W163" s="69">
        <v>3.5350096234995028</v>
      </c>
      <c r="X163" s="69">
        <v>3.5350096234995028</v>
      </c>
      <c r="Y163" s="69">
        <v>3.5350096234995028</v>
      </c>
      <c r="Z163" s="69">
        <v>3.5350096234995028</v>
      </c>
      <c r="AA163" s="69">
        <v>3.5350096234995028</v>
      </c>
      <c r="AB163" s="69">
        <v>3.5350096234995028</v>
      </c>
      <c r="AC163" s="69">
        <v>3.5350096234995028</v>
      </c>
      <c r="AD163" s="69">
        <v>3.5350096234995028</v>
      </c>
      <c r="AE163" s="69">
        <v>3.5350096234995028</v>
      </c>
      <c r="AF163" s="69">
        <v>3.5350096234995028</v>
      </c>
      <c r="AG163" s="69">
        <v>3.5350096234995028</v>
      </c>
    </row>
    <row r="164" spans="1:33" ht="12.75" customHeight="1">
      <c r="A164" s="231" t="s">
        <v>2374</v>
      </c>
      <c r="B164" s="69" t="s">
        <v>378</v>
      </c>
      <c r="C164" s="69" t="s">
        <v>136</v>
      </c>
      <c r="D164" s="69" t="s">
        <v>191</v>
      </c>
      <c r="E164" s="69" t="s">
        <v>191</v>
      </c>
      <c r="F164" s="69" t="s">
        <v>161</v>
      </c>
      <c r="G164" s="69" t="s">
        <v>192</v>
      </c>
      <c r="H164" s="69" t="s">
        <v>2130</v>
      </c>
      <c r="I164" s="69">
        <v>3</v>
      </c>
      <c r="J164" s="238">
        <v>0.9</v>
      </c>
      <c r="K164" s="238">
        <v>0.70497163608542901</v>
      </c>
      <c r="L164" s="69">
        <v>100.71508254464696</v>
      </c>
      <c r="M164" s="69">
        <v>0</v>
      </c>
      <c r="N164" s="69">
        <v>0</v>
      </c>
      <c r="O164" s="69">
        <v>0</v>
      </c>
      <c r="P164" s="69">
        <v>0</v>
      </c>
      <c r="Q164" s="69">
        <v>0</v>
      </c>
      <c r="R164" s="69">
        <v>0</v>
      </c>
      <c r="S164" s="69">
        <v>0</v>
      </c>
      <c r="T164" s="69">
        <v>0</v>
      </c>
      <c r="U164" s="69">
        <v>0</v>
      </c>
      <c r="V164" s="69">
        <v>309.71241884954992</v>
      </c>
      <c r="W164" s="69">
        <v>309.71241884954992</v>
      </c>
      <c r="X164" s="69">
        <v>309.71241884954992</v>
      </c>
      <c r="Y164" s="69">
        <v>309.71241884954992</v>
      </c>
      <c r="Z164" s="69">
        <v>309.71241884954992</v>
      </c>
      <c r="AA164" s="69">
        <v>309.71241884954992</v>
      </c>
      <c r="AB164" s="69">
        <v>309.71241884954992</v>
      </c>
      <c r="AC164" s="69">
        <v>309.71241884954992</v>
      </c>
      <c r="AD164" s="69">
        <v>309.71241884954992</v>
      </c>
      <c r="AE164" s="69">
        <v>309.71241884954992</v>
      </c>
      <c r="AF164" s="69">
        <v>309.71241884954992</v>
      </c>
      <c r="AG164" s="69">
        <v>309.71241884954992</v>
      </c>
    </row>
    <row r="165" spans="1:33" ht="12.75" customHeight="1">
      <c r="A165" s="231" t="s">
        <v>2374</v>
      </c>
      <c r="B165" s="69" t="s">
        <v>379</v>
      </c>
      <c r="C165" s="69" t="s">
        <v>136</v>
      </c>
      <c r="D165" s="69" t="s">
        <v>191</v>
      </c>
      <c r="E165" s="69" t="s">
        <v>191</v>
      </c>
      <c r="F165" s="69" t="s">
        <v>161</v>
      </c>
      <c r="G165" s="69" t="s">
        <v>192</v>
      </c>
      <c r="H165" s="69" t="s">
        <v>2130</v>
      </c>
      <c r="I165" s="69">
        <v>3</v>
      </c>
      <c r="J165" s="238">
        <v>0.8</v>
      </c>
      <c r="K165" s="238">
        <v>0.70497163608542901</v>
      </c>
      <c r="L165" s="69">
        <v>95.882401954992247</v>
      </c>
      <c r="M165" s="69">
        <v>0</v>
      </c>
      <c r="N165" s="69">
        <v>0</v>
      </c>
      <c r="O165" s="69">
        <v>0</v>
      </c>
      <c r="P165" s="69">
        <v>0</v>
      </c>
      <c r="Q165" s="69">
        <v>0</v>
      </c>
      <c r="R165" s="69">
        <v>0</v>
      </c>
      <c r="S165" s="69">
        <v>0</v>
      </c>
      <c r="T165" s="69">
        <v>0</v>
      </c>
      <c r="U165" s="69">
        <v>0</v>
      </c>
      <c r="V165" s="69">
        <v>14.413608788809769</v>
      </c>
      <c r="W165" s="69">
        <v>14.413608788809769</v>
      </c>
      <c r="X165" s="69">
        <v>14.413608788809769</v>
      </c>
      <c r="Y165" s="69">
        <v>14.413608788809769</v>
      </c>
      <c r="Z165" s="69">
        <v>14.413608788809769</v>
      </c>
      <c r="AA165" s="69">
        <v>14.413608788809769</v>
      </c>
      <c r="AB165" s="69">
        <v>14.413608788809769</v>
      </c>
      <c r="AC165" s="69">
        <v>14.413608788809769</v>
      </c>
      <c r="AD165" s="69">
        <v>14.413608788809769</v>
      </c>
      <c r="AE165" s="69">
        <v>14.413608788809769</v>
      </c>
      <c r="AF165" s="69">
        <v>14.413608788809769</v>
      </c>
      <c r="AG165" s="69">
        <v>14.413608788809769</v>
      </c>
    </row>
    <row r="166" spans="1:33" ht="12.75" customHeight="1">
      <c r="A166" s="231" t="s">
        <v>2374</v>
      </c>
      <c r="B166" s="69" t="s">
        <v>401</v>
      </c>
      <c r="C166" s="69" t="s">
        <v>137</v>
      </c>
      <c r="D166" s="69" t="s">
        <v>191</v>
      </c>
      <c r="E166" s="69" t="s">
        <v>191</v>
      </c>
      <c r="F166" s="69" t="s">
        <v>179</v>
      </c>
      <c r="G166" s="69" t="s">
        <v>192</v>
      </c>
      <c r="H166" s="69" t="s">
        <v>805</v>
      </c>
      <c r="I166" s="69">
        <v>3</v>
      </c>
      <c r="J166" s="238">
        <v>0.36590322498251654</v>
      </c>
      <c r="K166" s="238">
        <v>0.16152665976075289</v>
      </c>
      <c r="L166" s="69">
        <v>76.505420685213181</v>
      </c>
      <c r="M166" s="69">
        <v>0</v>
      </c>
      <c r="N166" s="69">
        <v>0</v>
      </c>
      <c r="O166" s="69">
        <v>0</v>
      </c>
      <c r="P166" s="69">
        <v>0</v>
      </c>
      <c r="Q166" s="69">
        <v>0</v>
      </c>
      <c r="R166" s="69">
        <v>0</v>
      </c>
      <c r="S166" s="69">
        <v>0</v>
      </c>
      <c r="T166" s="69">
        <v>472.75246547107588</v>
      </c>
      <c r="U166" s="69">
        <v>472.75246547107588</v>
      </c>
      <c r="V166" s="69">
        <v>472.75246547107588</v>
      </c>
      <c r="W166" s="69">
        <v>472.75246547107588</v>
      </c>
      <c r="X166" s="69">
        <v>472.75246547107588</v>
      </c>
      <c r="Y166" s="69">
        <v>472.75246547107588</v>
      </c>
      <c r="Z166" s="69">
        <v>472.75246547107588</v>
      </c>
      <c r="AA166" s="69">
        <v>472.75246547107588</v>
      </c>
      <c r="AB166" s="69">
        <v>472.75246547107588</v>
      </c>
      <c r="AC166" s="69">
        <v>472.75246547107588</v>
      </c>
      <c r="AD166" s="69">
        <v>472.75246547107588</v>
      </c>
      <c r="AE166" s="69">
        <v>472.75246547107588</v>
      </c>
      <c r="AF166" s="69">
        <v>472.75246547107588</v>
      </c>
      <c r="AG166" s="69">
        <v>472.75246547107588</v>
      </c>
    </row>
    <row r="167" spans="1:33" ht="12.75" customHeight="1">
      <c r="A167" s="231" t="s">
        <v>2374</v>
      </c>
      <c r="B167" s="69" t="s">
        <v>402</v>
      </c>
      <c r="C167" s="69" t="s">
        <v>137</v>
      </c>
      <c r="D167" s="69" t="s">
        <v>191</v>
      </c>
      <c r="E167" s="69" t="s">
        <v>191</v>
      </c>
      <c r="F167" s="69" t="s">
        <v>179</v>
      </c>
      <c r="G167" s="69" t="s">
        <v>192</v>
      </c>
      <c r="H167" s="69" t="s">
        <v>805</v>
      </c>
      <c r="I167" s="69">
        <v>3</v>
      </c>
      <c r="J167" s="238">
        <v>0.38830072947386973</v>
      </c>
      <c r="K167" s="238">
        <v>0.16152665976075289</v>
      </c>
      <c r="L167" s="69">
        <v>72.051554201015875</v>
      </c>
      <c r="M167" s="69">
        <v>0</v>
      </c>
      <c r="N167" s="69">
        <v>0</v>
      </c>
      <c r="O167" s="69">
        <v>0</v>
      </c>
      <c r="P167" s="69">
        <v>0</v>
      </c>
      <c r="Q167" s="69">
        <v>0</v>
      </c>
      <c r="R167" s="69">
        <v>0</v>
      </c>
      <c r="S167" s="69">
        <v>0</v>
      </c>
      <c r="T167" s="69">
        <v>403.84853764126683</v>
      </c>
      <c r="U167" s="69">
        <v>403.84853764126683</v>
      </c>
      <c r="V167" s="69">
        <v>403.84853764126683</v>
      </c>
      <c r="W167" s="69">
        <v>403.84853764126683</v>
      </c>
      <c r="X167" s="69">
        <v>403.84853764126683</v>
      </c>
      <c r="Y167" s="69">
        <v>403.84853764126683</v>
      </c>
      <c r="Z167" s="69">
        <v>403.84853764126683</v>
      </c>
      <c r="AA167" s="69">
        <v>403.84853764126683</v>
      </c>
      <c r="AB167" s="69">
        <v>403.84853764126683</v>
      </c>
      <c r="AC167" s="69">
        <v>403.84853764126683</v>
      </c>
      <c r="AD167" s="69">
        <v>403.84853764126683</v>
      </c>
      <c r="AE167" s="69">
        <v>403.84853764126683</v>
      </c>
      <c r="AF167" s="69">
        <v>403.84853764126683</v>
      </c>
      <c r="AG167" s="69">
        <v>403.84853764126683</v>
      </c>
    </row>
    <row r="168" spans="1:33" ht="12.75" customHeight="1">
      <c r="A168" s="231" t="s">
        <v>2374</v>
      </c>
      <c r="B168" s="69" t="s">
        <v>405</v>
      </c>
      <c r="C168" s="69" t="s">
        <v>137</v>
      </c>
      <c r="D168" s="69" t="s">
        <v>191</v>
      </c>
      <c r="E168" s="69" t="s">
        <v>191</v>
      </c>
      <c r="F168" s="69" t="s">
        <v>164</v>
      </c>
      <c r="G168" s="69" t="s">
        <v>192</v>
      </c>
      <c r="H168" s="69" t="s">
        <v>804</v>
      </c>
      <c r="I168" s="69">
        <v>3</v>
      </c>
      <c r="J168" s="238">
        <v>0.30953531329513329</v>
      </c>
      <c r="K168" s="238">
        <v>0.15814711307449608</v>
      </c>
      <c r="L168" s="69">
        <v>101.72709019295209</v>
      </c>
      <c r="M168" s="69">
        <v>0</v>
      </c>
      <c r="N168" s="69">
        <v>0</v>
      </c>
      <c r="O168" s="69">
        <v>0</v>
      </c>
      <c r="P168" s="69">
        <v>0</v>
      </c>
      <c r="Q168" s="69">
        <v>0</v>
      </c>
      <c r="R168" s="69">
        <v>0</v>
      </c>
      <c r="S168" s="69">
        <v>0</v>
      </c>
      <c r="T168" s="69">
        <v>305.60271140326859</v>
      </c>
      <c r="U168" s="69">
        <v>305.60271140326859</v>
      </c>
      <c r="V168" s="69">
        <v>305.60271140326859</v>
      </c>
      <c r="W168" s="69">
        <v>305.60271140326859</v>
      </c>
      <c r="X168" s="69">
        <v>305.60271140326859</v>
      </c>
      <c r="Y168" s="69">
        <v>305.60271140326859</v>
      </c>
      <c r="Z168" s="69">
        <v>305.60271140326859</v>
      </c>
      <c r="AA168" s="69">
        <v>305.60271140326859</v>
      </c>
      <c r="AB168" s="69">
        <v>305.60271140326859</v>
      </c>
      <c r="AC168" s="69">
        <v>305.60271140326859</v>
      </c>
      <c r="AD168" s="69">
        <v>305.60271140326859</v>
      </c>
      <c r="AE168" s="69">
        <v>305.60271140326859</v>
      </c>
      <c r="AF168" s="69">
        <v>305.60271140326859</v>
      </c>
      <c r="AG168" s="69">
        <v>305.60271140326859</v>
      </c>
    </row>
    <row r="169" spans="1:33" ht="12.75" customHeight="1">
      <c r="A169" s="231" t="s">
        <v>2374</v>
      </c>
      <c r="B169" s="69" t="s">
        <v>406</v>
      </c>
      <c r="C169" s="69" t="s">
        <v>137</v>
      </c>
      <c r="D169" s="69" t="s">
        <v>191</v>
      </c>
      <c r="E169" s="69" t="s">
        <v>191</v>
      </c>
      <c r="F169" s="69" t="s">
        <v>164</v>
      </c>
      <c r="G169" s="69" t="s">
        <v>192</v>
      </c>
      <c r="H169" s="69" t="s">
        <v>804</v>
      </c>
      <c r="I169" s="69">
        <v>3</v>
      </c>
      <c r="J169" s="238">
        <v>0.26463970570422085</v>
      </c>
      <c r="K169" s="238">
        <v>0.15814711307449608</v>
      </c>
      <c r="L169" s="69">
        <v>118.89526407663548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151.4993721586481</v>
      </c>
      <c r="U169" s="69">
        <v>151.4993721586481</v>
      </c>
      <c r="V169" s="69">
        <v>151.4993721586481</v>
      </c>
      <c r="W169" s="69">
        <v>151.4993721586481</v>
      </c>
      <c r="X169" s="69">
        <v>151.4993721586481</v>
      </c>
      <c r="Y169" s="69">
        <v>151.4993721586481</v>
      </c>
      <c r="Z169" s="69">
        <v>151.4993721586481</v>
      </c>
      <c r="AA169" s="69">
        <v>151.4993721586481</v>
      </c>
      <c r="AB169" s="69">
        <v>151.4993721586481</v>
      </c>
      <c r="AC169" s="69">
        <v>151.4993721586481</v>
      </c>
      <c r="AD169" s="69">
        <v>151.4993721586481</v>
      </c>
      <c r="AE169" s="69">
        <v>151.4993721586481</v>
      </c>
      <c r="AF169" s="69">
        <v>151.4993721586481</v>
      </c>
      <c r="AG169" s="69">
        <v>151.4993721586481</v>
      </c>
    </row>
    <row r="170" spans="1:33" ht="12.75" customHeight="1">
      <c r="A170" s="231" t="s">
        <v>2374</v>
      </c>
      <c r="B170" s="69" t="s">
        <v>416</v>
      </c>
      <c r="C170" s="69" t="s">
        <v>137</v>
      </c>
      <c r="D170" s="69" t="s">
        <v>191</v>
      </c>
      <c r="E170" s="69" t="s">
        <v>191</v>
      </c>
      <c r="F170" s="69" t="s">
        <v>179</v>
      </c>
      <c r="G170" s="69" t="s">
        <v>192</v>
      </c>
      <c r="H170" s="69" t="s">
        <v>805</v>
      </c>
      <c r="I170" s="69">
        <v>3</v>
      </c>
      <c r="J170" s="238">
        <v>0.28515810405668368</v>
      </c>
      <c r="K170" s="238">
        <v>0.16152665976075289</v>
      </c>
      <c r="L170" s="69">
        <v>100.09193644604022</v>
      </c>
      <c r="M170" s="69">
        <v>0</v>
      </c>
      <c r="N170" s="69">
        <v>0</v>
      </c>
      <c r="O170" s="69">
        <v>0</v>
      </c>
      <c r="P170" s="69">
        <v>0</v>
      </c>
      <c r="Q170" s="69">
        <v>0</v>
      </c>
      <c r="R170" s="69">
        <v>0</v>
      </c>
      <c r="S170" s="69">
        <v>0</v>
      </c>
      <c r="T170" s="69">
        <v>100.08376707390484</v>
      </c>
      <c r="U170" s="69">
        <v>100.08376707390484</v>
      </c>
      <c r="V170" s="69">
        <v>100.08376707390484</v>
      </c>
      <c r="W170" s="69">
        <v>100.08376707390484</v>
      </c>
      <c r="X170" s="69">
        <v>100.08376707390484</v>
      </c>
      <c r="Y170" s="69">
        <v>100.08376707390484</v>
      </c>
      <c r="Z170" s="69">
        <v>100.08376707390484</v>
      </c>
      <c r="AA170" s="69">
        <v>100.08376707390484</v>
      </c>
      <c r="AB170" s="69">
        <v>100.08376707390484</v>
      </c>
      <c r="AC170" s="69">
        <v>100.08376707390484</v>
      </c>
      <c r="AD170" s="69">
        <v>100.08376707390484</v>
      </c>
      <c r="AE170" s="69">
        <v>100.08376707390484</v>
      </c>
      <c r="AF170" s="69">
        <v>100.08376707390484</v>
      </c>
      <c r="AG170" s="69">
        <v>100.08376707390484</v>
      </c>
    </row>
    <row r="171" spans="1:33" ht="12.75" customHeight="1">
      <c r="A171" s="231" t="s">
        <v>2374</v>
      </c>
      <c r="B171" s="69" t="s">
        <v>417</v>
      </c>
      <c r="C171" s="69" t="s">
        <v>137</v>
      </c>
      <c r="D171" s="69" t="s">
        <v>191</v>
      </c>
      <c r="E171" s="69" t="s">
        <v>191</v>
      </c>
      <c r="F171" s="69" t="s">
        <v>179</v>
      </c>
      <c r="G171" s="69" t="s">
        <v>192</v>
      </c>
      <c r="H171" s="69" t="s">
        <v>805</v>
      </c>
      <c r="I171" s="69">
        <v>3</v>
      </c>
      <c r="J171" s="238">
        <v>0.35630185675984788</v>
      </c>
      <c r="K171" s="238">
        <v>0.16152665976075289</v>
      </c>
      <c r="L171" s="69">
        <v>79.533891848157396</v>
      </c>
      <c r="M171" s="69">
        <v>0</v>
      </c>
      <c r="N171" s="69">
        <v>0</v>
      </c>
      <c r="O171" s="69">
        <v>0</v>
      </c>
      <c r="P171" s="69">
        <v>0</v>
      </c>
      <c r="Q171" s="69">
        <v>0</v>
      </c>
      <c r="R171" s="69">
        <v>0</v>
      </c>
      <c r="S171" s="69">
        <v>0</v>
      </c>
      <c r="T171" s="69">
        <v>324.86929746332868</v>
      </c>
      <c r="U171" s="69">
        <v>324.86929746332868</v>
      </c>
      <c r="V171" s="69">
        <v>324.86929746332868</v>
      </c>
      <c r="W171" s="69">
        <v>324.86929746332868</v>
      </c>
      <c r="X171" s="69">
        <v>324.86929746332868</v>
      </c>
      <c r="Y171" s="69">
        <v>324.86929746332868</v>
      </c>
      <c r="Z171" s="69">
        <v>324.86929746332868</v>
      </c>
      <c r="AA171" s="69">
        <v>324.86929746332868</v>
      </c>
      <c r="AB171" s="69">
        <v>324.86929746332868</v>
      </c>
      <c r="AC171" s="69">
        <v>324.86929746332868</v>
      </c>
      <c r="AD171" s="69">
        <v>324.86929746332868</v>
      </c>
      <c r="AE171" s="69">
        <v>324.86929746332868</v>
      </c>
      <c r="AF171" s="69">
        <v>324.86929746332868</v>
      </c>
      <c r="AG171" s="69">
        <v>324.86929746332868</v>
      </c>
    </row>
    <row r="172" spans="1:33" ht="12.75" customHeight="1">
      <c r="A172" s="231" t="s">
        <v>2374</v>
      </c>
      <c r="B172" s="69" t="s">
        <v>418</v>
      </c>
      <c r="C172" s="69" t="s">
        <v>137</v>
      </c>
      <c r="D172" s="69" t="s">
        <v>191</v>
      </c>
      <c r="E172" s="69" t="s">
        <v>191</v>
      </c>
      <c r="F172" s="69" t="s">
        <v>179</v>
      </c>
      <c r="G172" s="69" t="s">
        <v>192</v>
      </c>
      <c r="H172" s="69" t="s">
        <v>805</v>
      </c>
      <c r="I172" s="69">
        <v>3</v>
      </c>
      <c r="J172" s="238">
        <v>0.38499925587532363</v>
      </c>
      <c r="K172" s="238">
        <v>0.16152665976075289</v>
      </c>
      <c r="L172" s="69">
        <v>74.144627745596026</v>
      </c>
      <c r="M172" s="69">
        <v>0</v>
      </c>
      <c r="N172" s="69">
        <v>0</v>
      </c>
      <c r="O172" s="69">
        <v>0</v>
      </c>
      <c r="P172" s="69">
        <v>0</v>
      </c>
      <c r="Q172" s="69">
        <v>0</v>
      </c>
      <c r="R172" s="69">
        <v>0</v>
      </c>
      <c r="S172" s="69">
        <v>0</v>
      </c>
      <c r="T172" s="69">
        <v>353.43059663107306</v>
      </c>
      <c r="U172" s="69">
        <v>353.43059663107306</v>
      </c>
      <c r="V172" s="69">
        <v>353.43059663107306</v>
      </c>
      <c r="W172" s="69">
        <v>353.43059663107306</v>
      </c>
      <c r="X172" s="69">
        <v>353.43059663107306</v>
      </c>
      <c r="Y172" s="69">
        <v>353.43059663107306</v>
      </c>
      <c r="Z172" s="69">
        <v>353.43059663107306</v>
      </c>
      <c r="AA172" s="69">
        <v>353.43059663107306</v>
      </c>
      <c r="AB172" s="69">
        <v>353.43059663107306</v>
      </c>
      <c r="AC172" s="69">
        <v>353.43059663107306</v>
      </c>
      <c r="AD172" s="69">
        <v>353.43059663107306</v>
      </c>
      <c r="AE172" s="69">
        <v>353.43059663107306</v>
      </c>
      <c r="AF172" s="69">
        <v>353.43059663107306</v>
      </c>
      <c r="AG172" s="69">
        <v>353.43059663107306</v>
      </c>
    </row>
    <row r="173" spans="1:33" ht="12.75" customHeight="1">
      <c r="A173" s="231" t="s">
        <v>2374</v>
      </c>
      <c r="B173" s="69" t="s">
        <v>419</v>
      </c>
      <c r="C173" s="69" t="s">
        <v>137</v>
      </c>
      <c r="D173" s="69" t="s">
        <v>191</v>
      </c>
      <c r="E173" s="69" t="s">
        <v>191</v>
      </c>
      <c r="F173" s="69" t="s">
        <v>179</v>
      </c>
      <c r="G173" s="69" t="s">
        <v>192</v>
      </c>
      <c r="H173" s="69" t="s">
        <v>805</v>
      </c>
      <c r="I173" s="69">
        <v>3</v>
      </c>
      <c r="J173" s="238">
        <v>0.37891261036038326</v>
      </c>
      <c r="K173" s="238">
        <v>0.16152665976075289</v>
      </c>
      <c r="L173" s="69">
        <v>74.8863915351847</v>
      </c>
      <c r="M173" s="69">
        <v>0</v>
      </c>
      <c r="N173" s="69">
        <v>0</v>
      </c>
      <c r="O173" s="69">
        <v>0</v>
      </c>
      <c r="P173" s="69">
        <v>0</v>
      </c>
      <c r="Q173" s="69">
        <v>0</v>
      </c>
      <c r="R173" s="69">
        <v>0</v>
      </c>
      <c r="S173" s="69">
        <v>0</v>
      </c>
      <c r="T173" s="69">
        <v>472.04962250749998</v>
      </c>
      <c r="U173" s="69">
        <v>472.04962250749998</v>
      </c>
      <c r="V173" s="69">
        <v>472.04962250749998</v>
      </c>
      <c r="W173" s="69">
        <v>472.04962250749998</v>
      </c>
      <c r="X173" s="69">
        <v>472.04962250749998</v>
      </c>
      <c r="Y173" s="69">
        <v>472.04962250749998</v>
      </c>
      <c r="Z173" s="69">
        <v>472.04962250749998</v>
      </c>
      <c r="AA173" s="69">
        <v>472.04962250749998</v>
      </c>
      <c r="AB173" s="69">
        <v>472.04962250749998</v>
      </c>
      <c r="AC173" s="69">
        <v>472.04962250749998</v>
      </c>
      <c r="AD173" s="69">
        <v>472.04962250749998</v>
      </c>
      <c r="AE173" s="69">
        <v>472.04962250749998</v>
      </c>
      <c r="AF173" s="69">
        <v>472.04962250749998</v>
      </c>
      <c r="AG173" s="69">
        <v>472.04962250749998</v>
      </c>
    </row>
    <row r="174" spans="1:33" ht="12.75" customHeight="1">
      <c r="A174" s="231" t="s">
        <v>2374</v>
      </c>
      <c r="B174" s="69" t="s">
        <v>423</v>
      </c>
      <c r="C174" s="69" t="s">
        <v>185</v>
      </c>
      <c r="D174" s="69" t="s">
        <v>193</v>
      </c>
      <c r="E174" s="69" t="s">
        <v>203</v>
      </c>
      <c r="F174" s="69" t="s">
        <v>155</v>
      </c>
      <c r="G174" s="69" t="s">
        <v>192</v>
      </c>
      <c r="H174" s="69" t="s">
        <v>805</v>
      </c>
      <c r="I174" s="69">
        <v>3</v>
      </c>
      <c r="J174" s="238">
        <v>0.27845285353771942</v>
      </c>
      <c r="K174" s="238">
        <v>0.63277303047366895</v>
      </c>
      <c r="L174" s="69">
        <v>165.6639121820418</v>
      </c>
      <c r="M174" s="69">
        <v>0</v>
      </c>
      <c r="N174" s="69">
        <v>0</v>
      </c>
      <c r="O174" s="69">
        <v>0</v>
      </c>
      <c r="P174" s="69">
        <v>0</v>
      </c>
      <c r="Q174" s="69">
        <v>0</v>
      </c>
      <c r="R174" s="69">
        <v>0</v>
      </c>
      <c r="S174" s="69">
        <v>243.92469969904189</v>
      </c>
      <c r="T174" s="69">
        <v>243.92469969904189</v>
      </c>
      <c r="U174" s="69">
        <v>243.92469969904189</v>
      </c>
      <c r="V174" s="69">
        <v>243.92469969904189</v>
      </c>
      <c r="W174" s="69">
        <v>243.92469969904189</v>
      </c>
      <c r="X174" s="69">
        <v>243.92469969904189</v>
      </c>
      <c r="Y174" s="69">
        <v>243.92469969904189</v>
      </c>
      <c r="Z174" s="69">
        <v>243.92469969904189</v>
      </c>
      <c r="AA174" s="69">
        <v>243.92469969904189</v>
      </c>
      <c r="AB174" s="69">
        <v>243.92469969904189</v>
      </c>
      <c r="AC174" s="69">
        <v>243.92469969904189</v>
      </c>
      <c r="AD174" s="69">
        <v>243.92469969904189</v>
      </c>
      <c r="AE174" s="69">
        <v>243.92469969904189</v>
      </c>
      <c r="AF174" s="69">
        <v>243.92469969904189</v>
      </c>
      <c r="AG174" s="69">
        <v>243.92469969904189</v>
      </c>
    </row>
    <row r="175" spans="1:33" ht="12.75" customHeight="1">
      <c r="A175" s="231" t="s">
        <v>2374</v>
      </c>
      <c r="B175" s="69" t="s">
        <v>424</v>
      </c>
      <c r="C175" s="69" t="s">
        <v>185</v>
      </c>
      <c r="D175" s="69" t="s">
        <v>193</v>
      </c>
      <c r="E175" s="69" t="s">
        <v>194</v>
      </c>
      <c r="F175" s="69" t="s">
        <v>170</v>
      </c>
      <c r="G175" s="69" t="s">
        <v>192</v>
      </c>
      <c r="H175" s="69" t="s">
        <v>804</v>
      </c>
      <c r="I175" s="69">
        <v>3</v>
      </c>
      <c r="J175" s="238">
        <v>0.29747541147361495</v>
      </c>
      <c r="K175" s="238">
        <v>0.64178864414683756</v>
      </c>
      <c r="L175" s="69">
        <v>154.74983877406962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>
        <v>195.44134533816515</v>
      </c>
      <c r="W175" s="69">
        <v>195.44134533816515</v>
      </c>
      <c r="X175" s="69">
        <v>195.44134533816515</v>
      </c>
      <c r="Y175" s="69">
        <v>195.44134533816515</v>
      </c>
      <c r="Z175" s="69">
        <v>195.44134533816515</v>
      </c>
      <c r="AA175" s="69">
        <v>195.44134533816515</v>
      </c>
      <c r="AB175" s="69">
        <v>195.44134533816515</v>
      </c>
      <c r="AC175" s="69">
        <v>195.44134533816515</v>
      </c>
      <c r="AD175" s="69">
        <v>195.44134533816515</v>
      </c>
      <c r="AE175" s="69">
        <v>195.44134533816515</v>
      </c>
      <c r="AF175" s="69">
        <v>195.44134533816515</v>
      </c>
      <c r="AG175" s="69">
        <v>195.44134533816515</v>
      </c>
    </row>
    <row r="176" spans="1:33" ht="12.75" customHeight="1">
      <c r="A176" s="231" t="s">
        <v>2375</v>
      </c>
      <c r="B176" s="69" t="s">
        <v>190</v>
      </c>
      <c r="C176" s="69" t="s">
        <v>137</v>
      </c>
      <c r="D176" s="69" t="s">
        <v>191</v>
      </c>
      <c r="E176" s="69" t="s">
        <v>191</v>
      </c>
      <c r="F176" s="69" t="s">
        <v>180</v>
      </c>
      <c r="G176" s="69" t="s">
        <v>192</v>
      </c>
      <c r="H176" s="69" t="s">
        <v>804</v>
      </c>
      <c r="I176" s="69">
        <v>1</v>
      </c>
      <c r="J176" s="238">
        <v>0.32235762917068039</v>
      </c>
      <c r="K176" s="238">
        <v>0.160195270625522</v>
      </c>
      <c r="L176" s="69">
        <v>96.038728079112801</v>
      </c>
      <c r="M176" s="69">
        <v>0</v>
      </c>
      <c r="N176" s="69">
        <v>0</v>
      </c>
      <c r="O176" s="69">
        <v>0</v>
      </c>
      <c r="P176" s="69">
        <v>0</v>
      </c>
      <c r="Q176" s="69">
        <v>0</v>
      </c>
      <c r="R176" s="69">
        <v>533.70818516014515</v>
      </c>
      <c r="S176" s="69">
        <v>533.70818516014515</v>
      </c>
      <c r="T176" s="69">
        <v>533.70818516014515</v>
      </c>
      <c r="U176" s="69">
        <v>533.70818516014515</v>
      </c>
      <c r="V176" s="69">
        <v>533.70818516014515</v>
      </c>
      <c r="W176" s="69">
        <v>533.70818516014515</v>
      </c>
      <c r="X176" s="69">
        <v>533.70818516014515</v>
      </c>
      <c r="Y176" s="69">
        <v>533.70818516014515</v>
      </c>
      <c r="Z176" s="69">
        <v>533.70818516014515</v>
      </c>
      <c r="AA176" s="69">
        <v>533.70818516014515</v>
      </c>
      <c r="AB176" s="69">
        <v>533.70818516014515</v>
      </c>
      <c r="AC176" s="69">
        <v>533.70818516014515</v>
      </c>
      <c r="AD176" s="69">
        <v>533.70818516014515</v>
      </c>
      <c r="AE176" s="69">
        <v>533.70818516014515</v>
      </c>
      <c r="AF176" s="69">
        <v>533.70818516014515</v>
      </c>
      <c r="AG176" s="69">
        <v>533.70818516014515</v>
      </c>
    </row>
    <row r="177" spans="1:33" ht="12.75" customHeight="1">
      <c r="A177" s="231" t="s">
        <v>2375</v>
      </c>
      <c r="B177" s="69" t="s">
        <v>195</v>
      </c>
      <c r="C177" s="69" t="s">
        <v>187</v>
      </c>
      <c r="D177" s="69" t="s">
        <v>191</v>
      </c>
      <c r="E177" s="69" t="s">
        <v>191</v>
      </c>
      <c r="F177" s="69" t="s">
        <v>162</v>
      </c>
      <c r="G177" s="69" t="s">
        <v>192</v>
      </c>
      <c r="H177" s="69" t="s">
        <v>804</v>
      </c>
      <c r="I177" s="69">
        <v>1</v>
      </c>
      <c r="J177" s="238">
        <v>0.2668262983999703</v>
      </c>
      <c r="K177" s="238">
        <v>0.80317779599171035</v>
      </c>
      <c r="L177" s="69">
        <v>192.38629588063705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144.91869918699012</v>
      </c>
      <c r="S177" s="69">
        <v>144.91869918699012</v>
      </c>
      <c r="T177" s="69">
        <v>144.91869918699012</v>
      </c>
      <c r="U177" s="69">
        <v>144.91869918699012</v>
      </c>
      <c r="V177" s="69">
        <v>144.91869918699012</v>
      </c>
      <c r="W177" s="69">
        <v>144.91869918699012</v>
      </c>
      <c r="X177" s="69">
        <v>144.91869918699012</v>
      </c>
      <c r="Y177" s="69">
        <v>144.91869918699012</v>
      </c>
      <c r="Z177" s="69">
        <v>144.91869918699012</v>
      </c>
      <c r="AA177" s="69">
        <v>144.91869918699012</v>
      </c>
      <c r="AB177" s="69">
        <v>144.91869918699012</v>
      </c>
      <c r="AC177" s="69">
        <v>144.91869918699012</v>
      </c>
      <c r="AD177" s="69">
        <v>144.91869918699012</v>
      </c>
      <c r="AE177" s="69">
        <v>144.91869918699012</v>
      </c>
      <c r="AF177" s="69">
        <v>144.91869918699012</v>
      </c>
      <c r="AG177" s="69">
        <v>144.91869918699012</v>
      </c>
    </row>
    <row r="178" spans="1:33" ht="12.75" customHeight="1">
      <c r="A178" s="231" t="s">
        <v>2375</v>
      </c>
      <c r="B178" s="69" t="s">
        <v>196</v>
      </c>
      <c r="C178" s="69" t="s">
        <v>187</v>
      </c>
      <c r="D178" s="69" t="s">
        <v>191</v>
      </c>
      <c r="E178" s="69" t="s">
        <v>191</v>
      </c>
      <c r="F178" s="69" t="s">
        <v>175</v>
      </c>
      <c r="G178" s="69" t="s">
        <v>192</v>
      </c>
      <c r="H178" s="69" t="s">
        <v>804</v>
      </c>
      <c r="I178" s="69">
        <v>1</v>
      </c>
      <c r="J178" s="238">
        <v>0.2668262983999703</v>
      </c>
      <c r="K178" s="238">
        <v>0.69237077523038792</v>
      </c>
      <c r="L178" s="69">
        <v>192.38629588063705</v>
      </c>
      <c r="M178" s="69">
        <v>0</v>
      </c>
      <c r="N178" s="69">
        <v>0</v>
      </c>
      <c r="O178" s="69">
        <v>0</v>
      </c>
      <c r="P178" s="69">
        <v>0</v>
      </c>
      <c r="Q178" s="69">
        <v>292.17479674796778</v>
      </c>
      <c r="R178" s="69">
        <v>292.17479674796778</v>
      </c>
      <c r="S178" s="69">
        <v>292.17479674796778</v>
      </c>
      <c r="T178" s="69">
        <v>292.17479674796778</v>
      </c>
      <c r="U178" s="69">
        <v>292.17479674796778</v>
      </c>
      <c r="V178" s="69">
        <v>292.17479674796778</v>
      </c>
      <c r="W178" s="69">
        <v>292.17479674796778</v>
      </c>
      <c r="X178" s="69">
        <v>292.17479674796778</v>
      </c>
      <c r="Y178" s="69">
        <v>292.17479674796778</v>
      </c>
      <c r="Z178" s="69">
        <v>292.17479674796778</v>
      </c>
      <c r="AA178" s="69">
        <v>292.17479674796778</v>
      </c>
      <c r="AB178" s="69">
        <v>292.17479674796778</v>
      </c>
      <c r="AC178" s="69">
        <v>292.17479674796778</v>
      </c>
      <c r="AD178" s="69">
        <v>292.17479674796778</v>
      </c>
      <c r="AE178" s="69">
        <v>292.17479674796778</v>
      </c>
      <c r="AF178" s="69">
        <v>292.17479674796778</v>
      </c>
      <c r="AG178" s="69">
        <v>292.17479674796778</v>
      </c>
    </row>
    <row r="179" spans="1:33" ht="12.75" customHeight="1">
      <c r="A179" s="231" t="s">
        <v>2375</v>
      </c>
      <c r="B179" s="69" t="s">
        <v>197</v>
      </c>
      <c r="C179" s="69" t="s">
        <v>187</v>
      </c>
      <c r="D179" s="69" t="s">
        <v>191</v>
      </c>
      <c r="E179" s="69" t="s">
        <v>191</v>
      </c>
      <c r="F179" s="69" t="s">
        <v>175</v>
      </c>
      <c r="G179" s="69" t="s">
        <v>192</v>
      </c>
      <c r="H179" s="69" t="s">
        <v>804</v>
      </c>
      <c r="I179" s="69">
        <v>1</v>
      </c>
      <c r="J179" s="238">
        <v>0.2668262983999703</v>
      </c>
      <c r="K179" s="238">
        <v>0.69237077523038792</v>
      </c>
      <c r="L179" s="69">
        <v>192.38629588063705</v>
      </c>
      <c r="M179" s="69">
        <v>0</v>
      </c>
      <c r="N179" s="69">
        <v>0</v>
      </c>
      <c r="O179" s="69">
        <v>0</v>
      </c>
      <c r="P179" s="69">
        <v>0</v>
      </c>
      <c r="Q179" s="69">
        <v>0</v>
      </c>
      <c r="R179" s="69">
        <v>292.17479674796778</v>
      </c>
      <c r="S179" s="69">
        <v>292.17479674796778</v>
      </c>
      <c r="T179" s="69">
        <v>292.17479674796778</v>
      </c>
      <c r="U179" s="69">
        <v>292.17479674796778</v>
      </c>
      <c r="V179" s="69">
        <v>292.17479674796778</v>
      </c>
      <c r="W179" s="69">
        <v>292.17479674796778</v>
      </c>
      <c r="X179" s="69">
        <v>292.17479674796778</v>
      </c>
      <c r="Y179" s="69">
        <v>292.17479674796778</v>
      </c>
      <c r="Z179" s="69">
        <v>292.17479674796778</v>
      </c>
      <c r="AA179" s="69">
        <v>292.17479674796778</v>
      </c>
      <c r="AB179" s="69">
        <v>292.17479674796778</v>
      </c>
      <c r="AC179" s="69">
        <v>292.17479674796778</v>
      </c>
      <c r="AD179" s="69">
        <v>292.17479674796778</v>
      </c>
      <c r="AE179" s="69">
        <v>292.17479674796778</v>
      </c>
      <c r="AF179" s="69">
        <v>292.17479674796778</v>
      </c>
      <c r="AG179" s="69">
        <v>292.17479674796778</v>
      </c>
    </row>
    <row r="180" spans="1:33" ht="12.75" customHeight="1">
      <c r="A180" s="231" t="s">
        <v>2375</v>
      </c>
      <c r="B180" s="69" t="s">
        <v>198</v>
      </c>
      <c r="C180" s="69" t="s">
        <v>137</v>
      </c>
      <c r="D180" s="69" t="s">
        <v>191</v>
      </c>
      <c r="E180" s="69" t="s">
        <v>191</v>
      </c>
      <c r="F180" s="69" t="s">
        <v>168</v>
      </c>
      <c r="G180" s="69" t="s">
        <v>199</v>
      </c>
      <c r="H180" s="69" t="s">
        <v>2417</v>
      </c>
      <c r="I180" s="69">
        <v>1</v>
      </c>
      <c r="J180" s="238">
        <v>0.29204999999999998</v>
      </c>
      <c r="K180" s="238">
        <v>0.18436399478639695</v>
      </c>
      <c r="L180" s="69">
        <v>95.155627725733936</v>
      </c>
      <c r="M180" s="69">
        <v>0</v>
      </c>
      <c r="N180" s="69">
        <v>230.25222000000034</v>
      </c>
      <c r="O180" s="69">
        <v>230.25222000000034</v>
      </c>
      <c r="P180" s="69">
        <v>230.25222000000034</v>
      </c>
      <c r="Q180" s="69">
        <v>230.25222000000034</v>
      </c>
      <c r="R180" s="69">
        <v>230.25222000000034</v>
      </c>
      <c r="S180" s="69">
        <v>230.25222000000034</v>
      </c>
      <c r="T180" s="69">
        <v>230.25222000000034</v>
      </c>
      <c r="U180" s="69">
        <v>230.25222000000034</v>
      </c>
      <c r="V180" s="69">
        <v>230.25222000000034</v>
      </c>
      <c r="W180" s="69">
        <v>230.25222000000034</v>
      </c>
      <c r="X180" s="69">
        <v>230.25222000000034</v>
      </c>
      <c r="Y180" s="69">
        <v>230.25222000000034</v>
      </c>
      <c r="Z180" s="69">
        <v>230.25222000000034</v>
      </c>
      <c r="AA180" s="69">
        <v>230.25222000000034</v>
      </c>
      <c r="AB180" s="69">
        <v>230.25222000000034</v>
      </c>
      <c r="AC180" s="69">
        <v>230.25222000000034</v>
      </c>
      <c r="AD180" s="69">
        <v>230.25222000000034</v>
      </c>
      <c r="AE180" s="69">
        <v>230.25222000000034</v>
      </c>
      <c r="AF180" s="69">
        <v>230.25222000000034</v>
      </c>
      <c r="AG180" s="69">
        <v>230.25222000000034</v>
      </c>
    </row>
    <row r="181" spans="1:33" ht="12.75" customHeight="1">
      <c r="A181" s="231" t="s">
        <v>2375</v>
      </c>
      <c r="B181" s="69" t="s">
        <v>200</v>
      </c>
      <c r="C181" s="69" t="s">
        <v>185</v>
      </c>
      <c r="D181" s="69" t="s">
        <v>193</v>
      </c>
      <c r="E181" s="69" t="s">
        <v>194</v>
      </c>
      <c r="F181" s="69" t="s">
        <v>153</v>
      </c>
      <c r="G181" s="69" t="s">
        <v>201</v>
      </c>
      <c r="H181" s="69" t="s">
        <v>2417</v>
      </c>
      <c r="I181" s="69">
        <v>1</v>
      </c>
      <c r="J181" s="238">
        <v>0.28999999999999998</v>
      </c>
      <c r="K181" s="238">
        <v>0.621244203313703</v>
      </c>
      <c r="L181" s="69">
        <v>144.14559944117298</v>
      </c>
      <c r="M181" s="69">
        <v>0</v>
      </c>
      <c r="N181" s="69">
        <v>0</v>
      </c>
      <c r="O181" s="69">
        <v>0</v>
      </c>
      <c r="P181" s="69">
        <v>0</v>
      </c>
      <c r="Q181" s="69">
        <v>0</v>
      </c>
      <c r="R181" s="69">
        <v>736.71600000000035</v>
      </c>
      <c r="S181" s="69">
        <v>736.71600000000035</v>
      </c>
      <c r="T181" s="69">
        <v>736.71600000000035</v>
      </c>
      <c r="U181" s="69">
        <v>736.71600000000035</v>
      </c>
      <c r="V181" s="69">
        <v>736.71600000000035</v>
      </c>
      <c r="W181" s="69">
        <v>736.71600000000035</v>
      </c>
      <c r="X181" s="69">
        <v>736.71600000000035</v>
      </c>
      <c r="Y181" s="69">
        <v>736.71600000000035</v>
      </c>
      <c r="Z181" s="69">
        <v>736.71600000000035</v>
      </c>
      <c r="AA181" s="69">
        <v>736.71600000000035</v>
      </c>
      <c r="AB181" s="69">
        <v>736.71600000000035</v>
      </c>
      <c r="AC181" s="69">
        <v>736.71600000000035</v>
      </c>
      <c r="AD181" s="69">
        <v>736.71600000000035</v>
      </c>
      <c r="AE181" s="69">
        <v>736.71600000000035</v>
      </c>
      <c r="AF181" s="69">
        <v>736.71600000000035</v>
      </c>
      <c r="AG181" s="69">
        <v>736.71600000000035</v>
      </c>
    </row>
    <row r="182" spans="1:33" ht="12.75" customHeight="1">
      <c r="A182" s="231" t="s">
        <v>2375</v>
      </c>
      <c r="B182" s="69" t="s">
        <v>202</v>
      </c>
      <c r="C182" s="69" t="s">
        <v>185</v>
      </c>
      <c r="D182" s="69" t="s">
        <v>193</v>
      </c>
      <c r="E182" s="69" t="s">
        <v>203</v>
      </c>
      <c r="F182" s="69" t="s">
        <v>167</v>
      </c>
      <c r="G182" s="69" t="s">
        <v>192</v>
      </c>
      <c r="H182" s="69" t="s">
        <v>805</v>
      </c>
      <c r="I182" s="69">
        <v>1</v>
      </c>
      <c r="J182" s="238">
        <v>0.26649999999999996</v>
      </c>
      <c r="K182" s="238">
        <v>0.65</v>
      </c>
      <c r="L182" s="69">
        <v>173.91260768823273</v>
      </c>
      <c r="M182" s="69">
        <v>0</v>
      </c>
      <c r="N182" s="69">
        <v>0</v>
      </c>
      <c r="O182" s="69">
        <v>0</v>
      </c>
      <c r="P182" s="69">
        <v>0</v>
      </c>
      <c r="Q182" s="69">
        <v>116.72699999999895</v>
      </c>
      <c r="R182" s="69">
        <v>116.72699999999895</v>
      </c>
      <c r="S182" s="69">
        <v>116.72699999999895</v>
      </c>
      <c r="T182" s="69">
        <v>116.72699999999895</v>
      </c>
      <c r="U182" s="69">
        <v>116.72699999999895</v>
      </c>
      <c r="V182" s="69">
        <v>116.72699999999895</v>
      </c>
      <c r="W182" s="69">
        <v>116.72699999999895</v>
      </c>
      <c r="X182" s="69">
        <v>116.72699999999895</v>
      </c>
      <c r="Y182" s="69">
        <v>116.72699999999895</v>
      </c>
      <c r="Z182" s="69">
        <v>116.72699999999895</v>
      </c>
      <c r="AA182" s="69">
        <v>116.72699999999895</v>
      </c>
      <c r="AB182" s="69">
        <v>116.72699999999895</v>
      </c>
      <c r="AC182" s="69">
        <v>116.72699999999895</v>
      </c>
      <c r="AD182" s="69">
        <v>116.72699999999895</v>
      </c>
      <c r="AE182" s="69">
        <v>116.72699999999895</v>
      </c>
      <c r="AF182" s="69">
        <v>116.72699999999895</v>
      </c>
      <c r="AG182" s="69">
        <v>116.72699999999895</v>
      </c>
    </row>
    <row r="183" spans="1:33" ht="12.75" customHeight="1">
      <c r="A183" s="231" t="s">
        <v>2375</v>
      </c>
      <c r="B183" s="69" t="s">
        <v>204</v>
      </c>
      <c r="C183" s="69" t="s">
        <v>185</v>
      </c>
      <c r="D183" s="69" t="s">
        <v>205</v>
      </c>
      <c r="E183" s="69" t="s">
        <v>194</v>
      </c>
      <c r="F183" s="69" t="s">
        <v>175</v>
      </c>
      <c r="G183" s="69" t="s">
        <v>192</v>
      </c>
      <c r="H183" s="69" t="s">
        <v>804</v>
      </c>
      <c r="I183" s="69">
        <v>1</v>
      </c>
      <c r="J183" s="238">
        <v>0.26624999999999999</v>
      </c>
      <c r="K183" s="238">
        <v>0.50027165852802347</v>
      </c>
      <c r="L183" s="69">
        <v>147.69233230629843</v>
      </c>
      <c r="M183" s="69">
        <v>0</v>
      </c>
      <c r="N183" s="69">
        <v>0</v>
      </c>
      <c r="O183" s="69">
        <v>0</v>
      </c>
      <c r="P183" s="69">
        <v>0</v>
      </c>
      <c r="Q183" s="69">
        <v>0</v>
      </c>
      <c r="R183" s="69">
        <v>0</v>
      </c>
      <c r="S183" s="69">
        <v>699.70499999999993</v>
      </c>
      <c r="T183" s="69">
        <v>699.70499999999993</v>
      </c>
      <c r="U183" s="69">
        <v>699.70499999999993</v>
      </c>
      <c r="V183" s="69">
        <v>699.70499999999993</v>
      </c>
      <c r="W183" s="69">
        <v>699.70499999999993</v>
      </c>
      <c r="X183" s="69">
        <v>699.70499999999993</v>
      </c>
      <c r="Y183" s="69">
        <v>699.70499999999993</v>
      </c>
      <c r="Z183" s="69">
        <v>699.70499999999993</v>
      </c>
      <c r="AA183" s="69">
        <v>699.70499999999993</v>
      </c>
      <c r="AB183" s="69">
        <v>699.70499999999993</v>
      </c>
      <c r="AC183" s="69">
        <v>699.70499999999993</v>
      </c>
      <c r="AD183" s="69">
        <v>699.70499999999993</v>
      </c>
      <c r="AE183" s="69">
        <v>699.70499999999993</v>
      </c>
      <c r="AF183" s="69">
        <v>699.70499999999993</v>
      </c>
      <c r="AG183" s="69">
        <v>699.70499999999993</v>
      </c>
    </row>
    <row r="184" spans="1:33" ht="12.75" customHeight="1">
      <c r="A184" s="231" t="s">
        <v>2375</v>
      </c>
      <c r="B184" s="69" t="s">
        <v>206</v>
      </c>
      <c r="C184" s="69" t="s">
        <v>185</v>
      </c>
      <c r="D184" s="69" t="s">
        <v>193</v>
      </c>
      <c r="E184" s="69" t="s">
        <v>203</v>
      </c>
      <c r="F184" s="69" t="s">
        <v>155</v>
      </c>
      <c r="G184" s="69" t="s">
        <v>192</v>
      </c>
      <c r="H184" s="69" t="s">
        <v>805</v>
      </c>
      <c r="I184" s="69">
        <v>1</v>
      </c>
      <c r="J184" s="238">
        <v>0.26649999999999996</v>
      </c>
      <c r="K184" s="238">
        <v>0.63277303047366895</v>
      </c>
      <c r="L184" s="69">
        <v>173.91260768823275</v>
      </c>
      <c r="M184" s="69">
        <v>0</v>
      </c>
      <c r="N184" s="69">
        <v>0</v>
      </c>
      <c r="O184" s="69">
        <v>0</v>
      </c>
      <c r="P184" s="69">
        <v>93.381600000000617</v>
      </c>
      <c r="Q184" s="69">
        <v>93.381600000000617</v>
      </c>
      <c r="R184" s="69">
        <v>93.381600000000617</v>
      </c>
      <c r="S184" s="69">
        <v>93.381600000000617</v>
      </c>
      <c r="T184" s="69">
        <v>93.381600000000617</v>
      </c>
      <c r="U184" s="69">
        <v>93.381600000000617</v>
      </c>
      <c r="V184" s="69">
        <v>93.381600000000617</v>
      </c>
      <c r="W184" s="69">
        <v>93.381600000000617</v>
      </c>
      <c r="X184" s="69">
        <v>93.381600000000617</v>
      </c>
      <c r="Y184" s="69">
        <v>93.381600000000617</v>
      </c>
      <c r="Z184" s="69">
        <v>93.381600000000617</v>
      </c>
      <c r="AA184" s="69">
        <v>93.381600000000617</v>
      </c>
      <c r="AB184" s="69">
        <v>93.381600000000617</v>
      </c>
      <c r="AC184" s="69">
        <v>93.381600000000617</v>
      </c>
      <c r="AD184" s="69">
        <v>93.381600000000617</v>
      </c>
      <c r="AE184" s="69">
        <v>93.381600000000617</v>
      </c>
      <c r="AF184" s="69">
        <v>93.381600000000617</v>
      </c>
      <c r="AG184" s="69">
        <v>93.381600000000617</v>
      </c>
    </row>
    <row r="185" spans="1:33" ht="12.75" customHeight="1">
      <c r="A185" s="231" t="s">
        <v>2375</v>
      </c>
      <c r="B185" s="69" t="s">
        <v>207</v>
      </c>
      <c r="C185" s="69" t="s">
        <v>139</v>
      </c>
      <c r="D185" s="69" t="s">
        <v>191</v>
      </c>
      <c r="E185" s="69" t="s">
        <v>191</v>
      </c>
      <c r="F185" s="69" t="s">
        <v>167</v>
      </c>
      <c r="G185" s="69" t="s">
        <v>192</v>
      </c>
      <c r="H185" s="69" t="s">
        <v>805</v>
      </c>
      <c r="I185" s="69">
        <v>1</v>
      </c>
      <c r="J185" s="238">
        <v>0.85</v>
      </c>
      <c r="K185" s="238">
        <v>0.66</v>
      </c>
      <c r="L185" s="69">
        <v>127.99027888971092</v>
      </c>
      <c r="M185" s="69">
        <v>0</v>
      </c>
      <c r="N185" s="69">
        <v>0</v>
      </c>
      <c r="O185" s="69">
        <v>0</v>
      </c>
      <c r="P185" s="69">
        <v>0</v>
      </c>
      <c r="Q185" s="69">
        <v>335.07000000000016</v>
      </c>
      <c r="R185" s="69">
        <v>335.07000000000016</v>
      </c>
      <c r="S185" s="69">
        <v>335.07000000000016</v>
      </c>
      <c r="T185" s="69">
        <v>335.07000000000016</v>
      </c>
      <c r="U185" s="69">
        <v>335.07000000000016</v>
      </c>
      <c r="V185" s="69">
        <v>335.07000000000016</v>
      </c>
      <c r="W185" s="69">
        <v>335.07000000000016</v>
      </c>
      <c r="X185" s="69">
        <v>335.07000000000016</v>
      </c>
      <c r="Y185" s="69">
        <v>335.07000000000016</v>
      </c>
      <c r="Z185" s="69">
        <v>335.07000000000016</v>
      </c>
      <c r="AA185" s="69">
        <v>335.07000000000016</v>
      </c>
      <c r="AB185" s="69">
        <v>335.07000000000016</v>
      </c>
      <c r="AC185" s="69">
        <v>335.07000000000016</v>
      </c>
      <c r="AD185" s="69">
        <v>335.07000000000016</v>
      </c>
      <c r="AE185" s="69">
        <v>335.07000000000016</v>
      </c>
      <c r="AF185" s="69">
        <v>335.07000000000016</v>
      </c>
      <c r="AG185" s="69">
        <v>335.07000000000016</v>
      </c>
    </row>
    <row r="186" spans="1:33" ht="12.75" customHeight="1">
      <c r="A186" s="231" t="s">
        <v>2375</v>
      </c>
      <c r="B186" s="69" t="s">
        <v>208</v>
      </c>
      <c r="C186" s="69" t="s">
        <v>187</v>
      </c>
      <c r="D186" s="69" t="s">
        <v>209</v>
      </c>
      <c r="E186" s="69" t="s">
        <v>191</v>
      </c>
      <c r="F186" s="69" t="s">
        <v>167</v>
      </c>
      <c r="G186" s="69" t="s">
        <v>192</v>
      </c>
      <c r="H186" s="69" t="s">
        <v>804</v>
      </c>
      <c r="I186" s="69">
        <v>1</v>
      </c>
      <c r="J186" s="238">
        <v>0.36</v>
      </c>
      <c r="K186" s="238">
        <v>1</v>
      </c>
      <c r="L186" s="69">
        <v>191.5297352118086</v>
      </c>
      <c r="M186" s="69">
        <v>0</v>
      </c>
      <c r="N186" s="69">
        <v>0</v>
      </c>
      <c r="O186" s="69">
        <v>0</v>
      </c>
      <c r="P186" s="69">
        <v>0</v>
      </c>
      <c r="Q186" s="69">
        <v>473.04000000000093</v>
      </c>
      <c r="R186" s="69">
        <v>473.04000000000093</v>
      </c>
      <c r="S186" s="69">
        <v>473.04000000000093</v>
      </c>
      <c r="T186" s="69">
        <v>473.04000000000093</v>
      </c>
      <c r="U186" s="69">
        <v>473.04000000000093</v>
      </c>
      <c r="V186" s="69">
        <v>473.04000000000093</v>
      </c>
      <c r="W186" s="69">
        <v>473.04000000000093</v>
      </c>
      <c r="X186" s="69">
        <v>473.04000000000093</v>
      </c>
      <c r="Y186" s="69">
        <v>473.04000000000093</v>
      </c>
      <c r="Z186" s="69">
        <v>473.04000000000093</v>
      </c>
      <c r="AA186" s="69">
        <v>473.04000000000093</v>
      </c>
      <c r="AB186" s="69">
        <v>473.04000000000093</v>
      </c>
      <c r="AC186" s="69">
        <v>473.04000000000093</v>
      </c>
      <c r="AD186" s="69">
        <v>473.04000000000093</v>
      </c>
      <c r="AE186" s="69">
        <v>473.04000000000093</v>
      </c>
      <c r="AF186" s="69">
        <v>473.04000000000093</v>
      </c>
      <c r="AG186" s="69">
        <v>473.04000000000093</v>
      </c>
    </row>
    <row r="187" spans="1:33" ht="12.75" customHeight="1">
      <c r="A187" s="231" t="s">
        <v>2375</v>
      </c>
      <c r="B187" s="69" t="s">
        <v>210</v>
      </c>
      <c r="C187" s="69" t="s">
        <v>184</v>
      </c>
      <c r="D187" s="69" t="s">
        <v>140</v>
      </c>
      <c r="E187" s="69" t="s">
        <v>191</v>
      </c>
      <c r="F187" s="69" t="s">
        <v>179</v>
      </c>
      <c r="G187" s="69" t="s">
        <v>192</v>
      </c>
      <c r="H187" s="69" t="s">
        <v>805</v>
      </c>
      <c r="I187" s="69">
        <v>2</v>
      </c>
      <c r="J187" s="238">
        <v>0.8</v>
      </c>
      <c r="K187" s="238">
        <v>0</v>
      </c>
      <c r="L187" s="69">
        <v>114.19797366361543</v>
      </c>
      <c r="M187" s="69">
        <v>0</v>
      </c>
      <c r="N187" s="69">
        <v>0</v>
      </c>
      <c r="O187" s="69">
        <v>0</v>
      </c>
      <c r="P187" s="69">
        <v>0</v>
      </c>
      <c r="Q187" s="69">
        <v>0</v>
      </c>
      <c r="R187" s="69">
        <v>0</v>
      </c>
      <c r="S187" s="69">
        <v>0</v>
      </c>
      <c r="T187" s="69">
        <v>21.024000000000033</v>
      </c>
      <c r="U187" s="69">
        <v>21.024000000000033</v>
      </c>
      <c r="V187" s="69">
        <v>21.024000000000033</v>
      </c>
      <c r="W187" s="69">
        <v>21.024000000000033</v>
      </c>
      <c r="X187" s="69">
        <v>21.024000000000033</v>
      </c>
      <c r="Y187" s="69">
        <v>21.024000000000033</v>
      </c>
      <c r="Z187" s="69">
        <v>21.024000000000033</v>
      </c>
      <c r="AA187" s="69">
        <v>21.024000000000033</v>
      </c>
      <c r="AB187" s="69">
        <v>21.024000000000033</v>
      </c>
      <c r="AC187" s="69">
        <v>21.024000000000033</v>
      </c>
      <c r="AD187" s="69">
        <v>21.024000000000033</v>
      </c>
      <c r="AE187" s="69">
        <v>21.024000000000033</v>
      </c>
      <c r="AF187" s="69">
        <v>21.024000000000033</v>
      </c>
      <c r="AG187" s="69">
        <v>21.024000000000033</v>
      </c>
    </row>
    <row r="188" spans="1:33" ht="12.75" customHeight="1">
      <c r="A188" s="231" t="s">
        <v>2375</v>
      </c>
      <c r="B188" s="69" t="s">
        <v>211</v>
      </c>
      <c r="C188" s="69" t="s">
        <v>184</v>
      </c>
      <c r="D188" s="69" t="s">
        <v>140</v>
      </c>
      <c r="E188" s="69" t="s">
        <v>191</v>
      </c>
      <c r="F188" s="69" t="s">
        <v>167</v>
      </c>
      <c r="G188" s="69" t="s">
        <v>192</v>
      </c>
      <c r="H188" s="69" t="s">
        <v>804</v>
      </c>
      <c r="I188" s="69">
        <v>1</v>
      </c>
      <c r="J188" s="238">
        <v>0.8</v>
      </c>
      <c r="K188" s="238">
        <v>0</v>
      </c>
      <c r="L188" s="69">
        <v>114.19797366361543</v>
      </c>
      <c r="M188" s="69">
        <v>0</v>
      </c>
      <c r="N188" s="69">
        <v>0</v>
      </c>
      <c r="O188" s="69">
        <v>0</v>
      </c>
      <c r="P188" s="69">
        <v>0</v>
      </c>
      <c r="Q188" s="69">
        <v>0</v>
      </c>
      <c r="R188" s="69">
        <v>70.079999999999927</v>
      </c>
      <c r="S188" s="69">
        <v>70.079999999999927</v>
      </c>
      <c r="T188" s="69">
        <v>70.079999999999927</v>
      </c>
      <c r="U188" s="69">
        <v>70.079999999999927</v>
      </c>
      <c r="V188" s="69">
        <v>70.079999999999927</v>
      </c>
      <c r="W188" s="69">
        <v>70.079999999999927</v>
      </c>
      <c r="X188" s="69">
        <v>70.079999999999927</v>
      </c>
      <c r="Y188" s="69">
        <v>70.079999999999927</v>
      </c>
      <c r="Z188" s="69">
        <v>70.079999999999927</v>
      </c>
      <c r="AA188" s="69">
        <v>70.079999999999927</v>
      </c>
      <c r="AB188" s="69">
        <v>70.079999999999927</v>
      </c>
      <c r="AC188" s="69">
        <v>70.079999999999927</v>
      </c>
      <c r="AD188" s="69">
        <v>70.079999999999927</v>
      </c>
      <c r="AE188" s="69">
        <v>70.079999999999927</v>
      </c>
      <c r="AF188" s="69">
        <v>70.079999999999927</v>
      </c>
      <c r="AG188" s="69">
        <v>70.079999999999927</v>
      </c>
    </row>
    <row r="189" spans="1:33" ht="12.75" customHeight="1">
      <c r="A189" s="231" t="s">
        <v>2375</v>
      </c>
      <c r="B189" s="69" t="s">
        <v>212</v>
      </c>
      <c r="C189" s="69" t="s">
        <v>137</v>
      </c>
      <c r="D189" s="69" t="s">
        <v>191</v>
      </c>
      <c r="E189" s="69" t="s">
        <v>213</v>
      </c>
      <c r="F189" s="69" t="s">
        <v>152</v>
      </c>
      <c r="G189" s="69" t="s">
        <v>214</v>
      </c>
      <c r="H189" s="69" t="s">
        <v>2417</v>
      </c>
      <c r="I189" s="69">
        <v>1</v>
      </c>
      <c r="J189" s="238">
        <v>0.312</v>
      </c>
      <c r="K189" s="238">
        <v>0.17064699981121567</v>
      </c>
      <c r="L189" s="69">
        <v>118.33197577111784</v>
      </c>
      <c r="M189" s="69">
        <v>0</v>
      </c>
      <c r="N189" s="69">
        <v>0</v>
      </c>
      <c r="O189" s="69">
        <v>409.96800000000076</v>
      </c>
      <c r="P189" s="69">
        <v>409.96800000000076</v>
      </c>
      <c r="Q189" s="69">
        <v>409.96800000000076</v>
      </c>
      <c r="R189" s="69">
        <v>409.96800000000076</v>
      </c>
      <c r="S189" s="69">
        <v>409.96800000000076</v>
      </c>
      <c r="T189" s="69">
        <v>409.96800000000076</v>
      </c>
      <c r="U189" s="69">
        <v>409.96800000000076</v>
      </c>
      <c r="V189" s="69">
        <v>409.96800000000076</v>
      </c>
      <c r="W189" s="69">
        <v>409.96800000000076</v>
      </c>
      <c r="X189" s="69">
        <v>409.96800000000076</v>
      </c>
      <c r="Y189" s="69">
        <v>409.96800000000076</v>
      </c>
      <c r="Z189" s="69">
        <v>409.96800000000076</v>
      </c>
      <c r="AA189" s="69">
        <v>409.96800000000076</v>
      </c>
      <c r="AB189" s="69">
        <v>409.96800000000076</v>
      </c>
      <c r="AC189" s="69">
        <v>409.96800000000076</v>
      </c>
      <c r="AD189" s="69">
        <v>409.96800000000076</v>
      </c>
      <c r="AE189" s="69">
        <v>409.96800000000076</v>
      </c>
      <c r="AF189" s="69">
        <v>409.96800000000076</v>
      </c>
      <c r="AG189" s="69">
        <v>409.96800000000076</v>
      </c>
    </row>
    <row r="190" spans="1:33" ht="12.75" customHeight="1">
      <c r="A190" s="231" t="s">
        <v>2375</v>
      </c>
      <c r="B190" s="69" t="s">
        <v>215</v>
      </c>
      <c r="C190" s="69" t="s">
        <v>137</v>
      </c>
      <c r="D190" s="69" t="s">
        <v>191</v>
      </c>
      <c r="E190" s="69" t="s">
        <v>213</v>
      </c>
      <c r="F190" s="69" t="s">
        <v>152</v>
      </c>
      <c r="G190" s="69" t="s">
        <v>214</v>
      </c>
      <c r="H190" s="69" t="s">
        <v>2417</v>
      </c>
      <c r="I190" s="69">
        <v>1</v>
      </c>
      <c r="J190" s="238">
        <v>0.312</v>
      </c>
      <c r="K190" s="238">
        <v>0.17064699981121567</v>
      </c>
      <c r="L190" s="69">
        <v>118.33197577111784</v>
      </c>
      <c r="M190" s="69">
        <v>0</v>
      </c>
      <c r="N190" s="69">
        <v>0</v>
      </c>
      <c r="O190" s="69">
        <v>0</v>
      </c>
      <c r="P190" s="69">
        <v>409.96800000000076</v>
      </c>
      <c r="Q190" s="69">
        <v>409.96800000000076</v>
      </c>
      <c r="R190" s="69">
        <v>409.96800000000076</v>
      </c>
      <c r="S190" s="69">
        <v>409.96800000000076</v>
      </c>
      <c r="T190" s="69">
        <v>409.96800000000076</v>
      </c>
      <c r="U190" s="69">
        <v>409.96800000000076</v>
      </c>
      <c r="V190" s="69">
        <v>409.96800000000076</v>
      </c>
      <c r="W190" s="69">
        <v>409.96800000000076</v>
      </c>
      <c r="X190" s="69">
        <v>409.96800000000076</v>
      </c>
      <c r="Y190" s="69">
        <v>409.96800000000076</v>
      </c>
      <c r="Z190" s="69">
        <v>409.96800000000076</v>
      </c>
      <c r="AA190" s="69">
        <v>409.96800000000076</v>
      </c>
      <c r="AB190" s="69">
        <v>409.96800000000076</v>
      </c>
      <c r="AC190" s="69">
        <v>409.96800000000076</v>
      </c>
      <c r="AD190" s="69">
        <v>409.96800000000076</v>
      </c>
      <c r="AE190" s="69">
        <v>409.96800000000076</v>
      </c>
      <c r="AF190" s="69">
        <v>409.96800000000076</v>
      </c>
      <c r="AG190" s="69">
        <v>409.96800000000076</v>
      </c>
    </row>
    <row r="191" spans="1:33" ht="12.75" customHeight="1">
      <c r="A191" s="231" t="s">
        <v>2375</v>
      </c>
      <c r="B191" s="69" t="s">
        <v>216</v>
      </c>
      <c r="C191" s="69" t="s">
        <v>137</v>
      </c>
      <c r="D191" s="69" t="s">
        <v>191</v>
      </c>
      <c r="E191" s="69" t="s">
        <v>213</v>
      </c>
      <c r="F191" s="69" t="s">
        <v>152</v>
      </c>
      <c r="G191" s="69" t="s">
        <v>214</v>
      </c>
      <c r="H191" s="69" t="s">
        <v>2417</v>
      </c>
      <c r="I191" s="69">
        <v>1</v>
      </c>
      <c r="J191" s="238">
        <v>0.312</v>
      </c>
      <c r="K191" s="238">
        <v>0.17064699981121567</v>
      </c>
      <c r="L191" s="69">
        <v>118.33197577111784</v>
      </c>
      <c r="M191" s="69">
        <v>0</v>
      </c>
      <c r="N191" s="69">
        <v>0</v>
      </c>
      <c r="O191" s="69">
        <v>0</v>
      </c>
      <c r="P191" s="69">
        <v>409.96800000000076</v>
      </c>
      <c r="Q191" s="69">
        <v>409.96800000000076</v>
      </c>
      <c r="R191" s="69">
        <v>409.96800000000076</v>
      </c>
      <c r="S191" s="69">
        <v>409.96800000000076</v>
      </c>
      <c r="T191" s="69">
        <v>409.96800000000076</v>
      </c>
      <c r="U191" s="69">
        <v>409.96800000000076</v>
      </c>
      <c r="V191" s="69">
        <v>409.96800000000076</v>
      </c>
      <c r="W191" s="69">
        <v>409.96800000000076</v>
      </c>
      <c r="X191" s="69">
        <v>409.96800000000076</v>
      </c>
      <c r="Y191" s="69">
        <v>409.96800000000076</v>
      </c>
      <c r="Z191" s="69">
        <v>409.96800000000076</v>
      </c>
      <c r="AA191" s="69">
        <v>409.96800000000076</v>
      </c>
      <c r="AB191" s="69">
        <v>409.96800000000076</v>
      </c>
      <c r="AC191" s="69">
        <v>409.96800000000076</v>
      </c>
      <c r="AD191" s="69">
        <v>409.96800000000076</v>
      </c>
      <c r="AE191" s="69">
        <v>409.96800000000076</v>
      </c>
      <c r="AF191" s="69">
        <v>409.96800000000076</v>
      </c>
      <c r="AG191" s="69">
        <v>409.96800000000076</v>
      </c>
    </row>
    <row r="192" spans="1:33" ht="12.75" customHeight="1">
      <c r="A192" s="231" t="s">
        <v>2375</v>
      </c>
      <c r="B192" s="69" t="s">
        <v>217</v>
      </c>
      <c r="C192" s="69" t="s">
        <v>186</v>
      </c>
      <c r="D192" s="69" t="s">
        <v>218</v>
      </c>
      <c r="E192" s="69" t="s">
        <v>203</v>
      </c>
      <c r="F192" s="69" t="s">
        <v>157</v>
      </c>
      <c r="G192" s="69" t="s">
        <v>192</v>
      </c>
      <c r="H192" s="69" t="s">
        <v>805</v>
      </c>
      <c r="I192" s="69">
        <v>1</v>
      </c>
      <c r="J192" s="238">
        <v>0.23561922263058244</v>
      </c>
      <c r="K192" s="238">
        <v>0</v>
      </c>
      <c r="L192" s="69">
        <v>200.17205317577552</v>
      </c>
      <c r="M192" s="69">
        <v>-4.8449039881831615</v>
      </c>
      <c r="N192" s="69">
        <v>0</v>
      </c>
      <c r="O192" s="69">
        <v>0</v>
      </c>
      <c r="P192" s="69">
        <v>41.280487804878042</v>
      </c>
      <c r="Q192" s="69">
        <v>41.280487804878042</v>
      </c>
      <c r="R192" s="69">
        <v>41.280487804878042</v>
      </c>
      <c r="S192" s="69">
        <v>41.280487804878042</v>
      </c>
      <c r="T192" s="69">
        <v>41.280487804878042</v>
      </c>
      <c r="U192" s="69">
        <v>41.280487804878042</v>
      </c>
      <c r="V192" s="69">
        <v>41.280487804878042</v>
      </c>
      <c r="W192" s="69">
        <v>41.280487804878042</v>
      </c>
      <c r="X192" s="69">
        <v>41.280487804878042</v>
      </c>
      <c r="Y192" s="69">
        <v>41.280487804878042</v>
      </c>
      <c r="Z192" s="69">
        <v>41.280487804878042</v>
      </c>
      <c r="AA192" s="69">
        <v>41.280487804878042</v>
      </c>
      <c r="AB192" s="69">
        <v>41.280487804878042</v>
      </c>
      <c r="AC192" s="69">
        <v>41.280487804878042</v>
      </c>
      <c r="AD192" s="69">
        <v>41.280487804878042</v>
      </c>
      <c r="AE192" s="69">
        <v>41.280487804878042</v>
      </c>
      <c r="AF192" s="69">
        <v>41.280487804878042</v>
      </c>
      <c r="AG192" s="69">
        <v>41.280487804878042</v>
      </c>
    </row>
    <row r="193" spans="1:33" ht="12.75" customHeight="1">
      <c r="A193" s="231" t="s">
        <v>2375</v>
      </c>
      <c r="B193" s="69" t="s">
        <v>219</v>
      </c>
      <c r="C193" s="69" t="s">
        <v>186</v>
      </c>
      <c r="D193" s="69" t="s">
        <v>218</v>
      </c>
      <c r="E193" s="69" t="s">
        <v>203</v>
      </c>
      <c r="F193" s="69" t="s">
        <v>157</v>
      </c>
      <c r="G193" s="69" t="s">
        <v>192</v>
      </c>
      <c r="H193" s="69" t="s">
        <v>805</v>
      </c>
      <c r="I193" s="69">
        <v>1</v>
      </c>
      <c r="J193" s="238">
        <v>0.23561922263058244</v>
      </c>
      <c r="K193" s="238">
        <v>0</v>
      </c>
      <c r="L193" s="69">
        <v>200.17205317577552</v>
      </c>
      <c r="M193" s="69">
        <v>-4.8449039881831615</v>
      </c>
      <c r="N193" s="69">
        <v>0</v>
      </c>
      <c r="O193" s="69">
        <v>0</v>
      </c>
      <c r="P193" s="69">
        <v>41.280487804878042</v>
      </c>
      <c r="Q193" s="69">
        <v>41.280487804878042</v>
      </c>
      <c r="R193" s="69">
        <v>41.280487804878042</v>
      </c>
      <c r="S193" s="69">
        <v>41.280487804878042</v>
      </c>
      <c r="T193" s="69">
        <v>41.280487804878042</v>
      </c>
      <c r="U193" s="69">
        <v>41.280487804878042</v>
      </c>
      <c r="V193" s="69">
        <v>41.280487804878042</v>
      </c>
      <c r="W193" s="69">
        <v>41.280487804878042</v>
      </c>
      <c r="X193" s="69">
        <v>41.280487804878042</v>
      </c>
      <c r="Y193" s="69">
        <v>41.280487804878042</v>
      </c>
      <c r="Z193" s="69">
        <v>41.280487804878042</v>
      </c>
      <c r="AA193" s="69">
        <v>41.280487804878042</v>
      </c>
      <c r="AB193" s="69">
        <v>41.280487804878042</v>
      </c>
      <c r="AC193" s="69">
        <v>41.280487804878042</v>
      </c>
      <c r="AD193" s="69">
        <v>41.280487804878042</v>
      </c>
      <c r="AE193" s="69">
        <v>41.280487804878042</v>
      </c>
      <c r="AF193" s="69">
        <v>41.280487804878042</v>
      </c>
      <c r="AG193" s="69">
        <v>41.280487804878042</v>
      </c>
    </row>
    <row r="194" spans="1:33" ht="12.75" customHeight="1">
      <c r="A194" s="231" t="s">
        <v>2375</v>
      </c>
      <c r="B194" s="69" t="s">
        <v>220</v>
      </c>
      <c r="C194" s="69" t="s">
        <v>186</v>
      </c>
      <c r="D194" s="69" t="s">
        <v>218</v>
      </c>
      <c r="E194" s="69" t="s">
        <v>203</v>
      </c>
      <c r="F194" s="69" t="s">
        <v>157</v>
      </c>
      <c r="G194" s="69" t="s">
        <v>192</v>
      </c>
      <c r="H194" s="69" t="s">
        <v>805</v>
      </c>
      <c r="I194" s="69">
        <v>1</v>
      </c>
      <c r="J194" s="238">
        <v>0.23561922263058244</v>
      </c>
      <c r="K194" s="238">
        <v>0</v>
      </c>
      <c r="L194" s="69">
        <v>200.17205317577552</v>
      </c>
      <c r="M194" s="69">
        <v>-4.8449039881831615</v>
      </c>
      <c r="N194" s="69">
        <v>0</v>
      </c>
      <c r="O194" s="69">
        <v>0</v>
      </c>
      <c r="P194" s="69">
        <v>41.280487804878035</v>
      </c>
      <c r="Q194" s="69">
        <v>41.280487804878035</v>
      </c>
      <c r="R194" s="69">
        <v>41.280487804878035</v>
      </c>
      <c r="S194" s="69">
        <v>41.280487804878035</v>
      </c>
      <c r="T194" s="69">
        <v>41.280487804878035</v>
      </c>
      <c r="U194" s="69">
        <v>41.280487804878035</v>
      </c>
      <c r="V194" s="69">
        <v>41.280487804878035</v>
      </c>
      <c r="W194" s="69">
        <v>41.280487804878035</v>
      </c>
      <c r="X194" s="69">
        <v>41.280487804878035</v>
      </c>
      <c r="Y194" s="69">
        <v>41.280487804878035</v>
      </c>
      <c r="Z194" s="69">
        <v>41.280487804878035</v>
      </c>
      <c r="AA194" s="69">
        <v>41.280487804878035</v>
      </c>
      <c r="AB194" s="69">
        <v>41.280487804878035</v>
      </c>
      <c r="AC194" s="69">
        <v>41.280487804878035</v>
      </c>
      <c r="AD194" s="69">
        <v>41.280487804878035</v>
      </c>
      <c r="AE194" s="69">
        <v>41.280487804878035</v>
      </c>
      <c r="AF194" s="69">
        <v>41.280487804878035</v>
      </c>
      <c r="AG194" s="69">
        <v>41.280487804878035</v>
      </c>
    </row>
    <row r="195" spans="1:33" ht="12.75" customHeight="1">
      <c r="A195" s="231" t="s">
        <v>2375</v>
      </c>
      <c r="B195" s="69" t="s">
        <v>221</v>
      </c>
      <c r="C195" s="69" t="s">
        <v>186</v>
      </c>
      <c r="D195" s="69" t="s">
        <v>218</v>
      </c>
      <c r="E195" s="69" t="s">
        <v>203</v>
      </c>
      <c r="F195" s="69" t="s">
        <v>157</v>
      </c>
      <c r="G195" s="69" t="s">
        <v>192</v>
      </c>
      <c r="H195" s="69" t="s">
        <v>805</v>
      </c>
      <c r="I195" s="69">
        <v>1</v>
      </c>
      <c r="J195" s="238">
        <v>0.23561922263058244</v>
      </c>
      <c r="K195" s="238">
        <v>0</v>
      </c>
      <c r="L195" s="69">
        <v>200.17205317577552</v>
      </c>
      <c r="M195" s="69">
        <v>-4.8449039881831615</v>
      </c>
      <c r="N195" s="69">
        <v>0</v>
      </c>
      <c r="O195" s="69">
        <v>0</v>
      </c>
      <c r="P195" s="69">
        <v>41.280487804878049</v>
      </c>
      <c r="Q195" s="69">
        <v>41.280487804878049</v>
      </c>
      <c r="R195" s="69">
        <v>41.280487804878049</v>
      </c>
      <c r="S195" s="69">
        <v>41.280487804878049</v>
      </c>
      <c r="T195" s="69">
        <v>41.280487804878049</v>
      </c>
      <c r="U195" s="69">
        <v>41.280487804878049</v>
      </c>
      <c r="V195" s="69">
        <v>41.280487804878049</v>
      </c>
      <c r="W195" s="69">
        <v>41.280487804878049</v>
      </c>
      <c r="X195" s="69">
        <v>41.280487804878049</v>
      </c>
      <c r="Y195" s="69">
        <v>41.280487804878049</v>
      </c>
      <c r="Z195" s="69">
        <v>41.280487804878049</v>
      </c>
      <c r="AA195" s="69">
        <v>41.280487804878049</v>
      </c>
      <c r="AB195" s="69">
        <v>41.280487804878049</v>
      </c>
      <c r="AC195" s="69">
        <v>41.280487804878049</v>
      </c>
      <c r="AD195" s="69">
        <v>41.280487804878049</v>
      </c>
      <c r="AE195" s="69">
        <v>41.280487804878049</v>
      </c>
      <c r="AF195" s="69">
        <v>41.280487804878049</v>
      </c>
      <c r="AG195" s="69">
        <v>41.280487804878049</v>
      </c>
    </row>
    <row r="196" spans="1:33" ht="12.75" customHeight="1">
      <c r="A196" s="231" t="s">
        <v>2375</v>
      </c>
      <c r="B196" s="69" t="s">
        <v>222</v>
      </c>
      <c r="C196" s="69" t="s">
        <v>186</v>
      </c>
      <c r="D196" s="69" t="s">
        <v>218</v>
      </c>
      <c r="E196" s="69" t="s">
        <v>203</v>
      </c>
      <c r="F196" s="69" t="s">
        <v>157</v>
      </c>
      <c r="G196" s="69" t="s">
        <v>192</v>
      </c>
      <c r="H196" s="69" t="s">
        <v>805</v>
      </c>
      <c r="I196" s="69">
        <v>1</v>
      </c>
      <c r="J196" s="238">
        <v>0.23561922263058249</v>
      </c>
      <c r="K196" s="238">
        <v>0</v>
      </c>
      <c r="L196" s="69">
        <v>200.17205317577549</v>
      </c>
      <c r="M196" s="69">
        <v>-4.8449039881831615</v>
      </c>
      <c r="N196" s="69">
        <v>0</v>
      </c>
      <c r="O196" s="69">
        <v>18.576219512195134</v>
      </c>
      <c r="P196" s="69">
        <v>18.576219512195134</v>
      </c>
      <c r="Q196" s="69">
        <v>18.576219512195134</v>
      </c>
      <c r="R196" s="69">
        <v>18.576219512195134</v>
      </c>
      <c r="S196" s="69">
        <v>18.576219512195134</v>
      </c>
      <c r="T196" s="69">
        <v>18.576219512195134</v>
      </c>
      <c r="U196" s="69">
        <v>18.576219512195134</v>
      </c>
      <c r="V196" s="69">
        <v>18.576219512195134</v>
      </c>
      <c r="W196" s="69">
        <v>18.576219512195134</v>
      </c>
      <c r="X196" s="69">
        <v>18.576219512195134</v>
      </c>
      <c r="Y196" s="69">
        <v>18.576219512195134</v>
      </c>
      <c r="Z196" s="69">
        <v>18.576219512195134</v>
      </c>
      <c r="AA196" s="69">
        <v>18.576219512195134</v>
      </c>
      <c r="AB196" s="69">
        <v>18.576219512195134</v>
      </c>
      <c r="AC196" s="69">
        <v>18.576219512195134</v>
      </c>
      <c r="AD196" s="69">
        <v>18.576219512195134</v>
      </c>
      <c r="AE196" s="69">
        <v>18.576219512195134</v>
      </c>
      <c r="AF196" s="69">
        <v>18.576219512195134</v>
      </c>
      <c r="AG196" s="69">
        <v>18.576219512195134</v>
      </c>
    </row>
    <row r="197" spans="1:33" ht="12.75" customHeight="1">
      <c r="A197" s="231" t="s">
        <v>2375</v>
      </c>
      <c r="B197" s="69" t="s">
        <v>223</v>
      </c>
      <c r="C197" s="69" t="s">
        <v>186</v>
      </c>
      <c r="D197" s="69" t="s">
        <v>218</v>
      </c>
      <c r="E197" s="69" t="s">
        <v>203</v>
      </c>
      <c r="F197" s="69" t="s">
        <v>157</v>
      </c>
      <c r="G197" s="69" t="s">
        <v>192</v>
      </c>
      <c r="H197" s="69" t="s">
        <v>805</v>
      </c>
      <c r="I197" s="69">
        <v>1</v>
      </c>
      <c r="J197" s="238">
        <v>0.23561922263058244</v>
      </c>
      <c r="K197" s="238">
        <v>0</v>
      </c>
      <c r="L197" s="69">
        <v>200.17205317577552</v>
      </c>
      <c r="M197" s="69">
        <v>-4.8449039881831615</v>
      </c>
      <c r="N197" s="69">
        <v>0</v>
      </c>
      <c r="O197" s="69">
        <v>41.280487804878049</v>
      </c>
      <c r="P197" s="69">
        <v>41.280487804878049</v>
      </c>
      <c r="Q197" s="69">
        <v>41.280487804878049</v>
      </c>
      <c r="R197" s="69">
        <v>41.280487804878049</v>
      </c>
      <c r="S197" s="69">
        <v>41.280487804878049</v>
      </c>
      <c r="T197" s="69">
        <v>41.280487804878049</v>
      </c>
      <c r="U197" s="69">
        <v>41.280487804878049</v>
      </c>
      <c r="V197" s="69">
        <v>41.280487804878049</v>
      </c>
      <c r="W197" s="69">
        <v>41.280487804878049</v>
      </c>
      <c r="X197" s="69">
        <v>41.280487804878049</v>
      </c>
      <c r="Y197" s="69">
        <v>41.280487804878049</v>
      </c>
      <c r="Z197" s="69">
        <v>41.280487804878049</v>
      </c>
      <c r="AA197" s="69">
        <v>41.280487804878049</v>
      </c>
      <c r="AB197" s="69">
        <v>41.280487804878049</v>
      </c>
      <c r="AC197" s="69">
        <v>41.280487804878049</v>
      </c>
      <c r="AD197" s="69">
        <v>41.280487804878049</v>
      </c>
      <c r="AE197" s="69">
        <v>41.280487804878049</v>
      </c>
      <c r="AF197" s="69">
        <v>41.280487804878049</v>
      </c>
      <c r="AG197" s="69">
        <v>41.280487804878049</v>
      </c>
    </row>
    <row r="198" spans="1:33" ht="12.75" customHeight="1">
      <c r="A198" s="231" t="s">
        <v>2375</v>
      </c>
      <c r="B198" s="69" t="s">
        <v>224</v>
      </c>
      <c r="C198" s="69" t="s">
        <v>186</v>
      </c>
      <c r="D198" s="69" t="s">
        <v>218</v>
      </c>
      <c r="E198" s="69" t="s">
        <v>203</v>
      </c>
      <c r="F198" s="69" t="s">
        <v>157</v>
      </c>
      <c r="G198" s="69" t="s">
        <v>192</v>
      </c>
      <c r="H198" s="69" t="s">
        <v>805</v>
      </c>
      <c r="I198" s="69">
        <v>1</v>
      </c>
      <c r="J198" s="238">
        <v>0.23561922263058244</v>
      </c>
      <c r="K198" s="238">
        <v>0</v>
      </c>
      <c r="L198" s="69">
        <v>200.17205317577549</v>
      </c>
      <c r="M198" s="69">
        <v>-4.8449039881831615</v>
      </c>
      <c r="N198" s="69">
        <v>0</v>
      </c>
      <c r="O198" s="69">
        <v>39.216463414634148</v>
      </c>
      <c r="P198" s="69">
        <v>39.216463414634148</v>
      </c>
      <c r="Q198" s="69">
        <v>39.216463414634148</v>
      </c>
      <c r="R198" s="69">
        <v>39.216463414634148</v>
      </c>
      <c r="S198" s="69">
        <v>39.216463414634148</v>
      </c>
      <c r="T198" s="69">
        <v>39.216463414634148</v>
      </c>
      <c r="U198" s="69">
        <v>39.216463414634148</v>
      </c>
      <c r="V198" s="69">
        <v>39.216463414634148</v>
      </c>
      <c r="W198" s="69">
        <v>39.216463414634148</v>
      </c>
      <c r="X198" s="69">
        <v>39.216463414634148</v>
      </c>
      <c r="Y198" s="69">
        <v>39.216463414634148</v>
      </c>
      <c r="Z198" s="69">
        <v>39.216463414634148</v>
      </c>
      <c r="AA198" s="69">
        <v>39.216463414634148</v>
      </c>
      <c r="AB198" s="69">
        <v>39.216463414634148</v>
      </c>
      <c r="AC198" s="69">
        <v>39.216463414634148</v>
      </c>
      <c r="AD198" s="69">
        <v>39.216463414634148</v>
      </c>
      <c r="AE198" s="69">
        <v>39.216463414634148</v>
      </c>
      <c r="AF198" s="69">
        <v>39.216463414634148</v>
      </c>
      <c r="AG198" s="69">
        <v>39.216463414634148</v>
      </c>
    </row>
    <row r="199" spans="1:33" ht="12.75" customHeight="1">
      <c r="A199" s="231" t="s">
        <v>2375</v>
      </c>
      <c r="B199" s="69" t="s">
        <v>227</v>
      </c>
      <c r="C199" s="69" t="s">
        <v>187</v>
      </c>
      <c r="D199" s="69" t="s">
        <v>191</v>
      </c>
      <c r="E199" s="69" t="s">
        <v>191</v>
      </c>
      <c r="F199" s="69" t="s">
        <v>175</v>
      </c>
      <c r="G199" s="69" t="s">
        <v>192</v>
      </c>
      <c r="H199" s="69" t="s">
        <v>804</v>
      </c>
      <c r="I199" s="69">
        <v>1</v>
      </c>
      <c r="J199" s="238">
        <v>0.2668262983999703</v>
      </c>
      <c r="K199" s="238">
        <v>0.69237077523038804</v>
      </c>
      <c r="L199" s="69">
        <v>192.38629588063705</v>
      </c>
      <c r="M199" s="69">
        <v>0</v>
      </c>
      <c r="N199" s="69">
        <v>0</v>
      </c>
      <c r="O199" s="69">
        <v>0</v>
      </c>
      <c r="P199" s="69">
        <v>565.65040650406445</v>
      </c>
      <c r="Q199" s="69">
        <v>565.65040650406445</v>
      </c>
      <c r="R199" s="69">
        <v>565.65040650406445</v>
      </c>
      <c r="S199" s="69">
        <v>565.65040650406445</v>
      </c>
      <c r="T199" s="69">
        <v>565.65040650406445</v>
      </c>
      <c r="U199" s="69">
        <v>565.65040650406445</v>
      </c>
      <c r="V199" s="69">
        <v>565.65040650406445</v>
      </c>
      <c r="W199" s="69">
        <v>565.65040650406445</v>
      </c>
      <c r="X199" s="69">
        <v>565.65040650406445</v>
      </c>
      <c r="Y199" s="69">
        <v>565.65040650406445</v>
      </c>
      <c r="Z199" s="69">
        <v>565.65040650406445</v>
      </c>
      <c r="AA199" s="69">
        <v>565.65040650406445</v>
      </c>
      <c r="AB199" s="69">
        <v>565.65040650406445</v>
      </c>
      <c r="AC199" s="69">
        <v>565.65040650406445</v>
      </c>
      <c r="AD199" s="69">
        <v>565.65040650406445</v>
      </c>
      <c r="AE199" s="69">
        <v>565.65040650406445</v>
      </c>
      <c r="AF199" s="69">
        <v>565.65040650406445</v>
      </c>
      <c r="AG199" s="69">
        <v>565.65040650406445</v>
      </c>
    </row>
    <row r="200" spans="1:33" ht="12.75" customHeight="1">
      <c r="A200" s="231" t="s">
        <v>2375</v>
      </c>
      <c r="B200" s="69" t="s">
        <v>235</v>
      </c>
      <c r="C200" s="69" t="s">
        <v>139</v>
      </c>
      <c r="D200" s="69" t="s">
        <v>191</v>
      </c>
      <c r="E200" s="69" t="s">
        <v>191</v>
      </c>
      <c r="F200" s="69" t="s">
        <v>166</v>
      </c>
      <c r="G200" s="69" t="s">
        <v>236</v>
      </c>
      <c r="H200" s="69" t="s">
        <v>2417</v>
      </c>
      <c r="I200" s="69">
        <v>1</v>
      </c>
      <c r="J200" s="238">
        <v>0.85</v>
      </c>
      <c r="K200" s="238">
        <v>0.60506988845340159</v>
      </c>
      <c r="L200" s="69">
        <v>123.91348598076651</v>
      </c>
      <c r="M200" s="69">
        <v>0</v>
      </c>
      <c r="N200" s="69">
        <v>0</v>
      </c>
      <c r="O200" s="69">
        <v>0</v>
      </c>
      <c r="P200" s="69">
        <v>0</v>
      </c>
      <c r="Q200" s="69">
        <v>238.27199999999993</v>
      </c>
      <c r="R200" s="69">
        <v>238.27199999999993</v>
      </c>
      <c r="S200" s="69">
        <v>238.27199999999993</v>
      </c>
      <c r="T200" s="69">
        <v>238.27199999999993</v>
      </c>
      <c r="U200" s="69">
        <v>238.27199999999993</v>
      </c>
      <c r="V200" s="69">
        <v>238.27199999999993</v>
      </c>
      <c r="W200" s="69">
        <v>238.27199999999993</v>
      </c>
      <c r="X200" s="69">
        <v>238.27199999999993</v>
      </c>
      <c r="Y200" s="69">
        <v>238.27199999999993</v>
      </c>
      <c r="Z200" s="69">
        <v>238.27199999999993</v>
      </c>
      <c r="AA200" s="69">
        <v>238.27199999999993</v>
      </c>
      <c r="AB200" s="69">
        <v>238.27199999999993</v>
      </c>
      <c r="AC200" s="69">
        <v>238.27199999999993</v>
      </c>
      <c r="AD200" s="69">
        <v>238.27199999999993</v>
      </c>
      <c r="AE200" s="69">
        <v>238.27199999999993</v>
      </c>
      <c r="AF200" s="69">
        <v>238.27199999999993</v>
      </c>
      <c r="AG200" s="69">
        <v>238.27199999999993</v>
      </c>
    </row>
    <row r="201" spans="1:33" ht="12.75" customHeight="1">
      <c r="A201" s="231" t="s">
        <v>2375</v>
      </c>
      <c r="B201" s="69" t="s">
        <v>237</v>
      </c>
      <c r="C201" s="69" t="s">
        <v>185</v>
      </c>
      <c r="D201" s="69" t="s">
        <v>205</v>
      </c>
      <c r="E201" s="69" t="s">
        <v>194</v>
      </c>
      <c r="F201" s="69" t="s">
        <v>175</v>
      </c>
      <c r="G201" s="69" t="s">
        <v>192</v>
      </c>
      <c r="H201" s="69" t="s">
        <v>804</v>
      </c>
      <c r="I201" s="69">
        <v>1</v>
      </c>
      <c r="J201" s="238">
        <v>0.26624999999999999</v>
      </c>
      <c r="K201" s="238">
        <v>0.50027165852802347</v>
      </c>
      <c r="L201" s="69">
        <v>147.69233230629843</v>
      </c>
      <c r="M201" s="69">
        <v>0</v>
      </c>
      <c r="N201" s="69">
        <v>0</v>
      </c>
      <c r="O201" s="69">
        <v>0</v>
      </c>
      <c r="P201" s="69">
        <v>0</v>
      </c>
      <c r="Q201" s="69">
        <v>0</v>
      </c>
      <c r="R201" s="69">
        <v>0</v>
      </c>
      <c r="S201" s="69">
        <v>583.08749999999964</v>
      </c>
      <c r="T201" s="69">
        <v>583.08749999999964</v>
      </c>
      <c r="U201" s="69">
        <v>583.08749999999964</v>
      </c>
      <c r="V201" s="69">
        <v>583.08749999999964</v>
      </c>
      <c r="W201" s="69">
        <v>583.08749999999964</v>
      </c>
      <c r="X201" s="69">
        <v>583.08749999999964</v>
      </c>
      <c r="Y201" s="69">
        <v>583.08749999999964</v>
      </c>
      <c r="Z201" s="69">
        <v>583.08749999999964</v>
      </c>
      <c r="AA201" s="69">
        <v>583.08749999999964</v>
      </c>
      <c r="AB201" s="69">
        <v>583.08749999999964</v>
      </c>
      <c r="AC201" s="69">
        <v>583.08749999999964</v>
      </c>
      <c r="AD201" s="69">
        <v>583.08749999999964</v>
      </c>
      <c r="AE201" s="69">
        <v>583.08749999999964</v>
      </c>
      <c r="AF201" s="69">
        <v>583.08749999999964</v>
      </c>
      <c r="AG201" s="69">
        <v>583.08749999999964</v>
      </c>
    </row>
    <row r="202" spans="1:33" ht="12.75" customHeight="1">
      <c r="A202" s="231" t="s">
        <v>2375</v>
      </c>
      <c r="B202" s="69" t="s">
        <v>238</v>
      </c>
      <c r="C202" s="69" t="s">
        <v>136</v>
      </c>
      <c r="D202" s="69" t="s">
        <v>191</v>
      </c>
      <c r="E202" s="69" t="s">
        <v>191</v>
      </c>
      <c r="F202" s="69" t="s">
        <v>161</v>
      </c>
      <c r="G202" s="69" t="s">
        <v>192</v>
      </c>
      <c r="H202" s="69" t="s">
        <v>2130</v>
      </c>
      <c r="I202" s="69">
        <v>1</v>
      </c>
      <c r="J202" s="238">
        <v>0.82499999999999996</v>
      </c>
      <c r="K202" s="238">
        <v>0.70497163608542901</v>
      </c>
      <c r="L202" s="69">
        <v>109.81489691553389</v>
      </c>
      <c r="M202" s="69">
        <v>0</v>
      </c>
      <c r="N202" s="69">
        <v>0</v>
      </c>
      <c r="O202" s="69">
        <v>0</v>
      </c>
      <c r="P202" s="69">
        <v>0</v>
      </c>
      <c r="Q202" s="69">
        <v>0</v>
      </c>
      <c r="R202" s="69">
        <v>89.27876877359509</v>
      </c>
      <c r="S202" s="69">
        <v>89.27876877359509</v>
      </c>
      <c r="T202" s="69">
        <v>89.27876877359509</v>
      </c>
      <c r="U202" s="69">
        <v>89.27876877359509</v>
      </c>
      <c r="V202" s="69">
        <v>89.27876877359509</v>
      </c>
      <c r="W202" s="69">
        <v>89.27876877359509</v>
      </c>
      <c r="X202" s="69">
        <v>89.27876877359509</v>
      </c>
      <c r="Y202" s="69">
        <v>89.27876877359509</v>
      </c>
      <c r="Z202" s="69">
        <v>89.27876877359509</v>
      </c>
      <c r="AA202" s="69">
        <v>89.27876877359509</v>
      </c>
      <c r="AB202" s="69">
        <v>89.27876877359509</v>
      </c>
      <c r="AC202" s="69">
        <v>89.27876877359509</v>
      </c>
      <c r="AD202" s="69">
        <v>89.27876877359509</v>
      </c>
      <c r="AE202" s="69">
        <v>89.27876877359509</v>
      </c>
      <c r="AF202" s="69">
        <v>89.27876877359509</v>
      </c>
      <c r="AG202" s="69">
        <v>89.27876877359509</v>
      </c>
    </row>
    <row r="203" spans="1:33" ht="12.75" customHeight="1">
      <c r="A203" s="231" t="s">
        <v>2375</v>
      </c>
      <c r="B203" s="69" t="s">
        <v>239</v>
      </c>
      <c r="C203" s="69" t="s">
        <v>137</v>
      </c>
      <c r="D203" s="69" t="s">
        <v>191</v>
      </c>
      <c r="E203" s="69" t="s">
        <v>191</v>
      </c>
      <c r="F203" s="69" t="s">
        <v>180</v>
      </c>
      <c r="G203" s="69" t="s">
        <v>192</v>
      </c>
      <c r="H203" s="69" t="s">
        <v>804</v>
      </c>
      <c r="I203" s="69">
        <v>2</v>
      </c>
      <c r="J203" s="238">
        <v>0.32235762917068039</v>
      </c>
      <c r="K203" s="238">
        <v>0.160195270625522</v>
      </c>
      <c r="L203" s="69">
        <v>96.038728079112801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56.477056630705199</v>
      </c>
      <c r="S203" s="69">
        <v>56.477056630705199</v>
      </c>
      <c r="T203" s="69">
        <v>56.477056630705199</v>
      </c>
      <c r="U203" s="69">
        <v>56.477056630705199</v>
      </c>
      <c r="V203" s="69">
        <v>56.477056630705199</v>
      </c>
      <c r="W203" s="69">
        <v>56.477056630705199</v>
      </c>
      <c r="X203" s="69">
        <v>56.477056630705199</v>
      </c>
      <c r="Y203" s="69">
        <v>56.477056630705199</v>
      </c>
      <c r="Z203" s="69">
        <v>56.477056630705199</v>
      </c>
      <c r="AA203" s="69">
        <v>56.477056630705199</v>
      </c>
      <c r="AB203" s="69">
        <v>56.477056630705199</v>
      </c>
      <c r="AC203" s="69">
        <v>56.477056630705199</v>
      </c>
      <c r="AD203" s="69">
        <v>56.477056630705199</v>
      </c>
      <c r="AE203" s="69">
        <v>56.477056630705199</v>
      </c>
      <c r="AF203" s="69">
        <v>56.477056630705199</v>
      </c>
      <c r="AG203" s="69">
        <v>56.477056630705199</v>
      </c>
    </row>
    <row r="204" spans="1:33" ht="12.75" customHeight="1">
      <c r="A204" s="231" t="s">
        <v>2375</v>
      </c>
      <c r="B204" s="69" t="s">
        <v>240</v>
      </c>
      <c r="C204" s="69" t="s">
        <v>137</v>
      </c>
      <c r="D204" s="69" t="s">
        <v>191</v>
      </c>
      <c r="E204" s="69" t="s">
        <v>191</v>
      </c>
      <c r="F204" s="69" t="s">
        <v>180</v>
      </c>
      <c r="G204" s="69" t="s">
        <v>192</v>
      </c>
      <c r="H204" s="69" t="s">
        <v>804</v>
      </c>
      <c r="I204" s="69">
        <v>2</v>
      </c>
      <c r="J204" s="238">
        <v>0.32235762917068039</v>
      </c>
      <c r="K204" s="238">
        <v>0.160195270625522</v>
      </c>
      <c r="L204" s="69">
        <v>96.038728079112801</v>
      </c>
      <c r="M204" s="69">
        <v>0</v>
      </c>
      <c r="N204" s="69">
        <v>0</v>
      </c>
      <c r="O204" s="69">
        <v>0</v>
      </c>
      <c r="P204" s="69">
        <v>0</v>
      </c>
      <c r="Q204" s="69">
        <v>0</v>
      </c>
      <c r="R204" s="69">
        <v>11.295411326143949</v>
      </c>
      <c r="S204" s="69">
        <v>11.295411326143949</v>
      </c>
      <c r="T204" s="69">
        <v>11.295411326143949</v>
      </c>
      <c r="U204" s="69">
        <v>11.295411326143949</v>
      </c>
      <c r="V204" s="69">
        <v>11.295411326143949</v>
      </c>
      <c r="W204" s="69">
        <v>11.295411326143949</v>
      </c>
      <c r="X204" s="69">
        <v>11.295411326143949</v>
      </c>
      <c r="Y204" s="69">
        <v>11.295411326143949</v>
      </c>
      <c r="Z204" s="69">
        <v>11.295411326143949</v>
      </c>
      <c r="AA204" s="69">
        <v>11.295411326143949</v>
      </c>
      <c r="AB204" s="69">
        <v>11.295411326143949</v>
      </c>
      <c r="AC204" s="69">
        <v>11.295411326143949</v>
      </c>
      <c r="AD204" s="69">
        <v>11.295411326143949</v>
      </c>
      <c r="AE204" s="69">
        <v>11.295411326143949</v>
      </c>
      <c r="AF204" s="69">
        <v>11.295411326143949</v>
      </c>
      <c r="AG204" s="69">
        <v>11.295411326143949</v>
      </c>
    </row>
    <row r="205" spans="1:33" ht="12.75" customHeight="1">
      <c r="A205" s="231" t="s">
        <v>2375</v>
      </c>
      <c r="B205" s="69" t="s">
        <v>241</v>
      </c>
      <c r="C205" s="69" t="s">
        <v>186</v>
      </c>
      <c r="D205" s="69" t="s">
        <v>218</v>
      </c>
      <c r="E205" s="69" t="s">
        <v>242</v>
      </c>
      <c r="F205" s="69" t="s">
        <v>158</v>
      </c>
      <c r="G205" s="69" t="s">
        <v>192</v>
      </c>
      <c r="H205" s="69" t="s">
        <v>804</v>
      </c>
      <c r="I205" s="69">
        <v>1</v>
      </c>
      <c r="J205" s="238">
        <v>0.24339198871440765</v>
      </c>
      <c r="K205" s="238">
        <v>0</v>
      </c>
      <c r="L205" s="69">
        <v>193.77952335557677</v>
      </c>
      <c r="M205" s="69">
        <v>-4.6901811248808389</v>
      </c>
      <c r="N205" s="69">
        <v>0</v>
      </c>
      <c r="O205" s="69">
        <v>0</v>
      </c>
      <c r="P205" s="69">
        <v>0</v>
      </c>
      <c r="Q205" s="69">
        <v>42.642276422764212</v>
      </c>
      <c r="R205" s="69">
        <v>42.642276422764212</v>
      </c>
      <c r="S205" s="69">
        <v>42.642276422764212</v>
      </c>
      <c r="T205" s="69">
        <v>42.642276422764212</v>
      </c>
      <c r="U205" s="69">
        <v>42.642276422764212</v>
      </c>
      <c r="V205" s="69">
        <v>42.642276422764212</v>
      </c>
      <c r="W205" s="69">
        <v>42.642276422764212</v>
      </c>
      <c r="X205" s="69">
        <v>42.642276422764212</v>
      </c>
      <c r="Y205" s="69">
        <v>42.642276422764212</v>
      </c>
      <c r="Z205" s="69">
        <v>42.642276422764212</v>
      </c>
      <c r="AA205" s="69">
        <v>42.642276422764212</v>
      </c>
      <c r="AB205" s="69">
        <v>42.642276422764212</v>
      </c>
      <c r="AC205" s="69">
        <v>42.642276422764212</v>
      </c>
      <c r="AD205" s="69">
        <v>42.642276422764212</v>
      </c>
      <c r="AE205" s="69">
        <v>42.642276422764212</v>
      </c>
      <c r="AF205" s="69">
        <v>42.642276422764212</v>
      </c>
      <c r="AG205" s="69">
        <v>42.642276422764212</v>
      </c>
    </row>
    <row r="206" spans="1:33" ht="12.75" customHeight="1">
      <c r="A206" s="231" t="s">
        <v>2375</v>
      </c>
      <c r="B206" s="69" t="s">
        <v>243</v>
      </c>
      <c r="C206" s="69" t="s">
        <v>186</v>
      </c>
      <c r="D206" s="69" t="s">
        <v>218</v>
      </c>
      <c r="E206" s="69" t="s">
        <v>244</v>
      </c>
      <c r="F206" s="69" t="s">
        <v>158</v>
      </c>
      <c r="G206" s="69" t="s">
        <v>192</v>
      </c>
      <c r="H206" s="69" t="s">
        <v>804</v>
      </c>
      <c r="I206" s="69">
        <v>1</v>
      </c>
      <c r="J206" s="238">
        <v>0.2668262983999703</v>
      </c>
      <c r="K206" s="238">
        <v>0</v>
      </c>
      <c r="L206" s="69">
        <v>176.76062608695653</v>
      </c>
      <c r="M206" s="69">
        <v>-4.2782608695652176</v>
      </c>
      <c r="N206" s="69">
        <v>46.747967479674799</v>
      </c>
      <c r="O206" s="69">
        <v>46.747967479674799</v>
      </c>
      <c r="P206" s="69">
        <v>46.747967479674799</v>
      </c>
      <c r="Q206" s="69">
        <v>46.747967479674799</v>
      </c>
      <c r="R206" s="69">
        <v>46.747967479674799</v>
      </c>
      <c r="S206" s="69">
        <v>46.747967479674799</v>
      </c>
      <c r="T206" s="69">
        <v>46.747967479674799</v>
      </c>
      <c r="U206" s="69">
        <v>46.747967479674799</v>
      </c>
      <c r="V206" s="69">
        <v>46.747967479674799</v>
      </c>
      <c r="W206" s="69">
        <v>46.747967479674799</v>
      </c>
      <c r="X206" s="69">
        <v>46.747967479674799</v>
      </c>
      <c r="Y206" s="69">
        <v>46.747967479674799</v>
      </c>
      <c r="Z206" s="69">
        <v>46.747967479674799</v>
      </c>
      <c r="AA206" s="69">
        <v>46.747967479674799</v>
      </c>
      <c r="AB206" s="69">
        <v>46.747967479674799</v>
      </c>
      <c r="AC206" s="69">
        <v>46.747967479674799</v>
      </c>
      <c r="AD206" s="69">
        <v>46.747967479674799</v>
      </c>
      <c r="AE206" s="69">
        <v>46.747967479674799</v>
      </c>
      <c r="AF206" s="69">
        <v>46.747967479674799</v>
      </c>
      <c r="AG206" s="69">
        <v>46.747967479674799</v>
      </c>
    </row>
    <row r="207" spans="1:33" ht="12.75" customHeight="1">
      <c r="A207" s="231" t="s">
        <v>2375</v>
      </c>
      <c r="B207" s="69" t="s">
        <v>245</v>
      </c>
      <c r="C207" s="69" t="s">
        <v>137</v>
      </c>
      <c r="D207" s="69" t="s">
        <v>191</v>
      </c>
      <c r="E207" s="69" t="s">
        <v>191</v>
      </c>
      <c r="F207" s="69" t="s">
        <v>180</v>
      </c>
      <c r="G207" s="69" t="s">
        <v>192</v>
      </c>
      <c r="H207" s="69" t="s">
        <v>804</v>
      </c>
      <c r="I207" s="69">
        <v>2</v>
      </c>
      <c r="J207" s="238">
        <v>0.32235762917068039</v>
      </c>
      <c r="K207" s="238">
        <v>0.160195270625522</v>
      </c>
      <c r="L207" s="69">
        <v>96.038728079112801</v>
      </c>
      <c r="M207" s="69">
        <v>0</v>
      </c>
      <c r="N207" s="69">
        <v>0</v>
      </c>
      <c r="O207" s="69">
        <v>0</v>
      </c>
      <c r="P207" s="69">
        <v>0</v>
      </c>
      <c r="Q207" s="69">
        <v>0</v>
      </c>
      <c r="R207" s="69">
        <v>56.477056630705199</v>
      </c>
      <c r="S207" s="69">
        <v>56.477056630705199</v>
      </c>
      <c r="T207" s="69">
        <v>56.477056630705199</v>
      </c>
      <c r="U207" s="69">
        <v>56.477056630705199</v>
      </c>
      <c r="V207" s="69">
        <v>56.477056630705199</v>
      </c>
      <c r="W207" s="69">
        <v>56.477056630705199</v>
      </c>
      <c r="X207" s="69">
        <v>56.477056630705199</v>
      </c>
      <c r="Y207" s="69">
        <v>56.477056630705199</v>
      </c>
      <c r="Z207" s="69">
        <v>56.477056630705199</v>
      </c>
      <c r="AA207" s="69">
        <v>56.477056630705199</v>
      </c>
      <c r="AB207" s="69">
        <v>56.477056630705199</v>
      </c>
      <c r="AC207" s="69">
        <v>56.477056630705199</v>
      </c>
      <c r="AD207" s="69">
        <v>56.477056630705199</v>
      </c>
      <c r="AE207" s="69">
        <v>56.477056630705199</v>
      </c>
      <c r="AF207" s="69">
        <v>56.477056630705199</v>
      </c>
      <c r="AG207" s="69">
        <v>56.477056630705199</v>
      </c>
    </row>
    <row r="208" spans="1:33" ht="12.75" customHeight="1">
      <c r="A208" s="231" t="s">
        <v>2375</v>
      </c>
      <c r="B208" s="69" t="s">
        <v>246</v>
      </c>
      <c r="C208" s="69" t="s">
        <v>186</v>
      </c>
      <c r="D208" s="69" t="s">
        <v>218</v>
      </c>
      <c r="E208" s="69" t="s">
        <v>244</v>
      </c>
      <c r="F208" s="69" t="s">
        <v>158</v>
      </c>
      <c r="G208" s="69" t="s">
        <v>192</v>
      </c>
      <c r="H208" s="69" t="s">
        <v>804</v>
      </c>
      <c r="I208" s="69">
        <v>1</v>
      </c>
      <c r="J208" s="238">
        <v>0.2668262983999703</v>
      </c>
      <c r="K208" s="238">
        <v>0</v>
      </c>
      <c r="L208" s="69">
        <v>176.76062608695653</v>
      </c>
      <c r="M208" s="69">
        <v>-4.2782608695652176</v>
      </c>
      <c r="N208" s="69">
        <v>0</v>
      </c>
      <c r="O208" s="69">
        <v>0</v>
      </c>
      <c r="P208" s="69">
        <v>0</v>
      </c>
      <c r="Q208" s="69">
        <v>11.6869918699187</v>
      </c>
      <c r="R208" s="69">
        <v>11.6869918699187</v>
      </c>
      <c r="S208" s="69">
        <v>11.6869918699187</v>
      </c>
      <c r="T208" s="69">
        <v>11.6869918699187</v>
      </c>
      <c r="U208" s="69">
        <v>11.6869918699187</v>
      </c>
      <c r="V208" s="69">
        <v>11.6869918699187</v>
      </c>
      <c r="W208" s="69">
        <v>11.6869918699187</v>
      </c>
      <c r="X208" s="69">
        <v>11.6869918699187</v>
      </c>
      <c r="Y208" s="69">
        <v>11.6869918699187</v>
      </c>
      <c r="Z208" s="69">
        <v>11.6869918699187</v>
      </c>
      <c r="AA208" s="69">
        <v>11.6869918699187</v>
      </c>
      <c r="AB208" s="69">
        <v>11.6869918699187</v>
      </c>
      <c r="AC208" s="69">
        <v>11.6869918699187</v>
      </c>
      <c r="AD208" s="69">
        <v>11.6869918699187</v>
      </c>
      <c r="AE208" s="69">
        <v>11.6869918699187</v>
      </c>
      <c r="AF208" s="69">
        <v>11.6869918699187</v>
      </c>
      <c r="AG208" s="69">
        <v>11.6869918699187</v>
      </c>
    </row>
    <row r="209" spans="1:33" ht="12.75" customHeight="1">
      <c r="A209" s="231" t="s">
        <v>2375</v>
      </c>
      <c r="B209" s="69" t="s">
        <v>247</v>
      </c>
      <c r="C209" s="69" t="s">
        <v>186</v>
      </c>
      <c r="D209" s="69" t="s">
        <v>218</v>
      </c>
      <c r="E209" s="69" t="s">
        <v>244</v>
      </c>
      <c r="F209" s="69" t="s">
        <v>158</v>
      </c>
      <c r="G209" s="69" t="s">
        <v>192</v>
      </c>
      <c r="H209" s="69" t="s">
        <v>804</v>
      </c>
      <c r="I209" s="69">
        <v>1</v>
      </c>
      <c r="J209" s="238">
        <v>0.2668262983999703</v>
      </c>
      <c r="K209" s="238">
        <v>0</v>
      </c>
      <c r="L209" s="69">
        <v>176.76062608695653</v>
      </c>
      <c r="M209" s="69">
        <v>-4.2782608695652176</v>
      </c>
      <c r="N209" s="69">
        <v>0</v>
      </c>
      <c r="O209" s="69">
        <v>0</v>
      </c>
      <c r="P209" s="69">
        <v>0</v>
      </c>
      <c r="Q209" s="69">
        <v>46.747967479674799</v>
      </c>
      <c r="R209" s="69">
        <v>46.747967479674799</v>
      </c>
      <c r="S209" s="69">
        <v>46.747967479674799</v>
      </c>
      <c r="T209" s="69">
        <v>46.747967479674799</v>
      </c>
      <c r="U209" s="69">
        <v>46.747967479674799</v>
      </c>
      <c r="V209" s="69">
        <v>46.747967479674799</v>
      </c>
      <c r="W209" s="69">
        <v>46.747967479674799</v>
      </c>
      <c r="X209" s="69">
        <v>46.747967479674799</v>
      </c>
      <c r="Y209" s="69">
        <v>46.747967479674799</v>
      </c>
      <c r="Z209" s="69">
        <v>46.747967479674799</v>
      </c>
      <c r="AA209" s="69">
        <v>46.747967479674799</v>
      </c>
      <c r="AB209" s="69">
        <v>46.747967479674799</v>
      </c>
      <c r="AC209" s="69">
        <v>46.747967479674799</v>
      </c>
      <c r="AD209" s="69">
        <v>46.747967479674799</v>
      </c>
      <c r="AE209" s="69">
        <v>46.747967479674799</v>
      </c>
      <c r="AF209" s="69">
        <v>46.747967479674799</v>
      </c>
      <c r="AG209" s="69">
        <v>46.747967479674799</v>
      </c>
    </row>
    <row r="210" spans="1:33" ht="12.75" customHeight="1">
      <c r="A210" s="231" t="s">
        <v>2375</v>
      </c>
      <c r="B210" s="69" t="s">
        <v>248</v>
      </c>
      <c r="C210" s="69" t="s">
        <v>186</v>
      </c>
      <c r="D210" s="69" t="s">
        <v>218</v>
      </c>
      <c r="E210" s="69" t="s">
        <v>244</v>
      </c>
      <c r="F210" s="69" t="s">
        <v>158</v>
      </c>
      <c r="G210" s="69" t="s">
        <v>192</v>
      </c>
      <c r="H210" s="69" t="s">
        <v>804</v>
      </c>
      <c r="I210" s="69">
        <v>1</v>
      </c>
      <c r="J210" s="238">
        <v>0.2668262983999703</v>
      </c>
      <c r="K210" s="238">
        <v>0</v>
      </c>
      <c r="L210" s="69">
        <v>176.76062608695653</v>
      </c>
      <c r="M210" s="69">
        <v>-4.2782608695652176</v>
      </c>
      <c r="N210" s="69">
        <v>0</v>
      </c>
      <c r="O210" s="69">
        <v>0</v>
      </c>
      <c r="P210" s="69">
        <v>0</v>
      </c>
      <c r="Q210" s="69">
        <v>46.747967479674799</v>
      </c>
      <c r="R210" s="69">
        <v>46.747967479674799</v>
      </c>
      <c r="S210" s="69">
        <v>46.747967479674799</v>
      </c>
      <c r="T210" s="69">
        <v>46.747967479674799</v>
      </c>
      <c r="U210" s="69">
        <v>46.747967479674799</v>
      </c>
      <c r="V210" s="69">
        <v>46.747967479674799</v>
      </c>
      <c r="W210" s="69">
        <v>46.747967479674799</v>
      </c>
      <c r="X210" s="69">
        <v>46.747967479674799</v>
      </c>
      <c r="Y210" s="69">
        <v>46.747967479674799</v>
      </c>
      <c r="Z210" s="69">
        <v>46.747967479674799</v>
      </c>
      <c r="AA210" s="69">
        <v>46.747967479674799</v>
      </c>
      <c r="AB210" s="69">
        <v>46.747967479674799</v>
      </c>
      <c r="AC210" s="69">
        <v>46.747967479674799</v>
      </c>
      <c r="AD210" s="69">
        <v>46.747967479674799</v>
      </c>
      <c r="AE210" s="69">
        <v>46.747967479674799</v>
      </c>
      <c r="AF210" s="69">
        <v>46.747967479674799</v>
      </c>
      <c r="AG210" s="69">
        <v>46.747967479674799</v>
      </c>
    </row>
    <row r="211" spans="1:33" ht="12.75" customHeight="1">
      <c r="A211" s="231" t="s">
        <v>2375</v>
      </c>
      <c r="B211" s="69" t="s">
        <v>249</v>
      </c>
      <c r="C211" s="69" t="s">
        <v>186</v>
      </c>
      <c r="D211" s="69" t="s">
        <v>218</v>
      </c>
      <c r="E211" s="69" t="s">
        <v>244</v>
      </c>
      <c r="F211" s="69" t="s">
        <v>158</v>
      </c>
      <c r="G211" s="69" t="s">
        <v>192</v>
      </c>
      <c r="H211" s="69" t="s">
        <v>804</v>
      </c>
      <c r="I211" s="69">
        <v>1</v>
      </c>
      <c r="J211" s="238">
        <v>0.2668262983999703</v>
      </c>
      <c r="K211" s="238">
        <v>0</v>
      </c>
      <c r="L211" s="69">
        <v>176.76062608695653</v>
      </c>
      <c r="M211" s="69">
        <v>-4.2782608695652176</v>
      </c>
      <c r="N211" s="69">
        <v>0</v>
      </c>
      <c r="O211" s="69">
        <v>0</v>
      </c>
      <c r="P211" s="69">
        <v>0</v>
      </c>
      <c r="Q211" s="69">
        <v>0</v>
      </c>
      <c r="R211" s="69">
        <v>46.747967479674799</v>
      </c>
      <c r="S211" s="69">
        <v>46.747967479674799</v>
      </c>
      <c r="T211" s="69">
        <v>46.747967479674799</v>
      </c>
      <c r="U211" s="69">
        <v>46.747967479674799</v>
      </c>
      <c r="V211" s="69">
        <v>46.747967479674799</v>
      </c>
      <c r="W211" s="69">
        <v>46.747967479674799</v>
      </c>
      <c r="X211" s="69">
        <v>46.747967479674799</v>
      </c>
      <c r="Y211" s="69">
        <v>46.747967479674799</v>
      </c>
      <c r="Z211" s="69">
        <v>46.747967479674799</v>
      </c>
      <c r="AA211" s="69">
        <v>46.747967479674799</v>
      </c>
      <c r="AB211" s="69">
        <v>46.747967479674799</v>
      </c>
      <c r="AC211" s="69">
        <v>46.747967479674799</v>
      </c>
      <c r="AD211" s="69">
        <v>46.747967479674799</v>
      </c>
      <c r="AE211" s="69">
        <v>46.747967479674799</v>
      </c>
      <c r="AF211" s="69">
        <v>46.747967479674799</v>
      </c>
      <c r="AG211" s="69">
        <v>46.747967479674799</v>
      </c>
    </row>
    <row r="212" spans="1:33" ht="12.75" customHeight="1">
      <c r="A212" s="231" t="s">
        <v>2375</v>
      </c>
      <c r="B212" s="69" t="s">
        <v>250</v>
      </c>
      <c r="C212" s="69" t="s">
        <v>186</v>
      </c>
      <c r="D212" s="69" t="s">
        <v>218</v>
      </c>
      <c r="E212" s="69" t="s">
        <v>244</v>
      </c>
      <c r="F212" s="69" t="s">
        <v>158</v>
      </c>
      <c r="G212" s="69" t="s">
        <v>192</v>
      </c>
      <c r="H212" s="69" t="s">
        <v>804</v>
      </c>
      <c r="I212" s="69">
        <v>1</v>
      </c>
      <c r="J212" s="238">
        <v>0.2668262983999703</v>
      </c>
      <c r="K212" s="238">
        <v>0</v>
      </c>
      <c r="L212" s="69">
        <v>176.76062608695653</v>
      </c>
      <c r="M212" s="69">
        <v>-4.2782608695652176</v>
      </c>
      <c r="N212" s="69">
        <v>0</v>
      </c>
      <c r="O212" s="69">
        <v>0</v>
      </c>
      <c r="P212" s="69">
        <v>0</v>
      </c>
      <c r="Q212" s="69">
        <v>0</v>
      </c>
      <c r="R212" s="69">
        <v>46.747967479674799</v>
      </c>
      <c r="S212" s="69">
        <v>46.747967479674799</v>
      </c>
      <c r="T212" s="69">
        <v>46.747967479674799</v>
      </c>
      <c r="U212" s="69">
        <v>46.747967479674799</v>
      </c>
      <c r="V212" s="69">
        <v>46.747967479674799</v>
      </c>
      <c r="W212" s="69">
        <v>46.747967479674799</v>
      </c>
      <c r="X212" s="69">
        <v>46.747967479674799</v>
      </c>
      <c r="Y212" s="69">
        <v>46.747967479674799</v>
      </c>
      <c r="Z212" s="69">
        <v>46.747967479674799</v>
      </c>
      <c r="AA212" s="69">
        <v>46.747967479674799</v>
      </c>
      <c r="AB212" s="69">
        <v>46.747967479674799</v>
      </c>
      <c r="AC212" s="69">
        <v>46.747967479674799</v>
      </c>
      <c r="AD212" s="69">
        <v>46.747967479674799</v>
      </c>
      <c r="AE212" s="69">
        <v>46.747967479674799</v>
      </c>
      <c r="AF212" s="69">
        <v>46.747967479674799</v>
      </c>
      <c r="AG212" s="69">
        <v>46.747967479674799</v>
      </c>
    </row>
    <row r="213" spans="1:33" ht="12.75" customHeight="1">
      <c r="A213" s="231" t="s">
        <v>2375</v>
      </c>
      <c r="B213" s="69" t="s">
        <v>251</v>
      </c>
      <c r="C213" s="69" t="s">
        <v>186</v>
      </c>
      <c r="D213" s="69" t="s">
        <v>218</v>
      </c>
      <c r="E213" s="69" t="s">
        <v>244</v>
      </c>
      <c r="F213" s="69" t="s">
        <v>158</v>
      </c>
      <c r="G213" s="69" t="s">
        <v>192</v>
      </c>
      <c r="H213" s="69" t="s">
        <v>804</v>
      </c>
      <c r="I213" s="69">
        <v>1</v>
      </c>
      <c r="J213" s="238">
        <v>0.2668262983999703</v>
      </c>
      <c r="K213" s="238">
        <v>0</v>
      </c>
      <c r="L213" s="69">
        <v>176.76062608695653</v>
      </c>
      <c r="M213" s="69">
        <v>-4.2782608695652176</v>
      </c>
      <c r="N213" s="69">
        <v>0</v>
      </c>
      <c r="O213" s="69">
        <v>0</v>
      </c>
      <c r="P213" s="69">
        <v>0</v>
      </c>
      <c r="Q213" s="69">
        <v>0</v>
      </c>
      <c r="R213" s="69">
        <v>35.060975609756042</v>
      </c>
      <c r="S213" s="69">
        <v>35.060975609756042</v>
      </c>
      <c r="T213" s="69">
        <v>35.060975609756042</v>
      </c>
      <c r="U213" s="69">
        <v>35.060975609756042</v>
      </c>
      <c r="V213" s="69">
        <v>35.060975609756042</v>
      </c>
      <c r="W213" s="69">
        <v>35.060975609756042</v>
      </c>
      <c r="X213" s="69">
        <v>35.060975609756042</v>
      </c>
      <c r="Y213" s="69">
        <v>35.060975609756042</v>
      </c>
      <c r="Z213" s="69">
        <v>35.060975609756042</v>
      </c>
      <c r="AA213" s="69">
        <v>35.060975609756042</v>
      </c>
      <c r="AB213" s="69">
        <v>35.060975609756042</v>
      </c>
      <c r="AC213" s="69">
        <v>35.060975609756042</v>
      </c>
      <c r="AD213" s="69">
        <v>35.060975609756042</v>
      </c>
      <c r="AE213" s="69">
        <v>35.060975609756042</v>
      </c>
      <c r="AF213" s="69">
        <v>35.060975609756042</v>
      </c>
      <c r="AG213" s="69">
        <v>35.060975609756042</v>
      </c>
    </row>
    <row r="214" spans="1:33" ht="12.75" customHeight="1">
      <c r="A214" s="231" t="s">
        <v>2375</v>
      </c>
      <c r="B214" s="69" t="s">
        <v>252</v>
      </c>
      <c r="C214" s="69" t="s">
        <v>137</v>
      </c>
      <c r="D214" s="69" t="s">
        <v>191</v>
      </c>
      <c r="E214" s="69" t="s">
        <v>191</v>
      </c>
      <c r="F214" s="69" t="s">
        <v>169</v>
      </c>
      <c r="G214" s="69" t="s">
        <v>192</v>
      </c>
      <c r="H214" s="69" t="s">
        <v>804</v>
      </c>
      <c r="I214" s="69">
        <v>1</v>
      </c>
      <c r="J214" s="238">
        <v>0.32235762917068039</v>
      </c>
      <c r="K214" s="238">
        <v>0.16115831843295012</v>
      </c>
      <c r="L214" s="69">
        <v>96.038728079112801</v>
      </c>
      <c r="M214" s="69">
        <v>0</v>
      </c>
      <c r="N214" s="69">
        <v>0</v>
      </c>
      <c r="O214" s="69">
        <v>112.95411326140629</v>
      </c>
      <c r="P214" s="69">
        <v>112.95411326140629</v>
      </c>
      <c r="Q214" s="69">
        <v>112.95411326140629</v>
      </c>
      <c r="R214" s="69">
        <v>112.95411326140629</v>
      </c>
      <c r="S214" s="69">
        <v>112.95411326140629</v>
      </c>
      <c r="T214" s="69">
        <v>112.95411326140629</v>
      </c>
      <c r="U214" s="69">
        <v>112.95411326140629</v>
      </c>
      <c r="V214" s="69">
        <v>112.95411326140629</v>
      </c>
      <c r="W214" s="69">
        <v>112.95411326140629</v>
      </c>
      <c r="X214" s="69">
        <v>112.95411326140629</v>
      </c>
      <c r="Y214" s="69">
        <v>112.95411326140629</v>
      </c>
      <c r="Z214" s="69">
        <v>112.95411326140629</v>
      </c>
      <c r="AA214" s="69">
        <v>112.95411326140629</v>
      </c>
      <c r="AB214" s="69">
        <v>112.95411326140629</v>
      </c>
      <c r="AC214" s="69">
        <v>112.95411326140629</v>
      </c>
      <c r="AD214" s="69">
        <v>112.95411326140629</v>
      </c>
      <c r="AE214" s="69">
        <v>112.95411326140629</v>
      </c>
      <c r="AF214" s="69">
        <v>112.95411326140629</v>
      </c>
      <c r="AG214" s="69">
        <v>112.95411326140629</v>
      </c>
    </row>
    <row r="215" spans="1:33" ht="12.75" customHeight="1">
      <c r="A215" s="231" t="s">
        <v>2375</v>
      </c>
      <c r="B215" s="69" t="s">
        <v>254</v>
      </c>
      <c r="C215" s="69" t="s">
        <v>137</v>
      </c>
      <c r="D215" s="69" t="s">
        <v>191</v>
      </c>
      <c r="E215" s="69" t="s">
        <v>191</v>
      </c>
      <c r="F215" s="69" t="s">
        <v>179</v>
      </c>
      <c r="G215" s="69" t="s">
        <v>192</v>
      </c>
      <c r="H215" s="69" t="s">
        <v>805</v>
      </c>
      <c r="I215" s="69">
        <v>1</v>
      </c>
      <c r="J215" s="238">
        <v>0.32235762917068039</v>
      </c>
      <c r="K215" s="238">
        <v>0.16152665976075289</v>
      </c>
      <c r="L215" s="69">
        <v>96.038728079112801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107.30640759833626</v>
      </c>
      <c r="U215" s="69">
        <v>107.30640759833626</v>
      </c>
      <c r="V215" s="69">
        <v>107.30640759833626</v>
      </c>
      <c r="W215" s="69">
        <v>107.30640759833626</v>
      </c>
      <c r="X215" s="69">
        <v>107.30640759833626</v>
      </c>
      <c r="Y215" s="69">
        <v>107.30640759833626</v>
      </c>
      <c r="Z215" s="69">
        <v>107.30640759833626</v>
      </c>
      <c r="AA215" s="69">
        <v>107.30640759833626</v>
      </c>
      <c r="AB215" s="69">
        <v>107.30640759833626</v>
      </c>
      <c r="AC215" s="69">
        <v>107.30640759833626</v>
      </c>
      <c r="AD215" s="69">
        <v>107.30640759833626</v>
      </c>
      <c r="AE215" s="69">
        <v>107.30640759833626</v>
      </c>
      <c r="AF215" s="69">
        <v>107.30640759833626</v>
      </c>
      <c r="AG215" s="69">
        <v>107.30640759833626</v>
      </c>
    </row>
    <row r="216" spans="1:33" ht="12.75" customHeight="1">
      <c r="A216" s="231" t="s">
        <v>2375</v>
      </c>
      <c r="B216" s="69" t="s">
        <v>255</v>
      </c>
      <c r="C216" s="69" t="s">
        <v>139</v>
      </c>
      <c r="D216" s="69" t="s">
        <v>191</v>
      </c>
      <c r="E216" s="69" t="s">
        <v>191</v>
      </c>
      <c r="F216" s="69" t="s">
        <v>167</v>
      </c>
      <c r="G216" s="69" t="s">
        <v>192</v>
      </c>
      <c r="H216" s="69" t="s">
        <v>805</v>
      </c>
      <c r="I216" s="69">
        <v>1</v>
      </c>
      <c r="J216" s="238">
        <v>0.85</v>
      </c>
      <c r="K216" s="238">
        <v>0.66</v>
      </c>
      <c r="L216" s="69">
        <v>127.99027888971092</v>
      </c>
      <c r="M216" s="69">
        <v>0</v>
      </c>
      <c r="N216" s="69">
        <v>0</v>
      </c>
      <c r="O216" s="69">
        <v>0</v>
      </c>
      <c r="P216" s="69">
        <v>0</v>
      </c>
      <c r="Q216" s="69">
        <v>37.230000000000018</v>
      </c>
      <c r="R216" s="69">
        <v>37.230000000000018</v>
      </c>
      <c r="S216" s="69">
        <v>37.230000000000018</v>
      </c>
      <c r="T216" s="69">
        <v>37.230000000000018</v>
      </c>
      <c r="U216" s="69">
        <v>37.230000000000018</v>
      </c>
      <c r="V216" s="69">
        <v>37.230000000000018</v>
      </c>
      <c r="W216" s="69">
        <v>37.230000000000018</v>
      </c>
      <c r="X216" s="69">
        <v>37.230000000000018</v>
      </c>
      <c r="Y216" s="69">
        <v>37.230000000000018</v>
      </c>
      <c r="Z216" s="69">
        <v>37.230000000000018</v>
      </c>
      <c r="AA216" s="69">
        <v>37.230000000000018</v>
      </c>
      <c r="AB216" s="69">
        <v>37.230000000000018</v>
      </c>
      <c r="AC216" s="69">
        <v>37.230000000000018</v>
      </c>
      <c r="AD216" s="69">
        <v>37.230000000000018</v>
      </c>
      <c r="AE216" s="69">
        <v>37.230000000000018</v>
      </c>
      <c r="AF216" s="69">
        <v>37.230000000000018</v>
      </c>
      <c r="AG216" s="69">
        <v>37.230000000000018</v>
      </c>
    </row>
    <row r="217" spans="1:33" ht="12.75" customHeight="1">
      <c r="A217" s="231" t="s">
        <v>2375</v>
      </c>
      <c r="B217" s="69" t="s">
        <v>257</v>
      </c>
      <c r="C217" s="69" t="s">
        <v>137</v>
      </c>
      <c r="D217" s="69" t="s">
        <v>191</v>
      </c>
      <c r="E217" s="69" t="s">
        <v>191</v>
      </c>
      <c r="F217" s="69" t="s">
        <v>176</v>
      </c>
      <c r="G217" s="69" t="s">
        <v>192</v>
      </c>
      <c r="H217" s="69" t="s">
        <v>805</v>
      </c>
      <c r="I217" s="69">
        <v>1</v>
      </c>
      <c r="J217" s="238">
        <v>0.32235762917068039</v>
      </c>
      <c r="K217" s="238">
        <v>0.16099729857063147</v>
      </c>
      <c r="L217" s="69">
        <v>96.038728079112801</v>
      </c>
      <c r="M217" s="69">
        <v>0</v>
      </c>
      <c r="N217" s="69">
        <v>220.82529142605017</v>
      </c>
      <c r="O217" s="69">
        <v>220.82529142605017</v>
      </c>
      <c r="P217" s="69">
        <v>220.82529142605017</v>
      </c>
      <c r="Q217" s="69">
        <v>220.82529142605017</v>
      </c>
      <c r="R217" s="69">
        <v>220.82529142605017</v>
      </c>
      <c r="S217" s="69">
        <v>220.82529142605017</v>
      </c>
      <c r="T217" s="69">
        <v>220.82529142605017</v>
      </c>
      <c r="U217" s="69">
        <v>220.82529142605017</v>
      </c>
      <c r="V217" s="69">
        <v>220.82529142605017</v>
      </c>
      <c r="W217" s="69">
        <v>220.82529142605017</v>
      </c>
      <c r="X217" s="69">
        <v>220.82529142605017</v>
      </c>
      <c r="Y217" s="69">
        <v>220.82529142605017</v>
      </c>
      <c r="Z217" s="69">
        <v>220.82529142605017</v>
      </c>
      <c r="AA217" s="69">
        <v>220.82529142605017</v>
      </c>
      <c r="AB217" s="69">
        <v>220.82529142605017</v>
      </c>
      <c r="AC217" s="69">
        <v>220.82529142605017</v>
      </c>
      <c r="AD217" s="69">
        <v>220.82529142605017</v>
      </c>
      <c r="AE217" s="69">
        <v>220.82529142605017</v>
      </c>
      <c r="AF217" s="69">
        <v>220.82529142605017</v>
      </c>
      <c r="AG217" s="69">
        <v>220.82529142605017</v>
      </c>
    </row>
    <row r="218" spans="1:33" ht="12.75" customHeight="1">
      <c r="A218" s="231" t="s">
        <v>2375</v>
      </c>
      <c r="B218" s="69" t="s">
        <v>258</v>
      </c>
      <c r="C218" s="69" t="s">
        <v>186</v>
      </c>
      <c r="D218" s="69" t="s">
        <v>259</v>
      </c>
      <c r="E218" s="69" t="s">
        <v>260</v>
      </c>
      <c r="F218" s="69" t="s">
        <v>157</v>
      </c>
      <c r="G218" s="69" t="s">
        <v>192</v>
      </c>
      <c r="H218" s="69" t="s">
        <v>805</v>
      </c>
      <c r="I218" s="69">
        <v>1</v>
      </c>
      <c r="J218" s="238">
        <v>0.21868155325388869</v>
      </c>
      <c r="K218" s="238">
        <v>0</v>
      </c>
      <c r="L218" s="69">
        <v>224.75395225464192</v>
      </c>
      <c r="M218" s="69">
        <v>-5.2201591511936343</v>
      </c>
      <c r="N218" s="69">
        <v>0</v>
      </c>
      <c r="O218" s="69">
        <v>0</v>
      </c>
      <c r="P218" s="69">
        <v>0</v>
      </c>
      <c r="Q218" s="69">
        <v>3.8313008130081698</v>
      </c>
      <c r="R218" s="69">
        <v>3.8313008130081698</v>
      </c>
      <c r="S218" s="69">
        <v>3.8313008130081698</v>
      </c>
      <c r="T218" s="69">
        <v>3.8313008130081698</v>
      </c>
      <c r="U218" s="69">
        <v>3.8313008130081698</v>
      </c>
      <c r="V218" s="69">
        <v>3.8313008130081698</v>
      </c>
      <c r="W218" s="69">
        <v>3.8313008130081698</v>
      </c>
      <c r="X218" s="69">
        <v>3.8313008130081698</v>
      </c>
      <c r="Y218" s="69">
        <v>3.8313008130081698</v>
      </c>
      <c r="Z218" s="69">
        <v>3.8313008130081698</v>
      </c>
      <c r="AA218" s="69">
        <v>3.8313008130081698</v>
      </c>
      <c r="AB218" s="69">
        <v>3.8313008130081698</v>
      </c>
      <c r="AC218" s="69">
        <v>3.8313008130081698</v>
      </c>
      <c r="AD218" s="69">
        <v>3.8313008130081698</v>
      </c>
      <c r="AE218" s="69">
        <v>3.8313008130081698</v>
      </c>
      <c r="AF218" s="69">
        <v>3.8313008130081698</v>
      </c>
      <c r="AG218" s="69">
        <v>3.8313008130081698</v>
      </c>
    </row>
    <row r="219" spans="1:33" ht="12.75" customHeight="1">
      <c r="A219" s="231" t="s">
        <v>2375</v>
      </c>
      <c r="B219" s="69" t="s">
        <v>261</v>
      </c>
      <c r="C219" s="69" t="s">
        <v>186</v>
      </c>
      <c r="D219" s="69" t="s">
        <v>259</v>
      </c>
      <c r="E219" s="69" t="s">
        <v>203</v>
      </c>
      <c r="F219" s="69" t="s">
        <v>157</v>
      </c>
      <c r="G219" s="69" t="s">
        <v>192</v>
      </c>
      <c r="H219" s="69" t="s">
        <v>805</v>
      </c>
      <c r="I219" s="69">
        <v>1</v>
      </c>
      <c r="J219" s="238">
        <v>0.23561922263058244</v>
      </c>
      <c r="K219" s="238">
        <v>0</v>
      </c>
      <c r="L219" s="69">
        <v>208.59734121122602</v>
      </c>
      <c r="M219" s="69">
        <v>-4.8449039881831615</v>
      </c>
      <c r="N219" s="69">
        <v>10.32012195121956</v>
      </c>
      <c r="O219" s="69">
        <v>10.32012195121956</v>
      </c>
      <c r="P219" s="69">
        <v>10.32012195121956</v>
      </c>
      <c r="Q219" s="69">
        <v>10.32012195121956</v>
      </c>
      <c r="R219" s="69">
        <v>10.32012195121956</v>
      </c>
      <c r="S219" s="69">
        <v>10.32012195121956</v>
      </c>
      <c r="T219" s="69">
        <v>10.32012195121956</v>
      </c>
      <c r="U219" s="69">
        <v>10.32012195121956</v>
      </c>
      <c r="V219" s="69">
        <v>10.32012195121956</v>
      </c>
      <c r="W219" s="69">
        <v>10.32012195121956</v>
      </c>
      <c r="X219" s="69">
        <v>10.32012195121956</v>
      </c>
      <c r="Y219" s="69">
        <v>10.32012195121956</v>
      </c>
      <c r="Z219" s="69">
        <v>10.32012195121956</v>
      </c>
      <c r="AA219" s="69">
        <v>10.32012195121956</v>
      </c>
      <c r="AB219" s="69">
        <v>10.32012195121956</v>
      </c>
      <c r="AC219" s="69">
        <v>10.32012195121956</v>
      </c>
      <c r="AD219" s="69">
        <v>10.32012195121956</v>
      </c>
      <c r="AE219" s="69">
        <v>10.32012195121956</v>
      </c>
      <c r="AF219" s="69">
        <v>10.32012195121956</v>
      </c>
      <c r="AG219" s="69">
        <v>10.32012195121956</v>
      </c>
    </row>
    <row r="220" spans="1:33" ht="12.75" customHeight="1">
      <c r="A220" s="231" t="s">
        <v>2375</v>
      </c>
      <c r="B220" s="69" t="s">
        <v>263</v>
      </c>
      <c r="C220" s="69" t="s">
        <v>187</v>
      </c>
      <c r="D220" s="69" t="s">
        <v>191</v>
      </c>
      <c r="E220" s="69" t="s">
        <v>191</v>
      </c>
      <c r="F220" s="69" t="s">
        <v>165</v>
      </c>
      <c r="G220" s="69" t="s">
        <v>201</v>
      </c>
      <c r="H220" s="69" t="s">
        <v>2417</v>
      </c>
      <c r="I220" s="69">
        <v>1</v>
      </c>
      <c r="J220" s="238">
        <v>0.2668262983999703</v>
      </c>
      <c r="K220" s="238">
        <v>0.75151071165035721</v>
      </c>
      <c r="L220" s="69">
        <v>173.23511247417511</v>
      </c>
      <c r="M220" s="69">
        <v>0</v>
      </c>
      <c r="N220" s="69">
        <v>0</v>
      </c>
      <c r="O220" s="69">
        <v>0</v>
      </c>
      <c r="P220" s="69">
        <v>0</v>
      </c>
      <c r="Q220" s="69">
        <v>0</v>
      </c>
      <c r="R220" s="69">
        <v>467.47967479674838</v>
      </c>
      <c r="S220" s="69">
        <v>467.47967479674838</v>
      </c>
      <c r="T220" s="69">
        <v>467.47967479674838</v>
      </c>
      <c r="U220" s="69">
        <v>467.47967479674838</v>
      </c>
      <c r="V220" s="69">
        <v>467.47967479674838</v>
      </c>
      <c r="W220" s="69">
        <v>467.47967479674838</v>
      </c>
      <c r="X220" s="69">
        <v>467.47967479674838</v>
      </c>
      <c r="Y220" s="69">
        <v>467.47967479674838</v>
      </c>
      <c r="Z220" s="69">
        <v>467.47967479674838</v>
      </c>
      <c r="AA220" s="69">
        <v>467.47967479674838</v>
      </c>
      <c r="AB220" s="69">
        <v>467.47967479674838</v>
      </c>
      <c r="AC220" s="69">
        <v>467.47967479674838</v>
      </c>
      <c r="AD220" s="69">
        <v>467.47967479674838</v>
      </c>
      <c r="AE220" s="69">
        <v>467.47967479674838</v>
      </c>
      <c r="AF220" s="69">
        <v>467.47967479674838</v>
      </c>
      <c r="AG220" s="69">
        <v>467.47967479674838</v>
      </c>
    </row>
    <row r="221" spans="1:33" ht="12.75" customHeight="1">
      <c r="A221" s="231" t="s">
        <v>2375</v>
      </c>
      <c r="B221" s="69" t="s">
        <v>265</v>
      </c>
      <c r="C221" s="69" t="s">
        <v>187</v>
      </c>
      <c r="D221" s="69" t="s">
        <v>191</v>
      </c>
      <c r="E221" s="69" t="s">
        <v>191</v>
      </c>
      <c r="F221" s="69" t="s">
        <v>165</v>
      </c>
      <c r="G221" s="69" t="s">
        <v>201</v>
      </c>
      <c r="H221" s="69" t="s">
        <v>2417</v>
      </c>
      <c r="I221" s="69">
        <v>1</v>
      </c>
      <c r="J221" s="238">
        <v>0.2668262983999703</v>
      </c>
      <c r="K221" s="238">
        <v>0.75151071165035721</v>
      </c>
      <c r="L221" s="69">
        <v>173.23511247417511</v>
      </c>
      <c r="M221" s="69">
        <v>0</v>
      </c>
      <c r="N221" s="69">
        <v>0</v>
      </c>
      <c r="O221" s="69">
        <v>0</v>
      </c>
      <c r="P221" s="69">
        <v>0</v>
      </c>
      <c r="Q221" s="69">
        <v>0</v>
      </c>
      <c r="R221" s="69">
        <v>0</v>
      </c>
      <c r="S221" s="69">
        <v>467.47967479674838</v>
      </c>
      <c r="T221" s="69">
        <v>467.47967479674838</v>
      </c>
      <c r="U221" s="69">
        <v>467.47967479674838</v>
      </c>
      <c r="V221" s="69">
        <v>467.47967479674838</v>
      </c>
      <c r="W221" s="69">
        <v>467.47967479674838</v>
      </c>
      <c r="X221" s="69">
        <v>467.47967479674838</v>
      </c>
      <c r="Y221" s="69">
        <v>467.47967479674838</v>
      </c>
      <c r="Z221" s="69">
        <v>467.47967479674838</v>
      </c>
      <c r="AA221" s="69">
        <v>467.47967479674838</v>
      </c>
      <c r="AB221" s="69">
        <v>467.47967479674838</v>
      </c>
      <c r="AC221" s="69">
        <v>467.47967479674838</v>
      </c>
      <c r="AD221" s="69">
        <v>467.47967479674838</v>
      </c>
      <c r="AE221" s="69">
        <v>467.47967479674838</v>
      </c>
      <c r="AF221" s="69">
        <v>467.47967479674838</v>
      </c>
      <c r="AG221" s="69">
        <v>467.47967479674838</v>
      </c>
    </row>
    <row r="222" spans="1:33" ht="12.75" customHeight="1">
      <c r="A222" s="231" t="s">
        <v>2375</v>
      </c>
      <c r="B222" s="69" t="s">
        <v>266</v>
      </c>
      <c r="C222" s="69" t="s">
        <v>184</v>
      </c>
      <c r="D222" s="69" t="s">
        <v>140</v>
      </c>
      <c r="E222" s="69" t="s">
        <v>191</v>
      </c>
      <c r="F222" s="69" t="s">
        <v>167</v>
      </c>
      <c r="G222" s="69" t="s">
        <v>192</v>
      </c>
      <c r="H222" s="69" t="s">
        <v>806</v>
      </c>
      <c r="I222" s="69">
        <v>1</v>
      </c>
      <c r="J222" s="238">
        <v>0.8</v>
      </c>
      <c r="K222" s="238">
        <v>0</v>
      </c>
      <c r="L222" s="69">
        <v>114.19797366361543</v>
      </c>
      <c r="M222" s="69">
        <v>0</v>
      </c>
      <c r="N222" s="69">
        <v>0</v>
      </c>
      <c r="O222" s="69">
        <v>14.016000000000078</v>
      </c>
      <c r="P222" s="69">
        <v>14.016000000000078</v>
      </c>
      <c r="Q222" s="69">
        <v>14.016000000000078</v>
      </c>
      <c r="R222" s="69">
        <v>14.016000000000078</v>
      </c>
      <c r="S222" s="69">
        <v>14.016000000000078</v>
      </c>
      <c r="T222" s="69">
        <v>14.016000000000078</v>
      </c>
      <c r="U222" s="69">
        <v>14.016000000000078</v>
      </c>
      <c r="V222" s="69">
        <v>14.016000000000078</v>
      </c>
      <c r="W222" s="69">
        <v>14.016000000000078</v>
      </c>
      <c r="X222" s="69">
        <v>14.016000000000078</v>
      </c>
      <c r="Y222" s="69">
        <v>14.016000000000078</v>
      </c>
      <c r="Z222" s="69">
        <v>14.016000000000078</v>
      </c>
      <c r="AA222" s="69">
        <v>14.016000000000078</v>
      </c>
      <c r="AB222" s="69">
        <v>14.016000000000078</v>
      </c>
      <c r="AC222" s="69">
        <v>14.016000000000078</v>
      </c>
      <c r="AD222" s="69">
        <v>14.016000000000078</v>
      </c>
      <c r="AE222" s="69">
        <v>14.016000000000078</v>
      </c>
      <c r="AF222" s="69">
        <v>14.016000000000078</v>
      </c>
      <c r="AG222" s="69">
        <v>14.016000000000078</v>
      </c>
    </row>
    <row r="223" spans="1:33" ht="12.75" customHeight="1">
      <c r="A223" s="231" t="s">
        <v>2375</v>
      </c>
      <c r="B223" s="69" t="s">
        <v>267</v>
      </c>
      <c r="C223" s="69" t="s">
        <v>185</v>
      </c>
      <c r="D223" s="69" t="s">
        <v>205</v>
      </c>
      <c r="E223" s="69" t="s">
        <v>203</v>
      </c>
      <c r="F223" s="69" t="s">
        <v>155</v>
      </c>
      <c r="G223" s="69" t="s">
        <v>192</v>
      </c>
      <c r="H223" s="69" t="s">
        <v>805</v>
      </c>
      <c r="I223" s="69">
        <v>1</v>
      </c>
      <c r="J223" s="238">
        <v>0.23499999999999996</v>
      </c>
      <c r="K223" s="238">
        <v>0.49648345467934024</v>
      </c>
      <c r="L223" s="69">
        <v>166.98446712238427</v>
      </c>
      <c r="M223" s="69">
        <v>0</v>
      </c>
      <c r="N223" s="69">
        <v>0</v>
      </c>
      <c r="O223" s="69">
        <v>308.79000000000087</v>
      </c>
      <c r="P223" s="69">
        <v>308.79000000000087</v>
      </c>
      <c r="Q223" s="69">
        <v>308.79000000000087</v>
      </c>
      <c r="R223" s="69">
        <v>308.79000000000087</v>
      </c>
      <c r="S223" s="69">
        <v>308.79000000000087</v>
      </c>
      <c r="T223" s="69">
        <v>308.79000000000087</v>
      </c>
      <c r="U223" s="69">
        <v>308.79000000000087</v>
      </c>
      <c r="V223" s="69">
        <v>308.79000000000087</v>
      </c>
      <c r="W223" s="69">
        <v>308.79000000000087</v>
      </c>
      <c r="X223" s="69">
        <v>308.79000000000087</v>
      </c>
      <c r="Y223" s="69">
        <v>308.79000000000087</v>
      </c>
      <c r="Z223" s="69">
        <v>308.79000000000087</v>
      </c>
      <c r="AA223" s="69">
        <v>308.79000000000087</v>
      </c>
      <c r="AB223" s="69">
        <v>308.79000000000087</v>
      </c>
      <c r="AC223" s="69">
        <v>308.79000000000087</v>
      </c>
      <c r="AD223" s="69">
        <v>308.79000000000087</v>
      </c>
      <c r="AE223" s="69">
        <v>308.79000000000087</v>
      </c>
      <c r="AF223" s="69">
        <v>308.79000000000087</v>
      </c>
      <c r="AG223" s="69">
        <v>308.79000000000087</v>
      </c>
    </row>
    <row r="224" spans="1:33" ht="12.75" customHeight="1">
      <c r="A224" s="231" t="s">
        <v>2375</v>
      </c>
      <c r="B224" s="69" t="s">
        <v>268</v>
      </c>
      <c r="C224" s="69" t="s">
        <v>185</v>
      </c>
      <c r="D224" s="69" t="s">
        <v>205</v>
      </c>
      <c r="E224" s="69" t="s">
        <v>203</v>
      </c>
      <c r="F224" s="69" t="s">
        <v>155</v>
      </c>
      <c r="G224" s="69" t="s">
        <v>192</v>
      </c>
      <c r="H224" s="69" t="s">
        <v>805</v>
      </c>
      <c r="I224" s="69">
        <v>1</v>
      </c>
      <c r="J224" s="238">
        <v>0.23499999999999999</v>
      </c>
      <c r="K224" s="238">
        <v>0.49648345467934019</v>
      </c>
      <c r="L224" s="69">
        <v>166.98446712238427</v>
      </c>
      <c r="M224" s="69">
        <v>0</v>
      </c>
      <c r="N224" s="69">
        <v>0</v>
      </c>
      <c r="O224" s="69">
        <v>0</v>
      </c>
      <c r="P224" s="69">
        <v>0</v>
      </c>
      <c r="Q224" s="69">
        <v>226.44599999999991</v>
      </c>
      <c r="R224" s="69">
        <v>226.44599999999991</v>
      </c>
      <c r="S224" s="69">
        <v>823.43999999999994</v>
      </c>
      <c r="T224" s="69">
        <v>823.43999999999994</v>
      </c>
      <c r="U224" s="69">
        <v>823.43999999999994</v>
      </c>
      <c r="V224" s="69">
        <v>823.43999999999994</v>
      </c>
      <c r="W224" s="69">
        <v>823.43999999999994</v>
      </c>
      <c r="X224" s="69">
        <v>823.43999999999994</v>
      </c>
      <c r="Y224" s="69">
        <v>823.43999999999994</v>
      </c>
      <c r="Z224" s="69">
        <v>823.43999999999994</v>
      </c>
      <c r="AA224" s="69">
        <v>823.43999999999994</v>
      </c>
      <c r="AB224" s="69">
        <v>823.43999999999994</v>
      </c>
      <c r="AC224" s="69">
        <v>823.43999999999994</v>
      </c>
      <c r="AD224" s="69">
        <v>823.43999999999994</v>
      </c>
      <c r="AE224" s="69">
        <v>823.43999999999994</v>
      </c>
      <c r="AF224" s="69">
        <v>823.43999999999994</v>
      </c>
      <c r="AG224" s="69">
        <v>823.43999999999994</v>
      </c>
    </row>
    <row r="225" spans="1:33" ht="12.75" customHeight="1">
      <c r="A225" s="231" t="s">
        <v>2375</v>
      </c>
      <c r="B225" s="69" t="s">
        <v>269</v>
      </c>
      <c r="C225" s="69" t="s">
        <v>185</v>
      </c>
      <c r="D225" s="69" t="s">
        <v>193</v>
      </c>
      <c r="E225" s="69" t="s">
        <v>203</v>
      </c>
      <c r="F225" s="69" t="s">
        <v>155</v>
      </c>
      <c r="G225" s="69" t="s">
        <v>192</v>
      </c>
      <c r="H225" s="69" t="s">
        <v>805</v>
      </c>
      <c r="I225" s="69">
        <v>1</v>
      </c>
      <c r="J225" s="238">
        <v>0.26649999999999996</v>
      </c>
      <c r="K225" s="238">
        <v>0.63277303047366895</v>
      </c>
      <c r="L225" s="69">
        <v>173.91260768823273</v>
      </c>
      <c r="M225" s="69">
        <v>0</v>
      </c>
      <c r="N225" s="69">
        <v>0</v>
      </c>
      <c r="O225" s="69">
        <v>0</v>
      </c>
      <c r="P225" s="69">
        <v>0</v>
      </c>
      <c r="Q225" s="69">
        <v>0</v>
      </c>
      <c r="R225" s="69">
        <v>0</v>
      </c>
      <c r="S225" s="69">
        <v>49.025340000000007</v>
      </c>
      <c r="T225" s="69">
        <v>49.025340000000007</v>
      </c>
      <c r="U225" s="69">
        <v>49.025340000000007</v>
      </c>
      <c r="V225" s="69">
        <v>49.025340000000007</v>
      </c>
      <c r="W225" s="69">
        <v>49.025340000000007</v>
      </c>
      <c r="X225" s="69">
        <v>49.025340000000007</v>
      </c>
      <c r="Y225" s="69">
        <v>49.025340000000007</v>
      </c>
      <c r="Z225" s="69">
        <v>49.025340000000007</v>
      </c>
      <c r="AA225" s="69">
        <v>49.025340000000007</v>
      </c>
      <c r="AB225" s="69">
        <v>49.025340000000007</v>
      </c>
      <c r="AC225" s="69">
        <v>49.025340000000007</v>
      </c>
      <c r="AD225" s="69">
        <v>49.025340000000007</v>
      </c>
      <c r="AE225" s="69">
        <v>49.025340000000007</v>
      </c>
      <c r="AF225" s="69">
        <v>49.025340000000007</v>
      </c>
      <c r="AG225" s="69">
        <v>49.025340000000007</v>
      </c>
    </row>
    <row r="226" spans="1:33" ht="12.75" customHeight="1">
      <c r="A226" s="231" t="s">
        <v>2375</v>
      </c>
      <c r="B226" s="69" t="s">
        <v>270</v>
      </c>
      <c r="C226" s="69" t="s">
        <v>185</v>
      </c>
      <c r="D226" s="69" t="s">
        <v>193</v>
      </c>
      <c r="E226" s="69" t="s">
        <v>203</v>
      </c>
      <c r="F226" s="69" t="s">
        <v>155</v>
      </c>
      <c r="G226" s="69" t="s">
        <v>192</v>
      </c>
      <c r="H226" s="69" t="s">
        <v>805</v>
      </c>
      <c r="I226" s="69">
        <v>1</v>
      </c>
      <c r="J226" s="238">
        <v>0.26649999999999996</v>
      </c>
      <c r="K226" s="238">
        <v>0.63277303047366895</v>
      </c>
      <c r="L226" s="69">
        <v>173.91260768823275</v>
      </c>
      <c r="M226" s="69">
        <v>0</v>
      </c>
      <c r="N226" s="69">
        <v>0</v>
      </c>
      <c r="O226" s="69">
        <v>0</v>
      </c>
      <c r="P226" s="69">
        <v>0</v>
      </c>
      <c r="Q226" s="69">
        <v>0</v>
      </c>
      <c r="R226" s="69">
        <v>0</v>
      </c>
      <c r="S226" s="69">
        <v>147.07602</v>
      </c>
      <c r="T226" s="69">
        <v>147.07602</v>
      </c>
      <c r="U226" s="69">
        <v>147.07602</v>
      </c>
      <c r="V226" s="69">
        <v>147.07602</v>
      </c>
      <c r="W226" s="69">
        <v>147.07602</v>
      </c>
      <c r="X226" s="69">
        <v>147.07602</v>
      </c>
      <c r="Y226" s="69">
        <v>147.07602</v>
      </c>
      <c r="Z226" s="69">
        <v>147.07602</v>
      </c>
      <c r="AA226" s="69">
        <v>147.07602</v>
      </c>
      <c r="AB226" s="69">
        <v>147.07602</v>
      </c>
      <c r="AC226" s="69">
        <v>147.07602</v>
      </c>
      <c r="AD226" s="69">
        <v>147.07602</v>
      </c>
      <c r="AE226" s="69">
        <v>147.07602</v>
      </c>
      <c r="AF226" s="69">
        <v>147.07602</v>
      </c>
      <c r="AG226" s="69">
        <v>147.07602</v>
      </c>
    </row>
    <row r="227" spans="1:33" ht="12.75" customHeight="1">
      <c r="A227" s="231" t="s">
        <v>2375</v>
      </c>
      <c r="B227" s="69" t="s">
        <v>271</v>
      </c>
      <c r="C227" s="69" t="s">
        <v>185</v>
      </c>
      <c r="D227" s="69" t="s">
        <v>193</v>
      </c>
      <c r="E227" s="69" t="s">
        <v>203</v>
      </c>
      <c r="F227" s="69" t="s">
        <v>155</v>
      </c>
      <c r="G227" s="69" t="s">
        <v>192</v>
      </c>
      <c r="H227" s="69" t="s">
        <v>805</v>
      </c>
      <c r="I227" s="69">
        <v>1</v>
      </c>
      <c r="J227" s="238">
        <v>0.26649999999999996</v>
      </c>
      <c r="K227" s="238">
        <v>0.63277303047366895</v>
      </c>
      <c r="L227" s="69">
        <v>173.91260768823275</v>
      </c>
      <c r="M227" s="69">
        <v>0</v>
      </c>
      <c r="N227" s="69">
        <v>0</v>
      </c>
      <c r="O227" s="69">
        <v>0</v>
      </c>
      <c r="P227" s="69">
        <v>0</v>
      </c>
      <c r="Q227" s="69">
        <v>0</v>
      </c>
      <c r="R227" s="69">
        <v>0</v>
      </c>
      <c r="S227" s="69">
        <v>294.15204</v>
      </c>
      <c r="T227" s="69">
        <v>294.15204</v>
      </c>
      <c r="U227" s="69">
        <v>294.15204</v>
      </c>
      <c r="V227" s="69">
        <v>294.15204</v>
      </c>
      <c r="W227" s="69">
        <v>294.15204</v>
      </c>
      <c r="X227" s="69">
        <v>294.15204</v>
      </c>
      <c r="Y227" s="69">
        <v>294.15204</v>
      </c>
      <c r="Z227" s="69">
        <v>294.15204</v>
      </c>
      <c r="AA227" s="69">
        <v>294.15204</v>
      </c>
      <c r="AB227" s="69">
        <v>294.15204</v>
      </c>
      <c r="AC227" s="69">
        <v>294.15204</v>
      </c>
      <c r="AD227" s="69">
        <v>294.15204</v>
      </c>
      <c r="AE227" s="69">
        <v>294.15204</v>
      </c>
      <c r="AF227" s="69">
        <v>294.15204</v>
      </c>
      <c r="AG227" s="69">
        <v>294.15204</v>
      </c>
    </row>
    <row r="228" spans="1:33" ht="12.75" customHeight="1">
      <c r="A228" s="231" t="s">
        <v>2375</v>
      </c>
      <c r="B228" s="69" t="s">
        <v>272</v>
      </c>
      <c r="C228" s="69" t="s">
        <v>139</v>
      </c>
      <c r="D228" s="69" t="s">
        <v>191</v>
      </c>
      <c r="E228" s="69" t="s">
        <v>191</v>
      </c>
      <c r="F228" s="69" t="s">
        <v>167</v>
      </c>
      <c r="G228" s="69" t="s">
        <v>192</v>
      </c>
      <c r="H228" s="69" t="s">
        <v>805</v>
      </c>
      <c r="I228" s="69">
        <v>1</v>
      </c>
      <c r="J228" s="238">
        <v>0.84999999999999987</v>
      </c>
      <c r="K228" s="238">
        <v>0.66</v>
      </c>
      <c r="L228" s="69">
        <v>127.99027888971092</v>
      </c>
      <c r="M228" s="69">
        <v>0</v>
      </c>
      <c r="N228" s="69">
        <v>0</v>
      </c>
      <c r="O228" s="69">
        <v>0</v>
      </c>
      <c r="P228" s="69">
        <v>327.6239999999998</v>
      </c>
      <c r="Q228" s="69">
        <v>327.6239999999998</v>
      </c>
      <c r="R228" s="69">
        <v>327.6239999999998</v>
      </c>
      <c r="S228" s="69">
        <v>327.6239999999998</v>
      </c>
      <c r="T228" s="69">
        <v>327.6239999999998</v>
      </c>
      <c r="U228" s="69">
        <v>327.6239999999998</v>
      </c>
      <c r="V228" s="69">
        <v>327.6239999999998</v>
      </c>
      <c r="W228" s="69">
        <v>327.6239999999998</v>
      </c>
      <c r="X228" s="69">
        <v>327.6239999999998</v>
      </c>
      <c r="Y228" s="69">
        <v>327.6239999999998</v>
      </c>
      <c r="Z228" s="69">
        <v>327.6239999999998</v>
      </c>
      <c r="AA228" s="69">
        <v>327.6239999999998</v>
      </c>
      <c r="AB228" s="69">
        <v>327.6239999999998</v>
      </c>
      <c r="AC228" s="69">
        <v>327.6239999999998</v>
      </c>
      <c r="AD228" s="69">
        <v>327.6239999999998</v>
      </c>
      <c r="AE228" s="69">
        <v>327.6239999999998</v>
      </c>
      <c r="AF228" s="69">
        <v>327.6239999999998</v>
      </c>
      <c r="AG228" s="69">
        <v>327.6239999999998</v>
      </c>
    </row>
    <row r="229" spans="1:33" ht="12.75" customHeight="1">
      <c r="A229" s="231" t="s">
        <v>2375</v>
      </c>
      <c r="B229" s="69" t="s">
        <v>273</v>
      </c>
      <c r="C229" s="69" t="s">
        <v>185</v>
      </c>
      <c r="D229" s="69" t="s">
        <v>193</v>
      </c>
      <c r="E229" s="69" t="s">
        <v>194</v>
      </c>
      <c r="F229" s="69" t="s">
        <v>165</v>
      </c>
      <c r="G229" s="69" t="s">
        <v>201</v>
      </c>
      <c r="H229" s="69" t="s">
        <v>2417</v>
      </c>
      <c r="I229" s="69">
        <v>1</v>
      </c>
      <c r="J229" s="238">
        <v>0.28999999999999998</v>
      </c>
      <c r="K229" s="238">
        <v>0.63437109007818515</v>
      </c>
      <c r="L229" s="69">
        <v>144.14559944117298</v>
      </c>
      <c r="M229" s="69">
        <v>0</v>
      </c>
      <c r="N229" s="69">
        <v>101.61600000000182</v>
      </c>
      <c r="O229" s="69">
        <v>101.61600000000182</v>
      </c>
      <c r="P229" s="69">
        <v>101.61600000000182</v>
      </c>
      <c r="Q229" s="69">
        <v>101.61600000000182</v>
      </c>
      <c r="R229" s="69">
        <v>101.61600000000182</v>
      </c>
      <c r="S229" s="69">
        <v>101.61600000000182</v>
      </c>
      <c r="T229" s="69">
        <v>101.61600000000182</v>
      </c>
      <c r="U229" s="69">
        <v>101.61600000000182</v>
      </c>
      <c r="V229" s="69">
        <v>101.61600000000182</v>
      </c>
      <c r="W229" s="69">
        <v>101.61600000000182</v>
      </c>
      <c r="X229" s="69">
        <v>101.61600000000182</v>
      </c>
      <c r="Y229" s="69">
        <v>101.61600000000182</v>
      </c>
      <c r="Z229" s="69">
        <v>101.61600000000182</v>
      </c>
      <c r="AA229" s="69">
        <v>101.61600000000182</v>
      </c>
      <c r="AB229" s="69">
        <v>101.61600000000182</v>
      </c>
      <c r="AC229" s="69">
        <v>101.61600000000182</v>
      </c>
      <c r="AD229" s="69">
        <v>101.61600000000182</v>
      </c>
      <c r="AE229" s="69">
        <v>101.61600000000182</v>
      </c>
      <c r="AF229" s="69">
        <v>101.61600000000182</v>
      </c>
      <c r="AG229" s="69">
        <v>101.61600000000182</v>
      </c>
    </row>
    <row r="230" spans="1:33" ht="12.75" customHeight="1">
      <c r="A230" s="231" t="s">
        <v>2375</v>
      </c>
      <c r="B230" s="69" t="s">
        <v>274</v>
      </c>
      <c r="C230" s="69" t="s">
        <v>185</v>
      </c>
      <c r="D230" s="69" t="s">
        <v>193</v>
      </c>
      <c r="E230" s="69" t="s">
        <v>194</v>
      </c>
      <c r="F230" s="69" t="s">
        <v>165</v>
      </c>
      <c r="G230" s="69" t="s">
        <v>201</v>
      </c>
      <c r="H230" s="69" t="s">
        <v>2417</v>
      </c>
      <c r="I230" s="69">
        <v>1</v>
      </c>
      <c r="J230" s="238">
        <v>0.28999999999999998</v>
      </c>
      <c r="K230" s="238">
        <v>0.63437109007818515</v>
      </c>
      <c r="L230" s="69">
        <v>144.14559944117298</v>
      </c>
      <c r="M230" s="69">
        <v>0</v>
      </c>
      <c r="N230" s="69">
        <v>0</v>
      </c>
      <c r="O230" s="69">
        <v>25.403999999998632</v>
      </c>
      <c r="P230" s="69">
        <v>25.403999999998632</v>
      </c>
      <c r="Q230" s="69">
        <v>25.403999999998632</v>
      </c>
      <c r="R230" s="69">
        <v>25.403999999998632</v>
      </c>
      <c r="S230" s="69">
        <v>25.403999999998632</v>
      </c>
      <c r="T230" s="69">
        <v>25.403999999998632</v>
      </c>
      <c r="U230" s="69">
        <v>25.403999999998632</v>
      </c>
      <c r="V230" s="69">
        <v>25.403999999998632</v>
      </c>
      <c r="W230" s="69">
        <v>25.403999999998632</v>
      </c>
      <c r="X230" s="69">
        <v>25.403999999998632</v>
      </c>
      <c r="Y230" s="69">
        <v>25.403999999998632</v>
      </c>
      <c r="Z230" s="69">
        <v>25.403999999998632</v>
      </c>
      <c r="AA230" s="69">
        <v>25.403999999998632</v>
      </c>
      <c r="AB230" s="69">
        <v>25.403999999998632</v>
      </c>
      <c r="AC230" s="69">
        <v>25.403999999998632</v>
      </c>
      <c r="AD230" s="69">
        <v>25.403999999998632</v>
      </c>
      <c r="AE230" s="69">
        <v>25.403999999998632</v>
      </c>
      <c r="AF230" s="69">
        <v>25.403999999998632</v>
      </c>
      <c r="AG230" s="69">
        <v>25.403999999998632</v>
      </c>
    </row>
    <row r="231" spans="1:33" ht="12.75" customHeight="1">
      <c r="A231" s="231" t="s">
        <v>2375</v>
      </c>
      <c r="B231" s="69" t="s">
        <v>275</v>
      </c>
      <c r="C231" s="69" t="s">
        <v>137</v>
      </c>
      <c r="D231" s="69" t="s">
        <v>191</v>
      </c>
      <c r="E231" s="69" t="s">
        <v>191</v>
      </c>
      <c r="F231" s="69" t="s">
        <v>169</v>
      </c>
      <c r="G231" s="69" t="s">
        <v>192</v>
      </c>
      <c r="H231" s="69" t="s">
        <v>804</v>
      </c>
      <c r="I231" s="69">
        <v>1</v>
      </c>
      <c r="J231" s="238">
        <v>0.32235762917068039</v>
      </c>
      <c r="K231" s="238">
        <v>0.16115831843295012</v>
      </c>
      <c r="L231" s="69">
        <v>96.038728079112801</v>
      </c>
      <c r="M231" s="69">
        <v>0</v>
      </c>
      <c r="N231" s="69">
        <v>0</v>
      </c>
      <c r="O231" s="69">
        <v>0</v>
      </c>
      <c r="P231" s="69">
        <v>0</v>
      </c>
      <c r="Q231" s="69">
        <v>104.48255476680107</v>
      </c>
      <c r="R231" s="69">
        <v>104.48255476680107</v>
      </c>
      <c r="S231" s="69">
        <v>104.48255476680107</v>
      </c>
      <c r="T231" s="69">
        <v>104.48255476680107</v>
      </c>
      <c r="U231" s="69">
        <v>104.48255476680107</v>
      </c>
      <c r="V231" s="69">
        <v>104.48255476680107</v>
      </c>
      <c r="W231" s="69">
        <v>104.48255476680107</v>
      </c>
      <c r="X231" s="69">
        <v>104.48255476680107</v>
      </c>
      <c r="Y231" s="69">
        <v>104.48255476680107</v>
      </c>
      <c r="Z231" s="69">
        <v>104.48255476680107</v>
      </c>
      <c r="AA231" s="69">
        <v>104.48255476680107</v>
      </c>
      <c r="AB231" s="69">
        <v>104.48255476680107</v>
      </c>
      <c r="AC231" s="69">
        <v>104.48255476680107</v>
      </c>
      <c r="AD231" s="69">
        <v>104.48255476680107</v>
      </c>
      <c r="AE231" s="69">
        <v>104.48255476680107</v>
      </c>
      <c r="AF231" s="69">
        <v>104.48255476680107</v>
      </c>
      <c r="AG231" s="69">
        <v>104.48255476680107</v>
      </c>
    </row>
    <row r="232" spans="1:33" ht="12.75" customHeight="1">
      <c r="A232" s="231" t="s">
        <v>2375</v>
      </c>
      <c r="B232" s="69" t="s">
        <v>276</v>
      </c>
      <c r="C232" s="69" t="s">
        <v>187</v>
      </c>
      <c r="D232" s="69" t="s">
        <v>191</v>
      </c>
      <c r="E232" s="69" t="s">
        <v>191</v>
      </c>
      <c r="F232" s="69" t="s">
        <v>170</v>
      </c>
      <c r="G232" s="69" t="s">
        <v>192</v>
      </c>
      <c r="H232" s="69" t="s">
        <v>804</v>
      </c>
      <c r="I232" s="69">
        <v>1</v>
      </c>
      <c r="J232" s="238">
        <v>0.2668262983999703</v>
      </c>
      <c r="K232" s="238">
        <v>0.71679758500684321</v>
      </c>
      <c r="L232" s="69">
        <v>192.38629588063705</v>
      </c>
      <c r="M232" s="69">
        <v>0</v>
      </c>
      <c r="N232" s="69">
        <v>0</v>
      </c>
      <c r="O232" s="69">
        <v>0</v>
      </c>
      <c r="P232" s="69">
        <v>0</v>
      </c>
      <c r="Q232" s="69">
        <v>0</v>
      </c>
      <c r="R232" s="69">
        <v>0</v>
      </c>
      <c r="S232" s="69">
        <v>0</v>
      </c>
      <c r="T232" s="69">
        <v>642.78455284552911</v>
      </c>
      <c r="U232" s="69">
        <v>642.78455284552911</v>
      </c>
      <c r="V232" s="69">
        <v>642.78455284552911</v>
      </c>
      <c r="W232" s="69">
        <v>642.78455284552911</v>
      </c>
      <c r="X232" s="69">
        <v>642.78455284552911</v>
      </c>
      <c r="Y232" s="69">
        <v>642.78455284552911</v>
      </c>
      <c r="Z232" s="69">
        <v>642.78455284552911</v>
      </c>
      <c r="AA232" s="69">
        <v>642.78455284552911</v>
      </c>
      <c r="AB232" s="69">
        <v>642.78455284552911</v>
      </c>
      <c r="AC232" s="69">
        <v>642.78455284552911</v>
      </c>
      <c r="AD232" s="69">
        <v>642.78455284552911</v>
      </c>
      <c r="AE232" s="69">
        <v>642.78455284552911</v>
      </c>
      <c r="AF232" s="69">
        <v>642.78455284552911</v>
      </c>
      <c r="AG232" s="69">
        <v>642.78455284552911</v>
      </c>
    </row>
    <row r="233" spans="1:33" ht="12.75" customHeight="1">
      <c r="A233" s="231" t="s">
        <v>2375</v>
      </c>
      <c r="B233" s="69" t="s">
        <v>277</v>
      </c>
      <c r="C233" s="69" t="s">
        <v>137</v>
      </c>
      <c r="D233" s="69" t="s">
        <v>191</v>
      </c>
      <c r="E233" s="69" t="s">
        <v>191</v>
      </c>
      <c r="F233" s="69" t="s">
        <v>180</v>
      </c>
      <c r="G233" s="69" t="s">
        <v>192</v>
      </c>
      <c r="H233" s="69" t="s">
        <v>804</v>
      </c>
      <c r="I233" s="69">
        <v>1</v>
      </c>
      <c r="J233" s="238">
        <v>0.32235762917068039</v>
      </c>
      <c r="K233" s="238">
        <v>0.160195270625522</v>
      </c>
      <c r="L233" s="69">
        <v>96.038728079112801</v>
      </c>
      <c r="M233" s="69">
        <v>0</v>
      </c>
      <c r="N233" s="69">
        <v>0</v>
      </c>
      <c r="O233" s="69">
        <v>0</v>
      </c>
      <c r="P233" s="69">
        <v>0</v>
      </c>
      <c r="Q233" s="69">
        <v>0</v>
      </c>
      <c r="R233" s="69">
        <v>141.19264157675843</v>
      </c>
      <c r="S233" s="69">
        <v>141.19264157675843</v>
      </c>
      <c r="T233" s="69">
        <v>141.19264157675843</v>
      </c>
      <c r="U233" s="69">
        <v>141.19264157675843</v>
      </c>
      <c r="V233" s="69">
        <v>141.19264157675843</v>
      </c>
      <c r="W233" s="69">
        <v>141.19264157675843</v>
      </c>
      <c r="X233" s="69">
        <v>141.19264157675843</v>
      </c>
      <c r="Y233" s="69">
        <v>141.19264157675843</v>
      </c>
      <c r="Z233" s="69">
        <v>141.19264157675843</v>
      </c>
      <c r="AA233" s="69">
        <v>141.19264157675843</v>
      </c>
      <c r="AB233" s="69">
        <v>141.19264157675843</v>
      </c>
      <c r="AC233" s="69">
        <v>141.19264157675843</v>
      </c>
      <c r="AD233" s="69">
        <v>141.19264157675843</v>
      </c>
      <c r="AE233" s="69">
        <v>141.19264157675843</v>
      </c>
      <c r="AF233" s="69">
        <v>141.19264157675843</v>
      </c>
      <c r="AG233" s="69">
        <v>141.19264157675843</v>
      </c>
    </row>
    <row r="234" spans="1:33" ht="12.75" customHeight="1">
      <c r="A234" s="231" t="s">
        <v>2375</v>
      </c>
      <c r="B234" s="69" t="s">
        <v>278</v>
      </c>
      <c r="C234" s="69" t="s">
        <v>137</v>
      </c>
      <c r="D234" s="69" t="s">
        <v>191</v>
      </c>
      <c r="E234" s="69" t="s">
        <v>191</v>
      </c>
      <c r="F234" s="69" t="s">
        <v>180</v>
      </c>
      <c r="G234" s="69" t="s">
        <v>192</v>
      </c>
      <c r="H234" s="69" t="s">
        <v>804</v>
      </c>
      <c r="I234" s="69">
        <v>2</v>
      </c>
      <c r="J234" s="238">
        <v>0.32235762917068039</v>
      </c>
      <c r="K234" s="238">
        <v>0.160195270625522</v>
      </c>
      <c r="L234" s="69">
        <v>96.038728079112801</v>
      </c>
      <c r="M234" s="69">
        <v>0</v>
      </c>
      <c r="N234" s="69">
        <v>0</v>
      </c>
      <c r="O234" s="69">
        <v>0</v>
      </c>
      <c r="P234" s="69">
        <v>0</v>
      </c>
      <c r="Q234" s="69">
        <v>0</v>
      </c>
      <c r="R234" s="69">
        <v>51.591791232145624</v>
      </c>
      <c r="S234" s="69">
        <v>51.591791232145624</v>
      </c>
      <c r="T234" s="69">
        <v>51.591791232145624</v>
      </c>
      <c r="U234" s="69">
        <v>51.591791232145624</v>
      </c>
      <c r="V234" s="69">
        <v>51.591791232145624</v>
      </c>
      <c r="W234" s="69">
        <v>51.591791232145624</v>
      </c>
      <c r="X234" s="69">
        <v>51.591791232145624</v>
      </c>
      <c r="Y234" s="69">
        <v>51.591791232145624</v>
      </c>
      <c r="Z234" s="69">
        <v>51.591791232145624</v>
      </c>
      <c r="AA234" s="69">
        <v>51.591791232145624</v>
      </c>
      <c r="AB234" s="69">
        <v>51.591791232145624</v>
      </c>
      <c r="AC234" s="69">
        <v>51.591791232145624</v>
      </c>
      <c r="AD234" s="69">
        <v>51.591791232145624</v>
      </c>
      <c r="AE234" s="69">
        <v>51.591791232145624</v>
      </c>
      <c r="AF234" s="69">
        <v>51.591791232145624</v>
      </c>
      <c r="AG234" s="69">
        <v>51.591791232145624</v>
      </c>
    </row>
    <row r="235" spans="1:33" ht="12.75" customHeight="1">
      <c r="A235" s="231" t="s">
        <v>2375</v>
      </c>
      <c r="B235" s="69" t="s">
        <v>279</v>
      </c>
      <c r="C235" s="69" t="s">
        <v>137</v>
      </c>
      <c r="D235" s="69" t="s">
        <v>191</v>
      </c>
      <c r="E235" s="69" t="s">
        <v>191</v>
      </c>
      <c r="F235" s="69" t="s">
        <v>180</v>
      </c>
      <c r="G235" s="69" t="s">
        <v>192</v>
      </c>
      <c r="H235" s="69" t="s">
        <v>804</v>
      </c>
      <c r="I235" s="69">
        <v>1</v>
      </c>
      <c r="J235" s="238">
        <v>0.32235762917068039</v>
      </c>
      <c r="K235" s="238">
        <v>0.160195270625522</v>
      </c>
      <c r="L235" s="69">
        <v>96.038728079112801</v>
      </c>
      <c r="M235" s="69">
        <v>0</v>
      </c>
      <c r="N235" s="69">
        <v>0</v>
      </c>
      <c r="O235" s="69">
        <v>0</v>
      </c>
      <c r="P235" s="69">
        <v>0</v>
      </c>
      <c r="Q235" s="69">
        <v>0</v>
      </c>
      <c r="R235" s="69">
        <v>44.616874738255319</v>
      </c>
      <c r="S235" s="69">
        <v>44.616874738255319</v>
      </c>
      <c r="T235" s="69">
        <v>44.616874738255319</v>
      </c>
      <c r="U235" s="69">
        <v>44.616874738255319</v>
      </c>
      <c r="V235" s="69">
        <v>44.616874738255319</v>
      </c>
      <c r="W235" s="69">
        <v>44.616874738255319</v>
      </c>
      <c r="X235" s="69">
        <v>44.616874738255319</v>
      </c>
      <c r="Y235" s="69">
        <v>44.616874738255319</v>
      </c>
      <c r="Z235" s="69">
        <v>44.616874738255319</v>
      </c>
      <c r="AA235" s="69">
        <v>44.616874738255319</v>
      </c>
      <c r="AB235" s="69">
        <v>44.616874738255319</v>
      </c>
      <c r="AC235" s="69">
        <v>44.616874738255319</v>
      </c>
      <c r="AD235" s="69">
        <v>44.616874738255319</v>
      </c>
      <c r="AE235" s="69">
        <v>44.616874738255319</v>
      </c>
      <c r="AF235" s="69">
        <v>44.616874738255319</v>
      </c>
      <c r="AG235" s="69">
        <v>44.616874738255319</v>
      </c>
    </row>
    <row r="236" spans="1:33" ht="12.75" customHeight="1">
      <c r="A236" s="231" t="s">
        <v>2375</v>
      </c>
      <c r="B236" s="69" t="s">
        <v>280</v>
      </c>
      <c r="C236" s="69" t="s">
        <v>137</v>
      </c>
      <c r="D236" s="69" t="s">
        <v>191</v>
      </c>
      <c r="E236" s="69" t="s">
        <v>191</v>
      </c>
      <c r="F236" s="69" t="s">
        <v>180</v>
      </c>
      <c r="G236" s="69" t="s">
        <v>192</v>
      </c>
      <c r="H236" s="69" t="s">
        <v>804</v>
      </c>
      <c r="I236" s="69">
        <v>2</v>
      </c>
      <c r="J236" s="238">
        <v>0.32235762917068039</v>
      </c>
      <c r="K236" s="238">
        <v>0.160195270625522</v>
      </c>
      <c r="L236" s="69">
        <v>96.038728079112815</v>
      </c>
      <c r="M236" s="69">
        <v>0</v>
      </c>
      <c r="N236" s="69">
        <v>0</v>
      </c>
      <c r="O236" s="69">
        <v>0</v>
      </c>
      <c r="P236" s="69">
        <v>0</v>
      </c>
      <c r="Q236" s="69">
        <v>0</v>
      </c>
      <c r="R236" s="69">
        <v>49.869241004911601</v>
      </c>
      <c r="S236" s="69">
        <v>49.869241004911601</v>
      </c>
      <c r="T236" s="69">
        <v>49.869241004911601</v>
      </c>
      <c r="U236" s="69">
        <v>49.869241004911601</v>
      </c>
      <c r="V236" s="69">
        <v>49.869241004911601</v>
      </c>
      <c r="W236" s="69">
        <v>49.869241004911601</v>
      </c>
      <c r="X236" s="69">
        <v>49.869241004911601</v>
      </c>
      <c r="Y236" s="69">
        <v>49.869241004911601</v>
      </c>
      <c r="Z236" s="69">
        <v>49.869241004911601</v>
      </c>
      <c r="AA236" s="69">
        <v>49.869241004911601</v>
      </c>
      <c r="AB236" s="69">
        <v>49.869241004911601</v>
      </c>
      <c r="AC236" s="69">
        <v>49.869241004911601</v>
      </c>
      <c r="AD236" s="69">
        <v>49.869241004911601</v>
      </c>
      <c r="AE236" s="69">
        <v>49.869241004911601</v>
      </c>
      <c r="AF236" s="69">
        <v>49.869241004911601</v>
      </c>
      <c r="AG236" s="69">
        <v>49.869241004911601</v>
      </c>
    </row>
    <row r="237" spans="1:33" ht="12.75" customHeight="1">
      <c r="A237" s="231" t="s">
        <v>2375</v>
      </c>
      <c r="B237" s="69" t="s">
        <v>281</v>
      </c>
      <c r="C237" s="69" t="s">
        <v>137</v>
      </c>
      <c r="D237" s="69" t="s">
        <v>191</v>
      </c>
      <c r="E237" s="69" t="s">
        <v>191</v>
      </c>
      <c r="F237" s="69" t="s">
        <v>180</v>
      </c>
      <c r="G237" s="69" t="s">
        <v>192</v>
      </c>
      <c r="H237" s="69" t="s">
        <v>804</v>
      </c>
      <c r="I237" s="69">
        <v>1</v>
      </c>
      <c r="J237" s="238">
        <v>0.32235762917068039</v>
      </c>
      <c r="K237" s="238">
        <v>0.160195270625522</v>
      </c>
      <c r="L237" s="69">
        <v>96.038728079112801</v>
      </c>
      <c r="M237" s="69">
        <v>0</v>
      </c>
      <c r="N237" s="69">
        <v>0</v>
      </c>
      <c r="O237" s="69">
        <v>0</v>
      </c>
      <c r="P237" s="69">
        <v>0</v>
      </c>
      <c r="Q237" s="69">
        <v>0</v>
      </c>
      <c r="R237" s="69">
        <v>48.090213721044165</v>
      </c>
      <c r="S237" s="69">
        <v>48.090213721044165</v>
      </c>
      <c r="T237" s="69">
        <v>48.090213721044165</v>
      </c>
      <c r="U237" s="69">
        <v>48.090213721044165</v>
      </c>
      <c r="V237" s="69">
        <v>48.090213721044165</v>
      </c>
      <c r="W237" s="69">
        <v>48.090213721044165</v>
      </c>
      <c r="X237" s="69">
        <v>48.090213721044165</v>
      </c>
      <c r="Y237" s="69">
        <v>48.090213721044165</v>
      </c>
      <c r="Z237" s="69">
        <v>48.090213721044165</v>
      </c>
      <c r="AA237" s="69">
        <v>48.090213721044165</v>
      </c>
      <c r="AB237" s="69">
        <v>48.090213721044165</v>
      </c>
      <c r="AC237" s="69">
        <v>48.090213721044165</v>
      </c>
      <c r="AD237" s="69">
        <v>48.090213721044165</v>
      </c>
      <c r="AE237" s="69">
        <v>48.090213721044165</v>
      </c>
      <c r="AF237" s="69">
        <v>48.090213721044165</v>
      </c>
      <c r="AG237" s="69">
        <v>48.090213721044165</v>
      </c>
    </row>
    <row r="238" spans="1:33" ht="12.75" customHeight="1">
      <c r="A238" s="231" t="s">
        <v>2375</v>
      </c>
      <c r="B238" s="69" t="s">
        <v>282</v>
      </c>
      <c r="C238" s="69" t="s">
        <v>137</v>
      </c>
      <c r="D238" s="69" t="s">
        <v>191</v>
      </c>
      <c r="E238" s="69" t="s">
        <v>191</v>
      </c>
      <c r="F238" s="69" t="s">
        <v>180</v>
      </c>
      <c r="G238" s="69" t="s">
        <v>192</v>
      </c>
      <c r="H238" s="69" t="s">
        <v>804</v>
      </c>
      <c r="I238" s="69">
        <v>1</v>
      </c>
      <c r="J238" s="238">
        <v>0.32235762917068039</v>
      </c>
      <c r="K238" s="238">
        <v>0.160195270625522</v>
      </c>
      <c r="L238" s="69">
        <v>96.038728079112801</v>
      </c>
      <c r="M238" s="69">
        <v>0</v>
      </c>
      <c r="N238" s="69">
        <v>0</v>
      </c>
      <c r="O238" s="69">
        <v>0</v>
      </c>
      <c r="P238" s="69">
        <v>0</v>
      </c>
      <c r="Q238" s="69">
        <v>0</v>
      </c>
      <c r="R238" s="69">
        <v>4235.7792473027403</v>
      </c>
      <c r="S238" s="69">
        <v>4235.7792473027403</v>
      </c>
      <c r="T238" s="69">
        <v>4235.7792473027403</v>
      </c>
      <c r="U238" s="69">
        <v>4235.7792473027403</v>
      </c>
      <c r="V238" s="69">
        <v>4235.7792473027403</v>
      </c>
      <c r="W238" s="69">
        <v>4235.7792473027403</v>
      </c>
      <c r="X238" s="69">
        <v>4235.7792473027403</v>
      </c>
      <c r="Y238" s="69">
        <v>4235.7792473027403</v>
      </c>
      <c r="Z238" s="69">
        <v>4235.7792473027403</v>
      </c>
      <c r="AA238" s="69">
        <v>4235.7792473027403</v>
      </c>
      <c r="AB238" s="69">
        <v>4235.7792473027403</v>
      </c>
      <c r="AC238" s="69">
        <v>4235.7792473027403</v>
      </c>
      <c r="AD238" s="69">
        <v>4235.7792473027403</v>
      </c>
      <c r="AE238" s="69">
        <v>4235.7792473027403</v>
      </c>
      <c r="AF238" s="69">
        <v>4235.7792473027403</v>
      </c>
      <c r="AG238" s="69">
        <v>4235.7792473027403</v>
      </c>
    </row>
    <row r="239" spans="1:33" ht="12.75" customHeight="1">
      <c r="A239" s="231" t="s">
        <v>2375</v>
      </c>
      <c r="B239" s="69" t="s">
        <v>283</v>
      </c>
      <c r="C239" s="69" t="s">
        <v>184</v>
      </c>
      <c r="D239" s="69" t="s">
        <v>284</v>
      </c>
      <c r="E239" s="69" t="s">
        <v>191</v>
      </c>
      <c r="F239" s="69" t="s">
        <v>167</v>
      </c>
      <c r="G239" s="69" t="s">
        <v>192</v>
      </c>
      <c r="H239" s="69" t="s">
        <v>804</v>
      </c>
      <c r="I239" s="69">
        <v>2</v>
      </c>
      <c r="J239" s="238">
        <v>0.80000000000000016</v>
      </c>
      <c r="K239" s="238">
        <v>0</v>
      </c>
      <c r="L239" s="69">
        <v>92.42965494862176</v>
      </c>
      <c r="M239" s="69">
        <v>0</v>
      </c>
      <c r="N239" s="69">
        <v>0</v>
      </c>
      <c r="O239" s="69">
        <v>0</v>
      </c>
      <c r="P239" s="69">
        <v>0</v>
      </c>
      <c r="Q239" s="69">
        <v>11.212800000001153</v>
      </c>
      <c r="R239" s="69">
        <v>11.212800000001153</v>
      </c>
      <c r="S239" s="69">
        <v>11.212800000001153</v>
      </c>
      <c r="T239" s="69">
        <v>11.212800000001153</v>
      </c>
      <c r="U239" s="69">
        <v>11.212800000001153</v>
      </c>
      <c r="V239" s="69">
        <v>11.212800000001153</v>
      </c>
      <c r="W239" s="69">
        <v>11.212800000001153</v>
      </c>
      <c r="X239" s="69">
        <v>11.212800000001153</v>
      </c>
      <c r="Y239" s="69">
        <v>11.212800000001153</v>
      </c>
      <c r="Z239" s="69">
        <v>11.212800000001153</v>
      </c>
      <c r="AA239" s="69">
        <v>11.212800000001153</v>
      </c>
      <c r="AB239" s="69">
        <v>11.212800000001153</v>
      </c>
      <c r="AC239" s="69">
        <v>11.212800000001153</v>
      </c>
      <c r="AD239" s="69">
        <v>11.212800000001153</v>
      </c>
      <c r="AE239" s="69">
        <v>11.212800000001153</v>
      </c>
      <c r="AF239" s="69">
        <v>11.212800000001153</v>
      </c>
      <c r="AG239" s="69">
        <v>11.212800000001153</v>
      </c>
    </row>
    <row r="240" spans="1:33" ht="12.75" customHeight="1">
      <c r="A240" s="231" t="s">
        <v>2375</v>
      </c>
      <c r="B240" s="69" t="s">
        <v>285</v>
      </c>
      <c r="C240" s="69" t="s">
        <v>137</v>
      </c>
      <c r="D240" s="69" t="s">
        <v>191</v>
      </c>
      <c r="E240" s="69" t="s">
        <v>191</v>
      </c>
      <c r="F240" s="69" t="s">
        <v>177</v>
      </c>
      <c r="G240" s="69" t="s">
        <v>192</v>
      </c>
      <c r="H240" s="69" t="s">
        <v>804</v>
      </c>
      <c r="I240" s="69">
        <v>1</v>
      </c>
      <c r="J240" s="238">
        <v>0.32235762917068039</v>
      </c>
      <c r="K240" s="238">
        <v>0.16048337423926948</v>
      </c>
      <c r="L240" s="69">
        <v>96.038728079112801</v>
      </c>
      <c r="M240" s="69">
        <v>0</v>
      </c>
      <c r="N240" s="69">
        <v>0</v>
      </c>
      <c r="O240" s="69">
        <v>0</v>
      </c>
      <c r="P240" s="69">
        <v>0</v>
      </c>
      <c r="Q240" s="69">
        <v>118.60181892447689</v>
      </c>
      <c r="R240" s="69">
        <v>118.60181892447689</v>
      </c>
      <c r="S240" s="69">
        <v>118.60181892447689</v>
      </c>
      <c r="T240" s="69">
        <v>118.60181892447689</v>
      </c>
      <c r="U240" s="69">
        <v>118.60181892447689</v>
      </c>
      <c r="V240" s="69">
        <v>118.60181892447689</v>
      </c>
      <c r="W240" s="69">
        <v>118.60181892447689</v>
      </c>
      <c r="X240" s="69">
        <v>118.60181892447689</v>
      </c>
      <c r="Y240" s="69">
        <v>118.60181892447689</v>
      </c>
      <c r="Z240" s="69">
        <v>118.60181892447689</v>
      </c>
      <c r="AA240" s="69">
        <v>118.60181892447689</v>
      </c>
      <c r="AB240" s="69">
        <v>118.60181892447689</v>
      </c>
      <c r="AC240" s="69">
        <v>118.60181892447689</v>
      </c>
      <c r="AD240" s="69">
        <v>118.60181892447689</v>
      </c>
      <c r="AE240" s="69">
        <v>118.60181892447689</v>
      </c>
      <c r="AF240" s="69">
        <v>118.60181892447689</v>
      </c>
      <c r="AG240" s="69">
        <v>118.60181892447689</v>
      </c>
    </row>
    <row r="241" spans="1:33" ht="12.75" customHeight="1">
      <c r="A241" s="231" t="s">
        <v>2375</v>
      </c>
      <c r="B241" s="69" t="s">
        <v>287</v>
      </c>
      <c r="C241" s="69" t="s">
        <v>184</v>
      </c>
      <c r="D241" s="69" t="s">
        <v>140</v>
      </c>
      <c r="E241" s="69" t="s">
        <v>191</v>
      </c>
      <c r="F241" s="69" t="s">
        <v>167</v>
      </c>
      <c r="G241" s="69" t="s">
        <v>192</v>
      </c>
      <c r="H241" s="69" t="s">
        <v>804</v>
      </c>
      <c r="I241" s="69">
        <v>2</v>
      </c>
      <c r="J241" s="238">
        <v>0.8</v>
      </c>
      <c r="K241" s="238">
        <v>0</v>
      </c>
      <c r="L241" s="69">
        <v>114.19797366361543</v>
      </c>
      <c r="M241" s="69">
        <v>0</v>
      </c>
      <c r="N241" s="69">
        <v>0</v>
      </c>
      <c r="O241" s="69">
        <v>0</v>
      </c>
      <c r="P241" s="69">
        <v>14.016000000003258</v>
      </c>
      <c r="Q241" s="69">
        <v>14.016000000003258</v>
      </c>
      <c r="R241" s="69">
        <v>14.016000000003258</v>
      </c>
      <c r="S241" s="69">
        <v>14.016000000003258</v>
      </c>
      <c r="T241" s="69">
        <v>14.016000000003258</v>
      </c>
      <c r="U241" s="69">
        <v>14.016000000003258</v>
      </c>
      <c r="V241" s="69">
        <v>14.016000000003258</v>
      </c>
      <c r="W241" s="69">
        <v>14.016000000003258</v>
      </c>
      <c r="X241" s="69">
        <v>14.016000000003258</v>
      </c>
      <c r="Y241" s="69">
        <v>14.016000000003258</v>
      </c>
      <c r="Z241" s="69">
        <v>14.016000000003258</v>
      </c>
      <c r="AA241" s="69">
        <v>14.016000000003258</v>
      </c>
      <c r="AB241" s="69">
        <v>14.016000000003258</v>
      </c>
      <c r="AC241" s="69">
        <v>14.016000000003258</v>
      </c>
      <c r="AD241" s="69">
        <v>14.016000000003258</v>
      </c>
      <c r="AE241" s="69">
        <v>14.016000000003258</v>
      </c>
      <c r="AF241" s="69">
        <v>14.016000000003258</v>
      </c>
      <c r="AG241" s="69">
        <v>14.016000000003258</v>
      </c>
    </row>
    <row r="242" spans="1:33" ht="12.75" customHeight="1">
      <c r="A242" s="231" t="s">
        <v>2375</v>
      </c>
      <c r="B242" s="69" t="s">
        <v>288</v>
      </c>
      <c r="C242" s="69" t="s">
        <v>184</v>
      </c>
      <c r="D242" s="69" t="s">
        <v>140</v>
      </c>
      <c r="E242" s="69" t="s">
        <v>191</v>
      </c>
      <c r="F242" s="69" t="s">
        <v>177</v>
      </c>
      <c r="G242" s="69" t="s">
        <v>192</v>
      </c>
      <c r="H242" s="69" t="s">
        <v>804</v>
      </c>
      <c r="I242" s="69">
        <v>2</v>
      </c>
      <c r="J242" s="238">
        <v>0.8</v>
      </c>
      <c r="K242" s="238">
        <v>0</v>
      </c>
      <c r="L242" s="69">
        <v>114.19797366361543</v>
      </c>
      <c r="M242" s="69">
        <v>0</v>
      </c>
      <c r="N242" s="69">
        <v>0</v>
      </c>
      <c r="O242" s="69">
        <v>0</v>
      </c>
      <c r="P242" s="69">
        <v>14.016000000003258</v>
      </c>
      <c r="Q242" s="69">
        <v>14.016000000003258</v>
      </c>
      <c r="R242" s="69">
        <v>14.016000000003258</v>
      </c>
      <c r="S242" s="69">
        <v>14.016000000003258</v>
      </c>
      <c r="T242" s="69">
        <v>14.016000000003258</v>
      </c>
      <c r="U242" s="69">
        <v>14.016000000003258</v>
      </c>
      <c r="V242" s="69">
        <v>14.016000000003258</v>
      </c>
      <c r="W242" s="69">
        <v>14.016000000003258</v>
      </c>
      <c r="X242" s="69">
        <v>14.016000000003258</v>
      </c>
      <c r="Y242" s="69">
        <v>14.016000000003258</v>
      </c>
      <c r="Z242" s="69">
        <v>14.016000000003258</v>
      </c>
      <c r="AA242" s="69">
        <v>14.016000000003258</v>
      </c>
      <c r="AB242" s="69">
        <v>14.016000000003258</v>
      </c>
      <c r="AC242" s="69">
        <v>14.016000000003258</v>
      </c>
      <c r="AD242" s="69">
        <v>14.016000000003258</v>
      </c>
      <c r="AE242" s="69">
        <v>14.016000000003258</v>
      </c>
      <c r="AF242" s="69">
        <v>14.016000000003258</v>
      </c>
      <c r="AG242" s="69">
        <v>14.016000000003258</v>
      </c>
    </row>
    <row r="243" spans="1:33" ht="12.75" customHeight="1">
      <c r="A243" s="231" t="s">
        <v>2375</v>
      </c>
      <c r="B243" s="69" t="s">
        <v>290</v>
      </c>
      <c r="C243" s="69" t="s">
        <v>137</v>
      </c>
      <c r="D243" s="69" t="s">
        <v>191</v>
      </c>
      <c r="E243" s="69" t="s">
        <v>191</v>
      </c>
      <c r="F243" s="69" t="s">
        <v>168</v>
      </c>
      <c r="G243" s="69" t="s">
        <v>199</v>
      </c>
      <c r="H243" s="69" t="s">
        <v>2417</v>
      </c>
      <c r="I243" s="69">
        <v>1</v>
      </c>
      <c r="J243" s="238">
        <v>0.29204999999999998</v>
      </c>
      <c r="K243" s="238">
        <v>0.18436399478639695</v>
      </c>
      <c r="L243" s="69">
        <v>95.155627725733936</v>
      </c>
      <c r="M243" s="69">
        <v>0</v>
      </c>
      <c r="N243" s="69">
        <v>0</v>
      </c>
      <c r="O243" s="69">
        <v>0</v>
      </c>
      <c r="P243" s="69">
        <v>358.17012000000068</v>
      </c>
      <c r="Q243" s="69">
        <v>358.17012000000068</v>
      </c>
      <c r="R243" s="69">
        <v>358.17012000000068</v>
      </c>
      <c r="S243" s="69">
        <v>358.17012000000068</v>
      </c>
      <c r="T243" s="69">
        <v>358.17012000000068</v>
      </c>
      <c r="U243" s="69">
        <v>358.17012000000068</v>
      </c>
      <c r="V243" s="69">
        <v>358.17012000000068</v>
      </c>
      <c r="W243" s="69">
        <v>358.17012000000068</v>
      </c>
      <c r="X243" s="69">
        <v>358.17012000000068</v>
      </c>
      <c r="Y243" s="69">
        <v>358.17012000000068</v>
      </c>
      <c r="Z243" s="69">
        <v>358.17012000000068</v>
      </c>
      <c r="AA243" s="69">
        <v>358.17012000000068</v>
      </c>
      <c r="AB243" s="69">
        <v>358.17012000000068</v>
      </c>
      <c r="AC243" s="69">
        <v>358.17012000000068</v>
      </c>
      <c r="AD243" s="69">
        <v>358.17012000000068</v>
      </c>
      <c r="AE243" s="69">
        <v>358.17012000000068</v>
      </c>
      <c r="AF243" s="69">
        <v>358.17012000000068</v>
      </c>
      <c r="AG243" s="69">
        <v>358.17012000000068</v>
      </c>
    </row>
    <row r="244" spans="1:33" ht="12.75" customHeight="1">
      <c r="A244" s="231" t="s">
        <v>2375</v>
      </c>
      <c r="B244" s="69" t="s">
        <v>290</v>
      </c>
      <c r="C244" s="69" t="s">
        <v>137</v>
      </c>
      <c r="D244" s="69" t="s">
        <v>191</v>
      </c>
      <c r="E244" s="69" t="s">
        <v>191</v>
      </c>
      <c r="F244" s="69" t="s">
        <v>168</v>
      </c>
      <c r="G244" s="69" t="s">
        <v>199</v>
      </c>
      <c r="H244" s="69" t="s">
        <v>2417</v>
      </c>
      <c r="I244" s="69">
        <v>1</v>
      </c>
      <c r="J244" s="238">
        <v>0.29204999999999998</v>
      </c>
      <c r="K244" s="238">
        <v>0.18436399478639695</v>
      </c>
      <c r="L244" s="69">
        <v>95.155627725733936</v>
      </c>
      <c r="M244" s="69">
        <v>0</v>
      </c>
      <c r="N244" s="69">
        <v>0</v>
      </c>
      <c r="O244" s="69">
        <v>0</v>
      </c>
      <c r="P244" s="69">
        <v>358.17012000000068</v>
      </c>
      <c r="Q244" s="69">
        <v>358.17012000000068</v>
      </c>
      <c r="R244" s="69">
        <v>358.17012000000068</v>
      </c>
      <c r="S244" s="69">
        <v>358.17012000000068</v>
      </c>
      <c r="T244" s="69">
        <v>358.17012000000068</v>
      </c>
      <c r="U244" s="69">
        <v>358.17012000000068</v>
      </c>
      <c r="V244" s="69">
        <v>358.17012000000068</v>
      </c>
      <c r="W244" s="69">
        <v>358.17012000000068</v>
      </c>
      <c r="X244" s="69">
        <v>358.17012000000068</v>
      </c>
      <c r="Y244" s="69">
        <v>358.17012000000068</v>
      </c>
      <c r="Z244" s="69">
        <v>358.17012000000068</v>
      </c>
      <c r="AA244" s="69">
        <v>358.17012000000068</v>
      </c>
      <c r="AB244" s="69">
        <v>358.17012000000068</v>
      </c>
      <c r="AC244" s="69">
        <v>358.17012000000068</v>
      </c>
      <c r="AD244" s="69">
        <v>358.17012000000068</v>
      </c>
      <c r="AE244" s="69">
        <v>358.17012000000068</v>
      </c>
      <c r="AF244" s="69">
        <v>358.17012000000068</v>
      </c>
      <c r="AG244" s="69">
        <v>358.17012000000068</v>
      </c>
    </row>
    <row r="245" spans="1:33" ht="12.75" customHeight="1">
      <c r="A245" s="231" t="s">
        <v>2375</v>
      </c>
      <c r="B245" s="69" t="s">
        <v>290</v>
      </c>
      <c r="C245" s="69" t="s">
        <v>137</v>
      </c>
      <c r="D245" s="69" t="s">
        <v>191</v>
      </c>
      <c r="E245" s="69" t="s">
        <v>191</v>
      </c>
      <c r="F245" s="69" t="s">
        <v>168</v>
      </c>
      <c r="G245" s="69" t="s">
        <v>199</v>
      </c>
      <c r="H245" s="69" t="s">
        <v>2417</v>
      </c>
      <c r="I245" s="69">
        <v>1</v>
      </c>
      <c r="J245" s="238">
        <v>0.29204999999999998</v>
      </c>
      <c r="K245" s="238">
        <v>0.18436399478639695</v>
      </c>
      <c r="L245" s="69">
        <v>95.155627725733936</v>
      </c>
      <c r="M245" s="69">
        <v>0</v>
      </c>
      <c r="N245" s="69">
        <v>0</v>
      </c>
      <c r="O245" s="69">
        <v>0</v>
      </c>
      <c r="P245" s="69">
        <v>358.17012000000068</v>
      </c>
      <c r="Q245" s="69">
        <v>358.17012000000068</v>
      </c>
      <c r="R245" s="69">
        <v>358.17012000000068</v>
      </c>
      <c r="S245" s="69">
        <v>358.17012000000068</v>
      </c>
      <c r="T245" s="69">
        <v>358.17012000000068</v>
      </c>
      <c r="U245" s="69">
        <v>358.17012000000068</v>
      </c>
      <c r="V245" s="69">
        <v>358.17012000000068</v>
      </c>
      <c r="W245" s="69">
        <v>358.17012000000068</v>
      </c>
      <c r="X245" s="69">
        <v>358.17012000000068</v>
      </c>
      <c r="Y245" s="69">
        <v>358.17012000000068</v>
      </c>
      <c r="Z245" s="69">
        <v>358.17012000000068</v>
      </c>
      <c r="AA245" s="69">
        <v>358.17012000000068</v>
      </c>
      <c r="AB245" s="69">
        <v>358.17012000000068</v>
      </c>
      <c r="AC245" s="69">
        <v>358.17012000000068</v>
      </c>
      <c r="AD245" s="69">
        <v>358.17012000000068</v>
      </c>
      <c r="AE245" s="69">
        <v>358.17012000000068</v>
      </c>
      <c r="AF245" s="69">
        <v>358.17012000000068</v>
      </c>
      <c r="AG245" s="69">
        <v>358.17012000000068</v>
      </c>
    </row>
    <row r="246" spans="1:33" ht="12.75" customHeight="1">
      <c r="A246" s="231" t="s">
        <v>2375</v>
      </c>
      <c r="B246" s="69" t="s">
        <v>291</v>
      </c>
      <c r="C246" s="69" t="s">
        <v>184</v>
      </c>
      <c r="D246" s="69" t="s">
        <v>140</v>
      </c>
      <c r="E246" s="69" t="s">
        <v>191</v>
      </c>
      <c r="F246" s="69" t="s">
        <v>180</v>
      </c>
      <c r="G246" s="69" t="s">
        <v>192</v>
      </c>
      <c r="H246" s="69" t="s">
        <v>804</v>
      </c>
      <c r="I246" s="69">
        <v>2</v>
      </c>
      <c r="J246" s="238">
        <v>0.8</v>
      </c>
      <c r="K246" s="238">
        <v>0</v>
      </c>
      <c r="L246" s="69">
        <v>114.19797366361543</v>
      </c>
      <c r="M246" s="69">
        <v>0</v>
      </c>
      <c r="N246" s="69">
        <v>0</v>
      </c>
      <c r="O246" s="69">
        <v>0</v>
      </c>
      <c r="P246" s="69">
        <v>0</v>
      </c>
      <c r="Q246" s="69">
        <v>0</v>
      </c>
      <c r="R246" s="69">
        <v>14.016000000003258</v>
      </c>
      <c r="S246" s="69">
        <v>14.016000000003258</v>
      </c>
      <c r="T246" s="69">
        <v>14.016000000003258</v>
      </c>
      <c r="U246" s="69">
        <v>14.016000000003258</v>
      </c>
      <c r="V246" s="69">
        <v>14.016000000003258</v>
      </c>
      <c r="W246" s="69">
        <v>14.016000000003258</v>
      </c>
      <c r="X246" s="69">
        <v>14.016000000003258</v>
      </c>
      <c r="Y246" s="69">
        <v>14.016000000003258</v>
      </c>
      <c r="Z246" s="69">
        <v>14.016000000003258</v>
      </c>
      <c r="AA246" s="69">
        <v>14.016000000003258</v>
      </c>
      <c r="AB246" s="69">
        <v>14.016000000003258</v>
      </c>
      <c r="AC246" s="69">
        <v>14.016000000003258</v>
      </c>
      <c r="AD246" s="69">
        <v>14.016000000003258</v>
      </c>
      <c r="AE246" s="69">
        <v>14.016000000003258</v>
      </c>
      <c r="AF246" s="69">
        <v>14.016000000003258</v>
      </c>
      <c r="AG246" s="69">
        <v>14.016000000003258</v>
      </c>
    </row>
    <row r="247" spans="1:33" ht="12.75" customHeight="1">
      <c r="A247" s="231" t="s">
        <v>2375</v>
      </c>
      <c r="B247" s="69" t="s">
        <v>292</v>
      </c>
      <c r="C247" s="69" t="s">
        <v>184</v>
      </c>
      <c r="D247" s="69" t="s">
        <v>140</v>
      </c>
      <c r="E247" s="69" t="s">
        <v>191</v>
      </c>
      <c r="F247" s="69" t="s">
        <v>177</v>
      </c>
      <c r="G247" s="69" t="s">
        <v>192</v>
      </c>
      <c r="H247" s="69" t="s">
        <v>804</v>
      </c>
      <c r="I247" s="69">
        <v>2</v>
      </c>
      <c r="J247" s="238">
        <v>0.8</v>
      </c>
      <c r="K247" s="238">
        <v>0</v>
      </c>
      <c r="L247" s="69">
        <v>114.19797366361543</v>
      </c>
      <c r="M247" s="69">
        <v>0</v>
      </c>
      <c r="N247" s="69">
        <v>0</v>
      </c>
      <c r="O247" s="69">
        <v>0</v>
      </c>
      <c r="P247" s="69">
        <v>35.040000000000873</v>
      </c>
      <c r="Q247" s="69">
        <v>35.040000000000873</v>
      </c>
      <c r="R247" s="69">
        <v>35.040000000000873</v>
      </c>
      <c r="S247" s="69">
        <v>35.040000000000873</v>
      </c>
      <c r="T247" s="69">
        <v>35.040000000000873</v>
      </c>
      <c r="U247" s="69">
        <v>35.040000000000873</v>
      </c>
      <c r="V247" s="69">
        <v>35.040000000000873</v>
      </c>
      <c r="W247" s="69">
        <v>35.040000000000873</v>
      </c>
      <c r="X247" s="69">
        <v>35.040000000000873</v>
      </c>
      <c r="Y247" s="69">
        <v>35.040000000000873</v>
      </c>
      <c r="Z247" s="69">
        <v>35.040000000000873</v>
      </c>
      <c r="AA247" s="69">
        <v>35.040000000000873</v>
      </c>
      <c r="AB247" s="69">
        <v>35.040000000000873</v>
      </c>
      <c r="AC247" s="69">
        <v>35.040000000000873</v>
      </c>
      <c r="AD247" s="69">
        <v>35.040000000000873</v>
      </c>
      <c r="AE247" s="69">
        <v>35.040000000000873</v>
      </c>
      <c r="AF247" s="69">
        <v>35.040000000000873</v>
      </c>
      <c r="AG247" s="69">
        <v>35.040000000000873</v>
      </c>
    </row>
    <row r="248" spans="1:33" ht="12.75" customHeight="1">
      <c r="A248" s="231" t="s">
        <v>2375</v>
      </c>
      <c r="B248" s="69" t="s">
        <v>293</v>
      </c>
      <c r="C248" s="69" t="s">
        <v>137</v>
      </c>
      <c r="D248" s="69" t="s">
        <v>191</v>
      </c>
      <c r="E248" s="69" t="s">
        <v>191</v>
      </c>
      <c r="F248" s="69" t="s">
        <v>181</v>
      </c>
      <c r="G248" s="69" t="s">
        <v>294</v>
      </c>
      <c r="H248" s="69" t="s">
        <v>2417</v>
      </c>
      <c r="I248" s="69">
        <v>1</v>
      </c>
      <c r="J248" s="238">
        <v>0.28989999999999999</v>
      </c>
      <c r="K248" s="238">
        <v>0.18559014484515421</v>
      </c>
      <c r="L248" s="69">
        <v>91.706640833021837</v>
      </c>
      <c r="M248" s="69">
        <v>0</v>
      </c>
      <c r="N248" s="69">
        <v>228.55716000000029</v>
      </c>
      <c r="O248" s="69">
        <v>228.55716000000029</v>
      </c>
      <c r="P248" s="69">
        <v>228.55716000000029</v>
      </c>
      <c r="Q248" s="69">
        <v>228.55716000000029</v>
      </c>
      <c r="R248" s="69">
        <v>228.55716000000029</v>
      </c>
      <c r="S248" s="69">
        <v>228.55716000000029</v>
      </c>
      <c r="T248" s="69">
        <v>228.55716000000029</v>
      </c>
      <c r="U248" s="69">
        <v>228.55716000000029</v>
      </c>
      <c r="V248" s="69">
        <v>228.55716000000029</v>
      </c>
      <c r="W248" s="69">
        <v>228.55716000000029</v>
      </c>
      <c r="X248" s="69">
        <v>228.55716000000029</v>
      </c>
      <c r="Y248" s="69">
        <v>228.55716000000029</v>
      </c>
      <c r="Z248" s="69">
        <v>228.55716000000029</v>
      </c>
      <c r="AA248" s="69">
        <v>228.55716000000029</v>
      </c>
      <c r="AB248" s="69">
        <v>228.55716000000029</v>
      </c>
      <c r="AC248" s="69">
        <v>228.55716000000029</v>
      </c>
      <c r="AD248" s="69">
        <v>228.55716000000029</v>
      </c>
      <c r="AE248" s="69">
        <v>228.55716000000029</v>
      </c>
      <c r="AF248" s="69">
        <v>228.55716000000029</v>
      </c>
      <c r="AG248" s="69">
        <v>228.55716000000029</v>
      </c>
    </row>
    <row r="249" spans="1:33" ht="12.75" customHeight="1">
      <c r="A249" s="231" t="s">
        <v>2375</v>
      </c>
      <c r="B249" s="69" t="s">
        <v>295</v>
      </c>
      <c r="C249" s="69" t="s">
        <v>137</v>
      </c>
      <c r="D249" s="69" t="s">
        <v>191</v>
      </c>
      <c r="E249" s="69" t="s">
        <v>191</v>
      </c>
      <c r="F249" s="69" t="s">
        <v>168</v>
      </c>
      <c r="G249" s="69" t="s">
        <v>199</v>
      </c>
      <c r="H249" s="69" t="s">
        <v>2417</v>
      </c>
      <c r="I249" s="69">
        <v>1</v>
      </c>
      <c r="J249" s="238">
        <v>0.29204999999999998</v>
      </c>
      <c r="K249" s="238">
        <v>0.18436399478639695</v>
      </c>
      <c r="L249" s="69">
        <v>95.155627725733964</v>
      </c>
      <c r="M249" s="69">
        <v>0</v>
      </c>
      <c r="N249" s="69">
        <v>0</v>
      </c>
      <c r="O249" s="69">
        <v>266.06923199999983</v>
      </c>
      <c r="P249" s="69">
        <v>266.06923199999983</v>
      </c>
      <c r="Q249" s="69">
        <v>266.06923199999983</v>
      </c>
      <c r="R249" s="69">
        <v>266.06923199999983</v>
      </c>
      <c r="S249" s="69">
        <v>266.06923199999983</v>
      </c>
      <c r="T249" s="69">
        <v>266.06923199999983</v>
      </c>
      <c r="U249" s="69">
        <v>266.06923199999983</v>
      </c>
      <c r="V249" s="69">
        <v>266.06923199999983</v>
      </c>
      <c r="W249" s="69">
        <v>266.06923199999983</v>
      </c>
      <c r="X249" s="69">
        <v>266.06923199999983</v>
      </c>
      <c r="Y249" s="69">
        <v>266.06923199999983</v>
      </c>
      <c r="Z249" s="69">
        <v>266.06923199999983</v>
      </c>
      <c r="AA249" s="69">
        <v>266.06923199999983</v>
      </c>
      <c r="AB249" s="69">
        <v>266.06923199999983</v>
      </c>
      <c r="AC249" s="69">
        <v>266.06923199999983</v>
      </c>
      <c r="AD249" s="69">
        <v>266.06923199999983</v>
      </c>
      <c r="AE249" s="69">
        <v>266.06923199999983</v>
      </c>
      <c r="AF249" s="69">
        <v>266.06923199999983</v>
      </c>
      <c r="AG249" s="69">
        <v>266.06923199999983</v>
      </c>
    </row>
    <row r="250" spans="1:33" ht="12.75" customHeight="1">
      <c r="A250" s="231" t="s">
        <v>2375</v>
      </c>
      <c r="B250" s="69" t="s">
        <v>296</v>
      </c>
      <c r="C250" s="69" t="s">
        <v>184</v>
      </c>
      <c r="D250" s="69" t="s">
        <v>140</v>
      </c>
      <c r="E250" s="69" t="s">
        <v>191</v>
      </c>
      <c r="F250" s="69" t="s">
        <v>167</v>
      </c>
      <c r="G250" s="69" t="s">
        <v>192</v>
      </c>
      <c r="H250" s="69" t="s">
        <v>804</v>
      </c>
      <c r="I250" s="69">
        <v>2</v>
      </c>
      <c r="J250" s="238">
        <v>0.8</v>
      </c>
      <c r="K250" s="238">
        <v>0</v>
      </c>
      <c r="L250" s="69">
        <v>114.19797366361543</v>
      </c>
      <c r="M250" s="69">
        <v>0</v>
      </c>
      <c r="N250" s="69">
        <v>0</v>
      </c>
      <c r="O250" s="69">
        <v>0</v>
      </c>
      <c r="P250" s="69">
        <v>0</v>
      </c>
      <c r="Q250" s="69">
        <v>0</v>
      </c>
      <c r="R250" s="69">
        <v>21.023999999997613</v>
      </c>
      <c r="S250" s="69">
        <v>21.023999999997613</v>
      </c>
      <c r="T250" s="69">
        <v>21.023999999997613</v>
      </c>
      <c r="U250" s="69">
        <v>21.023999999997613</v>
      </c>
      <c r="V250" s="69">
        <v>21.023999999997613</v>
      </c>
      <c r="W250" s="69">
        <v>21.023999999997613</v>
      </c>
      <c r="X250" s="69">
        <v>21.023999999997613</v>
      </c>
      <c r="Y250" s="69">
        <v>21.023999999997613</v>
      </c>
      <c r="Z250" s="69">
        <v>21.023999999997613</v>
      </c>
      <c r="AA250" s="69">
        <v>21.023999999997613</v>
      </c>
      <c r="AB250" s="69">
        <v>21.023999999997613</v>
      </c>
      <c r="AC250" s="69">
        <v>21.023999999997613</v>
      </c>
      <c r="AD250" s="69">
        <v>21.023999999997613</v>
      </c>
      <c r="AE250" s="69">
        <v>21.023999999997613</v>
      </c>
      <c r="AF250" s="69">
        <v>21.023999999997613</v>
      </c>
      <c r="AG250" s="69">
        <v>21.023999999997613</v>
      </c>
    </row>
    <row r="251" spans="1:33" ht="12.75" customHeight="1">
      <c r="A251" s="231" t="s">
        <v>2375</v>
      </c>
      <c r="B251" s="69" t="s">
        <v>297</v>
      </c>
      <c r="C251" s="69" t="s">
        <v>184</v>
      </c>
      <c r="D251" s="69" t="s">
        <v>140</v>
      </c>
      <c r="E251" s="69" t="s">
        <v>191</v>
      </c>
      <c r="F251" s="69" t="s">
        <v>167</v>
      </c>
      <c r="G251" s="69" t="s">
        <v>192</v>
      </c>
      <c r="H251" s="69" t="s">
        <v>804</v>
      </c>
      <c r="I251" s="69">
        <v>2</v>
      </c>
      <c r="J251" s="238">
        <v>0.8</v>
      </c>
      <c r="K251" s="238">
        <v>0</v>
      </c>
      <c r="L251" s="69">
        <v>114.19797366361543</v>
      </c>
      <c r="M251" s="69">
        <v>0</v>
      </c>
      <c r="N251" s="69">
        <v>0</v>
      </c>
      <c r="O251" s="69">
        <v>0</v>
      </c>
      <c r="P251" s="69">
        <v>0</v>
      </c>
      <c r="Q251" s="69">
        <v>0</v>
      </c>
      <c r="R251" s="69">
        <v>0</v>
      </c>
      <c r="S251" s="69">
        <v>0</v>
      </c>
      <c r="T251" s="69">
        <v>0</v>
      </c>
      <c r="U251" s="69">
        <v>0</v>
      </c>
      <c r="V251" s="69">
        <v>21.023999999997613</v>
      </c>
      <c r="W251" s="69">
        <v>21.023999999997613</v>
      </c>
      <c r="X251" s="69">
        <v>21.023999999997613</v>
      </c>
      <c r="Y251" s="69">
        <v>21.023999999997613</v>
      </c>
      <c r="Z251" s="69">
        <v>21.023999999997613</v>
      </c>
      <c r="AA251" s="69">
        <v>21.023999999997613</v>
      </c>
      <c r="AB251" s="69">
        <v>21.023999999997613</v>
      </c>
      <c r="AC251" s="69">
        <v>21.023999999997613</v>
      </c>
      <c r="AD251" s="69">
        <v>21.023999999997613</v>
      </c>
      <c r="AE251" s="69">
        <v>21.023999999997613</v>
      </c>
      <c r="AF251" s="69">
        <v>21.023999999997613</v>
      </c>
      <c r="AG251" s="69">
        <v>21.023999999997613</v>
      </c>
    </row>
    <row r="252" spans="1:33" ht="12.75" customHeight="1">
      <c r="A252" s="231" t="s">
        <v>2375</v>
      </c>
      <c r="B252" s="69" t="s">
        <v>298</v>
      </c>
      <c r="C252" s="69" t="s">
        <v>137</v>
      </c>
      <c r="D252" s="69" t="s">
        <v>191</v>
      </c>
      <c r="E252" s="69" t="s">
        <v>191</v>
      </c>
      <c r="F252" s="69" t="s">
        <v>180</v>
      </c>
      <c r="G252" s="69" t="s">
        <v>192</v>
      </c>
      <c r="H252" s="69" t="s">
        <v>804</v>
      </c>
      <c r="I252" s="69">
        <v>1</v>
      </c>
      <c r="J252" s="238">
        <v>0.32235762917068039</v>
      </c>
      <c r="K252" s="238">
        <v>0.160195270625522</v>
      </c>
      <c r="L252" s="69">
        <v>96.038728079112815</v>
      </c>
      <c r="M252" s="69">
        <v>0</v>
      </c>
      <c r="N252" s="69">
        <v>0</v>
      </c>
      <c r="O252" s="69">
        <v>0</v>
      </c>
      <c r="P252" s="69">
        <v>0</v>
      </c>
      <c r="Q252" s="69">
        <v>0</v>
      </c>
      <c r="R252" s="69">
        <v>395.33939641492179</v>
      </c>
      <c r="S252" s="69">
        <v>395.33939641492179</v>
      </c>
      <c r="T252" s="69">
        <v>395.33939641492179</v>
      </c>
      <c r="U252" s="69">
        <v>395.33939641492179</v>
      </c>
      <c r="V252" s="69">
        <v>395.33939641492179</v>
      </c>
      <c r="W252" s="69">
        <v>395.33939641492179</v>
      </c>
      <c r="X252" s="69">
        <v>395.33939641492179</v>
      </c>
      <c r="Y252" s="69">
        <v>395.33939641492179</v>
      </c>
      <c r="Z252" s="69">
        <v>395.33939641492179</v>
      </c>
      <c r="AA252" s="69">
        <v>395.33939641492179</v>
      </c>
      <c r="AB252" s="69">
        <v>395.33939641492179</v>
      </c>
      <c r="AC252" s="69">
        <v>395.33939641492179</v>
      </c>
      <c r="AD252" s="69">
        <v>395.33939641492179</v>
      </c>
      <c r="AE252" s="69">
        <v>395.33939641492179</v>
      </c>
      <c r="AF252" s="69">
        <v>395.33939641492179</v>
      </c>
      <c r="AG252" s="69">
        <v>395.33939641492179</v>
      </c>
    </row>
    <row r="253" spans="1:33" ht="12.75" customHeight="1">
      <c r="A253" s="231" t="s">
        <v>2375</v>
      </c>
      <c r="B253" s="69" t="s">
        <v>299</v>
      </c>
      <c r="C253" s="69" t="s">
        <v>187</v>
      </c>
      <c r="D253" s="69" t="s">
        <v>191</v>
      </c>
      <c r="E253" s="69" t="s">
        <v>191</v>
      </c>
      <c r="F253" s="69" t="s">
        <v>161</v>
      </c>
      <c r="G253" s="69" t="s">
        <v>192</v>
      </c>
      <c r="H253" s="69" t="s">
        <v>2130</v>
      </c>
      <c r="I253" s="69">
        <v>1</v>
      </c>
      <c r="J253" s="238">
        <v>0.2668262983999703</v>
      </c>
      <c r="K253" s="238">
        <v>0.69294738572207071</v>
      </c>
      <c r="L253" s="69">
        <v>192.38629588063705</v>
      </c>
      <c r="M253" s="69">
        <v>0</v>
      </c>
      <c r="N253" s="69">
        <v>0</v>
      </c>
      <c r="O253" s="69">
        <v>0</v>
      </c>
      <c r="P253" s="69">
        <v>0</v>
      </c>
      <c r="Q253" s="69">
        <v>0</v>
      </c>
      <c r="R253" s="69">
        <v>216.5629399778658</v>
      </c>
      <c r="S253" s="69">
        <v>216.5629399778658</v>
      </c>
      <c r="T253" s="69">
        <v>216.5629399778658</v>
      </c>
      <c r="U253" s="69">
        <v>216.5629399778658</v>
      </c>
      <c r="V253" s="69">
        <v>216.5629399778658</v>
      </c>
      <c r="W253" s="69">
        <v>216.5629399778658</v>
      </c>
      <c r="X253" s="69">
        <v>216.5629399778658</v>
      </c>
      <c r="Y253" s="69">
        <v>216.5629399778658</v>
      </c>
      <c r="Z253" s="69">
        <v>216.5629399778658</v>
      </c>
      <c r="AA253" s="69">
        <v>216.5629399778658</v>
      </c>
      <c r="AB253" s="69">
        <v>216.5629399778658</v>
      </c>
      <c r="AC253" s="69">
        <v>216.5629399778658</v>
      </c>
      <c r="AD253" s="69">
        <v>216.5629399778658</v>
      </c>
      <c r="AE253" s="69">
        <v>216.5629399778658</v>
      </c>
      <c r="AF253" s="69">
        <v>216.5629399778658</v>
      </c>
      <c r="AG253" s="69">
        <v>216.5629399778658</v>
      </c>
    </row>
    <row r="254" spans="1:33" ht="12.75" customHeight="1">
      <c r="A254" s="231" t="s">
        <v>2375</v>
      </c>
      <c r="B254" s="69" t="s">
        <v>300</v>
      </c>
      <c r="C254" s="69" t="s">
        <v>139</v>
      </c>
      <c r="D254" s="69" t="s">
        <v>191</v>
      </c>
      <c r="E254" s="69" t="s">
        <v>191</v>
      </c>
      <c r="F254" s="69" t="s">
        <v>178</v>
      </c>
      <c r="G254" s="69" t="s">
        <v>192</v>
      </c>
      <c r="H254" s="69" t="s">
        <v>2130</v>
      </c>
      <c r="I254" s="69">
        <v>1</v>
      </c>
      <c r="J254" s="238">
        <v>0.85000000000000009</v>
      </c>
      <c r="K254" s="238">
        <v>0.65417202707739608</v>
      </c>
      <c r="L254" s="69">
        <v>127.99027888971091</v>
      </c>
      <c r="M254" s="69">
        <v>0</v>
      </c>
      <c r="N254" s="69">
        <v>0</v>
      </c>
      <c r="O254" s="69">
        <v>0</v>
      </c>
      <c r="P254" s="69">
        <v>0</v>
      </c>
      <c r="Q254" s="69">
        <v>156.36599999999999</v>
      </c>
      <c r="R254" s="69">
        <v>156.36599999999999</v>
      </c>
      <c r="S254" s="69">
        <v>156.36599999999999</v>
      </c>
      <c r="T254" s="69">
        <v>156.36599999999999</v>
      </c>
      <c r="U254" s="69">
        <v>156.36599999999999</v>
      </c>
      <c r="V254" s="69">
        <v>156.36599999999999</v>
      </c>
      <c r="W254" s="69">
        <v>156.36599999999999</v>
      </c>
      <c r="X254" s="69">
        <v>156.36599999999999</v>
      </c>
      <c r="Y254" s="69">
        <v>156.36599999999999</v>
      </c>
      <c r="Z254" s="69">
        <v>156.36599999999999</v>
      </c>
      <c r="AA254" s="69">
        <v>156.36599999999999</v>
      </c>
      <c r="AB254" s="69">
        <v>156.36599999999999</v>
      </c>
      <c r="AC254" s="69">
        <v>156.36599999999999</v>
      </c>
      <c r="AD254" s="69">
        <v>156.36599999999999</v>
      </c>
      <c r="AE254" s="69">
        <v>156.36599999999999</v>
      </c>
      <c r="AF254" s="69">
        <v>156.36599999999999</v>
      </c>
      <c r="AG254" s="69">
        <v>156.36599999999999</v>
      </c>
    </row>
    <row r="255" spans="1:33" ht="12.75" customHeight="1">
      <c r="A255" s="231" t="s">
        <v>2375</v>
      </c>
      <c r="B255" s="69" t="s">
        <v>302</v>
      </c>
      <c r="C255" s="69" t="s">
        <v>185</v>
      </c>
      <c r="D255" s="69" t="s">
        <v>193</v>
      </c>
      <c r="E255" s="69" t="s">
        <v>194</v>
      </c>
      <c r="F255" s="69" t="s">
        <v>161</v>
      </c>
      <c r="G255" s="69" t="s">
        <v>192</v>
      </c>
      <c r="H255" s="69" t="s">
        <v>2130</v>
      </c>
      <c r="I255" s="69">
        <v>1</v>
      </c>
      <c r="J255" s="238">
        <v>0.28999999999999998</v>
      </c>
      <c r="K255" s="238">
        <v>0.63643272702156795</v>
      </c>
      <c r="L255" s="69">
        <v>160.03163342556323</v>
      </c>
      <c r="M255" s="69">
        <v>0</v>
      </c>
      <c r="N255" s="69">
        <v>0</v>
      </c>
      <c r="O255" s="69">
        <v>0</v>
      </c>
      <c r="P255" s="69">
        <v>0</v>
      </c>
      <c r="Q255" s="69">
        <v>38.757807316682509</v>
      </c>
      <c r="R255" s="69">
        <v>38.757807316682509</v>
      </c>
      <c r="S255" s="69">
        <v>38.757807316682509</v>
      </c>
      <c r="T255" s="69">
        <v>38.757807316682509</v>
      </c>
      <c r="U255" s="69">
        <v>38.757807316682509</v>
      </c>
      <c r="V255" s="69">
        <v>38.757807316682509</v>
      </c>
      <c r="W255" s="69">
        <v>38.757807316682509</v>
      </c>
      <c r="X255" s="69">
        <v>38.757807316682509</v>
      </c>
      <c r="Y255" s="69">
        <v>38.757807316682509</v>
      </c>
      <c r="Z255" s="69">
        <v>38.757807316682509</v>
      </c>
      <c r="AA255" s="69">
        <v>38.757807316682509</v>
      </c>
      <c r="AB255" s="69">
        <v>38.757807316682509</v>
      </c>
      <c r="AC255" s="69">
        <v>38.757807316682509</v>
      </c>
      <c r="AD255" s="69">
        <v>38.757807316682509</v>
      </c>
      <c r="AE255" s="69">
        <v>38.757807316682509</v>
      </c>
      <c r="AF255" s="69">
        <v>38.757807316682509</v>
      </c>
      <c r="AG255" s="69">
        <v>38.757807316682509</v>
      </c>
    </row>
    <row r="256" spans="1:33" ht="12.75" customHeight="1">
      <c r="A256" s="231" t="s">
        <v>2375</v>
      </c>
      <c r="B256" s="69" t="s">
        <v>304</v>
      </c>
      <c r="C256" s="69" t="s">
        <v>139</v>
      </c>
      <c r="D256" s="69" t="s">
        <v>191</v>
      </c>
      <c r="E256" s="69" t="s">
        <v>191</v>
      </c>
      <c r="F256" s="69" t="s">
        <v>167</v>
      </c>
      <c r="G256" s="69" t="s">
        <v>192</v>
      </c>
      <c r="H256" s="69" t="s">
        <v>805</v>
      </c>
      <c r="I256" s="69">
        <v>1</v>
      </c>
      <c r="J256" s="238">
        <v>0.84999999999999987</v>
      </c>
      <c r="K256" s="238">
        <v>0.66</v>
      </c>
      <c r="L256" s="69">
        <v>127.99027888971092</v>
      </c>
      <c r="M256" s="69">
        <v>0</v>
      </c>
      <c r="N256" s="69">
        <v>81.905999999999949</v>
      </c>
      <c r="O256" s="69">
        <v>81.905999999999949</v>
      </c>
      <c r="P256" s="69">
        <v>81.905999999999949</v>
      </c>
      <c r="Q256" s="69">
        <v>81.905999999999949</v>
      </c>
      <c r="R256" s="69">
        <v>81.905999999999949</v>
      </c>
      <c r="S256" s="69">
        <v>81.905999999999949</v>
      </c>
      <c r="T256" s="69">
        <v>81.905999999999949</v>
      </c>
      <c r="U256" s="69">
        <v>81.905999999999949</v>
      </c>
      <c r="V256" s="69">
        <v>81.905999999999949</v>
      </c>
      <c r="W256" s="69">
        <v>81.905999999999949</v>
      </c>
      <c r="X256" s="69">
        <v>81.905999999999949</v>
      </c>
      <c r="Y256" s="69">
        <v>81.905999999999949</v>
      </c>
      <c r="Z256" s="69">
        <v>81.905999999999949</v>
      </c>
      <c r="AA256" s="69">
        <v>81.905999999999949</v>
      </c>
      <c r="AB256" s="69">
        <v>81.905999999999949</v>
      </c>
      <c r="AC256" s="69">
        <v>81.905999999999949</v>
      </c>
      <c r="AD256" s="69">
        <v>81.905999999999949</v>
      </c>
      <c r="AE256" s="69">
        <v>81.905999999999949</v>
      </c>
      <c r="AF256" s="69">
        <v>81.905999999999949</v>
      </c>
      <c r="AG256" s="69">
        <v>81.905999999999949</v>
      </c>
    </row>
    <row r="257" spans="1:33" ht="12.75" customHeight="1">
      <c r="A257" s="231" t="s">
        <v>2375</v>
      </c>
      <c r="B257" s="69" t="s">
        <v>305</v>
      </c>
      <c r="C257" s="69" t="s">
        <v>137</v>
      </c>
      <c r="D257" s="69" t="s">
        <v>191</v>
      </c>
      <c r="E257" s="69" t="s">
        <v>191</v>
      </c>
      <c r="F257" s="69" t="s">
        <v>163</v>
      </c>
      <c r="G257" s="69" t="s">
        <v>306</v>
      </c>
      <c r="H257" s="69" t="s">
        <v>2417</v>
      </c>
      <c r="I257" s="69">
        <v>1</v>
      </c>
      <c r="J257" s="238">
        <v>0.37809999999999999</v>
      </c>
      <c r="K257" s="238">
        <v>0.1774753372665249</v>
      </c>
      <c r="L257" s="69">
        <v>72.572266000309625</v>
      </c>
      <c r="M257" s="69">
        <v>0</v>
      </c>
      <c r="N257" s="69">
        <v>0</v>
      </c>
      <c r="O257" s="69">
        <v>993.64680000000044</v>
      </c>
      <c r="P257" s="69">
        <v>993.64680000000044</v>
      </c>
      <c r="Q257" s="69">
        <v>993.64680000000044</v>
      </c>
      <c r="R257" s="69">
        <v>993.64680000000044</v>
      </c>
      <c r="S257" s="69">
        <v>993.64680000000044</v>
      </c>
      <c r="T257" s="69">
        <v>993.64680000000044</v>
      </c>
      <c r="U257" s="69">
        <v>993.64680000000044</v>
      </c>
      <c r="V257" s="69">
        <v>993.64680000000044</v>
      </c>
      <c r="W257" s="69">
        <v>993.64680000000044</v>
      </c>
      <c r="X257" s="69">
        <v>993.64680000000044</v>
      </c>
      <c r="Y257" s="69">
        <v>993.64680000000044</v>
      </c>
      <c r="Z257" s="69">
        <v>993.64680000000044</v>
      </c>
      <c r="AA257" s="69">
        <v>993.64680000000044</v>
      </c>
      <c r="AB257" s="69">
        <v>993.64680000000044</v>
      </c>
      <c r="AC257" s="69">
        <v>993.64680000000044</v>
      </c>
      <c r="AD257" s="69">
        <v>993.64680000000044</v>
      </c>
      <c r="AE257" s="69">
        <v>993.64680000000044</v>
      </c>
      <c r="AF257" s="69">
        <v>993.64680000000044</v>
      </c>
      <c r="AG257" s="69">
        <v>993.64680000000044</v>
      </c>
    </row>
    <row r="258" spans="1:33" ht="12.75" customHeight="1">
      <c r="A258" s="231" t="s">
        <v>2375</v>
      </c>
      <c r="B258" s="69" t="s">
        <v>309</v>
      </c>
      <c r="C258" s="69" t="s">
        <v>137</v>
      </c>
      <c r="D258" s="69" t="s">
        <v>191</v>
      </c>
      <c r="E258" s="69" t="s">
        <v>191</v>
      </c>
      <c r="F258" s="69" t="s">
        <v>180</v>
      </c>
      <c r="G258" s="69" t="s">
        <v>192</v>
      </c>
      <c r="H258" s="69" t="s">
        <v>804</v>
      </c>
      <c r="I258" s="69">
        <v>2</v>
      </c>
      <c r="J258" s="238">
        <v>0.32235762917068039</v>
      </c>
      <c r="K258" s="238">
        <v>0.160195270625522</v>
      </c>
      <c r="L258" s="69">
        <v>96.038728079112815</v>
      </c>
      <c r="M258" s="69">
        <v>0</v>
      </c>
      <c r="N258" s="69">
        <v>0</v>
      </c>
      <c r="O258" s="69">
        <v>0</v>
      </c>
      <c r="P258" s="69">
        <v>0</v>
      </c>
      <c r="Q258" s="69">
        <v>0</v>
      </c>
      <c r="R258" s="69">
        <v>2006.3474368057286</v>
      </c>
      <c r="S258" s="69">
        <v>2006.3474368057286</v>
      </c>
      <c r="T258" s="69">
        <v>2006.3474368057286</v>
      </c>
      <c r="U258" s="69">
        <v>2006.3474368057286</v>
      </c>
      <c r="V258" s="69">
        <v>2006.3474368057286</v>
      </c>
      <c r="W258" s="69">
        <v>2006.3474368057286</v>
      </c>
      <c r="X258" s="69">
        <v>2006.3474368057286</v>
      </c>
      <c r="Y258" s="69">
        <v>2006.3474368057286</v>
      </c>
      <c r="Z258" s="69">
        <v>2006.3474368057286</v>
      </c>
      <c r="AA258" s="69">
        <v>2006.3474368057286</v>
      </c>
      <c r="AB258" s="69">
        <v>2006.3474368057286</v>
      </c>
      <c r="AC258" s="69">
        <v>2006.3474368057286</v>
      </c>
      <c r="AD258" s="69">
        <v>2006.3474368057286</v>
      </c>
      <c r="AE258" s="69">
        <v>2006.3474368057286</v>
      </c>
      <c r="AF258" s="69">
        <v>2006.3474368057286</v>
      </c>
      <c r="AG258" s="69">
        <v>2006.3474368057286</v>
      </c>
    </row>
    <row r="259" spans="1:33" ht="12.75" customHeight="1">
      <c r="A259" s="231" t="s">
        <v>2375</v>
      </c>
      <c r="B259" s="69" t="s">
        <v>315</v>
      </c>
      <c r="C259" s="69" t="s">
        <v>137</v>
      </c>
      <c r="D259" s="69" t="s">
        <v>191</v>
      </c>
      <c r="E259" s="69" t="s">
        <v>191</v>
      </c>
      <c r="F259" s="69" t="s">
        <v>179</v>
      </c>
      <c r="G259" s="69" t="s">
        <v>192</v>
      </c>
      <c r="H259" s="69" t="s">
        <v>805</v>
      </c>
      <c r="I259" s="69">
        <v>2</v>
      </c>
      <c r="J259" s="238">
        <v>0.32235762917068039</v>
      </c>
      <c r="K259" s="238">
        <v>0.16152665976075289</v>
      </c>
      <c r="L259" s="69">
        <v>96.038728079112815</v>
      </c>
      <c r="M259" s="69">
        <v>0</v>
      </c>
      <c r="N259" s="69">
        <v>0</v>
      </c>
      <c r="O259" s="69">
        <v>0</v>
      </c>
      <c r="P259" s="69">
        <v>0</v>
      </c>
      <c r="Q259" s="69">
        <v>0</v>
      </c>
      <c r="R259" s="69">
        <v>0</v>
      </c>
      <c r="S259" s="69">
        <v>0</v>
      </c>
      <c r="T259" s="69">
        <v>561.3819429091908</v>
      </c>
      <c r="U259" s="69">
        <v>561.3819429091908</v>
      </c>
      <c r="V259" s="69">
        <v>561.3819429091908</v>
      </c>
      <c r="W259" s="69">
        <v>561.3819429091908</v>
      </c>
      <c r="X259" s="69">
        <v>561.3819429091908</v>
      </c>
      <c r="Y259" s="69">
        <v>561.3819429091908</v>
      </c>
      <c r="Z259" s="69">
        <v>561.3819429091908</v>
      </c>
      <c r="AA259" s="69">
        <v>561.3819429091908</v>
      </c>
      <c r="AB259" s="69">
        <v>561.3819429091908</v>
      </c>
      <c r="AC259" s="69">
        <v>561.3819429091908</v>
      </c>
      <c r="AD259" s="69">
        <v>561.3819429091908</v>
      </c>
      <c r="AE259" s="69">
        <v>561.3819429091908</v>
      </c>
      <c r="AF259" s="69">
        <v>561.3819429091908</v>
      </c>
      <c r="AG259" s="69">
        <v>561.3819429091908</v>
      </c>
    </row>
    <row r="260" spans="1:33" ht="12.75" customHeight="1">
      <c r="A260" s="231" t="s">
        <v>2375</v>
      </c>
      <c r="B260" s="69" t="s">
        <v>317</v>
      </c>
      <c r="C260" s="69" t="s">
        <v>137</v>
      </c>
      <c r="D260" s="69" t="s">
        <v>191</v>
      </c>
      <c r="E260" s="69" t="s">
        <v>191</v>
      </c>
      <c r="F260" s="69" t="s">
        <v>178</v>
      </c>
      <c r="G260" s="69" t="s">
        <v>192</v>
      </c>
      <c r="H260" s="69" t="s">
        <v>2130</v>
      </c>
      <c r="I260" s="69">
        <v>2</v>
      </c>
      <c r="J260" s="238">
        <v>0.32235762917068039</v>
      </c>
      <c r="K260" s="238">
        <v>0.16023967225809357</v>
      </c>
      <c r="L260" s="69">
        <v>96.038728079112801</v>
      </c>
      <c r="M260" s="69">
        <v>0</v>
      </c>
      <c r="N260" s="69">
        <v>0</v>
      </c>
      <c r="O260" s="69">
        <v>0</v>
      </c>
      <c r="P260" s="69">
        <v>0</v>
      </c>
      <c r="Q260" s="69">
        <v>0</v>
      </c>
      <c r="R260" s="69">
        <v>1070.2402231518281</v>
      </c>
      <c r="S260" s="69">
        <v>1070.2402231518281</v>
      </c>
      <c r="T260" s="69">
        <v>1070.2402231518281</v>
      </c>
      <c r="U260" s="69">
        <v>1070.2402231518281</v>
      </c>
      <c r="V260" s="69">
        <v>1070.2402231518281</v>
      </c>
      <c r="W260" s="69">
        <v>1070.2402231518281</v>
      </c>
      <c r="X260" s="69">
        <v>1070.2402231518281</v>
      </c>
      <c r="Y260" s="69">
        <v>1070.2402231518281</v>
      </c>
      <c r="Z260" s="69">
        <v>1070.2402231518281</v>
      </c>
      <c r="AA260" s="69">
        <v>1070.2402231518281</v>
      </c>
      <c r="AB260" s="69">
        <v>1070.2402231518281</v>
      </c>
      <c r="AC260" s="69">
        <v>1070.2402231518281</v>
      </c>
      <c r="AD260" s="69">
        <v>1070.2402231518281</v>
      </c>
      <c r="AE260" s="69">
        <v>1070.2402231518281</v>
      </c>
      <c r="AF260" s="69">
        <v>1070.2402231518281</v>
      </c>
      <c r="AG260" s="69">
        <v>1070.2402231518281</v>
      </c>
    </row>
    <row r="261" spans="1:33" ht="12.75" customHeight="1">
      <c r="A261" s="231" t="s">
        <v>2375</v>
      </c>
      <c r="B261" s="69" t="s">
        <v>318</v>
      </c>
      <c r="C261" s="69" t="s">
        <v>186</v>
      </c>
      <c r="D261" s="69" t="s">
        <v>218</v>
      </c>
      <c r="E261" s="69" t="s">
        <v>203</v>
      </c>
      <c r="F261" s="69" t="s">
        <v>157</v>
      </c>
      <c r="G261" s="69" t="s">
        <v>192</v>
      </c>
      <c r="H261" s="69" t="s">
        <v>805</v>
      </c>
      <c r="I261" s="69">
        <v>1</v>
      </c>
      <c r="J261" s="238">
        <v>0.23561922263058246</v>
      </c>
      <c r="K261" s="238">
        <v>0</v>
      </c>
      <c r="L261" s="69">
        <v>200.17205317577552</v>
      </c>
      <c r="M261" s="69">
        <v>-4.8449039881831615</v>
      </c>
      <c r="N261" s="69">
        <v>0</v>
      </c>
      <c r="O261" s="69">
        <v>0</v>
      </c>
      <c r="P261" s="69">
        <v>0</v>
      </c>
      <c r="Q261" s="69">
        <v>224.97865853658541</v>
      </c>
      <c r="R261" s="69">
        <v>224.97865853658541</v>
      </c>
      <c r="S261" s="69">
        <v>224.97865853658541</v>
      </c>
      <c r="T261" s="69">
        <v>224.97865853658541</v>
      </c>
      <c r="U261" s="69">
        <v>224.97865853658541</v>
      </c>
      <c r="V261" s="69">
        <v>224.97865853658541</v>
      </c>
      <c r="W261" s="69">
        <v>224.97865853658541</v>
      </c>
      <c r="X261" s="69">
        <v>224.97865853658541</v>
      </c>
      <c r="Y261" s="69">
        <v>224.97865853658541</v>
      </c>
      <c r="Z261" s="69">
        <v>224.97865853658541</v>
      </c>
      <c r="AA261" s="69">
        <v>224.97865853658541</v>
      </c>
      <c r="AB261" s="69">
        <v>224.97865853658541</v>
      </c>
      <c r="AC261" s="69">
        <v>224.97865853658541</v>
      </c>
      <c r="AD261" s="69">
        <v>224.97865853658541</v>
      </c>
      <c r="AE261" s="69">
        <v>224.97865853658541</v>
      </c>
      <c r="AF261" s="69">
        <v>224.97865853658541</v>
      </c>
      <c r="AG261" s="69">
        <v>224.97865853658541</v>
      </c>
    </row>
    <row r="262" spans="1:33" ht="12.75" customHeight="1">
      <c r="A262" s="231" t="s">
        <v>2375</v>
      </c>
      <c r="B262" s="69" t="s">
        <v>319</v>
      </c>
      <c r="C262" s="69" t="s">
        <v>184</v>
      </c>
      <c r="D262" s="69" t="s">
        <v>140</v>
      </c>
      <c r="E262" s="69" t="s">
        <v>191</v>
      </c>
      <c r="F262" s="69" t="s">
        <v>167</v>
      </c>
      <c r="G262" s="69" t="s">
        <v>192</v>
      </c>
      <c r="H262" s="69" t="s">
        <v>148</v>
      </c>
      <c r="I262" s="69">
        <v>4</v>
      </c>
      <c r="J262" s="238">
        <v>0.8</v>
      </c>
      <c r="K262" s="238">
        <v>0</v>
      </c>
      <c r="L262" s="69">
        <v>114.19797366361543</v>
      </c>
      <c r="M262" s="69">
        <v>0</v>
      </c>
      <c r="N262" s="69">
        <v>0</v>
      </c>
      <c r="O262" s="69">
        <v>0</v>
      </c>
      <c r="P262" s="69">
        <v>0</v>
      </c>
      <c r="Q262" s="69">
        <v>0</v>
      </c>
      <c r="R262" s="69">
        <v>1013</v>
      </c>
      <c r="S262" s="69">
        <v>1013</v>
      </c>
      <c r="T262" s="69">
        <v>1013</v>
      </c>
      <c r="U262" s="69">
        <v>1013</v>
      </c>
      <c r="V262" s="69">
        <v>1013</v>
      </c>
      <c r="W262" s="69">
        <v>1013</v>
      </c>
      <c r="X262" s="69">
        <v>1013</v>
      </c>
      <c r="Y262" s="69">
        <v>1013</v>
      </c>
      <c r="Z262" s="69">
        <v>1013</v>
      </c>
      <c r="AA262" s="69">
        <v>1013</v>
      </c>
      <c r="AB262" s="69">
        <v>1013</v>
      </c>
      <c r="AC262" s="69">
        <v>1013</v>
      </c>
      <c r="AD262" s="69">
        <v>1013</v>
      </c>
      <c r="AE262" s="69">
        <v>1013</v>
      </c>
      <c r="AF262" s="69">
        <v>1013</v>
      </c>
      <c r="AG262" s="69">
        <v>1013</v>
      </c>
    </row>
    <row r="263" spans="1:33" ht="12.75" customHeight="1">
      <c r="A263" s="231" t="s">
        <v>2375</v>
      </c>
      <c r="B263" s="69" t="s">
        <v>320</v>
      </c>
      <c r="C263" s="69" t="s">
        <v>139</v>
      </c>
      <c r="D263" s="69" t="s">
        <v>191</v>
      </c>
      <c r="E263" s="69" t="s">
        <v>213</v>
      </c>
      <c r="F263" s="69" t="s">
        <v>154</v>
      </c>
      <c r="G263" s="69" t="s">
        <v>225</v>
      </c>
      <c r="H263" s="69" t="s">
        <v>148</v>
      </c>
      <c r="I263" s="69">
        <v>4</v>
      </c>
      <c r="J263" s="238">
        <v>0.85</v>
      </c>
      <c r="K263" s="238">
        <v>0.58204398831457249</v>
      </c>
      <c r="L263" s="69">
        <v>139.86106095076619</v>
      </c>
      <c r="M263" s="69">
        <v>0</v>
      </c>
      <c r="N263" s="69">
        <v>0</v>
      </c>
      <c r="O263" s="69">
        <v>0</v>
      </c>
      <c r="P263" s="69">
        <v>0</v>
      </c>
      <c r="Q263" s="69">
        <v>0</v>
      </c>
      <c r="R263" s="69">
        <v>12</v>
      </c>
      <c r="S263" s="69">
        <v>12</v>
      </c>
      <c r="T263" s="69">
        <v>12</v>
      </c>
      <c r="U263" s="69">
        <v>12</v>
      </c>
      <c r="V263" s="69">
        <v>12</v>
      </c>
      <c r="W263" s="69">
        <v>12</v>
      </c>
      <c r="X263" s="69">
        <v>12</v>
      </c>
      <c r="Y263" s="69">
        <v>12</v>
      </c>
      <c r="Z263" s="69">
        <v>12</v>
      </c>
      <c r="AA263" s="69">
        <v>12</v>
      </c>
      <c r="AB263" s="69">
        <v>12</v>
      </c>
      <c r="AC263" s="69">
        <v>12</v>
      </c>
      <c r="AD263" s="69">
        <v>12</v>
      </c>
      <c r="AE263" s="69">
        <v>12</v>
      </c>
      <c r="AF263" s="69">
        <v>12</v>
      </c>
      <c r="AG263" s="69">
        <v>12</v>
      </c>
    </row>
    <row r="264" spans="1:33" ht="12.75" customHeight="1">
      <c r="A264" s="231" t="s">
        <v>2375</v>
      </c>
      <c r="B264" s="69" t="s">
        <v>321</v>
      </c>
      <c r="C264" s="69" t="s">
        <v>136</v>
      </c>
      <c r="D264" s="69" t="s">
        <v>191</v>
      </c>
      <c r="E264" s="69" t="s">
        <v>191</v>
      </c>
      <c r="F264" s="69" t="s">
        <v>181</v>
      </c>
      <c r="G264" s="69" t="s">
        <v>294</v>
      </c>
      <c r="H264" s="69" t="s">
        <v>148</v>
      </c>
      <c r="I264" s="69">
        <v>4</v>
      </c>
      <c r="J264" s="238">
        <v>0.82500000000000007</v>
      </c>
      <c r="K264" s="238">
        <v>0.66812452144255507</v>
      </c>
      <c r="L264" s="69">
        <v>97.919965869917917</v>
      </c>
      <c r="M264" s="69">
        <v>0</v>
      </c>
      <c r="N264" s="69">
        <v>0</v>
      </c>
      <c r="O264" s="69">
        <v>0</v>
      </c>
      <c r="P264" s="69">
        <v>0</v>
      </c>
      <c r="Q264" s="69">
        <v>0</v>
      </c>
      <c r="R264" s="69">
        <v>0</v>
      </c>
      <c r="S264" s="69">
        <v>0</v>
      </c>
      <c r="T264" s="69">
        <v>810.4186046511677</v>
      </c>
      <c r="U264" s="69">
        <v>810.4186046511677</v>
      </c>
      <c r="V264" s="69">
        <v>810.4186046511677</v>
      </c>
      <c r="W264" s="69">
        <v>810.4186046511677</v>
      </c>
      <c r="X264" s="69">
        <v>810.4186046511677</v>
      </c>
      <c r="Y264" s="69">
        <v>810.4186046511677</v>
      </c>
      <c r="Z264" s="69">
        <v>810.4186046511677</v>
      </c>
      <c r="AA264" s="69">
        <v>810.4186046511677</v>
      </c>
      <c r="AB264" s="69">
        <v>810.4186046511677</v>
      </c>
      <c r="AC264" s="69">
        <v>810.4186046511677</v>
      </c>
      <c r="AD264" s="69">
        <v>810.4186046511677</v>
      </c>
      <c r="AE264" s="69">
        <v>810.4186046511677</v>
      </c>
      <c r="AF264" s="69">
        <v>810.4186046511677</v>
      </c>
      <c r="AG264" s="69">
        <v>810.4186046511677</v>
      </c>
    </row>
    <row r="265" spans="1:33" ht="12.75" customHeight="1">
      <c r="A265" s="231" t="s">
        <v>2375</v>
      </c>
      <c r="B265" s="69" t="s">
        <v>323</v>
      </c>
      <c r="C265" s="69" t="s">
        <v>136</v>
      </c>
      <c r="D265" s="69" t="s">
        <v>191</v>
      </c>
      <c r="E265" s="69" t="s">
        <v>191</v>
      </c>
      <c r="F265" s="69" t="s">
        <v>181</v>
      </c>
      <c r="G265" s="69" t="s">
        <v>294</v>
      </c>
      <c r="H265" s="69" t="s">
        <v>148</v>
      </c>
      <c r="I265" s="69">
        <v>4</v>
      </c>
      <c r="J265" s="238">
        <v>0.82499999999999996</v>
      </c>
      <c r="K265" s="238">
        <v>0.66812452144255507</v>
      </c>
      <c r="L265" s="69">
        <v>97.919965869917917</v>
      </c>
      <c r="M265" s="69">
        <v>0</v>
      </c>
      <c r="N265" s="69">
        <v>0</v>
      </c>
      <c r="O265" s="69">
        <v>0</v>
      </c>
      <c r="P265" s="69">
        <v>0</v>
      </c>
      <c r="Q265" s="69">
        <v>0</v>
      </c>
      <c r="R265" s="69">
        <v>305.95348837209167</v>
      </c>
      <c r="S265" s="69">
        <v>305.95348837209167</v>
      </c>
      <c r="T265" s="69">
        <v>305.95348837209167</v>
      </c>
      <c r="U265" s="69">
        <v>305.95348837209167</v>
      </c>
      <c r="V265" s="69">
        <v>305.95348837209167</v>
      </c>
      <c r="W265" s="69">
        <v>305.95348837209167</v>
      </c>
      <c r="X265" s="69">
        <v>305.95348837209167</v>
      </c>
      <c r="Y265" s="69">
        <v>305.95348837209167</v>
      </c>
      <c r="Z265" s="69">
        <v>305.95348837209167</v>
      </c>
      <c r="AA265" s="69">
        <v>305.95348837209167</v>
      </c>
      <c r="AB265" s="69">
        <v>305.95348837209167</v>
      </c>
      <c r="AC265" s="69">
        <v>305.95348837209167</v>
      </c>
      <c r="AD265" s="69">
        <v>305.95348837209167</v>
      </c>
      <c r="AE265" s="69">
        <v>305.95348837209167</v>
      </c>
      <c r="AF265" s="69">
        <v>305.95348837209167</v>
      </c>
      <c r="AG265" s="69">
        <v>305.95348837209167</v>
      </c>
    </row>
    <row r="266" spans="1:33" ht="12.75" customHeight="1">
      <c r="A266" s="231" t="s">
        <v>2375</v>
      </c>
      <c r="B266" s="69" t="s">
        <v>324</v>
      </c>
      <c r="C266" s="69" t="s">
        <v>18</v>
      </c>
      <c r="D266" s="69" t="s">
        <v>325</v>
      </c>
      <c r="E266" s="69" t="s">
        <v>191</v>
      </c>
      <c r="F266" s="69" t="s">
        <v>168</v>
      </c>
      <c r="G266" s="69" t="s">
        <v>199</v>
      </c>
      <c r="H266" s="69" t="s">
        <v>148</v>
      </c>
      <c r="I266" s="69">
        <v>4</v>
      </c>
      <c r="J266" s="238">
        <v>0.35</v>
      </c>
      <c r="K266" s="238">
        <v>0</v>
      </c>
      <c r="L266" s="69">
        <v>138.77253590202551</v>
      </c>
      <c r="M266" s="69">
        <v>0</v>
      </c>
      <c r="N266" s="69">
        <v>0</v>
      </c>
      <c r="O266" s="69">
        <v>0</v>
      </c>
      <c r="P266" s="69">
        <v>0</v>
      </c>
      <c r="Q266" s="69">
        <v>0</v>
      </c>
      <c r="R266" s="69">
        <v>48</v>
      </c>
      <c r="S266" s="69">
        <v>48</v>
      </c>
      <c r="T266" s="69">
        <v>48</v>
      </c>
      <c r="U266" s="69">
        <v>48</v>
      </c>
      <c r="V266" s="69">
        <v>48</v>
      </c>
      <c r="W266" s="69">
        <v>48</v>
      </c>
      <c r="X266" s="69">
        <v>48</v>
      </c>
      <c r="Y266" s="69">
        <v>48</v>
      </c>
      <c r="Z266" s="69">
        <v>48</v>
      </c>
      <c r="AA266" s="69">
        <v>48</v>
      </c>
      <c r="AB266" s="69">
        <v>48</v>
      </c>
      <c r="AC266" s="69">
        <v>48</v>
      </c>
      <c r="AD266" s="69">
        <v>48</v>
      </c>
      <c r="AE266" s="69">
        <v>48</v>
      </c>
      <c r="AF266" s="69">
        <v>48</v>
      </c>
      <c r="AG266" s="69">
        <v>48</v>
      </c>
    </row>
    <row r="267" spans="1:33" ht="12.75" customHeight="1">
      <c r="A267" s="231" t="s">
        <v>2375</v>
      </c>
      <c r="B267" s="69" t="s">
        <v>331</v>
      </c>
      <c r="C267" s="69" t="s">
        <v>137</v>
      </c>
      <c r="D267" s="69" t="s">
        <v>191</v>
      </c>
      <c r="E267" s="69" t="s">
        <v>191</v>
      </c>
      <c r="F267" s="69" t="s">
        <v>180</v>
      </c>
      <c r="G267" s="69" t="s">
        <v>192</v>
      </c>
      <c r="H267" s="69" t="s">
        <v>148</v>
      </c>
      <c r="I267" s="69">
        <v>4</v>
      </c>
      <c r="J267" s="238">
        <v>0.32235762917068039</v>
      </c>
      <c r="K267" s="238">
        <v>0.160195270625522</v>
      </c>
      <c r="L267" s="69">
        <v>96.038728079112815</v>
      </c>
      <c r="M267" s="69">
        <v>0</v>
      </c>
      <c r="N267" s="69">
        <v>0</v>
      </c>
      <c r="O267" s="69">
        <v>0</v>
      </c>
      <c r="P267" s="69">
        <v>0</v>
      </c>
      <c r="Q267" s="69">
        <v>0</v>
      </c>
      <c r="R267" s="69">
        <v>768.34665922935528</v>
      </c>
      <c r="S267" s="69">
        <v>768.34665922935528</v>
      </c>
      <c r="T267" s="69">
        <v>768.34665922935528</v>
      </c>
      <c r="U267" s="69">
        <v>768.34665922935528</v>
      </c>
      <c r="V267" s="69">
        <v>768.34665922935528</v>
      </c>
      <c r="W267" s="69">
        <v>768.34665922935528</v>
      </c>
      <c r="X267" s="69">
        <v>768.34665922935528</v>
      </c>
      <c r="Y267" s="69">
        <v>768.34665922935528</v>
      </c>
      <c r="Z267" s="69">
        <v>768.34665922935528</v>
      </c>
      <c r="AA267" s="69">
        <v>768.34665922935528</v>
      </c>
      <c r="AB267" s="69">
        <v>768.34665922935528</v>
      </c>
      <c r="AC267" s="69">
        <v>768.34665922935528</v>
      </c>
      <c r="AD267" s="69">
        <v>768.34665922935528</v>
      </c>
      <c r="AE267" s="69">
        <v>768.34665922935528</v>
      </c>
      <c r="AF267" s="69">
        <v>768.34665922935528</v>
      </c>
      <c r="AG267" s="69">
        <v>768.34665922935528</v>
      </c>
    </row>
    <row r="268" spans="1:33" ht="12.75" customHeight="1">
      <c r="A268" s="231" t="s">
        <v>2375</v>
      </c>
      <c r="B268" s="69" t="s">
        <v>332</v>
      </c>
      <c r="C268" s="69" t="s">
        <v>137</v>
      </c>
      <c r="D268" s="69" t="s">
        <v>191</v>
      </c>
      <c r="E268" s="69" t="s">
        <v>191</v>
      </c>
      <c r="F268" s="69" t="s">
        <v>179</v>
      </c>
      <c r="G268" s="69" t="s">
        <v>192</v>
      </c>
      <c r="H268" s="69" t="s">
        <v>148</v>
      </c>
      <c r="I268" s="69">
        <v>4</v>
      </c>
      <c r="J268" s="238">
        <v>0.32235762917068039</v>
      </c>
      <c r="K268" s="238">
        <v>0.16152665976075289</v>
      </c>
      <c r="L268" s="69">
        <v>96.038728079112801</v>
      </c>
      <c r="M268" s="69">
        <v>0</v>
      </c>
      <c r="N268" s="69">
        <v>0</v>
      </c>
      <c r="O268" s="69">
        <v>0</v>
      </c>
      <c r="P268" s="69">
        <v>0</v>
      </c>
      <c r="Q268" s="69">
        <v>0</v>
      </c>
      <c r="R268" s="69">
        <v>0</v>
      </c>
      <c r="S268" s="69">
        <v>0</v>
      </c>
      <c r="T268" s="69">
        <v>169.99594045841687</v>
      </c>
      <c r="U268" s="69">
        <v>169.99594045841687</v>
      </c>
      <c r="V268" s="69">
        <v>169.99594045841687</v>
      </c>
      <c r="W268" s="69">
        <v>169.99594045841687</v>
      </c>
      <c r="X268" s="69">
        <v>169.99594045841687</v>
      </c>
      <c r="Y268" s="69">
        <v>169.99594045841687</v>
      </c>
      <c r="Z268" s="69">
        <v>169.99594045841687</v>
      </c>
      <c r="AA268" s="69">
        <v>169.99594045841687</v>
      </c>
      <c r="AB268" s="69">
        <v>169.99594045841687</v>
      </c>
      <c r="AC268" s="69">
        <v>169.99594045841687</v>
      </c>
      <c r="AD268" s="69">
        <v>169.99594045841687</v>
      </c>
      <c r="AE268" s="69">
        <v>169.99594045841687</v>
      </c>
      <c r="AF268" s="69">
        <v>169.99594045841687</v>
      </c>
      <c r="AG268" s="69">
        <v>169.99594045841687</v>
      </c>
    </row>
    <row r="269" spans="1:33" ht="12.75" customHeight="1">
      <c r="A269" s="231" t="s">
        <v>2375</v>
      </c>
      <c r="B269" s="69" t="s">
        <v>333</v>
      </c>
      <c r="C269" s="69" t="s">
        <v>186</v>
      </c>
      <c r="D269" s="69" t="s">
        <v>334</v>
      </c>
      <c r="E269" s="69" t="s">
        <v>260</v>
      </c>
      <c r="F269" s="69" t="s">
        <v>157</v>
      </c>
      <c r="G269" s="69" t="s">
        <v>192</v>
      </c>
      <c r="H269" s="69" t="s">
        <v>805</v>
      </c>
      <c r="I269" s="69">
        <v>1</v>
      </c>
      <c r="J269" s="238">
        <v>0.19559527787058692</v>
      </c>
      <c r="K269" s="238">
        <v>0</v>
      </c>
      <c r="L269" s="69">
        <v>307.09437722419932</v>
      </c>
      <c r="M269" s="69">
        <v>-26.263345195729539</v>
      </c>
      <c r="N269" s="69">
        <v>6.1682926829267899</v>
      </c>
      <c r="O269" s="69">
        <v>6.1682926829267899</v>
      </c>
      <c r="P269" s="69">
        <v>6.1682926829267899</v>
      </c>
      <c r="Q269" s="69">
        <v>6.1682926829267899</v>
      </c>
      <c r="R269" s="69">
        <v>6.1682926829267899</v>
      </c>
      <c r="S269" s="69">
        <v>6.1682926829267899</v>
      </c>
      <c r="T269" s="69">
        <v>6.1682926829267899</v>
      </c>
      <c r="U269" s="69">
        <v>6.1682926829267899</v>
      </c>
      <c r="V269" s="69">
        <v>6.1682926829267899</v>
      </c>
      <c r="W269" s="69">
        <v>6.1682926829267899</v>
      </c>
      <c r="X269" s="69">
        <v>6.1682926829267899</v>
      </c>
      <c r="Y269" s="69">
        <v>6.1682926829267899</v>
      </c>
      <c r="Z269" s="69">
        <v>6.1682926829267899</v>
      </c>
      <c r="AA269" s="69">
        <v>6.1682926829267899</v>
      </c>
      <c r="AB269" s="69">
        <v>6.1682926829267899</v>
      </c>
      <c r="AC269" s="69">
        <v>6.1682926829267899</v>
      </c>
      <c r="AD269" s="69">
        <v>6.1682926829267899</v>
      </c>
      <c r="AE269" s="69">
        <v>6.1682926829267899</v>
      </c>
      <c r="AF269" s="69">
        <v>6.1682926829267899</v>
      </c>
      <c r="AG269" s="69">
        <v>6.1682926829267899</v>
      </c>
    </row>
    <row r="270" spans="1:33" ht="12.75" customHeight="1">
      <c r="A270" s="231" t="s">
        <v>2375</v>
      </c>
      <c r="B270" s="69" t="s">
        <v>335</v>
      </c>
      <c r="C270" s="69" t="s">
        <v>186</v>
      </c>
      <c r="D270" s="69" t="s">
        <v>334</v>
      </c>
      <c r="E270" s="69" t="s">
        <v>260</v>
      </c>
      <c r="F270" s="69" t="s">
        <v>157</v>
      </c>
      <c r="G270" s="69" t="s">
        <v>192</v>
      </c>
      <c r="H270" s="69" t="s">
        <v>805</v>
      </c>
      <c r="I270" s="69">
        <v>1</v>
      </c>
      <c r="J270" s="238">
        <v>0.19559527787058692</v>
      </c>
      <c r="K270" s="238">
        <v>0</v>
      </c>
      <c r="L270" s="69">
        <v>307.09437722419932</v>
      </c>
      <c r="M270" s="69">
        <v>-26.263345195729539</v>
      </c>
      <c r="N270" s="69">
        <v>0</v>
      </c>
      <c r="O270" s="69">
        <v>6.1682926829267899</v>
      </c>
      <c r="P270" s="69">
        <v>6.1682926829267899</v>
      </c>
      <c r="Q270" s="69">
        <v>6.1682926829267899</v>
      </c>
      <c r="R270" s="69">
        <v>6.1682926829267899</v>
      </c>
      <c r="S270" s="69">
        <v>6.1682926829267899</v>
      </c>
      <c r="T270" s="69">
        <v>6.1682926829267899</v>
      </c>
      <c r="U270" s="69">
        <v>6.1682926829267899</v>
      </c>
      <c r="V270" s="69">
        <v>6.1682926829267899</v>
      </c>
      <c r="W270" s="69">
        <v>6.1682926829267899</v>
      </c>
      <c r="X270" s="69">
        <v>6.1682926829267899</v>
      </c>
      <c r="Y270" s="69">
        <v>6.1682926829267899</v>
      </c>
      <c r="Z270" s="69">
        <v>6.1682926829267899</v>
      </c>
      <c r="AA270" s="69">
        <v>6.1682926829267899</v>
      </c>
      <c r="AB270" s="69">
        <v>6.1682926829267899</v>
      </c>
      <c r="AC270" s="69">
        <v>6.1682926829267899</v>
      </c>
      <c r="AD270" s="69">
        <v>6.1682926829267899</v>
      </c>
      <c r="AE270" s="69">
        <v>6.1682926829267899</v>
      </c>
      <c r="AF270" s="69">
        <v>6.1682926829267899</v>
      </c>
      <c r="AG270" s="69">
        <v>6.1682926829267899</v>
      </c>
    </row>
    <row r="271" spans="1:33" ht="12.75" customHeight="1">
      <c r="A271" s="231" t="s">
        <v>2375</v>
      </c>
      <c r="B271" s="69" t="s">
        <v>336</v>
      </c>
      <c r="C271" s="69" t="s">
        <v>186</v>
      </c>
      <c r="D271" s="69" t="s">
        <v>334</v>
      </c>
      <c r="E271" s="69" t="s">
        <v>260</v>
      </c>
      <c r="F271" s="69" t="s">
        <v>157</v>
      </c>
      <c r="G271" s="69" t="s">
        <v>192</v>
      </c>
      <c r="H271" s="69" t="s">
        <v>805</v>
      </c>
      <c r="I271" s="69">
        <v>1</v>
      </c>
      <c r="J271" s="238">
        <v>0.19559527787058692</v>
      </c>
      <c r="K271" s="238">
        <v>0</v>
      </c>
      <c r="L271" s="69">
        <v>307.09437722419932</v>
      </c>
      <c r="M271" s="69">
        <v>-26.263345195729539</v>
      </c>
      <c r="N271" s="69">
        <v>0</v>
      </c>
      <c r="O271" s="69">
        <v>0</v>
      </c>
      <c r="P271" s="69">
        <v>6.1682926829267899</v>
      </c>
      <c r="Q271" s="69">
        <v>6.1682926829267899</v>
      </c>
      <c r="R271" s="69">
        <v>6.1682926829267899</v>
      </c>
      <c r="S271" s="69">
        <v>6.1682926829267899</v>
      </c>
      <c r="T271" s="69">
        <v>6.1682926829267899</v>
      </c>
      <c r="U271" s="69">
        <v>6.1682926829267899</v>
      </c>
      <c r="V271" s="69">
        <v>6.1682926829267899</v>
      </c>
      <c r="W271" s="69">
        <v>6.1682926829267899</v>
      </c>
      <c r="X271" s="69">
        <v>6.1682926829267899</v>
      </c>
      <c r="Y271" s="69">
        <v>6.1682926829267899</v>
      </c>
      <c r="Z271" s="69">
        <v>6.1682926829267899</v>
      </c>
      <c r="AA271" s="69">
        <v>6.1682926829267899</v>
      </c>
      <c r="AB271" s="69">
        <v>6.1682926829267899</v>
      </c>
      <c r="AC271" s="69">
        <v>6.1682926829267899</v>
      </c>
      <c r="AD271" s="69">
        <v>6.1682926829267899</v>
      </c>
      <c r="AE271" s="69">
        <v>6.1682926829267899</v>
      </c>
      <c r="AF271" s="69">
        <v>6.1682926829267899</v>
      </c>
      <c r="AG271" s="69">
        <v>6.1682926829267899</v>
      </c>
    </row>
    <row r="272" spans="1:33" ht="12.75" customHeight="1">
      <c r="A272" s="231" t="s">
        <v>2375</v>
      </c>
      <c r="B272" s="69" t="s">
        <v>337</v>
      </c>
      <c r="C272" s="69" t="s">
        <v>186</v>
      </c>
      <c r="D272" s="69" t="s">
        <v>334</v>
      </c>
      <c r="E272" s="69" t="s">
        <v>260</v>
      </c>
      <c r="F272" s="69" t="s">
        <v>157</v>
      </c>
      <c r="G272" s="69" t="s">
        <v>192</v>
      </c>
      <c r="H272" s="69" t="s">
        <v>805</v>
      </c>
      <c r="I272" s="69">
        <v>1</v>
      </c>
      <c r="J272" s="238">
        <v>0.19559527787058692</v>
      </c>
      <c r="K272" s="238">
        <v>0</v>
      </c>
      <c r="L272" s="69">
        <v>307.09437722419932</v>
      </c>
      <c r="M272" s="69">
        <v>-26.263345195729539</v>
      </c>
      <c r="N272" s="69">
        <v>0</v>
      </c>
      <c r="O272" s="69">
        <v>0</v>
      </c>
      <c r="P272" s="69">
        <v>0</v>
      </c>
      <c r="Q272" s="69">
        <v>6.1682926829267899</v>
      </c>
      <c r="R272" s="69">
        <v>6.1682926829267899</v>
      </c>
      <c r="S272" s="69">
        <v>6.1682926829267899</v>
      </c>
      <c r="T272" s="69">
        <v>6.1682926829267899</v>
      </c>
      <c r="U272" s="69">
        <v>6.1682926829267899</v>
      </c>
      <c r="V272" s="69">
        <v>6.1682926829267899</v>
      </c>
      <c r="W272" s="69">
        <v>6.1682926829267899</v>
      </c>
      <c r="X272" s="69">
        <v>6.1682926829267899</v>
      </c>
      <c r="Y272" s="69">
        <v>6.1682926829267899</v>
      </c>
      <c r="Z272" s="69">
        <v>6.1682926829267899</v>
      </c>
      <c r="AA272" s="69">
        <v>6.1682926829267899</v>
      </c>
      <c r="AB272" s="69">
        <v>6.1682926829267899</v>
      </c>
      <c r="AC272" s="69">
        <v>6.1682926829267899</v>
      </c>
      <c r="AD272" s="69">
        <v>6.1682926829267899</v>
      </c>
      <c r="AE272" s="69">
        <v>6.1682926829267899</v>
      </c>
      <c r="AF272" s="69">
        <v>6.1682926829267899</v>
      </c>
      <c r="AG272" s="69">
        <v>6.1682926829267899</v>
      </c>
    </row>
    <row r="273" spans="1:33" ht="12.75" customHeight="1">
      <c r="A273" s="231" t="s">
        <v>2375</v>
      </c>
      <c r="B273" s="69" t="s">
        <v>338</v>
      </c>
      <c r="C273" s="69" t="s">
        <v>186</v>
      </c>
      <c r="D273" s="69" t="s">
        <v>334</v>
      </c>
      <c r="E273" s="69" t="s">
        <v>260</v>
      </c>
      <c r="F273" s="69" t="s">
        <v>157</v>
      </c>
      <c r="G273" s="69" t="s">
        <v>192</v>
      </c>
      <c r="H273" s="69" t="s">
        <v>805</v>
      </c>
      <c r="I273" s="69">
        <v>1</v>
      </c>
      <c r="J273" s="238">
        <v>0.19559527787058692</v>
      </c>
      <c r="K273" s="238">
        <v>0</v>
      </c>
      <c r="L273" s="69">
        <v>307.09437722419932</v>
      </c>
      <c r="M273" s="69">
        <v>-26.263345195729539</v>
      </c>
      <c r="N273" s="69">
        <v>0</v>
      </c>
      <c r="O273" s="69">
        <v>0</v>
      </c>
      <c r="P273" s="69">
        <v>0</v>
      </c>
      <c r="Q273" s="69">
        <v>0</v>
      </c>
      <c r="R273" s="69">
        <v>6.1682926829269045</v>
      </c>
      <c r="S273" s="69">
        <v>6.1682926829269045</v>
      </c>
      <c r="T273" s="69">
        <v>6.1682926829269045</v>
      </c>
      <c r="U273" s="69">
        <v>6.1682926829269045</v>
      </c>
      <c r="V273" s="69">
        <v>6.1682926829269045</v>
      </c>
      <c r="W273" s="69">
        <v>6.1682926829269045</v>
      </c>
      <c r="X273" s="69">
        <v>6.1682926829269045</v>
      </c>
      <c r="Y273" s="69">
        <v>6.1682926829269045</v>
      </c>
      <c r="Z273" s="69">
        <v>6.1682926829269045</v>
      </c>
      <c r="AA273" s="69">
        <v>6.1682926829269045</v>
      </c>
      <c r="AB273" s="69">
        <v>6.1682926829269045</v>
      </c>
      <c r="AC273" s="69">
        <v>6.1682926829269045</v>
      </c>
      <c r="AD273" s="69">
        <v>6.1682926829269045</v>
      </c>
      <c r="AE273" s="69">
        <v>6.1682926829269045</v>
      </c>
      <c r="AF273" s="69">
        <v>6.1682926829269045</v>
      </c>
      <c r="AG273" s="69">
        <v>6.1682926829269045</v>
      </c>
    </row>
    <row r="274" spans="1:33" ht="12.75" customHeight="1">
      <c r="A274" s="231" t="s">
        <v>2375</v>
      </c>
      <c r="B274" s="69" t="s">
        <v>339</v>
      </c>
      <c r="C274" s="69" t="s">
        <v>186</v>
      </c>
      <c r="D274" s="69" t="s">
        <v>218</v>
      </c>
      <c r="E274" s="69" t="s">
        <v>260</v>
      </c>
      <c r="F274" s="69" t="s">
        <v>157</v>
      </c>
      <c r="G274" s="69" t="s">
        <v>192</v>
      </c>
      <c r="H274" s="69" t="s">
        <v>805</v>
      </c>
      <c r="I274" s="69">
        <v>1</v>
      </c>
      <c r="J274" s="238">
        <v>0.21868155325388869</v>
      </c>
      <c r="K274" s="238">
        <v>0</v>
      </c>
      <c r="L274" s="69">
        <v>215.67609549071619</v>
      </c>
      <c r="M274" s="69">
        <v>-5.2201591511936343</v>
      </c>
      <c r="N274" s="69">
        <v>26.249425539017579</v>
      </c>
      <c r="O274" s="69">
        <v>26.249425539017579</v>
      </c>
      <c r="P274" s="69">
        <v>26.249425539017579</v>
      </c>
      <c r="Q274" s="69">
        <v>26.249425539017579</v>
      </c>
      <c r="R274" s="69">
        <v>26.249425539017579</v>
      </c>
      <c r="S274" s="69">
        <v>26.249425539017579</v>
      </c>
      <c r="T274" s="69">
        <v>26.249425539017579</v>
      </c>
      <c r="U274" s="69">
        <v>26.249425539017579</v>
      </c>
      <c r="V274" s="69">
        <v>26.249425539017579</v>
      </c>
      <c r="W274" s="69">
        <v>26.249425539017579</v>
      </c>
      <c r="X274" s="69">
        <v>26.249425539017579</v>
      </c>
      <c r="Y274" s="69">
        <v>26.249425539017579</v>
      </c>
      <c r="Z274" s="69">
        <v>26.249425539017579</v>
      </c>
      <c r="AA274" s="69">
        <v>26.249425539017579</v>
      </c>
      <c r="AB274" s="69">
        <v>26.249425539017579</v>
      </c>
      <c r="AC274" s="69">
        <v>26.249425539017579</v>
      </c>
      <c r="AD274" s="69">
        <v>26.249425539017579</v>
      </c>
      <c r="AE274" s="69">
        <v>26.249425539017579</v>
      </c>
      <c r="AF274" s="69">
        <v>26.249425539017579</v>
      </c>
      <c r="AG274" s="69">
        <v>26.249425539017579</v>
      </c>
    </row>
    <row r="275" spans="1:33" ht="12.75" customHeight="1">
      <c r="A275" s="231" t="s">
        <v>2375</v>
      </c>
      <c r="B275" s="69" t="s">
        <v>340</v>
      </c>
      <c r="C275" s="69" t="s">
        <v>186</v>
      </c>
      <c r="D275" s="69" t="s">
        <v>218</v>
      </c>
      <c r="E275" s="69" t="s">
        <v>203</v>
      </c>
      <c r="F275" s="69" t="s">
        <v>157</v>
      </c>
      <c r="G275" s="69" t="s">
        <v>192</v>
      </c>
      <c r="H275" s="69" t="s">
        <v>805</v>
      </c>
      <c r="I275" s="69">
        <v>1</v>
      </c>
      <c r="J275" s="238">
        <v>0.23561922263058244</v>
      </c>
      <c r="K275" s="238">
        <v>0</v>
      </c>
      <c r="L275" s="69">
        <v>200.17205317577549</v>
      </c>
      <c r="M275" s="69">
        <v>-4.8449039881831615</v>
      </c>
      <c r="N275" s="69">
        <v>69.965023431978693</v>
      </c>
      <c r="O275" s="69">
        <v>69.965023431978693</v>
      </c>
      <c r="P275" s="69">
        <v>69.965023431978693</v>
      </c>
      <c r="Q275" s="69">
        <v>69.965023431978693</v>
      </c>
      <c r="R275" s="69">
        <v>69.965023431978693</v>
      </c>
      <c r="S275" s="69">
        <v>69.965023431978693</v>
      </c>
      <c r="T275" s="69">
        <v>69.965023431978693</v>
      </c>
      <c r="U275" s="69">
        <v>69.965023431978693</v>
      </c>
      <c r="V275" s="69">
        <v>69.965023431978693</v>
      </c>
      <c r="W275" s="69">
        <v>69.965023431978693</v>
      </c>
      <c r="X275" s="69">
        <v>69.965023431978693</v>
      </c>
      <c r="Y275" s="69">
        <v>69.965023431978693</v>
      </c>
      <c r="Z275" s="69">
        <v>69.965023431978693</v>
      </c>
      <c r="AA275" s="69">
        <v>69.965023431978693</v>
      </c>
      <c r="AB275" s="69">
        <v>69.965023431978693</v>
      </c>
      <c r="AC275" s="69">
        <v>69.965023431978693</v>
      </c>
      <c r="AD275" s="69">
        <v>69.965023431978693</v>
      </c>
      <c r="AE275" s="69">
        <v>69.965023431978693</v>
      </c>
      <c r="AF275" s="69">
        <v>69.965023431978693</v>
      </c>
      <c r="AG275" s="69">
        <v>69.965023431978693</v>
      </c>
    </row>
    <row r="276" spans="1:33" ht="12.75" customHeight="1">
      <c r="A276" s="231" t="s">
        <v>2375</v>
      </c>
      <c r="B276" s="69" t="s">
        <v>341</v>
      </c>
      <c r="C276" s="69" t="s">
        <v>186</v>
      </c>
      <c r="D276" s="69" t="s">
        <v>218</v>
      </c>
      <c r="E276" s="69" t="s">
        <v>260</v>
      </c>
      <c r="F276" s="69" t="s">
        <v>157</v>
      </c>
      <c r="G276" s="69" t="s">
        <v>192</v>
      </c>
      <c r="H276" s="69" t="s">
        <v>805</v>
      </c>
      <c r="I276" s="69">
        <v>1</v>
      </c>
      <c r="J276" s="238">
        <v>0.21868155325388869</v>
      </c>
      <c r="K276" s="238">
        <v>0</v>
      </c>
      <c r="L276" s="69">
        <v>215.67609549071619</v>
      </c>
      <c r="M276" s="69">
        <v>-5.2201591511936343</v>
      </c>
      <c r="N276" s="69">
        <v>0</v>
      </c>
      <c r="O276" s="69">
        <v>26.249425539017579</v>
      </c>
      <c r="P276" s="69">
        <v>26.249425539017579</v>
      </c>
      <c r="Q276" s="69">
        <v>26.249425539017579</v>
      </c>
      <c r="R276" s="69">
        <v>26.249425539017579</v>
      </c>
      <c r="S276" s="69">
        <v>26.249425539017579</v>
      </c>
      <c r="T276" s="69">
        <v>26.249425539017579</v>
      </c>
      <c r="U276" s="69">
        <v>26.249425539017579</v>
      </c>
      <c r="V276" s="69">
        <v>26.249425539017579</v>
      </c>
      <c r="W276" s="69">
        <v>26.249425539017579</v>
      </c>
      <c r="X276" s="69">
        <v>26.249425539017579</v>
      </c>
      <c r="Y276" s="69">
        <v>26.249425539017579</v>
      </c>
      <c r="Z276" s="69">
        <v>26.249425539017579</v>
      </c>
      <c r="AA276" s="69">
        <v>26.249425539017579</v>
      </c>
      <c r="AB276" s="69">
        <v>26.249425539017579</v>
      </c>
      <c r="AC276" s="69">
        <v>26.249425539017579</v>
      </c>
      <c r="AD276" s="69">
        <v>26.249425539017579</v>
      </c>
      <c r="AE276" s="69">
        <v>26.249425539017579</v>
      </c>
      <c r="AF276" s="69">
        <v>26.249425539017579</v>
      </c>
      <c r="AG276" s="69">
        <v>26.249425539017579</v>
      </c>
    </row>
    <row r="277" spans="1:33" ht="12.75" customHeight="1">
      <c r="A277" s="231" t="s">
        <v>2375</v>
      </c>
      <c r="B277" s="69" t="s">
        <v>342</v>
      </c>
      <c r="C277" s="69" t="s">
        <v>186</v>
      </c>
      <c r="D277" s="69" t="s">
        <v>218</v>
      </c>
      <c r="E277" s="69" t="s">
        <v>203</v>
      </c>
      <c r="F277" s="69" t="s">
        <v>157</v>
      </c>
      <c r="G277" s="69" t="s">
        <v>192</v>
      </c>
      <c r="H277" s="69" t="s">
        <v>805</v>
      </c>
      <c r="I277" s="69">
        <v>1</v>
      </c>
      <c r="J277" s="238">
        <v>0.23561922263058244</v>
      </c>
      <c r="K277" s="238">
        <v>0</v>
      </c>
      <c r="L277" s="69">
        <v>200.17205317577549</v>
      </c>
      <c r="M277" s="69">
        <v>-4.8449039881831615</v>
      </c>
      <c r="N277" s="69">
        <v>0</v>
      </c>
      <c r="O277" s="69">
        <v>69.965023431978693</v>
      </c>
      <c r="P277" s="69">
        <v>69.965023431978693</v>
      </c>
      <c r="Q277" s="69">
        <v>69.965023431978693</v>
      </c>
      <c r="R277" s="69">
        <v>69.965023431978693</v>
      </c>
      <c r="S277" s="69">
        <v>69.965023431978693</v>
      </c>
      <c r="T277" s="69">
        <v>69.965023431978693</v>
      </c>
      <c r="U277" s="69">
        <v>69.965023431978693</v>
      </c>
      <c r="V277" s="69">
        <v>69.965023431978693</v>
      </c>
      <c r="W277" s="69">
        <v>69.965023431978693</v>
      </c>
      <c r="X277" s="69">
        <v>69.965023431978693</v>
      </c>
      <c r="Y277" s="69">
        <v>69.965023431978693</v>
      </c>
      <c r="Z277" s="69">
        <v>69.965023431978693</v>
      </c>
      <c r="AA277" s="69">
        <v>69.965023431978693</v>
      </c>
      <c r="AB277" s="69">
        <v>69.965023431978693</v>
      </c>
      <c r="AC277" s="69">
        <v>69.965023431978693</v>
      </c>
      <c r="AD277" s="69">
        <v>69.965023431978693</v>
      </c>
      <c r="AE277" s="69">
        <v>69.965023431978693</v>
      </c>
      <c r="AF277" s="69">
        <v>69.965023431978693</v>
      </c>
      <c r="AG277" s="69">
        <v>69.965023431978693</v>
      </c>
    </row>
    <row r="278" spans="1:33" ht="12.75" customHeight="1">
      <c r="A278" s="231" t="s">
        <v>2375</v>
      </c>
      <c r="B278" s="69" t="s">
        <v>343</v>
      </c>
      <c r="C278" s="69" t="s">
        <v>186</v>
      </c>
      <c r="D278" s="69" t="s">
        <v>218</v>
      </c>
      <c r="E278" s="69" t="s">
        <v>260</v>
      </c>
      <c r="F278" s="69" t="s">
        <v>157</v>
      </c>
      <c r="G278" s="69" t="s">
        <v>192</v>
      </c>
      <c r="H278" s="69" t="s">
        <v>805</v>
      </c>
      <c r="I278" s="69">
        <v>1</v>
      </c>
      <c r="J278" s="238">
        <v>0.21868155325388869</v>
      </c>
      <c r="K278" s="238">
        <v>0</v>
      </c>
      <c r="L278" s="69">
        <v>215.67609549071619</v>
      </c>
      <c r="M278" s="69">
        <v>-5.2201591511936343</v>
      </c>
      <c r="N278" s="69">
        <v>0</v>
      </c>
      <c r="O278" s="69">
        <v>0</v>
      </c>
      <c r="P278" s="69">
        <v>26.249425539017466</v>
      </c>
      <c r="Q278" s="69">
        <v>26.249425539017466</v>
      </c>
      <c r="R278" s="69">
        <v>26.249425539017466</v>
      </c>
      <c r="S278" s="69">
        <v>26.249425539017466</v>
      </c>
      <c r="T278" s="69">
        <v>26.249425539017466</v>
      </c>
      <c r="U278" s="69">
        <v>26.249425539017466</v>
      </c>
      <c r="V278" s="69">
        <v>26.249425539017466</v>
      </c>
      <c r="W278" s="69">
        <v>26.249425539017466</v>
      </c>
      <c r="X278" s="69">
        <v>26.249425539017466</v>
      </c>
      <c r="Y278" s="69">
        <v>26.249425539017466</v>
      </c>
      <c r="Z278" s="69">
        <v>26.249425539017466</v>
      </c>
      <c r="AA278" s="69">
        <v>26.249425539017466</v>
      </c>
      <c r="AB278" s="69">
        <v>26.249425539017466</v>
      </c>
      <c r="AC278" s="69">
        <v>26.249425539017466</v>
      </c>
      <c r="AD278" s="69">
        <v>26.249425539017466</v>
      </c>
      <c r="AE278" s="69">
        <v>26.249425539017466</v>
      </c>
      <c r="AF278" s="69">
        <v>26.249425539017466</v>
      </c>
      <c r="AG278" s="69">
        <v>26.249425539017466</v>
      </c>
    </row>
    <row r="279" spans="1:33" ht="12.75" customHeight="1">
      <c r="A279" s="231" t="s">
        <v>2375</v>
      </c>
      <c r="B279" s="69" t="s">
        <v>344</v>
      </c>
      <c r="C279" s="69" t="s">
        <v>186</v>
      </c>
      <c r="D279" s="69" t="s">
        <v>218</v>
      </c>
      <c r="E279" s="69" t="s">
        <v>203</v>
      </c>
      <c r="F279" s="69" t="s">
        <v>157</v>
      </c>
      <c r="G279" s="69" t="s">
        <v>192</v>
      </c>
      <c r="H279" s="69" t="s">
        <v>805</v>
      </c>
      <c r="I279" s="69">
        <v>1</v>
      </c>
      <c r="J279" s="238">
        <v>0.23561922263058244</v>
      </c>
      <c r="K279" s="238">
        <v>0</v>
      </c>
      <c r="L279" s="69">
        <v>200.17205317577549</v>
      </c>
      <c r="M279" s="69">
        <v>-4.8449039881831615</v>
      </c>
      <c r="N279" s="69">
        <v>0</v>
      </c>
      <c r="O279" s="69">
        <v>0</v>
      </c>
      <c r="P279" s="69">
        <v>69.96502343197858</v>
      </c>
      <c r="Q279" s="69">
        <v>69.96502343197858</v>
      </c>
      <c r="R279" s="69">
        <v>69.96502343197858</v>
      </c>
      <c r="S279" s="69">
        <v>69.96502343197858</v>
      </c>
      <c r="T279" s="69">
        <v>69.96502343197858</v>
      </c>
      <c r="U279" s="69">
        <v>69.96502343197858</v>
      </c>
      <c r="V279" s="69">
        <v>69.96502343197858</v>
      </c>
      <c r="W279" s="69">
        <v>69.96502343197858</v>
      </c>
      <c r="X279" s="69">
        <v>69.96502343197858</v>
      </c>
      <c r="Y279" s="69">
        <v>69.96502343197858</v>
      </c>
      <c r="Z279" s="69">
        <v>69.96502343197858</v>
      </c>
      <c r="AA279" s="69">
        <v>69.96502343197858</v>
      </c>
      <c r="AB279" s="69">
        <v>69.96502343197858</v>
      </c>
      <c r="AC279" s="69">
        <v>69.96502343197858</v>
      </c>
      <c r="AD279" s="69">
        <v>69.96502343197858</v>
      </c>
      <c r="AE279" s="69">
        <v>69.96502343197858</v>
      </c>
      <c r="AF279" s="69">
        <v>69.96502343197858</v>
      </c>
      <c r="AG279" s="69">
        <v>69.96502343197858</v>
      </c>
    </row>
    <row r="280" spans="1:33" ht="12.75" customHeight="1">
      <c r="A280" s="231" t="s">
        <v>2375</v>
      </c>
      <c r="B280" s="69" t="s">
        <v>345</v>
      </c>
      <c r="C280" s="69" t="s">
        <v>186</v>
      </c>
      <c r="D280" s="69" t="s">
        <v>218</v>
      </c>
      <c r="E280" s="69" t="s">
        <v>260</v>
      </c>
      <c r="F280" s="69" t="s">
        <v>157</v>
      </c>
      <c r="G280" s="69" t="s">
        <v>192</v>
      </c>
      <c r="H280" s="69" t="s">
        <v>805</v>
      </c>
      <c r="I280" s="69">
        <v>1</v>
      </c>
      <c r="J280" s="238">
        <v>0.21868155325388869</v>
      </c>
      <c r="K280" s="238">
        <v>0</v>
      </c>
      <c r="L280" s="69">
        <v>215.67609549071619</v>
      </c>
      <c r="M280" s="69">
        <v>-5.2201591511936343</v>
      </c>
      <c r="N280" s="69">
        <v>0</v>
      </c>
      <c r="O280" s="69">
        <v>0</v>
      </c>
      <c r="P280" s="69">
        <v>0</v>
      </c>
      <c r="Q280" s="69">
        <v>26.249425539017466</v>
      </c>
      <c r="R280" s="69">
        <v>26.249425539017466</v>
      </c>
      <c r="S280" s="69">
        <v>26.249425539017466</v>
      </c>
      <c r="T280" s="69">
        <v>26.249425539017466</v>
      </c>
      <c r="U280" s="69">
        <v>26.249425539017466</v>
      </c>
      <c r="V280" s="69">
        <v>26.249425539017466</v>
      </c>
      <c r="W280" s="69">
        <v>26.249425539017466</v>
      </c>
      <c r="X280" s="69">
        <v>26.249425539017466</v>
      </c>
      <c r="Y280" s="69">
        <v>26.249425539017466</v>
      </c>
      <c r="Z280" s="69">
        <v>26.249425539017466</v>
      </c>
      <c r="AA280" s="69">
        <v>26.249425539017466</v>
      </c>
      <c r="AB280" s="69">
        <v>26.249425539017466</v>
      </c>
      <c r="AC280" s="69">
        <v>26.249425539017466</v>
      </c>
      <c r="AD280" s="69">
        <v>26.249425539017466</v>
      </c>
      <c r="AE280" s="69">
        <v>26.249425539017466</v>
      </c>
      <c r="AF280" s="69">
        <v>26.249425539017466</v>
      </c>
      <c r="AG280" s="69">
        <v>26.249425539017466</v>
      </c>
    </row>
    <row r="281" spans="1:33" ht="12.75" customHeight="1">
      <c r="A281" s="231" t="s">
        <v>2375</v>
      </c>
      <c r="B281" s="69" t="s">
        <v>346</v>
      </c>
      <c r="C281" s="69" t="s">
        <v>186</v>
      </c>
      <c r="D281" s="69" t="s">
        <v>218</v>
      </c>
      <c r="E281" s="69" t="s">
        <v>203</v>
      </c>
      <c r="F281" s="69" t="s">
        <v>157</v>
      </c>
      <c r="G281" s="69" t="s">
        <v>192</v>
      </c>
      <c r="H281" s="69" t="s">
        <v>805</v>
      </c>
      <c r="I281" s="69">
        <v>1</v>
      </c>
      <c r="J281" s="238">
        <v>0.23561922263058244</v>
      </c>
      <c r="K281" s="238">
        <v>0</v>
      </c>
      <c r="L281" s="69">
        <v>200.17205317577549</v>
      </c>
      <c r="M281" s="69">
        <v>-4.8449039881831615</v>
      </c>
      <c r="N281" s="69">
        <v>0</v>
      </c>
      <c r="O281" s="69">
        <v>0</v>
      </c>
      <c r="P281" s="69">
        <v>0</v>
      </c>
      <c r="Q281" s="69">
        <v>69.96502343197858</v>
      </c>
      <c r="R281" s="69">
        <v>69.96502343197858</v>
      </c>
      <c r="S281" s="69">
        <v>69.96502343197858</v>
      </c>
      <c r="T281" s="69">
        <v>69.96502343197858</v>
      </c>
      <c r="U281" s="69">
        <v>69.96502343197858</v>
      </c>
      <c r="V281" s="69">
        <v>69.96502343197858</v>
      </c>
      <c r="W281" s="69">
        <v>69.96502343197858</v>
      </c>
      <c r="X281" s="69">
        <v>69.96502343197858</v>
      </c>
      <c r="Y281" s="69">
        <v>69.96502343197858</v>
      </c>
      <c r="Z281" s="69">
        <v>69.96502343197858</v>
      </c>
      <c r="AA281" s="69">
        <v>69.96502343197858</v>
      </c>
      <c r="AB281" s="69">
        <v>69.96502343197858</v>
      </c>
      <c r="AC281" s="69">
        <v>69.96502343197858</v>
      </c>
      <c r="AD281" s="69">
        <v>69.96502343197858</v>
      </c>
      <c r="AE281" s="69">
        <v>69.96502343197858</v>
      </c>
      <c r="AF281" s="69">
        <v>69.96502343197858</v>
      </c>
      <c r="AG281" s="69">
        <v>69.96502343197858</v>
      </c>
    </row>
    <row r="282" spans="1:33" ht="12.75" customHeight="1">
      <c r="A282" s="231" t="s">
        <v>2375</v>
      </c>
      <c r="B282" s="69" t="s">
        <v>347</v>
      </c>
      <c r="C282" s="69" t="s">
        <v>186</v>
      </c>
      <c r="D282" s="69" t="s">
        <v>218</v>
      </c>
      <c r="E282" s="69" t="s">
        <v>260</v>
      </c>
      <c r="F282" s="69" t="s">
        <v>157</v>
      </c>
      <c r="G282" s="69" t="s">
        <v>192</v>
      </c>
      <c r="H282" s="69" t="s">
        <v>805</v>
      </c>
      <c r="I282" s="69">
        <v>1</v>
      </c>
      <c r="J282" s="238">
        <v>0.21868155325388869</v>
      </c>
      <c r="K282" s="238">
        <v>0</v>
      </c>
      <c r="L282" s="69">
        <v>215.67609549071619</v>
      </c>
      <c r="M282" s="69">
        <v>-5.2201591511936343</v>
      </c>
      <c r="N282" s="69">
        <v>0</v>
      </c>
      <c r="O282" s="69">
        <v>0</v>
      </c>
      <c r="P282" s="69">
        <v>0</v>
      </c>
      <c r="Q282" s="69">
        <v>0</v>
      </c>
      <c r="R282" s="69">
        <v>26.249425539017466</v>
      </c>
      <c r="S282" s="69">
        <v>26.249425539017466</v>
      </c>
      <c r="T282" s="69">
        <v>26.249425539017466</v>
      </c>
      <c r="U282" s="69">
        <v>26.249425539017466</v>
      </c>
      <c r="V282" s="69">
        <v>26.249425539017466</v>
      </c>
      <c r="W282" s="69">
        <v>26.249425539017466</v>
      </c>
      <c r="X282" s="69">
        <v>26.249425539017466</v>
      </c>
      <c r="Y282" s="69">
        <v>26.249425539017466</v>
      </c>
      <c r="Z282" s="69">
        <v>26.249425539017466</v>
      </c>
      <c r="AA282" s="69">
        <v>26.249425539017466</v>
      </c>
      <c r="AB282" s="69">
        <v>26.249425539017466</v>
      </c>
      <c r="AC282" s="69">
        <v>26.249425539017466</v>
      </c>
      <c r="AD282" s="69">
        <v>26.249425539017466</v>
      </c>
      <c r="AE282" s="69">
        <v>26.249425539017466</v>
      </c>
      <c r="AF282" s="69">
        <v>26.249425539017466</v>
      </c>
      <c r="AG282" s="69">
        <v>26.249425539017466</v>
      </c>
    </row>
    <row r="283" spans="1:33" ht="12.75" customHeight="1">
      <c r="A283" s="231" t="s">
        <v>2375</v>
      </c>
      <c r="B283" s="69" t="s">
        <v>348</v>
      </c>
      <c r="C283" s="69" t="s">
        <v>186</v>
      </c>
      <c r="D283" s="69" t="s">
        <v>218</v>
      </c>
      <c r="E283" s="69" t="s">
        <v>203</v>
      </c>
      <c r="F283" s="69" t="s">
        <v>157</v>
      </c>
      <c r="G283" s="69" t="s">
        <v>192</v>
      </c>
      <c r="H283" s="69" t="s">
        <v>805</v>
      </c>
      <c r="I283" s="69">
        <v>1</v>
      </c>
      <c r="J283" s="238">
        <v>0.23561922263058244</v>
      </c>
      <c r="K283" s="238">
        <v>0</v>
      </c>
      <c r="L283" s="69">
        <v>200.17205317577549</v>
      </c>
      <c r="M283" s="69">
        <v>-4.8449039881831615</v>
      </c>
      <c r="N283" s="69">
        <v>0</v>
      </c>
      <c r="O283" s="69">
        <v>0</v>
      </c>
      <c r="P283" s="69">
        <v>0</v>
      </c>
      <c r="Q283" s="69">
        <v>0</v>
      </c>
      <c r="R283" s="69">
        <v>69.96502343197858</v>
      </c>
      <c r="S283" s="69">
        <v>69.96502343197858</v>
      </c>
      <c r="T283" s="69">
        <v>69.96502343197858</v>
      </c>
      <c r="U283" s="69">
        <v>69.96502343197858</v>
      </c>
      <c r="V283" s="69">
        <v>69.96502343197858</v>
      </c>
      <c r="W283" s="69">
        <v>69.96502343197858</v>
      </c>
      <c r="X283" s="69">
        <v>69.96502343197858</v>
      </c>
      <c r="Y283" s="69">
        <v>69.96502343197858</v>
      </c>
      <c r="Z283" s="69">
        <v>69.96502343197858</v>
      </c>
      <c r="AA283" s="69">
        <v>69.96502343197858</v>
      </c>
      <c r="AB283" s="69">
        <v>69.96502343197858</v>
      </c>
      <c r="AC283" s="69">
        <v>69.96502343197858</v>
      </c>
      <c r="AD283" s="69">
        <v>69.96502343197858</v>
      </c>
      <c r="AE283" s="69">
        <v>69.96502343197858</v>
      </c>
      <c r="AF283" s="69">
        <v>69.96502343197858</v>
      </c>
      <c r="AG283" s="69">
        <v>69.96502343197858</v>
      </c>
    </row>
    <row r="284" spans="1:33" ht="12.75" customHeight="1">
      <c r="A284" s="231" t="s">
        <v>2375</v>
      </c>
      <c r="B284" s="69" t="s">
        <v>349</v>
      </c>
      <c r="C284" s="69" t="s">
        <v>186</v>
      </c>
      <c r="D284" s="69" t="s">
        <v>334</v>
      </c>
      <c r="E284" s="69" t="s">
        <v>242</v>
      </c>
      <c r="F284" s="69" t="s">
        <v>158</v>
      </c>
      <c r="G284" s="69" t="s">
        <v>192</v>
      </c>
      <c r="H284" s="69" t="s">
        <v>804</v>
      </c>
      <c r="I284" s="69">
        <v>1</v>
      </c>
      <c r="J284" s="238">
        <v>0.21172086720867206</v>
      </c>
      <c r="K284" s="238">
        <v>0</v>
      </c>
      <c r="L284" s="69">
        <v>283.70472328767124</v>
      </c>
      <c r="M284" s="69">
        <v>-24.263013698630136</v>
      </c>
      <c r="N284" s="69">
        <v>133.53658536585363</v>
      </c>
      <c r="O284" s="69">
        <v>133.53658536585363</v>
      </c>
      <c r="P284" s="69">
        <v>133.53658536585363</v>
      </c>
      <c r="Q284" s="69">
        <v>133.53658536585363</v>
      </c>
      <c r="R284" s="69">
        <v>133.53658536585363</v>
      </c>
      <c r="S284" s="69">
        <v>133.53658536585363</v>
      </c>
      <c r="T284" s="69">
        <v>133.53658536585363</v>
      </c>
      <c r="U284" s="69">
        <v>133.53658536585363</v>
      </c>
      <c r="V284" s="69">
        <v>133.53658536585363</v>
      </c>
      <c r="W284" s="69">
        <v>133.53658536585363</v>
      </c>
      <c r="X284" s="69">
        <v>133.53658536585363</v>
      </c>
      <c r="Y284" s="69">
        <v>133.53658536585363</v>
      </c>
      <c r="Z284" s="69">
        <v>133.53658536585363</v>
      </c>
      <c r="AA284" s="69">
        <v>133.53658536585363</v>
      </c>
      <c r="AB284" s="69">
        <v>133.53658536585363</v>
      </c>
      <c r="AC284" s="69">
        <v>133.53658536585363</v>
      </c>
      <c r="AD284" s="69">
        <v>133.53658536585363</v>
      </c>
      <c r="AE284" s="69">
        <v>133.53658536585363</v>
      </c>
      <c r="AF284" s="69">
        <v>133.53658536585363</v>
      </c>
      <c r="AG284" s="69">
        <v>133.53658536585363</v>
      </c>
    </row>
    <row r="285" spans="1:33" ht="12.75" customHeight="1">
      <c r="A285" s="231" t="s">
        <v>2375</v>
      </c>
      <c r="B285" s="69" t="s">
        <v>350</v>
      </c>
      <c r="C285" s="69" t="s">
        <v>186</v>
      </c>
      <c r="D285" s="69" t="s">
        <v>334</v>
      </c>
      <c r="E285" s="69" t="s">
        <v>242</v>
      </c>
      <c r="F285" s="69" t="s">
        <v>158</v>
      </c>
      <c r="G285" s="69" t="s">
        <v>192</v>
      </c>
      <c r="H285" s="69" t="s">
        <v>804</v>
      </c>
      <c r="I285" s="69">
        <v>1</v>
      </c>
      <c r="J285" s="238">
        <v>0.21172086720867206</v>
      </c>
      <c r="K285" s="238">
        <v>0</v>
      </c>
      <c r="L285" s="69">
        <v>283.70472328767124</v>
      </c>
      <c r="M285" s="69">
        <v>-24.263013698630136</v>
      </c>
      <c r="N285" s="69">
        <v>0</v>
      </c>
      <c r="O285" s="69">
        <v>133.53658536585363</v>
      </c>
      <c r="P285" s="69">
        <v>133.53658536585363</v>
      </c>
      <c r="Q285" s="69">
        <v>133.53658536585363</v>
      </c>
      <c r="R285" s="69">
        <v>133.53658536585363</v>
      </c>
      <c r="S285" s="69">
        <v>133.53658536585363</v>
      </c>
      <c r="T285" s="69">
        <v>133.53658536585363</v>
      </c>
      <c r="U285" s="69">
        <v>133.53658536585363</v>
      </c>
      <c r="V285" s="69">
        <v>133.53658536585363</v>
      </c>
      <c r="W285" s="69">
        <v>133.53658536585363</v>
      </c>
      <c r="X285" s="69">
        <v>133.53658536585363</v>
      </c>
      <c r="Y285" s="69">
        <v>133.53658536585363</v>
      </c>
      <c r="Z285" s="69">
        <v>133.53658536585363</v>
      </c>
      <c r="AA285" s="69">
        <v>133.53658536585363</v>
      </c>
      <c r="AB285" s="69">
        <v>133.53658536585363</v>
      </c>
      <c r="AC285" s="69">
        <v>133.53658536585363</v>
      </c>
      <c r="AD285" s="69">
        <v>133.53658536585363</v>
      </c>
      <c r="AE285" s="69">
        <v>133.53658536585363</v>
      </c>
      <c r="AF285" s="69">
        <v>133.53658536585363</v>
      </c>
      <c r="AG285" s="69">
        <v>133.53658536585363</v>
      </c>
    </row>
    <row r="286" spans="1:33" ht="12.75" customHeight="1">
      <c r="A286" s="231" t="s">
        <v>2375</v>
      </c>
      <c r="B286" s="69" t="s">
        <v>351</v>
      </c>
      <c r="C286" s="69" t="s">
        <v>186</v>
      </c>
      <c r="D286" s="69" t="s">
        <v>334</v>
      </c>
      <c r="E286" s="69" t="s">
        <v>242</v>
      </c>
      <c r="F286" s="69" t="s">
        <v>158</v>
      </c>
      <c r="G286" s="69" t="s">
        <v>192</v>
      </c>
      <c r="H286" s="69" t="s">
        <v>804</v>
      </c>
      <c r="I286" s="69">
        <v>1</v>
      </c>
      <c r="J286" s="238">
        <v>0.21172086720867206</v>
      </c>
      <c r="K286" s="238">
        <v>0</v>
      </c>
      <c r="L286" s="69">
        <v>283.70472328767124</v>
      </c>
      <c r="M286" s="69">
        <v>-24.263013698630136</v>
      </c>
      <c r="N286" s="69">
        <v>0</v>
      </c>
      <c r="O286" s="69">
        <v>0</v>
      </c>
      <c r="P286" s="69">
        <v>133.53658536585363</v>
      </c>
      <c r="Q286" s="69">
        <v>133.53658536585363</v>
      </c>
      <c r="R286" s="69">
        <v>133.53658536585363</v>
      </c>
      <c r="S286" s="69">
        <v>133.53658536585363</v>
      </c>
      <c r="T286" s="69">
        <v>133.53658536585363</v>
      </c>
      <c r="U286" s="69">
        <v>133.53658536585363</v>
      </c>
      <c r="V286" s="69">
        <v>133.53658536585363</v>
      </c>
      <c r="W286" s="69">
        <v>133.53658536585363</v>
      </c>
      <c r="X286" s="69">
        <v>133.53658536585363</v>
      </c>
      <c r="Y286" s="69">
        <v>133.53658536585363</v>
      </c>
      <c r="Z286" s="69">
        <v>133.53658536585363</v>
      </c>
      <c r="AA286" s="69">
        <v>133.53658536585363</v>
      </c>
      <c r="AB286" s="69">
        <v>133.53658536585363</v>
      </c>
      <c r="AC286" s="69">
        <v>133.53658536585363</v>
      </c>
      <c r="AD286" s="69">
        <v>133.53658536585363</v>
      </c>
      <c r="AE286" s="69">
        <v>133.53658536585363</v>
      </c>
      <c r="AF286" s="69">
        <v>133.53658536585363</v>
      </c>
      <c r="AG286" s="69">
        <v>133.53658536585363</v>
      </c>
    </row>
    <row r="287" spans="1:33" ht="12.75" customHeight="1">
      <c r="A287" s="231" t="s">
        <v>2375</v>
      </c>
      <c r="B287" s="69" t="s">
        <v>352</v>
      </c>
      <c r="C287" s="69" t="s">
        <v>186</v>
      </c>
      <c r="D287" s="69" t="s">
        <v>334</v>
      </c>
      <c r="E287" s="69" t="s">
        <v>242</v>
      </c>
      <c r="F287" s="69" t="s">
        <v>158</v>
      </c>
      <c r="G287" s="69" t="s">
        <v>192</v>
      </c>
      <c r="H287" s="69" t="s">
        <v>804</v>
      </c>
      <c r="I287" s="69">
        <v>1</v>
      </c>
      <c r="J287" s="238">
        <v>0.21172086720867206</v>
      </c>
      <c r="K287" s="238">
        <v>0</v>
      </c>
      <c r="L287" s="69">
        <v>283.70472328767124</v>
      </c>
      <c r="M287" s="69">
        <v>-24.263013698630136</v>
      </c>
      <c r="N287" s="69">
        <v>0</v>
      </c>
      <c r="O287" s="69">
        <v>0</v>
      </c>
      <c r="P287" s="69">
        <v>0</v>
      </c>
      <c r="Q287" s="69">
        <v>133.53658536585363</v>
      </c>
      <c r="R287" s="69">
        <v>133.53658536585363</v>
      </c>
      <c r="S287" s="69">
        <v>133.53658536585363</v>
      </c>
      <c r="T287" s="69">
        <v>133.53658536585363</v>
      </c>
      <c r="U287" s="69">
        <v>133.53658536585363</v>
      </c>
      <c r="V287" s="69">
        <v>133.53658536585363</v>
      </c>
      <c r="W287" s="69">
        <v>133.53658536585363</v>
      </c>
      <c r="X287" s="69">
        <v>133.53658536585363</v>
      </c>
      <c r="Y287" s="69">
        <v>133.53658536585363</v>
      </c>
      <c r="Z287" s="69">
        <v>133.53658536585363</v>
      </c>
      <c r="AA287" s="69">
        <v>133.53658536585363</v>
      </c>
      <c r="AB287" s="69">
        <v>133.53658536585363</v>
      </c>
      <c r="AC287" s="69">
        <v>133.53658536585363</v>
      </c>
      <c r="AD287" s="69">
        <v>133.53658536585363</v>
      </c>
      <c r="AE287" s="69">
        <v>133.53658536585363</v>
      </c>
      <c r="AF287" s="69">
        <v>133.53658536585363</v>
      </c>
      <c r="AG287" s="69">
        <v>133.53658536585363</v>
      </c>
    </row>
    <row r="288" spans="1:33" ht="12.75" customHeight="1">
      <c r="A288" s="231" t="s">
        <v>2375</v>
      </c>
      <c r="B288" s="69" t="s">
        <v>353</v>
      </c>
      <c r="C288" s="69" t="s">
        <v>186</v>
      </c>
      <c r="D288" s="69" t="s">
        <v>334</v>
      </c>
      <c r="E288" s="69" t="s">
        <v>242</v>
      </c>
      <c r="F288" s="69" t="s">
        <v>158</v>
      </c>
      <c r="G288" s="69" t="s">
        <v>192</v>
      </c>
      <c r="H288" s="69" t="s">
        <v>804</v>
      </c>
      <c r="I288" s="69">
        <v>1</v>
      </c>
      <c r="J288" s="238">
        <v>0.21172086720867206</v>
      </c>
      <c r="K288" s="238">
        <v>0</v>
      </c>
      <c r="L288" s="69">
        <v>283.70472328767124</v>
      </c>
      <c r="M288" s="69">
        <v>-24.263013698630136</v>
      </c>
      <c r="N288" s="69">
        <v>0</v>
      </c>
      <c r="O288" s="69">
        <v>0</v>
      </c>
      <c r="P288" s="69">
        <v>0</v>
      </c>
      <c r="Q288" s="69">
        <v>0</v>
      </c>
      <c r="R288" s="69">
        <v>133.53658536585363</v>
      </c>
      <c r="S288" s="69">
        <v>133.53658536585363</v>
      </c>
      <c r="T288" s="69">
        <v>133.53658536585363</v>
      </c>
      <c r="U288" s="69">
        <v>133.53658536585363</v>
      </c>
      <c r="V288" s="69">
        <v>133.53658536585363</v>
      </c>
      <c r="W288" s="69">
        <v>133.53658536585363</v>
      </c>
      <c r="X288" s="69">
        <v>133.53658536585363</v>
      </c>
      <c r="Y288" s="69">
        <v>133.53658536585363</v>
      </c>
      <c r="Z288" s="69">
        <v>133.53658536585363</v>
      </c>
      <c r="AA288" s="69">
        <v>133.53658536585363</v>
      </c>
      <c r="AB288" s="69">
        <v>133.53658536585363</v>
      </c>
      <c r="AC288" s="69">
        <v>133.53658536585363</v>
      </c>
      <c r="AD288" s="69">
        <v>133.53658536585363</v>
      </c>
      <c r="AE288" s="69">
        <v>133.53658536585363</v>
      </c>
      <c r="AF288" s="69">
        <v>133.53658536585363</v>
      </c>
      <c r="AG288" s="69">
        <v>133.53658536585363</v>
      </c>
    </row>
    <row r="289" spans="1:33" ht="12.75" customHeight="1">
      <c r="A289" s="231" t="s">
        <v>2375</v>
      </c>
      <c r="B289" s="69" t="s">
        <v>354</v>
      </c>
      <c r="C289" s="69" t="s">
        <v>186</v>
      </c>
      <c r="D289" s="69" t="s">
        <v>334</v>
      </c>
      <c r="E289" s="69" t="s">
        <v>242</v>
      </c>
      <c r="F289" s="69" t="s">
        <v>159</v>
      </c>
      <c r="G289" s="69" t="s">
        <v>192</v>
      </c>
      <c r="H289" s="69" t="s">
        <v>2130</v>
      </c>
      <c r="I289" s="69">
        <v>1</v>
      </c>
      <c r="J289" s="238">
        <v>0.21172086720867209</v>
      </c>
      <c r="K289" s="238">
        <v>0</v>
      </c>
      <c r="L289" s="69">
        <v>283.7047232876713</v>
      </c>
      <c r="M289" s="69">
        <v>-24.263013698630136</v>
      </c>
      <c r="N289" s="69">
        <v>12.675377468060333</v>
      </c>
      <c r="O289" s="69">
        <v>12.675377468060333</v>
      </c>
      <c r="P289" s="69">
        <v>12.675377468060333</v>
      </c>
      <c r="Q289" s="69">
        <v>12.675377468060333</v>
      </c>
      <c r="R289" s="69">
        <v>12.675377468060333</v>
      </c>
      <c r="S289" s="69">
        <v>12.675377468060333</v>
      </c>
      <c r="T289" s="69">
        <v>12.675377468060333</v>
      </c>
      <c r="U289" s="69">
        <v>12.675377468060333</v>
      </c>
      <c r="V289" s="69">
        <v>12.675377468060333</v>
      </c>
      <c r="W289" s="69">
        <v>12.675377468060333</v>
      </c>
      <c r="X289" s="69">
        <v>12.675377468060333</v>
      </c>
      <c r="Y289" s="69">
        <v>12.675377468060333</v>
      </c>
      <c r="Z289" s="69">
        <v>12.675377468060333</v>
      </c>
      <c r="AA289" s="69">
        <v>12.675377468060333</v>
      </c>
      <c r="AB289" s="69">
        <v>12.675377468060333</v>
      </c>
      <c r="AC289" s="69">
        <v>12.675377468060333</v>
      </c>
      <c r="AD289" s="69">
        <v>12.675377468060333</v>
      </c>
      <c r="AE289" s="69">
        <v>12.675377468060333</v>
      </c>
      <c r="AF289" s="69">
        <v>12.675377468060333</v>
      </c>
      <c r="AG289" s="69">
        <v>12.675377468060333</v>
      </c>
    </row>
    <row r="290" spans="1:33" ht="12.75" customHeight="1">
      <c r="A290" s="231" t="s">
        <v>2375</v>
      </c>
      <c r="B290" s="69" t="s">
        <v>355</v>
      </c>
      <c r="C290" s="69" t="s">
        <v>186</v>
      </c>
      <c r="D290" s="69" t="s">
        <v>334</v>
      </c>
      <c r="E290" s="69" t="s">
        <v>244</v>
      </c>
      <c r="F290" s="69" t="s">
        <v>159</v>
      </c>
      <c r="G290" s="69" t="s">
        <v>192</v>
      </c>
      <c r="H290" s="69" t="s">
        <v>2130</v>
      </c>
      <c r="I290" s="69">
        <v>1</v>
      </c>
      <c r="J290" s="238">
        <v>0.22877454801945279</v>
      </c>
      <c r="K290" s="238">
        <v>0</v>
      </c>
      <c r="L290" s="69">
        <v>262.55634888438135</v>
      </c>
      <c r="M290" s="69">
        <v>-22.454361054766736</v>
      </c>
      <c r="N290" s="69">
        <v>7.1459233449477324</v>
      </c>
      <c r="O290" s="69">
        <v>7.1459233449477324</v>
      </c>
      <c r="P290" s="69">
        <v>7.1459233449477324</v>
      </c>
      <c r="Q290" s="69">
        <v>7.1459233449477324</v>
      </c>
      <c r="R290" s="69">
        <v>7.1459233449477324</v>
      </c>
      <c r="S290" s="69">
        <v>7.1459233449477324</v>
      </c>
      <c r="T290" s="69">
        <v>7.1459233449477324</v>
      </c>
      <c r="U290" s="69">
        <v>7.1459233449477324</v>
      </c>
      <c r="V290" s="69">
        <v>7.1459233449477324</v>
      </c>
      <c r="W290" s="69">
        <v>7.1459233449477324</v>
      </c>
      <c r="X290" s="69">
        <v>7.1459233449477324</v>
      </c>
      <c r="Y290" s="69">
        <v>7.1459233449477324</v>
      </c>
      <c r="Z290" s="69">
        <v>7.1459233449477324</v>
      </c>
      <c r="AA290" s="69">
        <v>7.1459233449477324</v>
      </c>
      <c r="AB290" s="69">
        <v>7.1459233449477324</v>
      </c>
      <c r="AC290" s="69">
        <v>7.1459233449477324</v>
      </c>
      <c r="AD290" s="69">
        <v>7.1459233449477324</v>
      </c>
      <c r="AE290" s="69">
        <v>7.1459233449477324</v>
      </c>
      <c r="AF290" s="69">
        <v>7.1459233449477324</v>
      </c>
      <c r="AG290" s="69">
        <v>7.1459233449477324</v>
      </c>
    </row>
    <row r="291" spans="1:33" ht="12.75" customHeight="1">
      <c r="A291" s="231" t="s">
        <v>2375</v>
      </c>
      <c r="B291" s="69" t="s">
        <v>356</v>
      </c>
      <c r="C291" s="69" t="s">
        <v>186</v>
      </c>
      <c r="D291" s="69" t="s">
        <v>334</v>
      </c>
      <c r="E291" s="69" t="s">
        <v>242</v>
      </c>
      <c r="F291" s="69" t="s">
        <v>159</v>
      </c>
      <c r="G291" s="69" t="s">
        <v>192</v>
      </c>
      <c r="H291" s="69" t="s">
        <v>2130</v>
      </c>
      <c r="I291" s="69">
        <v>1</v>
      </c>
      <c r="J291" s="238">
        <v>0.21172086720867209</v>
      </c>
      <c r="K291" s="238">
        <v>0</v>
      </c>
      <c r="L291" s="69">
        <v>283.7047232876713</v>
      </c>
      <c r="M291" s="69">
        <v>-24.263013698630136</v>
      </c>
      <c r="N291" s="69">
        <v>0</v>
      </c>
      <c r="O291" s="69">
        <v>12.675377468060333</v>
      </c>
      <c r="P291" s="69">
        <v>12.675377468060333</v>
      </c>
      <c r="Q291" s="69">
        <v>12.675377468060333</v>
      </c>
      <c r="R291" s="69">
        <v>12.675377468060333</v>
      </c>
      <c r="S291" s="69">
        <v>12.675377468060333</v>
      </c>
      <c r="T291" s="69">
        <v>12.675377468060333</v>
      </c>
      <c r="U291" s="69">
        <v>12.675377468060333</v>
      </c>
      <c r="V291" s="69">
        <v>12.675377468060333</v>
      </c>
      <c r="W291" s="69">
        <v>12.675377468060333</v>
      </c>
      <c r="X291" s="69">
        <v>12.675377468060333</v>
      </c>
      <c r="Y291" s="69">
        <v>12.675377468060333</v>
      </c>
      <c r="Z291" s="69">
        <v>12.675377468060333</v>
      </c>
      <c r="AA291" s="69">
        <v>12.675377468060333</v>
      </c>
      <c r="AB291" s="69">
        <v>12.675377468060333</v>
      </c>
      <c r="AC291" s="69">
        <v>12.675377468060333</v>
      </c>
      <c r="AD291" s="69">
        <v>12.675377468060333</v>
      </c>
      <c r="AE291" s="69">
        <v>12.675377468060333</v>
      </c>
      <c r="AF291" s="69">
        <v>12.675377468060333</v>
      </c>
      <c r="AG291" s="69">
        <v>12.675377468060333</v>
      </c>
    </row>
    <row r="292" spans="1:33" ht="12.75" customHeight="1">
      <c r="A292" s="231" t="s">
        <v>2375</v>
      </c>
      <c r="B292" s="69" t="s">
        <v>357</v>
      </c>
      <c r="C292" s="69" t="s">
        <v>186</v>
      </c>
      <c r="D292" s="69" t="s">
        <v>334</v>
      </c>
      <c r="E292" s="69" t="s">
        <v>244</v>
      </c>
      <c r="F292" s="69" t="s">
        <v>159</v>
      </c>
      <c r="G292" s="69" t="s">
        <v>192</v>
      </c>
      <c r="H292" s="69" t="s">
        <v>2130</v>
      </c>
      <c r="I292" s="69">
        <v>1</v>
      </c>
      <c r="J292" s="238">
        <v>0.22877454801945279</v>
      </c>
      <c r="K292" s="238">
        <v>0</v>
      </c>
      <c r="L292" s="69">
        <v>262.55634888438135</v>
      </c>
      <c r="M292" s="69">
        <v>-22.454361054766736</v>
      </c>
      <c r="N292" s="69">
        <v>0</v>
      </c>
      <c r="O292" s="69">
        <v>7.1459233449477324</v>
      </c>
      <c r="P292" s="69">
        <v>7.1459233449477324</v>
      </c>
      <c r="Q292" s="69">
        <v>7.1459233449477324</v>
      </c>
      <c r="R292" s="69">
        <v>7.1459233449477324</v>
      </c>
      <c r="S292" s="69">
        <v>7.1459233449477324</v>
      </c>
      <c r="T292" s="69">
        <v>7.1459233449477324</v>
      </c>
      <c r="U292" s="69">
        <v>7.1459233449477324</v>
      </c>
      <c r="V292" s="69">
        <v>7.1459233449477324</v>
      </c>
      <c r="W292" s="69">
        <v>7.1459233449477324</v>
      </c>
      <c r="X292" s="69">
        <v>7.1459233449477324</v>
      </c>
      <c r="Y292" s="69">
        <v>7.1459233449477324</v>
      </c>
      <c r="Z292" s="69">
        <v>7.1459233449477324</v>
      </c>
      <c r="AA292" s="69">
        <v>7.1459233449477324</v>
      </c>
      <c r="AB292" s="69">
        <v>7.1459233449477324</v>
      </c>
      <c r="AC292" s="69">
        <v>7.1459233449477324</v>
      </c>
      <c r="AD292" s="69">
        <v>7.1459233449477324</v>
      </c>
      <c r="AE292" s="69">
        <v>7.1459233449477324</v>
      </c>
      <c r="AF292" s="69">
        <v>7.1459233449477324</v>
      </c>
      <c r="AG292" s="69">
        <v>7.1459233449477324</v>
      </c>
    </row>
    <row r="293" spans="1:33" ht="12.75" customHeight="1">
      <c r="A293" s="231" t="s">
        <v>2375</v>
      </c>
      <c r="B293" s="69" t="s">
        <v>358</v>
      </c>
      <c r="C293" s="69" t="s">
        <v>186</v>
      </c>
      <c r="D293" s="69" t="s">
        <v>334</v>
      </c>
      <c r="E293" s="69" t="s">
        <v>242</v>
      </c>
      <c r="F293" s="69" t="s">
        <v>159</v>
      </c>
      <c r="G293" s="69" t="s">
        <v>192</v>
      </c>
      <c r="H293" s="69" t="s">
        <v>2130</v>
      </c>
      <c r="I293" s="69">
        <v>1</v>
      </c>
      <c r="J293" s="238">
        <v>0.21172086720867209</v>
      </c>
      <c r="K293" s="238">
        <v>0</v>
      </c>
      <c r="L293" s="69">
        <v>283.7047232876713</v>
      </c>
      <c r="M293" s="69">
        <v>-24.263013698630136</v>
      </c>
      <c r="N293" s="69">
        <v>0</v>
      </c>
      <c r="O293" s="69">
        <v>0</v>
      </c>
      <c r="P293" s="69">
        <v>12.675377468060558</v>
      </c>
      <c r="Q293" s="69">
        <v>12.675377468060558</v>
      </c>
      <c r="R293" s="69">
        <v>12.675377468060558</v>
      </c>
      <c r="S293" s="69">
        <v>12.675377468060558</v>
      </c>
      <c r="T293" s="69">
        <v>12.675377468060558</v>
      </c>
      <c r="U293" s="69">
        <v>12.675377468060558</v>
      </c>
      <c r="V293" s="69">
        <v>12.675377468060558</v>
      </c>
      <c r="W293" s="69">
        <v>12.675377468060558</v>
      </c>
      <c r="X293" s="69">
        <v>12.675377468060558</v>
      </c>
      <c r="Y293" s="69">
        <v>12.675377468060558</v>
      </c>
      <c r="Z293" s="69">
        <v>12.675377468060558</v>
      </c>
      <c r="AA293" s="69">
        <v>12.675377468060558</v>
      </c>
      <c r="AB293" s="69">
        <v>12.675377468060558</v>
      </c>
      <c r="AC293" s="69">
        <v>12.675377468060558</v>
      </c>
      <c r="AD293" s="69">
        <v>12.675377468060558</v>
      </c>
      <c r="AE293" s="69">
        <v>12.675377468060558</v>
      </c>
      <c r="AF293" s="69">
        <v>12.675377468060558</v>
      </c>
      <c r="AG293" s="69">
        <v>12.675377468060558</v>
      </c>
    </row>
    <row r="294" spans="1:33" ht="12.75" customHeight="1">
      <c r="A294" s="231" t="s">
        <v>2375</v>
      </c>
      <c r="B294" s="69" t="s">
        <v>359</v>
      </c>
      <c r="C294" s="69" t="s">
        <v>186</v>
      </c>
      <c r="D294" s="69" t="s">
        <v>334</v>
      </c>
      <c r="E294" s="69" t="s">
        <v>244</v>
      </c>
      <c r="F294" s="69" t="s">
        <v>159</v>
      </c>
      <c r="G294" s="69" t="s">
        <v>192</v>
      </c>
      <c r="H294" s="69" t="s">
        <v>2130</v>
      </c>
      <c r="I294" s="69">
        <v>1</v>
      </c>
      <c r="J294" s="238">
        <v>0.22877454801945279</v>
      </c>
      <c r="K294" s="238">
        <v>0</v>
      </c>
      <c r="L294" s="69">
        <v>262.55634888438135</v>
      </c>
      <c r="M294" s="69">
        <v>-22.454361054766736</v>
      </c>
      <c r="N294" s="69">
        <v>0</v>
      </c>
      <c r="O294" s="69">
        <v>0</v>
      </c>
      <c r="P294" s="69">
        <v>7.1459233449477324</v>
      </c>
      <c r="Q294" s="69">
        <v>7.1459233449477324</v>
      </c>
      <c r="R294" s="69">
        <v>7.1459233449477324</v>
      </c>
      <c r="S294" s="69">
        <v>7.1459233449477324</v>
      </c>
      <c r="T294" s="69">
        <v>7.1459233449477324</v>
      </c>
      <c r="U294" s="69">
        <v>7.1459233449477324</v>
      </c>
      <c r="V294" s="69">
        <v>7.1459233449477324</v>
      </c>
      <c r="W294" s="69">
        <v>7.1459233449477324</v>
      </c>
      <c r="X294" s="69">
        <v>7.1459233449477324</v>
      </c>
      <c r="Y294" s="69">
        <v>7.1459233449477324</v>
      </c>
      <c r="Z294" s="69">
        <v>7.1459233449477324</v>
      </c>
      <c r="AA294" s="69">
        <v>7.1459233449477324</v>
      </c>
      <c r="AB294" s="69">
        <v>7.1459233449477324</v>
      </c>
      <c r="AC294" s="69">
        <v>7.1459233449477324</v>
      </c>
      <c r="AD294" s="69">
        <v>7.1459233449477324</v>
      </c>
      <c r="AE294" s="69">
        <v>7.1459233449477324</v>
      </c>
      <c r="AF294" s="69">
        <v>7.1459233449477324</v>
      </c>
      <c r="AG294" s="69">
        <v>7.1459233449477324</v>
      </c>
    </row>
    <row r="295" spans="1:33" ht="12.75" customHeight="1">
      <c r="A295" s="231" t="s">
        <v>2375</v>
      </c>
      <c r="B295" s="69" t="s">
        <v>360</v>
      </c>
      <c r="C295" s="69" t="s">
        <v>186</v>
      </c>
      <c r="D295" s="69" t="s">
        <v>334</v>
      </c>
      <c r="E295" s="69" t="s">
        <v>242</v>
      </c>
      <c r="F295" s="69" t="s">
        <v>159</v>
      </c>
      <c r="G295" s="69" t="s">
        <v>192</v>
      </c>
      <c r="H295" s="69" t="s">
        <v>2130</v>
      </c>
      <c r="I295" s="69">
        <v>1</v>
      </c>
      <c r="J295" s="238">
        <v>0.21172086720867209</v>
      </c>
      <c r="K295" s="238">
        <v>0</v>
      </c>
      <c r="L295" s="69">
        <v>283.7047232876713</v>
      </c>
      <c r="M295" s="69">
        <v>-24.263013698630136</v>
      </c>
      <c r="N295" s="69">
        <v>0</v>
      </c>
      <c r="O295" s="69">
        <v>0</v>
      </c>
      <c r="P295" s="69">
        <v>0</v>
      </c>
      <c r="Q295" s="69">
        <v>12.67537746806056</v>
      </c>
      <c r="R295" s="69">
        <v>12.67537746806056</v>
      </c>
      <c r="S295" s="69">
        <v>12.67537746806056</v>
      </c>
      <c r="T295" s="69">
        <v>12.67537746806056</v>
      </c>
      <c r="U295" s="69">
        <v>12.67537746806056</v>
      </c>
      <c r="V295" s="69">
        <v>12.67537746806056</v>
      </c>
      <c r="W295" s="69">
        <v>12.67537746806056</v>
      </c>
      <c r="X295" s="69">
        <v>12.67537746806056</v>
      </c>
      <c r="Y295" s="69">
        <v>12.67537746806056</v>
      </c>
      <c r="Z295" s="69">
        <v>12.67537746806056</v>
      </c>
      <c r="AA295" s="69">
        <v>12.67537746806056</v>
      </c>
      <c r="AB295" s="69">
        <v>12.67537746806056</v>
      </c>
      <c r="AC295" s="69">
        <v>12.67537746806056</v>
      </c>
      <c r="AD295" s="69">
        <v>12.67537746806056</v>
      </c>
      <c r="AE295" s="69">
        <v>12.67537746806056</v>
      </c>
      <c r="AF295" s="69">
        <v>12.67537746806056</v>
      </c>
      <c r="AG295" s="69">
        <v>12.67537746806056</v>
      </c>
    </row>
    <row r="296" spans="1:33" ht="12.75" customHeight="1">
      <c r="A296" s="231" t="s">
        <v>2375</v>
      </c>
      <c r="B296" s="69" t="s">
        <v>361</v>
      </c>
      <c r="C296" s="69" t="s">
        <v>186</v>
      </c>
      <c r="D296" s="69" t="s">
        <v>334</v>
      </c>
      <c r="E296" s="69" t="s">
        <v>244</v>
      </c>
      <c r="F296" s="69" t="s">
        <v>159</v>
      </c>
      <c r="G296" s="69" t="s">
        <v>192</v>
      </c>
      <c r="H296" s="69" t="s">
        <v>2130</v>
      </c>
      <c r="I296" s="69">
        <v>1</v>
      </c>
      <c r="J296" s="238">
        <v>0.22877454801945279</v>
      </c>
      <c r="K296" s="238">
        <v>0</v>
      </c>
      <c r="L296" s="69">
        <v>262.55634888438135</v>
      </c>
      <c r="M296" s="69">
        <v>-22.454361054766736</v>
      </c>
      <c r="N296" s="69">
        <v>0</v>
      </c>
      <c r="O296" s="69">
        <v>0</v>
      </c>
      <c r="P296" s="69">
        <v>0</v>
      </c>
      <c r="Q296" s="69">
        <v>7.1459233449477324</v>
      </c>
      <c r="R296" s="69">
        <v>7.1459233449477324</v>
      </c>
      <c r="S296" s="69">
        <v>7.1459233449477324</v>
      </c>
      <c r="T296" s="69">
        <v>7.1459233449477324</v>
      </c>
      <c r="U296" s="69">
        <v>7.1459233449477324</v>
      </c>
      <c r="V296" s="69">
        <v>7.1459233449477324</v>
      </c>
      <c r="W296" s="69">
        <v>7.1459233449477324</v>
      </c>
      <c r="X296" s="69">
        <v>7.1459233449477324</v>
      </c>
      <c r="Y296" s="69">
        <v>7.1459233449477324</v>
      </c>
      <c r="Z296" s="69">
        <v>7.1459233449477324</v>
      </c>
      <c r="AA296" s="69">
        <v>7.1459233449477324</v>
      </c>
      <c r="AB296" s="69">
        <v>7.1459233449477324</v>
      </c>
      <c r="AC296" s="69">
        <v>7.1459233449477324</v>
      </c>
      <c r="AD296" s="69">
        <v>7.1459233449477324</v>
      </c>
      <c r="AE296" s="69">
        <v>7.1459233449477324</v>
      </c>
      <c r="AF296" s="69">
        <v>7.1459233449477324</v>
      </c>
      <c r="AG296" s="69">
        <v>7.1459233449477324</v>
      </c>
    </row>
    <row r="297" spans="1:33" ht="12.75" customHeight="1">
      <c r="A297" s="231" t="s">
        <v>2375</v>
      </c>
      <c r="B297" s="69" t="s">
        <v>362</v>
      </c>
      <c r="C297" s="69" t="s">
        <v>186</v>
      </c>
      <c r="D297" s="69" t="s">
        <v>334</v>
      </c>
      <c r="E297" s="69" t="s">
        <v>242</v>
      </c>
      <c r="F297" s="69" t="s">
        <v>159</v>
      </c>
      <c r="G297" s="69" t="s">
        <v>192</v>
      </c>
      <c r="H297" s="69" t="s">
        <v>2130</v>
      </c>
      <c r="I297" s="69">
        <v>1</v>
      </c>
      <c r="J297" s="238">
        <v>0.21172086720867209</v>
      </c>
      <c r="K297" s="238">
        <v>0</v>
      </c>
      <c r="L297" s="69">
        <v>283.7047232876713</v>
      </c>
      <c r="M297" s="69">
        <v>-24.263013698630136</v>
      </c>
      <c r="N297" s="69">
        <v>0</v>
      </c>
      <c r="O297" s="69">
        <v>0</v>
      </c>
      <c r="P297" s="69">
        <v>0</v>
      </c>
      <c r="Q297" s="69">
        <v>0</v>
      </c>
      <c r="R297" s="69">
        <v>12.67537746806056</v>
      </c>
      <c r="S297" s="69">
        <v>12.67537746806056</v>
      </c>
      <c r="T297" s="69">
        <v>12.67537746806056</v>
      </c>
      <c r="U297" s="69">
        <v>12.67537746806056</v>
      </c>
      <c r="V297" s="69">
        <v>12.67537746806056</v>
      </c>
      <c r="W297" s="69">
        <v>12.67537746806056</v>
      </c>
      <c r="X297" s="69">
        <v>12.67537746806056</v>
      </c>
      <c r="Y297" s="69">
        <v>12.67537746806056</v>
      </c>
      <c r="Z297" s="69">
        <v>12.67537746806056</v>
      </c>
      <c r="AA297" s="69">
        <v>12.67537746806056</v>
      </c>
      <c r="AB297" s="69">
        <v>12.67537746806056</v>
      </c>
      <c r="AC297" s="69">
        <v>12.67537746806056</v>
      </c>
      <c r="AD297" s="69">
        <v>12.67537746806056</v>
      </c>
      <c r="AE297" s="69">
        <v>12.67537746806056</v>
      </c>
      <c r="AF297" s="69">
        <v>12.67537746806056</v>
      </c>
      <c r="AG297" s="69">
        <v>12.67537746806056</v>
      </c>
    </row>
    <row r="298" spans="1:33" ht="12.75" customHeight="1">
      <c r="A298" s="231" t="s">
        <v>2375</v>
      </c>
      <c r="B298" s="69" t="s">
        <v>363</v>
      </c>
      <c r="C298" s="69" t="s">
        <v>186</v>
      </c>
      <c r="D298" s="69" t="s">
        <v>334</v>
      </c>
      <c r="E298" s="69" t="s">
        <v>244</v>
      </c>
      <c r="F298" s="69" t="s">
        <v>159</v>
      </c>
      <c r="G298" s="69" t="s">
        <v>192</v>
      </c>
      <c r="H298" s="69" t="s">
        <v>2130</v>
      </c>
      <c r="I298" s="69">
        <v>1</v>
      </c>
      <c r="J298" s="238">
        <v>0.22877454801945279</v>
      </c>
      <c r="K298" s="238">
        <v>0</v>
      </c>
      <c r="L298" s="69">
        <v>262.55634888438135</v>
      </c>
      <c r="M298" s="69">
        <v>-22.454361054766736</v>
      </c>
      <c r="N298" s="69">
        <v>0</v>
      </c>
      <c r="O298" s="69">
        <v>0</v>
      </c>
      <c r="P298" s="69">
        <v>0</v>
      </c>
      <c r="Q298" s="69">
        <v>0</v>
      </c>
      <c r="R298" s="69">
        <v>7.1459233449477324</v>
      </c>
      <c r="S298" s="69">
        <v>7.1459233449477324</v>
      </c>
      <c r="T298" s="69">
        <v>7.1459233449477324</v>
      </c>
      <c r="U298" s="69">
        <v>7.1459233449477324</v>
      </c>
      <c r="V298" s="69">
        <v>7.1459233449477324</v>
      </c>
      <c r="W298" s="69">
        <v>7.1459233449477324</v>
      </c>
      <c r="X298" s="69">
        <v>7.1459233449477324</v>
      </c>
      <c r="Y298" s="69">
        <v>7.1459233449477324</v>
      </c>
      <c r="Z298" s="69">
        <v>7.1459233449477324</v>
      </c>
      <c r="AA298" s="69">
        <v>7.1459233449477324</v>
      </c>
      <c r="AB298" s="69">
        <v>7.1459233449477324</v>
      </c>
      <c r="AC298" s="69">
        <v>7.1459233449477324</v>
      </c>
      <c r="AD298" s="69">
        <v>7.1459233449477324</v>
      </c>
      <c r="AE298" s="69">
        <v>7.1459233449477324</v>
      </c>
      <c r="AF298" s="69">
        <v>7.1459233449477324</v>
      </c>
      <c r="AG298" s="69">
        <v>7.1459233449477324</v>
      </c>
    </row>
    <row r="299" spans="1:33" ht="12.75" customHeight="1">
      <c r="A299" s="231" t="s">
        <v>2375</v>
      </c>
      <c r="B299" s="69" t="s">
        <v>366</v>
      </c>
      <c r="C299" s="69" t="s">
        <v>139</v>
      </c>
      <c r="D299" s="69" t="s">
        <v>191</v>
      </c>
      <c r="E299" s="69" t="s">
        <v>191</v>
      </c>
      <c r="F299" s="69" t="s">
        <v>167</v>
      </c>
      <c r="G299" s="69" t="s">
        <v>192</v>
      </c>
      <c r="H299" s="69" t="s">
        <v>805</v>
      </c>
      <c r="I299" s="69">
        <v>3</v>
      </c>
      <c r="J299" s="238">
        <v>0.85000000000000075</v>
      </c>
      <c r="K299" s="238">
        <v>0.66</v>
      </c>
      <c r="L299" s="69">
        <v>124.48512660385229</v>
      </c>
      <c r="M299" s="69">
        <v>0</v>
      </c>
      <c r="N299" s="69">
        <v>0</v>
      </c>
      <c r="O299" s="69">
        <v>0</v>
      </c>
      <c r="P299" s="69">
        <v>0</v>
      </c>
      <c r="Q299" s="69">
        <v>0</v>
      </c>
      <c r="R299" s="69">
        <v>0</v>
      </c>
      <c r="S299" s="69">
        <v>0</v>
      </c>
      <c r="T299" s="69">
        <v>483.98999999999796</v>
      </c>
      <c r="U299" s="69">
        <v>483.98999999999796</v>
      </c>
      <c r="V299" s="69">
        <v>483.98999999999796</v>
      </c>
      <c r="W299" s="69">
        <v>483.98999999999796</v>
      </c>
      <c r="X299" s="69">
        <v>483.98999999999796</v>
      </c>
      <c r="Y299" s="69">
        <v>483.98999999999796</v>
      </c>
      <c r="Z299" s="69">
        <v>483.98999999999796</v>
      </c>
      <c r="AA299" s="69">
        <v>483.98999999999796</v>
      </c>
      <c r="AB299" s="69">
        <v>483.98999999999796</v>
      </c>
      <c r="AC299" s="69">
        <v>483.98999999999796</v>
      </c>
      <c r="AD299" s="69">
        <v>483.98999999999796</v>
      </c>
      <c r="AE299" s="69">
        <v>483.98999999999796</v>
      </c>
      <c r="AF299" s="69">
        <v>483.98999999999796</v>
      </c>
      <c r="AG299" s="69">
        <v>483.98999999999796</v>
      </c>
    </row>
    <row r="300" spans="1:33" ht="12.75" customHeight="1">
      <c r="A300" s="231" t="s">
        <v>2375</v>
      </c>
      <c r="B300" s="69" t="s">
        <v>367</v>
      </c>
      <c r="C300" s="69" t="s">
        <v>139</v>
      </c>
      <c r="D300" s="69" t="s">
        <v>191</v>
      </c>
      <c r="E300" s="69" t="s">
        <v>191</v>
      </c>
      <c r="F300" s="69" t="s">
        <v>167</v>
      </c>
      <c r="G300" s="69" t="s">
        <v>192</v>
      </c>
      <c r="H300" s="69" t="s">
        <v>805</v>
      </c>
      <c r="I300" s="69">
        <v>3</v>
      </c>
      <c r="J300" s="238">
        <v>0.85000000000000075</v>
      </c>
      <c r="K300" s="238">
        <v>0.66</v>
      </c>
      <c r="L300" s="69">
        <v>118.9285371482392</v>
      </c>
      <c r="M300" s="69">
        <v>0</v>
      </c>
      <c r="N300" s="69">
        <v>0</v>
      </c>
      <c r="O300" s="69">
        <v>0</v>
      </c>
      <c r="P300" s="69">
        <v>0</v>
      </c>
      <c r="Q300" s="69">
        <v>0</v>
      </c>
      <c r="R300" s="69">
        <v>0</v>
      </c>
      <c r="S300" s="69">
        <v>0</v>
      </c>
      <c r="T300" s="69">
        <v>469.09799999999814</v>
      </c>
      <c r="U300" s="69">
        <v>469.09799999999814</v>
      </c>
      <c r="V300" s="69">
        <v>469.09799999999814</v>
      </c>
      <c r="W300" s="69">
        <v>469.09799999999814</v>
      </c>
      <c r="X300" s="69">
        <v>469.09799999999814</v>
      </c>
      <c r="Y300" s="69">
        <v>469.09799999999814</v>
      </c>
      <c r="Z300" s="69">
        <v>469.09799999999814</v>
      </c>
      <c r="AA300" s="69">
        <v>469.09799999999814</v>
      </c>
      <c r="AB300" s="69">
        <v>469.09799999999814</v>
      </c>
      <c r="AC300" s="69">
        <v>469.09799999999814</v>
      </c>
      <c r="AD300" s="69">
        <v>469.09799999999814</v>
      </c>
      <c r="AE300" s="69">
        <v>469.09799999999814</v>
      </c>
      <c r="AF300" s="69">
        <v>469.09799999999814</v>
      </c>
      <c r="AG300" s="69">
        <v>469.09799999999814</v>
      </c>
    </row>
    <row r="301" spans="1:33" ht="12.75" customHeight="1">
      <c r="A301" s="231" t="s">
        <v>2375</v>
      </c>
      <c r="B301" s="69" t="s">
        <v>368</v>
      </c>
      <c r="C301" s="69" t="s">
        <v>139</v>
      </c>
      <c r="D301" s="69" t="s">
        <v>191</v>
      </c>
      <c r="E301" s="69" t="s">
        <v>191</v>
      </c>
      <c r="F301" s="69" t="s">
        <v>177</v>
      </c>
      <c r="G301" s="69" t="s">
        <v>192</v>
      </c>
      <c r="H301" s="69" t="s">
        <v>804</v>
      </c>
      <c r="I301" s="69">
        <v>3</v>
      </c>
      <c r="J301" s="238">
        <v>0.85000000000000075</v>
      </c>
      <c r="K301" s="238">
        <v>0.65516693062894504</v>
      </c>
      <c r="L301" s="69">
        <v>123.47970351056992</v>
      </c>
      <c r="M301" s="69">
        <v>0</v>
      </c>
      <c r="N301" s="69">
        <v>0</v>
      </c>
      <c r="O301" s="69">
        <v>0</v>
      </c>
      <c r="P301" s="69">
        <v>0</v>
      </c>
      <c r="Q301" s="69">
        <v>0</v>
      </c>
      <c r="R301" s="69">
        <v>0</v>
      </c>
      <c r="S301" s="69">
        <v>0</v>
      </c>
      <c r="T301" s="69">
        <v>476.54400000000169</v>
      </c>
      <c r="U301" s="69">
        <v>476.54400000000169</v>
      </c>
      <c r="V301" s="69">
        <v>476.54400000000169</v>
      </c>
      <c r="W301" s="69">
        <v>476.54400000000169</v>
      </c>
      <c r="X301" s="69">
        <v>476.54400000000169</v>
      </c>
      <c r="Y301" s="69">
        <v>476.54400000000169</v>
      </c>
      <c r="Z301" s="69">
        <v>476.54400000000169</v>
      </c>
      <c r="AA301" s="69">
        <v>476.54400000000169</v>
      </c>
      <c r="AB301" s="69">
        <v>476.54400000000169</v>
      </c>
      <c r="AC301" s="69">
        <v>476.54400000000169</v>
      </c>
      <c r="AD301" s="69">
        <v>476.54400000000169</v>
      </c>
      <c r="AE301" s="69">
        <v>476.54400000000169</v>
      </c>
      <c r="AF301" s="69">
        <v>476.54400000000169</v>
      </c>
      <c r="AG301" s="69">
        <v>476.54400000000169</v>
      </c>
    </row>
    <row r="302" spans="1:33" ht="12.75" customHeight="1">
      <c r="A302" s="231" t="s">
        <v>2375</v>
      </c>
      <c r="B302" s="69" t="s">
        <v>369</v>
      </c>
      <c r="C302" s="69" t="s">
        <v>139</v>
      </c>
      <c r="D302" s="69" t="s">
        <v>191</v>
      </c>
      <c r="E302" s="69" t="s">
        <v>191</v>
      </c>
      <c r="F302" s="69" t="s">
        <v>177</v>
      </c>
      <c r="G302" s="69" t="s">
        <v>192</v>
      </c>
      <c r="H302" s="69" t="s">
        <v>804</v>
      </c>
      <c r="I302" s="69">
        <v>3</v>
      </c>
      <c r="J302" s="238">
        <v>0.85000000000000075</v>
      </c>
      <c r="K302" s="238">
        <v>0.65516693062894504</v>
      </c>
      <c r="L302" s="69">
        <v>117.10148745690974</v>
      </c>
      <c r="M302" s="69">
        <v>0</v>
      </c>
      <c r="N302" s="69">
        <v>0</v>
      </c>
      <c r="O302" s="69">
        <v>0</v>
      </c>
      <c r="P302" s="69">
        <v>0</v>
      </c>
      <c r="Q302" s="69">
        <v>0</v>
      </c>
      <c r="R302" s="69">
        <v>201.04200000000128</v>
      </c>
      <c r="S302" s="69">
        <v>201.04200000000128</v>
      </c>
      <c r="T302" s="69">
        <v>201.04200000000128</v>
      </c>
      <c r="U302" s="69">
        <v>201.04200000000128</v>
      </c>
      <c r="V302" s="69">
        <v>201.04200000000128</v>
      </c>
      <c r="W302" s="69">
        <v>201.04200000000128</v>
      </c>
      <c r="X302" s="69">
        <v>201.04200000000128</v>
      </c>
      <c r="Y302" s="69">
        <v>201.04200000000128</v>
      </c>
      <c r="Z302" s="69">
        <v>201.04200000000128</v>
      </c>
      <c r="AA302" s="69">
        <v>201.04200000000128</v>
      </c>
      <c r="AB302" s="69">
        <v>201.04200000000128</v>
      </c>
      <c r="AC302" s="69">
        <v>201.04200000000128</v>
      </c>
      <c r="AD302" s="69">
        <v>201.04200000000128</v>
      </c>
      <c r="AE302" s="69">
        <v>201.04200000000128</v>
      </c>
      <c r="AF302" s="69">
        <v>201.04200000000128</v>
      </c>
      <c r="AG302" s="69">
        <v>201.04200000000128</v>
      </c>
    </row>
    <row r="303" spans="1:33" ht="12.75" customHeight="1">
      <c r="A303" s="231" t="s">
        <v>2375</v>
      </c>
      <c r="B303" s="69" t="s">
        <v>370</v>
      </c>
      <c r="C303" s="69" t="s">
        <v>139</v>
      </c>
      <c r="D303" s="69" t="s">
        <v>191</v>
      </c>
      <c r="E303" s="69" t="s">
        <v>191</v>
      </c>
      <c r="F303" s="69" t="s">
        <v>176</v>
      </c>
      <c r="G303" s="69" t="s">
        <v>192</v>
      </c>
      <c r="H303" s="69" t="s">
        <v>805</v>
      </c>
      <c r="I303" s="69">
        <v>3</v>
      </c>
      <c r="J303" s="238">
        <v>0.85000000000000075</v>
      </c>
      <c r="K303" s="238">
        <v>0.65726500607352012</v>
      </c>
      <c r="L303" s="69">
        <v>123.98046373454474</v>
      </c>
      <c r="M303" s="69">
        <v>0</v>
      </c>
      <c r="N303" s="69">
        <v>0</v>
      </c>
      <c r="O303" s="69">
        <v>0</v>
      </c>
      <c r="P303" s="69">
        <v>0</v>
      </c>
      <c r="Q303" s="69">
        <v>0</v>
      </c>
      <c r="R303" s="69">
        <v>162.32280000000173</v>
      </c>
      <c r="S303" s="69">
        <v>162.32280000000173</v>
      </c>
      <c r="T303" s="69">
        <v>162.32280000000173</v>
      </c>
      <c r="U303" s="69">
        <v>162.32280000000173</v>
      </c>
      <c r="V303" s="69">
        <v>162.32280000000173</v>
      </c>
      <c r="W303" s="69">
        <v>162.32280000000173</v>
      </c>
      <c r="X303" s="69">
        <v>162.32280000000173</v>
      </c>
      <c r="Y303" s="69">
        <v>162.32280000000173</v>
      </c>
      <c r="Z303" s="69">
        <v>162.32280000000173</v>
      </c>
      <c r="AA303" s="69">
        <v>162.32280000000173</v>
      </c>
      <c r="AB303" s="69">
        <v>162.32280000000173</v>
      </c>
      <c r="AC303" s="69">
        <v>162.32280000000173</v>
      </c>
      <c r="AD303" s="69">
        <v>162.32280000000173</v>
      </c>
      <c r="AE303" s="69">
        <v>162.32280000000173</v>
      </c>
      <c r="AF303" s="69">
        <v>162.32280000000173</v>
      </c>
      <c r="AG303" s="69">
        <v>162.32280000000173</v>
      </c>
    </row>
    <row r="304" spans="1:33" ht="12.75" customHeight="1">
      <c r="A304" s="231" t="s">
        <v>2375</v>
      </c>
      <c r="B304" s="69" t="s">
        <v>371</v>
      </c>
      <c r="C304" s="69" t="s">
        <v>139</v>
      </c>
      <c r="D304" s="69" t="s">
        <v>191</v>
      </c>
      <c r="E304" s="69" t="s">
        <v>191</v>
      </c>
      <c r="F304" s="69" t="s">
        <v>180</v>
      </c>
      <c r="G304" s="69" t="s">
        <v>192</v>
      </c>
      <c r="H304" s="69" t="s">
        <v>804</v>
      </c>
      <c r="I304" s="69">
        <v>3</v>
      </c>
      <c r="J304" s="238">
        <v>0.85000000000000075</v>
      </c>
      <c r="K304" s="238">
        <v>0.65399075919550653</v>
      </c>
      <c r="L304" s="69">
        <v>121.96317245599877</v>
      </c>
      <c r="M304" s="69">
        <v>0</v>
      </c>
      <c r="N304" s="69">
        <v>0</v>
      </c>
      <c r="O304" s="69">
        <v>0</v>
      </c>
      <c r="P304" s="69">
        <v>0</v>
      </c>
      <c r="Q304" s="69">
        <v>0</v>
      </c>
      <c r="R304" s="69">
        <v>275.50200000000041</v>
      </c>
      <c r="S304" s="69">
        <v>275.50200000000041</v>
      </c>
      <c r="T304" s="69">
        <v>275.50200000000041</v>
      </c>
      <c r="U304" s="69">
        <v>275.50200000000041</v>
      </c>
      <c r="V304" s="69">
        <v>275.50200000000041</v>
      </c>
      <c r="W304" s="69">
        <v>275.50200000000041</v>
      </c>
      <c r="X304" s="69">
        <v>275.50200000000041</v>
      </c>
      <c r="Y304" s="69">
        <v>275.50200000000041</v>
      </c>
      <c r="Z304" s="69">
        <v>275.50200000000041</v>
      </c>
      <c r="AA304" s="69">
        <v>275.50200000000041</v>
      </c>
      <c r="AB304" s="69">
        <v>275.50200000000041</v>
      </c>
      <c r="AC304" s="69">
        <v>275.50200000000041</v>
      </c>
      <c r="AD304" s="69">
        <v>275.50200000000041</v>
      </c>
      <c r="AE304" s="69">
        <v>275.50200000000041</v>
      </c>
      <c r="AF304" s="69">
        <v>275.50200000000041</v>
      </c>
      <c r="AG304" s="69">
        <v>275.50200000000041</v>
      </c>
    </row>
    <row r="305" spans="1:33" ht="12.75" customHeight="1">
      <c r="A305" s="231" t="s">
        <v>2375</v>
      </c>
      <c r="B305" s="69" t="s">
        <v>372</v>
      </c>
      <c r="C305" s="69" t="s">
        <v>139</v>
      </c>
      <c r="D305" s="69" t="s">
        <v>191</v>
      </c>
      <c r="E305" s="69" t="s">
        <v>191</v>
      </c>
      <c r="F305" s="69" t="s">
        <v>168</v>
      </c>
      <c r="G305" s="69" t="s">
        <v>199</v>
      </c>
      <c r="H305" s="69" t="s">
        <v>2417</v>
      </c>
      <c r="I305" s="69">
        <v>3</v>
      </c>
      <c r="J305" s="238">
        <v>0.85000000000000087</v>
      </c>
      <c r="K305" s="238">
        <v>0.60840118279510991</v>
      </c>
      <c r="L305" s="69">
        <v>118.30264535948425</v>
      </c>
      <c r="M305" s="69">
        <v>0</v>
      </c>
      <c r="N305" s="69">
        <v>0</v>
      </c>
      <c r="O305" s="69">
        <v>0</v>
      </c>
      <c r="P305" s="69">
        <v>0</v>
      </c>
      <c r="Q305" s="69">
        <v>0</v>
      </c>
      <c r="R305" s="69">
        <v>156.36600000000183</v>
      </c>
      <c r="S305" s="69">
        <v>156.36600000000183</v>
      </c>
      <c r="T305" s="69">
        <v>156.36600000000183</v>
      </c>
      <c r="U305" s="69">
        <v>156.36600000000183</v>
      </c>
      <c r="V305" s="69">
        <v>156.36600000000183</v>
      </c>
      <c r="W305" s="69">
        <v>156.36600000000183</v>
      </c>
      <c r="X305" s="69">
        <v>156.36600000000183</v>
      </c>
      <c r="Y305" s="69">
        <v>156.36600000000183</v>
      </c>
      <c r="Z305" s="69">
        <v>156.36600000000183</v>
      </c>
      <c r="AA305" s="69">
        <v>156.36600000000183</v>
      </c>
      <c r="AB305" s="69">
        <v>156.36600000000183</v>
      </c>
      <c r="AC305" s="69">
        <v>156.36600000000183</v>
      </c>
      <c r="AD305" s="69">
        <v>156.36600000000183</v>
      </c>
      <c r="AE305" s="69">
        <v>156.36600000000183</v>
      </c>
      <c r="AF305" s="69">
        <v>156.36600000000183</v>
      </c>
      <c r="AG305" s="69">
        <v>156.36600000000183</v>
      </c>
    </row>
    <row r="306" spans="1:33" ht="12.75" customHeight="1">
      <c r="A306" s="231" t="s">
        <v>2375</v>
      </c>
      <c r="B306" s="69" t="s">
        <v>373</v>
      </c>
      <c r="C306" s="69" t="s">
        <v>139</v>
      </c>
      <c r="D306" s="69" t="s">
        <v>191</v>
      </c>
      <c r="E306" s="69" t="s">
        <v>191</v>
      </c>
      <c r="F306" s="69" t="s">
        <v>168</v>
      </c>
      <c r="G306" s="69" t="s">
        <v>199</v>
      </c>
      <c r="H306" s="69" t="s">
        <v>2417</v>
      </c>
      <c r="I306" s="69">
        <v>3</v>
      </c>
      <c r="J306" s="238">
        <v>0.85000000000000075</v>
      </c>
      <c r="K306" s="238">
        <v>0.60840118279510991</v>
      </c>
      <c r="L306" s="69">
        <v>116.99547033873785</v>
      </c>
      <c r="M306" s="69">
        <v>0</v>
      </c>
      <c r="N306" s="69">
        <v>0</v>
      </c>
      <c r="O306" s="69">
        <v>0</v>
      </c>
      <c r="P306" s="69">
        <v>0</v>
      </c>
      <c r="Q306" s="69">
        <v>0</v>
      </c>
      <c r="R306" s="69">
        <v>171.25800000000166</v>
      </c>
      <c r="S306" s="69">
        <v>171.25800000000166</v>
      </c>
      <c r="T306" s="69">
        <v>171.25800000000166</v>
      </c>
      <c r="U306" s="69">
        <v>171.25800000000166</v>
      </c>
      <c r="V306" s="69">
        <v>171.25800000000166</v>
      </c>
      <c r="W306" s="69">
        <v>171.25800000000166</v>
      </c>
      <c r="X306" s="69">
        <v>171.25800000000166</v>
      </c>
      <c r="Y306" s="69">
        <v>171.25800000000166</v>
      </c>
      <c r="Z306" s="69">
        <v>171.25800000000166</v>
      </c>
      <c r="AA306" s="69">
        <v>171.25800000000166</v>
      </c>
      <c r="AB306" s="69">
        <v>171.25800000000166</v>
      </c>
      <c r="AC306" s="69">
        <v>171.25800000000166</v>
      </c>
      <c r="AD306" s="69">
        <v>171.25800000000166</v>
      </c>
      <c r="AE306" s="69">
        <v>171.25800000000166</v>
      </c>
      <c r="AF306" s="69">
        <v>171.25800000000166</v>
      </c>
      <c r="AG306" s="69">
        <v>171.25800000000166</v>
      </c>
    </row>
    <row r="307" spans="1:33" ht="12.75" customHeight="1">
      <c r="A307" s="231" t="s">
        <v>2375</v>
      </c>
      <c r="B307" s="69" t="s">
        <v>374</v>
      </c>
      <c r="C307" s="69" t="s">
        <v>139</v>
      </c>
      <c r="D307" s="69" t="s">
        <v>191</v>
      </c>
      <c r="E307" s="69" t="s">
        <v>191</v>
      </c>
      <c r="F307" s="69" t="s">
        <v>168</v>
      </c>
      <c r="G307" s="69" t="s">
        <v>199</v>
      </c>
      <c r="H307" s="69" t="s">
        <v>2417</v>
      </c>
      <c r="I307" s="69">
        <v>3</v>
      </c>
      <c r="J307" s="238">
        <v>0.85000000000000075</v>
      </c>
      <c r="K307" s="238">
        <v>0.60840118279510991</v>
      </c>
      <c r="L307" s="69">
        <v>118.93475412933944</v>
      </c>
      <c r="M307" s="69">
        <v>0</v>
      </c>
      <c r="N307" s="69">
        <v>0</v>
      </c>
      <c r="O307" s="69">
        <v>0</v>
      </c>
      <c r="P307" s="69">
        <v>0</v>
      </c>
      <c r="Q307" s="69">
        <v>0</v>
      </c>
      <c r="R307" s="69">
        <v>0</v>
      </c>
      <c r="S307" s="69">
        <v>0</v>
      </c>
      <c r="T307" s="69">
        <v>394.63799999999901</v>
      </c>
      <c r="U307" s="69">
        <v>394.63799999999901</v>
      </c>
      <c r="V307" s="69">
        <v>394.63799999999901</v>
      </c>
      <c r="W307" s="69">
        <v>394.63799999999901</v>
      </c>
      <c r="X307" s="69">
        <v>394.63799999999901</v>
      </c>
      <c r="Y307" s="69">
        <v>394.63799999999901</v>
      </c>
      <c r="Z307" s="69">
        <v>394.63799999999901</v>
      </c>
      <c r="AA307" s="69">
        <v>394.63799999999901</v>
      </c>
      <c r="AB307" s="69">
        <v>394.63799999999901</v>
      </c>
      <c r="AC307" s="69">
        <v>394.63799999999901</v>
      </c>
      <c r="AD307" s="69">
        <v>394.63799999999901</v>
      </c>
      <c r="AE307" s="69">
        <v>394.63799999999901</v>
      </c>
      <c r="AF307" s="69">
        <v>394.63799999999901</v>
      </c>
      <c r="AG307" s="69">
        <v>394.63799999999901</v>
      </c>
    </row>
    <row r="308" spans="1:33" ht="12.75" customHeight="1">
      <c r="A308" s="231" t="s">
        <v>2375</v>
      </c>
      <c r="B308" s="69" t="s">
        <v>375</v>
      </c>
      <c r="C308" s="69" t="s">
        <v>136</v>
      </c>
      <c r="D308" s="69" t="s">
        <v>191</v>
      </c>
      <c r="E308" s="69" t="s">
        <v>191</v>
      </c>
      <c r="F308" s="69" t="s">
        <v>161</v>
      </c>
      <c r="G308" s="69" t="s">
        <v>192</v>
      </c>
      <c r="H308" s="69" t="s">
        <v>2130</v>
      </c>
      <c r="I308" s="69">
        <v>3</v>
      </c>
      <c r="J308" s="238">
        <v>0.8</v>
      </c>
      <c r="K308" s="238">
        <v>0.70497163608542901</v>
      </c>
      <c r="L308" s="69">
        <v>88.474187468150532</v>
      </c>
      <c r="M308" s="69">
        <v>0</v>
      </c>
      <c r="N308" s="69">
        <v>0</v>
      </c>
      <c r="O308" s="69">
        <v>0</v>
      </c>
      <c r="P308" s="69">
        <v>0</v>
      </c>
      <c r="Q308" s="69">
        <v>0</v>
      </c>
      <c r="R308" s="69">
        <v>0</v>
      </c>
      <c r="S308" s="69">
        <v>0</v>
      </c>
      <c r="T308" s="69">
        <v>0</v>
      </c>
      <c r="U308" s="69">
        <v>346.29340615212647</v>
      </c>
      <c r="V308" s="69">
        <v>346.29340615212647</v>
      </c>
      <c r="W308" s="69">
        <v>346.29340615212647</v>
      </c>
      <c r="X308" s="69">
        <v>346.29340615212647</v>
      </c>
      <c r="Y308" s="69">
        <v>346.29340615212647</v>
      </c>
      <c r="Z308" s="69">
        <v>346.29340615212647</v>
      </c>
      <c r="AA308" s="69">
        <v>346.29340615212647</v>
      </c>
      <c r="AB308" s="69">
        <v>346.29340615212647</v>
      </c>
      <c r="AC308" s="69">
        <v>346.29340615212647</v>
      </c>
      <c r="AD308" s="69">
        <v>346.29340615212647</v>
      </c>
      <c r="AE308" s="69">
        <v>346.29340615212647</v>
      </c>
      <c r="AF308" s="69">
        <v>346.29340615212647</v>
      </c>
      <c r="AG308" s="69">
        <v>346.29340615212647</v>
      </c>
    </row>
    <row r="309" spans="1:33" ht="12.75" customHeight="1">
      <c r="A309" s="231" t="s">
        <v>2375</v>
      </c>
      <c r="B309" s="69" t="s">
        <v>378</v>
      </c>
      <c r="C309" s="69" t="s">
        <v>136</v>
      </c>
      <c r="D309" s="69" t="s">
        <v>191</v>
      </c>
      <c r="E309" s="69" t="s">
        <v>191</v>
      </c>
      <c r="F309" s="69" t="s">
        <v>161</v>
      </c>
      <c r="G309" s="69" t="s">
        <v>192</v>
      </c>
      <c r="H309" s="69" t="s">
        <v>2130</v>
      </c>
      <c r="I309" s="69">
        <v>3</v>
      </c>
      <c r="J309" s="238">
        <v>0.9</v>
      </c>
      <c r="K309" s="238">
        <v>0.70497163608542901</v>
      </c>
      <c r="L309" s="69">
        <v>100.71508254464696</v>
      </c>
      <c r="M309" s="69">
        <v>0</v>
      </c>
      <c r="N309" s="69">
        <v>0</v>
      </c>
      <c r="O309" s="69">
        <v>0</v>
      </c>
      <c r="P309" s="69">
        <v>0</v>
      </c>
      <c r="Q309" s="69">
        <v>0</v>
      </c>
      <c r="R309" s="69">
        <v>0</v>
      </c>
      <c r="S309" s="69">
        <v>0</v>
      </c>
      <c r="T309" s="69">
        <v>0</v>
      </c>
      <c r="U309" s="69">
        <v>1401.5143447113091</v>
      </c>
      <c r="V309" s="69">
        <v>1401.5143447113091</v>
      </c>
      <c r="W309" s="69">
        <v>1401.5143447113091</v>
      </c>
      <c r="X309" s="69">
        <v>1401.5143447113091</v>
      </c>
      <c r="Y309" s="69">
        <v>1401.5143447113091</v>
      </c>
      <c r="Z309" s="69">
        <v>1401.5143447113091</v>
      </c>
      <c r="AA309" s="69">
        <v>1401.5143447113091</v>
      </c>
      <c r="AB309" s="69">
        <v>1401.5143447113091</v>
      </c>
      <c r="AC309" s="69">
        <v>1401.5143447113091</v>
      </c>
      <c r="AD309" s="69">
        <v>1401.5143447113091</v>
      </c>
      <c r="AE309" s="69">
        <v>1401.5143447113091</v>
      </c>
      <c r="AF309" s="69">
        <v>1401.5143447113091</v>
      </c>
      <c r="AG309" s="69">
        <v>1401.5143447113091</v>
      </c>
    </row>
    <row r="310" spans="1:33" ht="12.75" customHeight="1">
      <c r="A310" s="231" t="s">
        <v>2375</v>
      </c>
      <c r="B310" s="69" t="s">
        <v>380</v>
      </c>
      <c r="C310" s="69" t="s">
        <v>136</v>
      </c>
      <c r="D310" s="69" t="s">
        <v>191</v>
      </c>
      <c r="E310" s="69" t="s">
        <v>191</v>
      </c>
      <c r="F310" s="69" t="s">
        <v>165</v>
      </c>
      <c r="G310" s="69" t="s">
        <v>201</v>
      </c>
      <c r="H310" s="69" t="s">
        <v>2417</v>
      </c>
      <c r="I310" s="69">
        <v>3</v>
      </c>
      <c r="J310" s="238">
        <v>0.8</v>
      </c>
      <c r="K310" s="238">
        <v>0.70268797670198968</v>
      </c>
      <c r="L310" s="69">
        <v>122.93150444352236</v>
      </c>
      <c r="M310" s="69">
        <v>0</v>
      </c>
      <c r="N310" s="69">
        <v>0</v>
      </c>
      <c r="O310" s="69">
        <v>0</v>
      </c>
      <c r="P310" s="69">
        <v>0</v>
      </c>
      <c r="Q310" s="69">
        <v>0</v>
      </c>
      <c r="R310" s="69">
        <v>56.063999999998487</v>
      </c>
      <c r="S310" s="69">
        <v>56.063999999998487</v>
      </c>
      <c r="T310" s="69">
        <v>56.063999999998487</v>
      </c>
      <c r="U310" s="69">
        <v>56.063999999998487</v>
      </c>
      <c r="V310" s="69">
        <v>56.063999999998487</v>
      </c>
      <c r="W310" s="69">
        <v>56.063999999998487</v>
      </c>
      <c r="X310" s="69">
        <v>56.063999999998487</v>
      </c>
      <c r="Y310" s="69">
        <v>56.063999999998487</v>
      </c>
      <c r="Z310" s="69">
        <v>56.063999999998487</v>
      </c>
      <c r="AA310" s="69">
        <v>56.063999999998487</v>
      </c>
      <c r="AB310" s="69">
        <v>56.063999999998487</v>
      </c>
      <c r="AC310" s="69">
        <v>56.063999999998487</v>
      </c>
      <c r="AD310" s="69">
        <v>56.063999999998487</v>
      </c>
      <c r="AE310" s="69">
        <v>56.063999999998487</v>
      </c>
      <c r="AF310" s="69">
        <v>56.063999999998487</v>
      </c>
      <c r="AG310" s="69">
        <v>56.063999999998487</v>
      </c>
    </row>
    <row r="311" spans="1:33" ht="12.75" customHeight="1">
      <c r="A311" s="231" t="s">
        <v>2375</v>
      </c>
      <c r="B311" s="69" t="s">
        <v>381</v>
      </c>
      <c r="C311" s="69" t="s">
        <v>136</v>
      </c>
      <c r="D311" s="69" t="s">
        <v>191</v>
      </c>
      <c r="E311" s="69" t="s">
        <v>191</v>
      </c>
      <c r="F311" s="69" t="s">
        <v>165</v>
      </c>
      <c r="G311" s="69" t="s">
        <v>201</v>
      </c>
      <c r="H311" s="69" t="s">
        <v>2417</v>
      </c>
      <c r="I311" s="69">
        <v>3</v>
      </c>
      <c r="J311" s="238">
        <v>0.8</v>
      </c>
      <c r="K311" s="238">
        <v>0.70268797670198968</v>
      </c>
      <c r="L311" s="69">
        <v>142.65493367312166</v>
      </c>
      <c r="M311" s="69">
        <v>0</v>
      </c>
      <c r="N311" s="69">
        <v>0</v>
      </c>
      <c r="O311" s="69">
        <v>0</v>
      </c>
      <c r="P311" s="69">
        <v>0</v>
      </c>
      <c r="Q311" s="69">
        <v>0</v>
      </c>
      <c r="R311" s="69">
        <v>56.063999999998487</v>
      </c>
      <c r="S311" s="69">
        <v>56.063999999998487</v>
      </c>
      <c r="T311" s="69">
        <v>56.063999999998487</v>
      </c>
      <c r="U311" s="69">
        <v>56.063999999998487</v>
      </c>
      <c r="V311" s="69">
        <v>56.063999999998487</v>
      </c>
      <c r="W311" s="69">
        <v>56.063999999998487</v>
      </c>
      <c r="X311" s="69">
        <v>56.063999999998487</v>
      </c>
      <c r="Y311" s="69">
        <v>56.063999999998487</v>
      </c>
      <c r="Z311" s="69">
        <v>56.063999999998487</v>
      </c>
      <c r="AA311" s="69">
        <v>56.063999999998487</v>
      </c>
      <c r="AB311" s="69">
        <v>56.063999999998487</v>
      </c>
      <c r="AC311" s="69">
        <v>56.063999999998487</v>
      </c>
      <c r="AD311" s="69">
        <v>56.063999999998487</v>
      </c>
      <c r="AE311" s="69">
        <v>56.063999999998487</v>
      </c>
      <c r="AF311" s="69">
        <v>56.063999999998487</v>
      </c>
      <c r="AG311" s="69">
        <v>56.063999999998487</v>
      </c>
    </row>
    <row r="312" spans="1:33" ht="12.75" customHeight="1">
      <c r="A312" s="231" t="s">
        <v>2375</v>
      </c>
      <c r="B312" s="69" t="s">
        <v>382</v>
      </c>
      <c r="C312" s="69" t="s">
        <v>136</v>
      </c>
      <c r="D312" s="69" t="s">
        <v>191</v>
      </c>
      <c r="E312" s="69" t="s">
        <v>191</v>
      </c>
      <c r="F312" s="69" t="s">
        <v>165</v>
      </c>
      <c r="G312" s="69" t="s">
        <v>201</v>
      </c>
      <c r="H312" s="69" t="s">
        <v>2417</v>
      </c>
      <c r="I312" s="69">
        <v>3</v>
      </c>
      <c r="J312" s="238">
        <v>0.8</v>
      </c>
      <c r="K312" s="238">
        <v>0.70268797670198968</v>
      </c>
      <c r="L312" s="69">
        <v>122.39168784760062</v>
      </c>
      <c r="M312" s="69">
        <v>0</v>
      </c>
      <c r="N312" s="69">
        <v>0</v>
      </c>
      <c r="O312" s="69">
        <v>0</v>
      </c>
      <c r="P312" s="69">
        <v>0</v>
      </c>
      <c r="Q312" s="69">
        <v>0</v>
      </c>
      <c r="R312" s="69">
        <v>56.063999999998487</v>
      </c>
      <c r="S312" s="69">
        <v>56.063999999998487</v>
      </c>
      <c r="T312" s="69">
        <v>56.063999999998487</v>
      </c>
      <c r="U312" s="69">
        <v>56.063999999998487</v>
      </c>
      <c r="V312" s="69">
        <v>56.063999999998487</v>
      </c>
      <c r="W312" s="69">
        <v>56.063999999998487</v>
      </c>
      <c r="X312" s="69">
        <v>56.063999999998487</v>
      </c>
      <c r="Y312" s="69">
        <v>56.063999999998487</v>
      </c>
      <c r="Z312" s="69">
        <v>56.063999999998487</v>
      </c>
      <c r="AA312" s="69">
        <v>56.063999999998487</v>
      </c>
      <c r="AB312" s="69">
        <v>56.063999999998487</v>
      </c>
      <c r="AC312" s="69">
        <v>56.063999999998487</v>
      </c>
      <c r="AD312" s="69">
        <v>56.063999999998487</v>
      </c>
      <c r="AE312" s="69">
        <v>56.063999999998487</v>
      </c>
      <c r="AF312" s="69">
        <v>56.063999999998487</v>
      </c>
      <c r="AG312" s="69">
        <v>56.063999999998487</v>
      </c>
    </row>
    <row r="313" spans="1:33" ht="12.75" customHeight="1">
      <c r="A313" s="231" t="s">
        <v>2375</v>
      </c>
      <c r="B313" s="69" t="s">
        <v>383</v>
      </c>
      <c r="C313" s="69" t="s">
        <v>136</v>
      </c>
      <c r="D313" s="69" t="s">
        <v>191</v>
      </c>
      <c r="E313" s="69" t="s">
        <v>191</v>
      </c>
      <c r="F313" s="69" t="s">
        <v>165</v>
      </c>
      <c r="G313" s="69" t="s">
        <v>201</v>
      </c>
      <c r="H313" s="69" t="s">
        <v>2417</v>
      </c>
      <c r="I313" s="69">
        <v>3</v>
      </c>
      <c r="J313" s="238">
        <v>0.8</v>
      </c>
      <c r="K313" s="238">
        <v>0.70268797670198968</v>
      </c>
      <c r="L313" s="69">
        <v>148.96555894505323</v>
      </c>
      <c r="M313" s="69">
        <v>0</v>
      </c>
      <c r="N313" s="69">
        <v>0</v>
      </c>
      <c r="O313" s="69">
        <v>0</v>
      </c>
      <c r="P313" s="69">
        <v>0</v>
      </c>
      <c r="Q313" s="69">
        <v>0</v>
      </c>
      <c r="R313" s="69">
        <v>56.063999999998487</v>
      </c>
      <c r="S313" s="69">
        <v>56.063999999998487</v>
      </c>
      <c r="T313" s="69">
        <v>56.063999999998487</v>
      </c>
      <c r="U313" s="69">
        <v>56.063999999998487</v>
      </c>
      <c r="V313" s="69">
        <v>56.063999999998487</v>
      </c>
      <c r="W313" s="69">
        <v>56.063999999998487</v>
      </c>
      <c r="X313" s="69">
        <v>56.063999999998487</v>
      </c>
      <c r="Y313" s="69">
        <v>56.063999999998487</v>
      </c>
      <c r="Z313" s="69">
        <v>56.063999999998487</v>
      </c>
      <c r="AA313" s="69">
        <v>56.063999999998487</v>
      </c>
      <c r="AB313" s="69">
        <v>56.063999999998487</v>
      </c>
      <c r="AC313" s="69">
        <v>56.063999999998487</v>
      </c>
      <c r="AD313" s="69">
        <v>56.063999999998487</v>
      </c>
      <c r="AE313" s="69">
        <v>56.063999999998487</v>
      </c>
      <c r="AF313" s="69">
        <v>56.063999999998487</v>
      </c>
      <c r="AG313" s="69">
        <v>56.063999999998487</v>
      </c>
    </row>
    <row r="314" spans="1:33" ht="12.75" customHeight="1">
      <c r="A314" s="231" t="s">
        <v>2375</v>
      </c>
      <c r="B314" s="69" t="s">
        <v>384</v>
      </c>
      <c r="C314" s="69" t="s">
        <v>136</v>
      </c>
      <c r="D314" s="69" t="s">
        <v>191</v>
      </c>
      <c r="E314" s="69" t="s">
        <v>191</v>
      </c>
      <c r="F314" s="69" t="s">
        <v>165</v>
      </c>
      <c r="G314" s="69" t="s">
        <v>201</v>
      </c>
      <c r="H314" s="69" t="s">
        <v>2417</v>
      </c>
      <c r="I314" s="69">
        <v>3</v>
      </c>
      <c r="J314" s="238">
        <v>0.8</v>
      </c>
      <c r="K314" s="238">
        <v>0.70268797670198968</v>
      </c>
      <c r="L314" s="69">
        <v>130.41195553392456</v>
      </c>
      <c r="M314" s="69">
        <v>0</v>
      </c>
      <c r="N314" s="69">
        <v>0</v>
      </c>
      <c r="O314" s="69">
        <v>0</v>
      </c>
      <c r="P314" s="69">
        <v>0</v>
      </c>
      <c r="Q314" s="69">
        <v>0</v>
      </c>
      <c r="R314" s="69">
        <v>56.063999999998487</v>
      </c>
      <c r="S314" s="69">
        <v>56.063999999998487</v>
      </c>
      <c r="T314" s="69">
        <v>56.063999999998487</v>
      </c>
      <c r="U314" s="69">
        <v>56.063999999998487</v>
      </c>
      <c r="V314" s="69">
        <v>56.063999999998487</v>
      </c>
      <c r="W314" s="69">
        <v>56.063999999998487</v>
      </c>
      <c r="X314" s="69">
        <v>56.063999999998487</v>
      </c>
      <c r="Y314" s="69">
        <v>56.063999999998487</v>
      </c>
      <c r="Z314" s="69">
        <v>56.063999999998487</v>
      </c>
      <c r="AA314" s="69">
        <v>56.063999999998487</v>
      </c>
      <c r="AB314" s="69">
        <v>56.063999999998487</v>
      </c>
      <c r="AC314" s="69">
        <v>56.063999999998487</v>
      </c>
      <c r="AD314" s="69">
        <v>56.063999999998487</v>
      </c>
      <c r="AE314" s="69">
        <v>56.063999999998487</v>
      </c>
      <c r="AF314" s="69">
        <v>56.063999999998487</v>
      </c>
      <c r="AG314" s="69">
        <v>56.063999999998487</v>
      </c>
    </row>
    <row r="315" spans="1:33" ht="12.75" customHeight="1">
      <c r="A315" s="231" t="s">
        <v>2375</v>
      </c>
      <c r="B315" s="69" t="s">
        <v>385</v>
      </c>
      <c r="C315" s="69" t="s">
        <v>136</v>
      </c>
      <c r="D315" s="69" t="s">
        <v>191</v>
      </c>
      <c r="E315" s="69" t="s">
        <v>191</v>
      </c>
      <c r="F315" s="69" t="s">
        <v>165</v>
      </c>
      <c r="G315" s="69" t="s">
        <v>201</v>
      </c>
      <c r="H315" s="69" t="s">
        <v>2417</v>
      </c>
      <c r="I315" s="69">
        <v>3</v>
      </c>
      <c r="J315" s="238">
        <v>0.8</v>
      </c>
      <c r="K315" s="238">
        <v>0.70268797670198968</v>
      </c>
      <c r="L315" s="69">
        <v>123.52311376460064</v>
      </c>
      <c r="M315" s="69">
        <v>0</v>
      </c>
      <c r="N315" s="69">
        <v>0</v>
      </c>
      <c r="O315" s="69">
        <v>0</v>
      </c>
      <c r="P315" s="69">
        <v>0</v>
      </c>
      <c r="Q315" s="69">
        <v>0</v>
      </c>
      <c r="R315" s="69">
        <v>56.063999999998487</v>
      </c>
      <c r="S315" s="69">
        <v>56.063999999998487</v>
      </c>
      <c r="T315" s="69">
        <v>56.063999999998487</v>
      </c>
      <c r="U315" s="69">
        <v>56.063999999998487</v>
      </c>
      <c r="V315" s="69">
        <v>56.063999999998487</v>
      </c>
      <c r="W315" s="69">
        <v>56.063999999998487</v>
      </c>
      <c r="X315" s="69">
        <v>56.063999999998487</v>
      </c>
      <c r="Y315" s="69">
        <v>56.063999999998487</v>
      </c>
      <c r="Z315" s="69">
        <v>56.063999999998487</v>
      </c>
      <c r="AA315" s="69">
        <v>56.063999999998487</v>
      </c>
      <c r="AB315" s="69">
        <v>56.063999999998487</v>
      </c>
      <c r="AC315" s="69">
        <v>56.063999999998487</v>
      </c>
      <c r="AD315" s="69">
        <v>56.063999999998487</v>
      </c>
      <c r="AE315" s="69">
        <v>56.063999999998487</v>
      </c>
      <c r="AF315" s="69">
        <v>56.063999999998487</v>
      </c>
      <c r="AG315" s="69">
        <v>56.063999999998487</v>
      </c>
    </row>
    <row r="316" spans="1:33" ht="12.75" customHeight="1">
      <c r="A316" s="231" t="s">
        <v>2375</v>
      </c>
      <c r="B316" s="69" t="s">
        <v>386</v>
      </c>
      <c r="C316" s="69" t="s">
        <v>136</v>
      </c>
      <c r="D316" s="69" t="s">
        <v>191</v>
      </c>
      <c r="E316" s="69" t="s">
        <v>191</v>
      </c>
      <c r="F316" s="69" t="s">
        <v>165</v>
      </c>
      <c r="G316" s="69" t="s">
        <v>201</v>
      </c>
      <c r="H316" s="69" t="s">
        <v>2417</v>
      </c>
      <c r="I316" s="69">
        <v>3</v>
      </c>
      <c r="J316" s="238">
        <v>0.8</v>
      </c>
      <c r="K316" s="238">
        <v>0.70268797670198968</v>
      </c>
      <c r="L316" s="69">
        <v>123.83894383258892</v>
      </c>
      <c r="M316" s="69">
        <v>0</v>
      </c>
      <c r="N316" s="69">
        <v>0</v>
      </c>
      <c r="O316" s="69">
        <v>0</v>
      </c>
      <c r="P316" s="69">
        <v>0</v>
      </c>
      <c r="Q316" s="69">
        <v>0</v>
      </c>
      <c r="R316" s="69">
        <v>56.063999999998487</v>
      </c>
      <c r="S316" s="69">
        <v>56.063999999998487</v>
      </c>
      <c r="T316" s="69">
        <v>56.063999999998487</v>
      </c>
      <c r="U316" s="69">
        <v>56.063999999998487</v>
      </c>
      <c r="V316" s="69">
        <v>56.063999999998487</v>
      </c>
      <c r="W316" s="69">
        <v>56.063999999998487</v>
      </c>
      <c r="X316" s="69">
        <v>56.063999999998487</v>
      </c>
      <c r="Y316" s="69">
        <v>56.063999999998487</v>
      </c>
      <c r="Z316" s="69">
        <v>56.063999999998487</v>
      </c>
      <c r="AA316" s="69">
        <v>56.063999999998487</v>
      </c>
      <c r="AB316" s="69">
        <v>56.063999999998487</v>
      </c>
      <c r="AC316" s="69">
        <v>56.063999999998487</v>
      </c>
      <c r="AD316" s="69">
        <v>56.063999999998487</v>
      </c>
      <c r="AE316" s="69">
        <v>56.063999999998487</v>
      </c>
      <c r="AF316" s="69">
        <v>56.063999999998487</v>
      </c>
      <c r="AG316" s="69">
        <v>56.063999999998487</v>
      </c>
    </row>
    <row r="317" spans="1:33" ht="12.75" customHeight="1">
      <c r="A317" s="231" t="s">
        <v>2375</v>
      </c>
      <c r="B317" s="69" t="s">
        <v>387</v>
      </c>
      <c r="C317" s="69" t="s">
        <v>136</v>
      </c>
      <c r="D317" s="69" t="s">
        <v>191</v>
      </c>
      <c r="E317" s="69" t="s">
        <v>191</v>
      </c>
      <c r="F317" s="69" t="s">
        <v>165</v>
      </c>
      <c r="G317" s="69" t="s">
        <v>201</v>
      </c>
      <c r="H317" s="69" t="s">
        <v>2417</v>
      </c>
      <c r="I317" s="69">
        <v>3</v>
      </c>
      <c r="J317" s="238">
        <v>0.8</v>
      </c>
      <c r="K317" s="238">
        <v>0.70268797670198968</v>
      </c>
      <c r="L317" s="69">
        <v>122.75945472176011</v>
      </c>
      <c r="M317" s="69">
        <v>0</v>
      </c>
      <c r="N317" s="69">
        <v>0</v>
      </c>
      <c r="O317" s="69">
        <v>0</v>
      </c>
      <c r="P317" s="69">
        <v>0</v>
      </c>
      <c r="Q317" s="69">
        <v>0</v>
      </c>
      <c r="R317" s="69">
        <v>56.063999999998487</v>
      </c>
      <c r="S317" s="69">
        <v>56.063999999998487</v>
      </c>
      <c r="T317" s="69">
        <v>56.063999999998487</v>
      </c>
      <c r="U317" s="69">
        <v>56.063999999998487</v>
      </c>
      <c r="V317" s="69">
        <v>56.063999999998487</v>
      </c>
      <c r="W317" s="69">
        <v>56.063999999998487</v>
      </c>
      <c r="X317" s="69">
        <v>56.063999999998487</v>
      </c>
      <c r="Y317" s="69">
        <v>56.063999999998487</v>
      </c>
      <c r="Z317" s="69">
        <v>56.063999999998487</v>
      </c>
      <c r="AA317" s="69">
        <v>56.063999999998487</v>
      </c>
      <c r="AB317" s="69">
        <v>56.063999999998487</v>
      </c>
      <c r="AC317" s="69">
        <v>56.063999999998487</v>
      </c>
      <c r="AD317" s="69">
        <v>56.063999999998487</v>
      </c>
      <c r="AE317" s="69">
        <v>56.063999999998487</v>
      </c>
      <c r="AF317" s="69">
        <v>56.063999999998487</v>
      </c>
      <c r="AG317" s="69">
        <v>56.063999999998487</v>
      </c>
    </row>
    <row r="318" spans="1:33" ht="12.75" customHeight="1">
      <c r="A318" s="231" t="s">
        <v>2375</v>
      </c>
      <c r="B318" s="69" t="s">
        <v>388</v>
      </c>
      <c r="C318" s="69" t="s">
        <v>136</v>
      </c>
      <c r="D318" s="69" t="s">
        <v>191</v>
      </c>
      <c r="E318" s="69" t="s">
        <v>191</v>
      </c>
      <c r="F318" s="69" t="s">
        <v>165</v>
      </c>
      <c r="G318" s="69" t="s">
        <v>201</v>
      </c>
      <c r="H318" s="69" t="s">
        <v>2417</v>
      </c>
      <c r="I318" s="69">
        <v>3</v>
      </c>
      <c r="J318" s="238">
        <v>0.8</v>
      </c>
      <c r="K318" s="238">
        <v>0.70268797670198968</v>
      </c>
      <c r="L318" s="69">
        <v>125.55178427039061</v>
      </c>
      <c r="M318" s="69">
        <v>0</v>
      </c>
      <c r="N318" s="69">
        <v>0</v>
      </c>
      <c r="O318" s="69">
        <v>0</v>
      </c>
      <c r="P318" s="69">
        <v>0</v>
      </c>
      <c r="Q318" s="69">
        <v>0</v>
      </c>
      <c r="R318" s="69">
        <v>56.063999999998487</v>
      </c>
      <c r="S318" s="69">
        <v>56.063999999998487</v>
      </c>
      <c r="T318" s="69">
        <v>56.063999999998487</v>
      </c>
      <c r="U318" s="69">
        <v>56.063999999998487</v>
      </c>
      <c r="V318" s="69">
        <v>56.063999999998487</v>
      </c>
      <c r="W318" s="69">
        <v>56.063999999998487</v>
      </c>
      <c r="X318" s="69">
        <v>56.063999999998487</v>
      </c>
      <c r="Y318" s="69">
        <v>56.063999999998487</v>
      </c>
      <c r="Z318" s="69">
        <v>56.063999999998487</v>
      </c>
      <c r="AA318" s="69">
        <v>56.063999999998487</v>
      </c>
      <c r="AB318" s="69">
        <v>56.063999999998487</v>
      </c>
      <c r="AC318" s="69">
        <v>56.063999999998487</v>
      </c>
      <c r="AD318" s="69">
        <v>56.063999999998487</v>
      </c>
      <c r="AE318" s="69">
        <v>56.063999999998487</v>
      </c>
      <c r="AF318" s="69">
        <v>56.063999999998487</v>
      </c>
      <c r="AG318" s="69">
        <v>56.063999999998487</v>
      </c>
    </row>
    <row r="319" spans="1:33" ht="12.75" customHeight="1">
      <c r="A319" s="231" t="s">
        <v>2375</v>
      </c>
      <c r="B319" s="69" t="s">
        <v>389</v>
      </c>
      <c r="C319" s="69" t="s">
        <v>136</v>
      </c>
      <c r="D319" s="69" t="s">
        <v>191</v>
      </c>
      <c r="E319" s="69" t="s">
        <v>191</v>
      </c>
      <c r="F319" s="69" t="s">
        <v>165</v>
      </c>
      <c r="G319" s="69" t="s">
        <v>201</v>
      </c>
      <c r="H319" s="69" t="s">
        <v>2417</v>
      </c>
      <c r="I319" s="69">
        <v>3</v>
      </c>
      <c r="J319" s="238">
        <v>0.8</v>
      </c>
      <c r="K319" s="238">
        <v>0.70268797670198968</v>
      </c>
      <c r="L319" s="69">
        <v>125.67449889859192</v>
      </c>
      <c r="M319" s="69">
        <v>0</v>
      </c>
      <c r="N319" s="69">
        <v>0</v>
      </c>
      <c r="O319" s="69">
        <v>0</v>
      </c>
      <c r="P319" s="69">
        <v>0</v>
      </c>
      <c r="Q319" s="69">
        <v>0</v>
      </c>
      <c r="R319" s="69">
        <v>56.063999999998487</v>
      </c>
      <c r="S319" s="69">
        <v>56.063999999998487</v>
      </c>
      <c r="T319" s="69">
        <v>56.063999999998487</v>
      </c>
      <c r="U319" s="69">
        <v>56.063999999998487</v>
      </c>
      <c r="V319" s="69">
        <v>56.063999999998487</v>
      </c>
      <c r="W319" s="69">
        <v>56.063999999998487</v>
      </c>
      <c r="X319" s="69">
        <v>56.063999999998487</v>
      </c>
      <c r="Y319" s="69">
        <v>56.063999999998487</v>
      </c>
      <c r="Z319" s="69">
        <v>56.063999999998487</v>
      </c>
      <c r="AA319" s="69">
        <v>56.063999999998487</v>
      </c>
      <c r="AB319" s="69">
        <v>56.063999999998487</v>
      </c>
      <c r="AC319" s="69">
        <v>56.063999999998487</v>
      </c>
      <c r="AD319" s="69">
        <v>56.063999999998487</v>
      </c>
      <c r="AE319" s="69">
        <v>56.063999999998487</v>
      </c>
      <c r="AF319" s="69">
        <v>56.063999999998487</v>
      </c>
      <c r="AG319" s="69">
        <v>56.063999999998487</v>
      </c>
    </row>
    <row r="320" spans="1:33" ht="12.75" customHeight="1">
      <c r="A320" s="231" t="s">
        <v>2375</v>
      </c>
      <c r="B320" s="69" t="s">
        <v>390</v>
      </c>
      <c r="C320" s="69" t="s">
        <v>136</v>
      </c>
      <c r="D320" s="69" t="s">
        <v>191</v>
      </c>
      <c r="E320" s="69" t="s">
        <v>191</v>
      </c>
      <c r="F320" s="69" t="s">
        <v>165</v>
      </c>
      <c r="G320" s="69" t="s">
        <v>201</v>
      </c>
      <c r="H320" s="69" t="s">
        <v>2417</v>
      </c>
      <c r="I320" s="69">
        <v>3</v>
      </c>
      <c r="J320" s="238">
        <v>0.8</v>
      </c>
      <c r="K320" s="238">
        <v>0.70268797670198968</v>
      </c>
      <c r="L320" s="69">
        <v>125.19856874314512</v>
      </c>
      <c r="M320" s="69">
        <v>0</v>
      </c>
      <c r="N320" s="69">
        <v>0</v>
      </c>
      <c r="O320" s="69">
        <v>0</v>
      </c>
      <c r="P320" s="69">
        <v>0</v>
      </c>
      <c r="Q320" s="69">
        <v>0</v>
      </c>
      <c r="R320" s="69">
        <v>56.063999999998487</v>
      </c>
      <c r="S320" s="69">
        <v>56.063999999998487</v>
      </c>
      <c r="T320" s="69">
        <v>56.063999999998487</v>
      </c>
      <c r="U320" s="69">
        <v>56.063999999998487</v>
      </c>
      <c r="V320" s="69">
        <v>56.063999999998487</v>
      </c>
      <c r="W320" s="69">
        <v>56.063999999998487</v>
      </c>
      <c r="X320" s="69">
        <v>56.063999999998487</v>
      </c>
      <c r="Y320" s="69">
        <v>56.063999999998487</v>
      </c>
      <c r="Z320" s="69">
        <v>56.063999999998487</v>
      </c>
      <c r="AA320" s="69">
        <v>56.063999999998487</v>
      </c>
      <c r="AB320" s="69">
        <v>56.063999999998487</v>
      </c>
      <c r="AC320" s="69">
        <v>56.063999999998487</v>
      </c>
      <c r="AD320" s="69">
        <v>56.063999999998487</v>
      </c>
      <c r="AE320" s="69">
        <v>56.063999999998487</v>
      </c>
      <c r="AF320" s="69">
        <v>56.063999999998487</v>
      </c>
      <c r="AG320" s="69">
        <v>56.063999999998487</v>
      </c>
    </row>
    <row r="321" spans="1:33" ht="12.75" customHeight="1">
      <c r="A321" s="231" t="s">
        <v>2375</v>
      </c>
      <c r="B321" s="69" t="s">
        <v>391</v>
      </c>
      <c r="C321" s="69" t="s">
        <v>136</v>
      </c>
      <c r="D321" s="69" t="s">
        <v>191</v>
      </c>
      <c r="E321" s="69" t="s">
        <v>191</v>
      </c>
      <c r="F321" s="69" t="s">
        <v>165</v>
      </c>
      <c r="G321" s="69" t="s">
        <v>201</v>
      </c>
      <c r="H321" s="69" t="s">
        <v>2417</v>
      </c>
      <c r="I321" s="69">
        <v>3</v>
      </c>
      <c r="J321" s="238">
        <v>0.8</v>
      </c>
      <c r="K321" s="238">
        <v>0.70268797670198968</v>
      </c>
      <c r="L321" s="69">
        <v>151.12009611420558</v>
      </c>
      <c r="M321" s="69">
        <v>0</v>
      </c>
      <c r="N321" s="69">
        <v>0</v>
      </c>
      <c r="O321" s="69">
        <v>0</v>
      </c>
      <c r="P321" s="69">
        <v>0</v>
      </c>
      <c r="Q321" s="69">
        <v>0</v>
      </c>
      <c r="R321" s="69">
        <v>56.063999999998487</v>
      </c>
      <c r="S321" s="69">
        <v>56.063999999998487</v>
      </c>
      <c r="T321" s="69">
        <v>56.063999999998487</v>
      </c>
      <c r="U321" s="69">
        <v>56.063999999998487</v>
      </c>
      <c r="V321" s="69">
        <v>56.063999999998487</v>
      </c>
      <c r="W321" s="69">
        <v>56.063999999998487</v>
      </c>
      <c r="X321" s="69">
        <v>56.063999999998487</v>
      </c>
      <c r="Y321" s="69">
        <v>56.063999999998487</v>
      </c>
      <c r="Z321" s="69">
        <v>56.063999999998487</v>
      </c>
      <c r="AA321" s="69">
        <v>56.063999999998487</v>
      </c>
      <c r="AB321" s="69">
        <v>56.063999999998487</v>
      </c>
      <c r="AC321" s="69">
        <v>56.063999999998487</v>
      </c>
      <c r="AD321" s="69">
        <v>56.063999999998487</v>
      </c>
      <c r="AE321" s="69">
        <v>56.063999999998487</v>
      </c>
      <c r="AF321" s="69">
        <v>56.063999999998487</v>
      </c>
      <c r="AG321" s="69">
        <v>56.063999999998487</v>
      </c>
    </row>
    <row r="322" spans="1:33" ht="12.75" customHeight="1">
      <c r="A322" s="231" t="s">
        <v>2375</v>
      </c>
      <c r="B322" s="69" t="s">
        <v>392</v>
      </c>
      <c r="C322" s="69" t="s">
        <v>137</v>
      </c>
      <c r="D322" s="69" t="s">
        <v>191</v>
      </c>
      <c r="E322" s="69" t="s">
        <v>191</v>
      </c>
      <c r="F322" s="69" t="s">
        <v>180</v>
      </c>
      <c r="G322" s="69" t="s">
        <v>192</v>
      </c>
      <c r="H322" s="69" t="s">
        <v>804</v>
      </c>
      <c r="I322" s="69">
        <v>3</v>
      </c>
      <c r="J322" s="238">
        <v>0.33079999999999998</v>
      </c>
      <c r="K322" s="238">
        <v>0.160195270625522</v>
      </c>
      <c r="L322" s="69">
        <v>94.881438714876651</v>
      </c>
      <c r="M322" s="69">
        <v>0</v>
      </c>
      <c r="N322" s="69">
        <v>0</v>
      </c>
      <c r="O322" s="69">
        <v>0</v>
      </c>
      <c r="P322" s="69">
        <v>0</v>
      </c>
      <c r="Q322" s="69">
        <v>0</v>
      </c>
      <c r="R322" s="69">
        <v>438.14856960000179</v>
      </c>
      <c r="S322" s="69">
        <v>438.14856960000179</v>
      </c>
      <c r="T322" s="69">
        <v>438.14856960000179</v>
      </c>
      <c r="U322" s="69">
        <v>438.14856960000179</v>
      </c>
      <c r="V322" s="69">
        <v>438.14856960000179</v>
      </c>
      <c r="W322" s="69">
        <v>438.14856960000179</v>
      </c>
      <c r="X322" s="69">
        <v>438.14856960000179</v>
      </c>
      <c r="Y322" s="69">
        <v>438.14856960000179</v>
      </c>
      <c r="Z322" s="69">
        <v>438.14856960000179</v>
      </c>
      <c r="AA322" s="69">
        <v>438.14856960000179</v>
      </c>
      <c r="AB322" s="69">
        <v>438.14856960000179</v>
      </c>
      <c r="AC322" s="69">
        <v>438.14856960000179</v>
      </c>
      <c r="AD322" s="69">
        <v>438.14856960000179</v>
      </c>
      <c r="AE322" s="69">
        <v>438.14856960000179</v>
      </c>
      <c r="AF322" s="69">
        <v>438.14856960000179</v>
      </c>
      <c r="AG322" s="69">
        <v>438.14856960000179</v>
      </c>
    </row>
    <row r="323" spans="1:33" ht="12.75" customHeight="1">
      <c r="A323" s="231" t="s">
        <v>2375</v>
      </c>
      <c r="B323" s="69" t="s">
        <v>393</v>
      </c>
      <c r="C323" s="69" t="s">
        <v>137</v>
      </c>
      <c r="D323" s="69" t="s">
        <v>191</v>
      </c>
      <c r="E323" s="69" t="s">
        <v>191</v>
      </c>
      <c r="F323" s="69" t="s">
        <v>180</v>
      </c>
      <c r="G323" s="69" t="s">
        <v>192</v>
      </c>
      <c r="H323" s="69" t="s">
        <v>804</v>
      </c>
      <c r="I323" s="69">
        <v>3</v>
      </c>
      <c r="J323" s="238">
        <v>0.31430000000000002</v>
      </c>
      <c r="K323" s="238">
        <v>0.160195270625522</v>
      </c>
      <c r="L323" s="69">
        <v>99.950540211513768</v>
      </c>
      <c r="M323" s="69">
        <v>0</v>
      </c>
      <c r="N323" s="69">
        <v>0</v>
      </c>
      <c r="O323" s="69">
        <v>0</v>
      </c>
      <c r="P323" s="69">
        <v>0</v>
      </c>
      <c r="Q323" s="69">
        <v>0</v>
      </c>
      <c r="R323" s="69">
        <v>480.72059279999667</v>
      </c>
      <c r="S323" s="69">
        <v>480.72059279999667</v>
      </c>
      <c r="T323" s="69">
        <v>480.72059279999667</v>
      </c>
      <c r="U323" s="69">
        <v>480.72059279999667</v>
      </c>
      <c r="V323" s="69">
        <v>480.72059279999667</v>
      </c>
      <c r="W323" s="69">
        <v>480.72059279999667</v>
      </c>
      <c r="X323" s="69">
        <v>480.72059279999667</v>
      </c>
      <c r="Y323" s="69">
        <v>480.72059279999667</v>
      </c>
      <c r="Z323" s="69">
        <v>480.72059279999667</v>
      </c>
      <c r="AA323" s="69">
        <v>480.72059279999667</v>
      </c>
      <c r="AB323" s="69">
        <v>480.72059279999667</v>
      </c>
      <c r="AC323" s="69">
        <v>480.72059279999667</v>
      </c>
      <c r="AD323" s="69">
        <v>480.72059279999667</v>
      </c>
      <c r="AE323" s="69">
        <v>480.72059279999667</v>
      </c>
      <c r="AF323" s="69">
        <v>480.72059279999667</v>
      </c>
      <c r="AG323" s="69">
        <v>480.72059279999667</v>
      </c>
    </row>
    <row r="324" spans="1:33" ht="12.75" customHeight="1">
      <c r="A324" s="231" t="s">
        <v>2375</v>
      </c>
      <c r="B324" s="69" t="s">
        <v>394</v>
      </c>
      <c r="C324" s="69" t="s">
        <v>137</v>
      </c>
      <c r="D324" s="69" t="s">
        <v>191</v>
      </c>
      <c r="E324" s="69" t="s">
        <v>191</v>
      </c>
      <c r="F324" s="69" t="s">
        <v>180</v>
      </c>
      <c r="G324" s="69" t="s">
        <v>192</v>
      </c>
      <c r="H324" s="69" t="s">
        <v>804</v>
      </c>
      <c r="I324" s="69">
        <v>3</v>
      </c>
      <c r="J324" s="238">
        <v>0.30199999999999999</v>
      </c>
      <c r="K324" s="238">
        <v>0.160195270625522</v>
      </c>
      <c r="L324" s="69">
        <v>106.20716202815625</v>
      </c>
      <c r="M324" s="69">
        <v>0</v>
      </c>
      <c r="N324" s="69">
        <v>0</v>
      </c>
      <c r="O324" s="69">
        <v>0</v>
      </c>
      <c r="P324" s="69">
        <v>0</v>
      </c>
      <c r="Q324" s="69">
        <v>0</v>
      </c>
      <c r="R324" s="69">
        <v>204.7632480000029</v>
      </c>
      <c r="S324" s="69">
        <v>204.7632480000029</v>
      </c>
      <c r="T324" s="69">
        <v>204.7632480000029</v>
      </c>
      <c r="U324" s="69">
        <v>204.7632480000029</v>
      </c>
      <c r="V324" s="69">
        <v>204.7632480000029</v>
      </c>
      <c r="W324" s="69">
        <v>204.7632480000029</v>
      </c>
      <c r="X324" s="69">
        <v>204.7632480000029</v>
      </c>
      <c r="Y324" s="69">
        <v>204.7632480000029</v>
      </c>
      <c r="Z324" s="69">
        <v>204.7632480000029</v>
      </c>
      <c r="AA324" s="69">
        <v>204.7632480000029</v>
      </c>
      <c r="AB324" s="69">
        <v>204.7632480000029</v>
      </c>
      <c r="AC324" s="69">
        <v>204.7632480000029</v>
      </c>
      <c r="AD324" s="69">
        <v>204.7632480000029</v>
      </c>
      <c r="AE324" s="69">
        <v>204.7632480000029</v>
      </c>
      <c r="AF324" s="69">
        <v>204.7632480000029</v>
      </c>
      <c r="AG324" s="69">
        <v>204.7632480000029</v>
      </c>
    </row>
    <row r="325" spans="1:33" ht="12.75" customHeight="1">
      <c r="A325" s="231" t="s">
        <v>2375</v>
      </c>
      <c r="B325" s="69" t="s">
        <v>395</v>
      </c>
      <c r="C325" s="69" t="s">
        <v>137</v>
      </c>
      <c r="D325" s="69" t="s">
        <v>191</v>
      </c>
      <c r="E325" s="69" t="s">
        <v>191</v>
      </c>
      <c r="F325" s="69" t="s">
        <v>180</v>
      </c>
      <c r="G325" s="69" t="s">
        <v>192</v>
      </c>
      <c r="H325" s="69" t="s">
        <v>804</v>
      </c>
      <c r="I325" s="69">
        <v>3</v>
      </c>
      <c r="J325" s="238">
        <v>0.31669000000000003</v>
      </c>
      <c r="K325" s="238">
        <v>0.160195270625522</v>
      </c>
      <c r="L325" s="69">
        <v>100.08116684298381</v>
      </c>
      <c r="M325" s="69">
        <v>0</v>
      </c>
      <c r="N325" s="69">
        <v>0</v>
      </c>
      <c r="O325" s="69">
        <v>0</v>
      </c>
      <c r="P325" s="69">
        <v>0</v>
      </c>
      <c r="Q325" s="69">
        <v>0</v>
      </c>
      <c r="R325" s="69">
        <v>206.28069141258311</v>
      </c>
      <c r="S325" s="69">
        <v>206.28069141258311</v>
      </c>
      <c r="T325" s="69">
        <v>206.28069141258311</v>
      </c>
      <c r="U325" s="69">
        <v>206.28069141258311</v>
      </c>
      <c r="V325" s="69">
        <v>206.28069141258311</v>
      </c>
      <c r="W325" s="69">
        <v>206.28069141258311</v>
      </c>
      <c r="X325" s="69">
        <v>206.28069141258311</v>
      </c>
      <c r="Y325" s="69">
        <v>206.28069141258311</v>
      </c>
      <c r="Z325" s="69">
        <v>206.28069141258311</v>
      </c>
      <c r="AA325" s="69">
        <v>206.28069141258311</v>
      </c>
      <c r="AB325" s="69">
        <v>206.28069141258311</v>
      </c>
      <c r="AC325" s="69">
        <v>206.28069141258311</v>
      </c>
      <c r="AD325" s="69">
        <v>206.28069141258311</v>
      </c>
      <c r="AE325" s="69">
        <v>206.28069141258311</v>
      </c>
      <c r="AF325" s="69">
        <v>206.28069141258311</v>
      </c>
      <c r="AG325" s="69">
        <v>206.28069141258311</v>
      </c>
    </row>
    <row r="326" spans="1:33" ht="12.75" customHeight="1">
      <c r="A326" s="231" t="s">
        <v>2375</v>
      </c>
      <c r="B326" s="69" t="s">
        <v>414</v>
      </c>
      <c r="C326" s="69" t="s">
        <v>137</v>
      </c>
      <c r="D326" s="69" t="s">
        <v>191</v>
      </c>
      <c r="E326" s="69" t="s">
        <v>191</v>
      </c>
      <c r="F326" s="69" t="s">
        <v>169</v>
      </c>
      <c r="G326" s="69" t="s">
        <v>192</v>
      </c>
      <c r="H326" s="69" t="s">
        <v>804</v>
      </c>
      <c r="I326" s="69">
        <v>3</v>
      </c>
      <c r="J326" s="238">
        <v>0.35649999999999998</v>
      </c>
      <c r="K326" s="238">
        <v>0.16115831843295012</v>
      </c>
      <c r="L326" s="69">
        <v>81.695746706491136</v>
      </c>
      <c r="M326" s="69">
        <v>0</v>
      </c>
      <c r="N326" s="69">
        <v>0</v>
      </c>
      <c r="O326" s="69">
        <v>0</v>
      </c>
      <c r="P326" s="69">
        <v>0</v>
      </c>
      <c r="Q326" s="69">
        <v>0</v>
      </c>
      <c r="R326" s="69">
        <v>314.41759920000186</v>
      </c>
      <c r="S326" s="69">
        <v>314.41759920000186</v>
      </c>
      <c r="T326" s="69">
        <v>314.41759920000186</v>
      </c>
      <c r="U326" s="69">
        <v>314.41759920000186</v>
      </c>
      <c r="V326" s="69">
        <v>314.41759920000186</v>
      </c>
      <c r="W326" s="69">
        <v>314.41759920000186</v>
      </c>
      <c r="X326" s="69">
        <v>314.41759920000186</v>
      </c>
      <c r="Y326" s="69">
        <v>314.41759920000186</v>
      </c>
      <c r="Z326" s="69">
        <v>314.41759920000186</v>
      </c>
      <c r="AA326" s="69">
        <v>314.41759920000186</v>
      </c>
      <c r="AB326" s="69">
        <v>314.41759920000186</v>
      </c>
      <c r="AC326" s="69">
        <v>314.41759920000186</v>
      </c>
      <c r="AD326" s="69">
        <v>314.41759920000186</v>
      </c>
      <c r="AE326" s="69">
        <v>314.41759920000186</v>
      </c>
      <c r="AF326" s="69">
        <v>314.41759920000186</v>
      </c>
      <c r="AG326" s="69">
        <v>314.41759920000186</v>
      </c>
    </row>
    <row r="327" spans="1:33" ht="12.75" customHeight="1">
      <c r="A327" s="231" t="s">
        <v>2375</v>
      </c>
      <c r="B327" s="69" t="s">
        <v>422</v>
      </c>
      <c r="C327" s="69" t="s">
        <v>185</v>
      </c>
      <c r="D327" s="69" t="s">
        <v>193</v>
      </c>
      <c r="E327" s="69" t="s">
        <v>203</v>
      </c>
      <c r="F327" s="69" t="s">
        <v>155</v>
      </c>
      <c r="G327" s="69" t="s">
        <v>192</v>
      </c>
      <c r="H327" s="69" t="s">
        <v>805</v>
      </c>
      <c r="I327" s="69">
        <v>3</v>
      </c>
      <c r="J327" s="238">
        <v>0.27795315888375882</v>
      </c>
      <c r="K327" s="238">
        <v>0.63277303047366895</v>
      </c>
      <c r="L327" s="69">
        <v>169.32475845238585</v>
      </c>
      <c r="M327" s="69">
        <v>0</v>
      </c>
      <c r="N327" s="69">
        <v>0</v>
      </c>
      <c r="O327" s="69">
        <v>0</v>
      </c>
      <c r="P327" s="69">
        <v>0</v>
      </c>
      <c r="Q327" s="69">
        <v>0</v>
      </c>
      <c r="R327" s="69">
        <v>0</v>
      </c>
      <c r="S327" s="69">
        <v>243.48696718217275</v>
      </c>
      <c r="T327" s="69">
        <v>243.48696718217275</v>
      </c>
      <c r="U327" s="69">
        <v>243.48696718217275</v>
      </c>
      <c r="V327" s="69">
        <v>243.48696718217275</v>
      </c>
      <c r="W327" s="69">
        <v>243.48696718217275</v>
      </c>
      <c r="X327" s="69">
        <v>243.48696718217275</v>
      </c>
      <c r="Y327" s="69">
        <v>243.48696718217275</v>
      </c>
      <c r="Z327" s="69">
        <v>243.48696718217275</v>
      </c>
      <c r="AA327" s="69">
        <v>243.48696718217275</v>
      </c>
      <c r="AB327" s="69">
        <v>243.48696718217275</v>
      </c>
      <c r="AC327" s="69">
        <v>243.48696718217275</v>
      </c>
      <c r="AD327" s="69">
        <v>243.48696718217275</v>
      </c>
      <c r="AE327" s="69">
        <v>243.48696718217275</v>
      </c>
      <c r="AF327" s="69">
        <v>243.48696718217275</v>
      </c>
      <c r="AG327" s="69">
        <v>243.48696718217275</v>
      </c>
    </row>
    <row r="328" spans="1:33" ht="12.75" customHeight="1">
      <c r="A328" s="231" t="s">
        <v>2375</v>
      </c>
      <c r="B328" s="69" t="s">
        <v>182</v>
      </c>
      <c r="C328" s="69" t="s">
        <v>185</v>
      </c>
      <c r="D328" s="69" t="s">
        <v>193</v>
      </c>
      <c r="E328" s="69" t="s">
        <v>203</v>
      </c>
      <c r="F328" s="69" t="s">
        <v>182</v>
      </c>
      <c r="G328" s="69" t="s">
        <v>192</v>
      </c>
      <c r="H328" s="69" t="s">
        <v>805</v>
      </c>
      <c r="I328" s="69">
        <v>3</v>
      </c>
      <c r="J328" s="238">
        <v>0.2542062025643132</v>
      </c>
      <c r="K328" s="238">
        <v>0.63905603754582041</v>
      </c>
      <c r="L328" s="69">
        <v>180.97482158853907</v>
      </c>
      <c r="M328" s="69">
        <v>0</v>
      </c>
      <c r="N328" s="69">
        <v>0</v>
      </c>
      <c r="O328" s="69">
        <v>0</v>
      </c>
      <c r="P328" s="69">
        <v>0</v>
      </c>
      <c r="Q328" s="69">
        <v>0</v>
      </c>
      <c r="R328" s="69">
        <v>0</v>
      </c>
      <c r="S328" s="69">
        <v>0</v>
      </c>
      <c r="T328" s="69">
        <v>1781.4770675707041</v>
      </c>
      <c r="U328" s="69">
        <v>1781.4770675707041</v>
      </c>
      <c r="V328" s="69">
        <v>1781.4770675707041</v>
      </c>
      <c r="W328" s="69">
        <v>1781.4770675707041</v>
      </c>
      <c r="X328" s="69">
        <v>1781.4770675707041</v>
      </c>
      <c r="Y328" s="69">
        <v>1781.4770675707041</v>
      </c>
      <c r="Z328" s="69">
        <v>1781.4770675707041</v>
      </c>
      <c r="AA328" s="69">
        <v>1781.4770675707041</v>
      </c>
      <c r="AB328" s="69">
        <v>1781.4770675707041</v>
      </c>
      <c r="AC328" s="69">
        <v>1781.4770675707041</v>
      </c>
      <c r="AD328" s="69">
        <v>1781.4770675707041</v>
      </c>
      <c r="AE328" s="69">
        <v>1781.4770675707041</v>
      </c>
      <c r="AF328" s="69">
        <v>1781.4770675707041</v>
      </c>
      <c r="AG328" s="69">
        <v>1781.4770675707041</v>
      </c>
    </row>
    <row r="329" spans="1:33" ht="12.75" customHeight="1">
      <c r="A329" s="231" t="s">
        <v>2375</v>
      </c>
      <c r="B329" s="69" t="s">
        <v>428</v>
      </c>
      <c r="C329" s="69" t="s">
        <v>184</v>
      </c>
      <c r="D329" s="69" t="s">
        <v>284</v>
      </c>
      <c r="E329" s="69" t="s">
        <v>213</v>
      </c>
      <c r="F329" s="69" t="s">
        <v>154</v>
      </c>
      <c r="G329" s="69" t="s">
        <v>225</v>
      </c>
      <c r="H329" s="69" t="s">
        <v>2417</v>
      </c>
      <c r="I329" s="69">
        <v>3</v>
      </c>
      <c r="J329" s="238">
        <v>0.85</v>
      </c>
      <c r="K329" s="238">
        <v>0</v>
      </c>
      <c r="L329" s="69">
        <v>89.47409854633807</v>
      </c>
      <c r="M329" s="69">
        <v>0</v>
      </c>
      <c r="N329" s="69">
        <v>0</v>
      </c>
      <c r="O329" s="69">
        <v>0</v>
      </c>
      <c r="P329" s="69">
        <v>0</v>
      </c>
      <c r="Q329" s="69">
        <v>372.30000000000291</v>
      </c>
      <c r="R329" s="69">
        <v>372.30000000000291</v>
      </c>
      <c r="S329" s="69">
        <v>372.30000000000291</v>
      </c>
      <c r="T329" s="69">
        <v>372.30000000000291</v>
      </c>
      <c r="U329" s="69">
        <v>372.30000000000291</v>
      </c>
      <c r="V329" s="69">
        <v>372.30000000000291</v>
      </c>
      <c r="W329" s="69">
        <v>372.30000000000291</v>
      </c>
      <c r="X329" s="69">
        <v>372.30000000000291</v>
      </c>
      <c r="Y329" s="69">
        <v>372.30000000000291</v>
      </c>
      <c r="Z329" s="69">
        <v>372.30000000000291</v>
      </c>
      <c r="AA329" s="69">
        <v>372.30000000000291</v>
      </c>
      <c r="AB329" s="69">
        <v>372.30000000000291</v>
      </c>
      <c r="AC329" s="69">
        <v>372.30000000000291</v>
      </c>
      <c r="AD329" s="69">
        <v>372.30000000000291</v>
      </c>
      <c r="AE329" s="69">
        <v>372.30000000000291</v>
      </c>
      <c r="AF329" s="69">
        <v>372.30000000000291</v>
      </c>
      <c r="AG329" s="69">
        <v>372.30000000000291</v>
      </c>
    </row>
    <row r="330" spans="1:33" ht="12.75" customHeight="1">
      <c r="A330" s="231" t="s">
        <v>2375</v>
      </c>
      <c r="B330" s="69" t="s">
        <v>429</v>
      </c>
      <c r="C330" s="69" t="s">
        <v>184</v>
      </c>
      <c r="D330" s="69" t="s">
        <v>284</v>
      </c>
      <c r="E330" s="69" t="s">
        <v>191</v>
      </c>
      <c r="F330" s="69" t="s">
        <v>181</v>
      </c>
      <c r="G330" s="69" t="s">
        <v>294</v>
      </c>
      <c r="H330" s="69" t="s">
        <v>2417</v>
      </c>
      <c r="I330" s="69">
        <v>3</v>
      </c>
      <c r="J330" s="238">
        <v>0.85000000000000009</v>
      </c>
      <c r="K330" s="238">
        <v>0</v>
      </c>
      <c r="L330" s="69">
        <v>89.474098546338055</v>
      </c>
      <c r="M330" s="69">
        <v>0</v>
      </c>
      <c r="N330" s="69">
        <v>0</v>
      </c>
      <c r="O330" s="69">
        <v>0</v>
      </c>
      <c r="P330" s="69">
        <v>0</v>
      </c>
      <c r="Q330" s="69">
        <v>100.6544901627276</v>
      </c>
      <c r="R330" s="69">
        <v>100.6544901627276</v>
      </c>
      <c r="S330" s="69">
        <v>100.6544901627276</v>
      </c>
      <c r="T330" s="69">
        <v>100.6544901627276</v>
      </c>
      <c r="U330" s="69">
        <v>100.6544901627276</v>
      </c>
      <c r="V330" s="69">
        <v>100.6544901627276</v>
      </c>
      <c r="W330" s="69">
        <v>100.6544901627276</v>
      </c>
      <c r="X330" s="69">
        <v>100.6544901627276</v>
      </c>
      <c r="Y330" s="69">
        <v>100.6544901627276</v>
      </c>
      <c r="Z330" s="69">
        <v>100.6544901627276</v>
      </c>
      <c r="AA330" s="69">
        <v>100.6544901627276</v>
      </c>
      <c r="AB330" s="69">
        <v>100.6544901627276</v>
      </c>
      <c r="AC330" s="69">
        <v>100.6544901627276</v>
      </c>
      <c r="AD330" s="69">
        <v>100.6544901627276</v>
      </c>
      <c r="AE330" s="69">
        <v>100.6544901627276</v>
      </c>
      <c r="AF330" s="69">
        <v>100.6544901627276</v>
      </c>
      <c r="AG330" s="69">
        <v>100.6544901627276</v>
      </c>
    </row>
    <row r="331" spans="1:33" ht="12.75" customHeight="1">
      <c r="A331" s="231" t="s">
        <v>2375</v>
      </c>
      <c r="B331" s="69" t="s">
        <v>430</v>
      </c>
      <c r="C331" s="69" t="s">
        <v>184</v>
      </c>
      <c r="D331" s="69" t="s">
        <v>284</v>
      </c>
      <c r="E331" s="69" t="s">
        <v>191</v>
      </c>
      <c r="F331" s="69" t="s">
        <v>183</v>
      </c>
      <c r="G331" s="69" t="s">
        <v>329</v>
      </c>
      <c r="H331" s="69" t="s">
        <v>2417</v>
      </c>
      <c r="I331" s="69">
        <v>3</v>
      </c>
      <c r="J331" s="238">
        <v>0.85000000000000009</v>
      </c>
      <c r="K331" s="238">
        <v>0</v>
      </c>
      <c r="L331" s="69">
        <v>89.474098546338055</v>
      </c>
      <c r="M331" s="69">
        <v>0</v>
      </c>
      <c r="N331" s="69">
        <v>0</v>
      </c>
      <c r="O331" s="69">
        <v>0</v>
      </c>
      <c r="P331" s="69">
        <v>0</v>
      </c>
      <c r="Q331" s="69">
        <v>15.781499999997322</v>
      </c>
      <c r="R331" s="69">
        <v>15.781499999997322</v>
      </c>
      <c r="S331" s="69">
        <v>15.781499999997322</v>
      </c>
      <c r="T331" s="69">
        <v>15.781499999997322</v>
      </c>
      <c r="U331" s="69">
        <v>15.781499999997322</v>
      </c>
      <c r="V331" s="69">
        <v>15.781499999997322</v>
      </c>
      <c r="W331" s="69">
        <v>15.781499999997322</v>
      </c>
      <c r="X331" s="69">
        <v>15.781499999997322</v>
      </c>
      <c r="Y331" s="69">
        <v>15.781499999997322</v>
      </c>
      <c r="Z331" s="69">
        <v>15.781499999997322</v>
      </c>
      <c r="AA331" s="69">
        <v>15.781499999997322</v>
      </c>
      <c r="AB331" s="69">
        <v>15.781499999997322</v>
      </c>
      <c r="AC331" s="69">
        <v>15.781499999997322</v>
      </c>
      <c r="AD331" s="69">
        <v>15.781499999997322</v>
      </c>
      <c r="AE331" s="69">
        <v>15.781499999997322</v>
      </c>
      <c r="AF331" s="69">
        <v>15.781499999997322</v>
      </c>
      <c r="AG331" s="69">
        <v>15.781499999997322</v>
      </c>
    </row>
    <row r="332" spans="1:33" ht="12.75" customHeight="1">
      <c r="A332" s="231" t="s">
        <v>2375</v>
      </c>
      <c r="B332" s="69" t="s">
        <v>431</v>
      </c>
      <c r="C332" s="69" t="s">
        <v>139</v>
      </c>
      <c r="D332" s="69" t="s">
        <v>191</v>
      </c>
      <c r="E332" s="69" t="s">
        <v>191</v>
      </c>
      <c r="F332" s="69" t="s">
        <v>166</v>
      </c>
      <c r="G332" s="69" t="s">
        <v>236</v>
      </c>
      <c r="H332" s="69" t="s">
        <v>2417</v>
      </c>
      <c r="I332" s="69">
        <v>3</v>
      </c>
      <c r="J332" s="238">
        <v>0.8000000000000006</v>
      </c>
      <c r="K332" s="238">
        <v>0.60506988845340159</v>
      </c>
      <c r="L332" s="69">
        <v>128.44888729846562</v>
      </c>
      <c r="M332" s="69">
        <v>0</v>
      </c>
      <c r="N332" s="69">
        <v>0</v>
      </c>
      <c r="O332" s="69">
        <v>0</v>
      </c>
      <c r="P332" s="69">
        <v>0</v>
      </c>
      <c r="Q332" s="69">
        <v>0</v>
      </c>
      <c r="R332" s="69">
        <v>78.55980000000271</v>
      </c>
      <c r="S332" s="69">
        <v>78.55980000000271</v>
      </c>
      <c r="T332" s="69">
        <v>78.55980000000271</v>
      </c>
      <c r="U332" s="69">
        <v>78.55980000000271</v>
      </c>
      <c r="V332" s="69">
        <v>78.55980000000271</v>
      </c>
      <c r="W332" s="69">
        <v>78.55980000000271</v>
      </c>
      <c r="X332" s="69">
        <v>78.55980000000271</v>
      </c>
      <c r="Y332" s="69">
        <v>78.55980000000271</v>
      </c>
      <c r="Z332" s="69">
        <v>78.55980000000271</v>
      </c>
      <c r="AA332" s="69">
        <v>78.55980000000271</v>
      </c>
      <c r="AB332" s="69">
        <v>78.55980000000271</v>
      </c>
      <c r="AC332" s="69">
        <v>78.55980000000271</v>
      </c>
      <c r="AD332" s="69">
        <v>78.55980000000271</v>
      </c>
      <c r="AE332" s="69">
        <v>78.55980000000271</v>
      </c>
      <c r="AF332" s="69">
        <v>78.55980000000271</v>
      </c>
      <c r="AG332" s="69">
        <v>78.55980000000271</v>
      </c>
    </row>
    <row r="333" spans="1:33" ht="12.75" customHeight="1">
      <c r="A333" s="231" t="s">
        <v>2375</v>
      </c>
      <c r="B333" s="69" t="s">
        <v>432</v>
      </c>
      <c r="C333" s="69" t="s">
        <v>139</v>
      </c>
      <c r="D333" s="69" t="s">
        <v>191</v>
      </c>
      <c r="E333" s="69" t="s">
        <v>191</v>
      </c>
      <c r="F333" s="69" t="s">
        <v>166</v>
      </c>
      <c r="G333" s="69" t="s">
        <v>236</v>
      </c>
      <c r="H333" s="69" t="s">
        <v>2417</v>
      </c>
      <c r="I333" s="69">
        <v>3</v>
      </c>
      <c r="J333" s="238">
        <v>0.8000000000000006</v>
      </c>
      <c r="K333" s="238">
        <v>0.60506988845340159</v>
      </c>
      <c r="L333" s="69">
        <v>128.44888729846562</v>
      </c>
      <c r="M333" s="69">
        <v>0</v>
      </c>
      <c r="N333" s="69">
        <v>0</v>
      </c>
      <c r="O333" s="69">
        <v>0</v>
      </c>
      <c r="P333" s="69">
        <v>0</v>
      </c>
      <c r="Q333" s="69">
        <v>0</v>
      </c>
      <c r="R333" s="69">
        <v>100.77040000000125</v>
      </c>
      <c r="S333" s="69">
        <v>100.77040000000125</v>
      </c>
      <c r="T333" s="69">
        <v>100.77040000000125</v>
      </c>
      <c r="U333" s="69">
        <v>100.77040000000125</v>
      </c>
      <c r="V333" s="69">
        <v>100.77040000000125</v>
      </c>
      <c r="W333" s="69">
        <v>100.77040000000125</v>
      </c>
      <c r="X333" s="69">
        <v>100.77040000000125</v>
      </c>
      <c r="Y333" s="69">
        <v>100.77040000000125</v>
      </c>
      <c r="Z333" s="69">
        <v>100.77040000000125</v>
      </c>
      <c r="AA333" s="69">
        <v>100.77040000000125</v>
      </c>
      <c r="AB333" s="69">
        <v>100.77040000000125</v>
      </c>
      <c r="AC333" s="69">
        <v>100.77040000000125</v>
      </c>
      <c r="AD333" s="69">
        <v>100.77040000000125</v>
      </c>
      <c r="AE333" s="69">
        <v>100.77040000000125</v>
      </c>
      <c r="AF333" s="69">
        <v>100.77040000000125</v>
      </c>
      <c r="AG333" s="69">
        <v>100.77040000000125</v>
      </c>
    </row>
    <row r="334" spans="1:33" ht="12.75" customHeight="1">
      <c r="A334" s="231" t="s">
        <v>2375</v>
      </c>
      <c r="B334" s="69" t="s">
        <v>433</v>
      </c>
      <c r="C334" s="69" t="s">
        <v>136</v>
      </c>
      <c r="D334" s="69" t="s">
        <v>191</v>
      </c>
      <c r="E334" s="69" t="s">
        <v>191</v>
      </c>
      <c r="F334" s="69" t="s">
        <v>166</v>
      </c>
      <c r="G334" s="69" t="s">
        <v>236</v>
      </c>
      <c r="H334" s="69" t="s">
        <v>2417</v>
      </c>
      <c r="I334" s="69">
        <v>3</v>
      </c>
      <c r="J334" s="238">
        <v>0.88915599686438651</v>
      </c>
      <c r="K334" s="238">
        <v>0.66007624194916525</v>
      </c>
      <c r="L334" s="69">
        <v>104.77486665961121</v>
      </c>
      <c r="M334" s="69">
        <v>0</v>
      </c>
      <c r="N334" s="69">
        <v>0</v>
      </c>
      <c r="O334" s="69">
        <v>0</v>
      </c>
      <c r="P334" s="69">
        <v>0</v>
      </c>
      <c r="Q334" s="69">
        <v>0</v>
      </c>
      <c r="R334" s="69">
        <v>155.78010000000361</v>
      </c>
      <c r="S334" s="69">
        <v>155.78010000000361</v>
      </c>
      <c r="T334" s="69">
        <v>155.78010000000361</v>
      </c>
      <c r="U334" s="69">
        <v>155.78010000000361</v>
      </c>
      <c r="V334" s="69">
        <v>155.78010000000361</v>
      </c>
      <c r="W334" s="69">
        <v>155.78010000000361</v>
      </c>
      <c r="X334" s="69">
        <v>155.78010000000361</v>
      </c>
      <c r="Y334" s="69">
        <v>155.78010000000361</v>
      </c>
      <c r="Z334" s="69">
        <v>155.78010000000361</v>
      </c>
      <c r="AA334" s="69">
        <v>155.78010000000361</v>
      </c>
      <c r="AB334" s="69">
        <v>155.78010000000361</v>
      </c>
      <c r="AC334" s="69">
        <v>155.78010000000361</v>
      </c>
      <c r="AD334" s="69">
        <v>155.78010000000361</v>
      </c>
      <c r="AE334" s="69">
        <v>155.78010000000361</v>
      </c>
      <c r="AF334" s="69">
        <v>155.78010000000361</v>
      </c>
      <c r="AG334" s="69">
        <v>155.78010000000361</v>
      </c>
    </row>
    <row r="335" spans="1:33" ht="12.75" customHeight="1">
      <c r="A335" s="231" t="s">
        <v>2375</v>
      </c>
      <c r="B335" s="69" t="s">
        <v>434</v>
      </c>
      <c r="C335" s="69" t="s">
        <v>18</v>
      </c>
      <c r="D335" s="69" t="s">
        <v>325</v>
      </c>
      <c r="E335" s="69" t="s">
        <v>191</v>
      </c>
      <c r="F335" s="69" t="s">
        <v>168</v>
      </c>
      <c r="G335" s="69" t="s">
        <v>199</v>
      </c>
      <c r="H335" s="69" t="s">
        <v>2417</v>
      </c>
      <c r="I335" s="69">
        <v>3</v>
      </c>
      <c r="J335" s="238">
        <v>0.35</v>
      </c>
      <c r="K335" s="238">
        <v>0</v>
      </c>
      <c r="L335" s="69">
        <v>138.25605240552332</v>
      </c>
      <c r="M335" s="69">
        <v>0</v>
      </c>
      <c r="N335" s="69">
        <v>0</v>
      </c>
      <c r="O335" s="69">
        <v>0</v>
      </c>
      <c r="P335" s="69">
        <v>0</v>
      </c>
      <c r="Q335" s="69">
        <v>0</v>
      </c>
      <c r="R335" s="69">
        <v>30.660000000003492</v>
      </c>
      <c r="S335" s="69">
        <v>30.660000000003492</v>
      </c>
      <c r="T335" s="69">
        <v>30.660000000003492</v>
      </c>
      <c r="U335" s="69">
        <v>30.660000000003492</v>
      </c>
      <c r="V335" s="69">
        <v>30.660000000003492</v>
      </c>
      <c r="W335" s="69">
        <v>30.660000000003492</v>
      </c>
      <c r="X335" s="69">
        <v>30.660000000003492</v>
      </c>
      <c r="Y335" s="69">
        <v>30.660000000003492</v>
      </c>
      <c r="Z335" s="69">
        <v>30.660000000003492</v>
      </c>
      <c r="AA335" s="69">
        <v>30.660000000003492</v>
      </c>
      <c r="AB335" s="69">
        <v>30.660000000003492</v>
      </c>
      <c r="AC335" s="69">
        <v>30.660000000003492</v>
      </c>
      <c r="AD335" s="69">
        <v>30.660000000003492</v>
      </c>
      <c r="AE335" s="69">
        <v>30.660000000003492</v>
      </c>
      <c r="AF335" s="69">
        <v>30.660000000003492</v>
      </c>
      <c r="AG335" s="69">
        <v>30.660000000003492</v>
      </c>
    </row>
    <row r="336" spans="1:33" ht="12.75" customHeight="1">
      <c r="A336" s="231" t="s">
        <v>2375</v>
      </c>
      <c r="B336" s="69" t="s">
        <v>435</v>
      </c>
      <c r="C336" s="69" t="s">
        <v>18</v>
      </c>
      <c r="D336" s="69" t="s">
        <v>325</v>
      </c>
      <c r="E336" s="69" t="s">
        <v>191</v>
      </c>
      <c r="F336" s="69" t="s">
        <v>168</v>
      </c>
      <c r="G336" s="69" t="s">
        <v>199</v>
      </c>
      <c r="H336" s="69" t="s">
        <v>2417</v>
      </c>
      <c r="I336" s="69">
        <v>3</v>
      </c>
      <c r="J336" s="238">
        <v>0.35</v>
      </c>
      <c r="K336" s="238">
        <v>0</v>
      </c>
      <c r="L336" s="69">
        <v>165.41597555631705</v>
      </c>
      <c r="M336" s="69">
        <v>0</v>
      </c>
      <c r="N336" s="69">
        <v>0</v>
      </c>
      <c r="O336" s="69">
        <v>0</v>
      </c>
      <c r="P336" s="69">
        <v>0</v>
      </c>
      <c r="Q336" s="69">
        <v>0</v>
      </c>
      <c r="R336" s="69">
        <v>17.936099999998987</v>
      </c>
      <c r="S336" s="69">
        <v>17.936099999998987</v>
      </c>
      <c r="T336" s="69">
        <v>17.936099999998987</v>
      </c>
      <c r="U336" s="69">
        <v>17.936099999998987</v>
      </c>
      <c r="V336" s="69">
        <v>17.936099999998987</v>
      </c>
      <c r="W336" s="69">
        <v>17.936099999998987</v>
      </c>
      <c r="X336" s="69">
        <v>17.936099999998987</v>
      </c>
      <c r="Y336" s="69">
        <v>17.936099999998987</v>
      </c>
      <c r="Z336" s="69">
        <v>17.936099999998987</v>
      </c>
      <c r="AA336" s="69">
        <v>17.936099999998987</v>
      </c>
      <c r="AB336" s="69">
        <v>17.936099999998987</v>
      </c>
      <c r="AC336" s="69">
        <v>17.936099999998987</v>
      </c>
      <c r="AD336" s="69">
        <v>17.936099999998987</v>
      </c>
      <c r="AE336" s="69">
        <v>17.936099999998987</v>
      </c>
      <c r="AF336" s="69">
        <v>17.936099999998987</v>
      </c>
      <c r="AG336" s="69">
        <v>17.936099999998987</v>
      </c>
    </row>
    <row r="337" spans="1:33" ht="12.75" customHeight="1">
      <c r="A337" s="231" t="s">
        <v>2375</v>
      </c>
      <c r="B337" s="69" t="s">
        <v>436</v>
      </c>
      <c r="C337" s="69" t="s">
        <v>18</v>
      </c>
      <c r="D337" s="69" t="s">
        <v>325</v>
      </c>
      <c r="E337" s="69" t="s">
        <v>191</v>
      </c>
      <c r="F337" s="69" t="s">
        <v>168</v>
      </c>
      <c r="G337" s="69" t="s">
        <v>199</v>
      </c>
      <c r="H337" s="69" t="s">
        <v>2417</v>
      </c>
      <c r="I337" s="69">
        <v>3</v>
      </c>
      <c r="J337" s="238">
        <v>0.53</v>
      </c>
      <c r="K337" s="238">
        <v>0</v>
      </c>
      <c r="L337" s="69">
        <v>143.62914683584694</v>
      </c>
      <c r="M337" s="69">
        <v>0</v>
      </c>
      <c r="N337" s="69">
        <v>0</v>
      </c>
      <c r="O337" s="69">
        <v>0</v>
      </c>
      <c r="P337" s="69">
        <v>0</v>
      </c>
      <c r="Q337" s="69">
        <v>0</v>
      </c>
      <c r="R337" s="69">
        <v>41.78519999999844</v>
      </c>
      <c r="S337" s="69">
        <v>41.78519999999844</v>
      </c>
      <c r="T337" s="69">
        <v>41.78519999999844</v>
      </c>
      <c r="U337" s="69">
        <v>41.78519999999844</v>
      </c>
      <c r="V337" s="69">
        <v>41.78519999999844</v>
      </c>
      <c r="W337" s="69">
        <v>41.78519999999844</v>
      </c>
      <c r="X337" s="69">
        <v>41.78519999999844</v>
      </c>
      <c r="Y337" s="69">
        <v>41.78519999999844</v>
      </c>
      <c r="Z337" s="69">
        <v>41.78519999999844</v>
      </c>
      <c r="AA337" s="69">
        <v>41.78519999999844</v>
      </c>
      <c r="AB337" s="69">
        <v>41.78519999999844</v>
      </c>
      <c r="AC337" s="69">
        <v>41.78519999999844</v>
      </c>
      <c r="AD337" s="69">
        <v>41.78519999999844</v>
      </c>
      <c r="AE337" s="69">
        <v>41.78519999999844</v>
      </c>
      <c r="AF337" s="69">
        <v>41.78519999999844</v>
      </c>
      <c r="AG337" s="69">
        <v>41.78519999999844</v>
      </c>
    </row>
    <row r="338" spans="1:33" ht="12.75" customHeight="1">
      <c r="A338" s="231" t="s">
        <v>2375</v>
      </c>
      <c r="B338" s="69" t="s">
        <v>437</v>
      </c>
      <c r="C338" s="69" t="s">
        <v>18</v>
      </c>
      <c r="D338" s="69" t="s">
        <v>325</v>
      </c>
      <c r="E338" s="69" t="s">
        <v>191</v>
      </c>
      <c r="F338" s="69" t="s">
        <v>168</v>
      </c>
      <c r="G338" s="69" t="s">
        <v>199</v>
      </c>
      <c r="H338" s="69" t="s">
        <v>2417</v>
      </c>
      <c r="I338" s="69">
        <v>3</v>
      </c>
      <c r="J338" s="238">
        <v>0.38</v>
      </c>
      <c r="K338" s="238">
        <v>0</v>
      </c>
      <c r="L338" s="69">
        <v>135.52593137852463</v>
      </c>
      <c r="M338" s="69">
        <v>0</v>
      </c>
      <c r="N338" s="69">
        <v>0</v>
      </c>
      <c r="O338" s="69">
        <v>0</v>
      </c>
      <c r="P338" s="69">
        <v>0</v>
      </c>
      <c r="Q338" s="69">
        <v>0</v>
      </c>
      <c r="R338" s="69">
        <v>56.589599999999336</v>
      </c>
      <c r="S338" s="69">
        <v>56.589599999999336</v>
      </c>
      <c r="T338" s="69">
        <v>56.589599999999336</v>
      </c>
      <c r="U338" s="69">
        <v>56.589599999999336</v>
      </c>
      <c r="V338" s="69">
        <v>56.589599999999336</v>
      </c>
      <c r="W338" s="69">
        <v>56.589599999999336</v>
      </c>
      <c r="X338" s="69">
        <v>56.589599999999336</v>
      </c>
      <c r="Y338" s="69">
        <v>56.589599999999336</v>
      </c>
      <c r="Z338" s="69">
        <v>56.589599999999336</v>
      </c>
      <c r="AA338" s="69">
        <v>56.589599999999336</v>
      </c>
      <c r="AB338" s="69">
        <v>56.589599999999336</v>
      </c>
      <c r="AC338" s="69">
        <v>56.589599999999336</v>
      </c>
      <c r="AD338" s="69">
        <v>56.589599999999336</v>
      </c>
      <c r="AE338" s="69">
        <v>56.589599999999336</v>
      </c>
      <c r="AF338" s="69">
        <v>56.589599999999336</v>
      </c>
      <c r="AG338" s="69">
        <v>56.589599999999336</v>
      </c>
    </row>
    <row r="339" spans="1:33" ht="12.75" customHeight="1">
      <c r="A339" s="231" t="s">
        <v>2375</v>
      </c>
      <c r="B339" s="69" t="s">
        <v>438</v>
      </c>
      <c r="C339" s="69" t="s">
        <v>18</v>
      </c>
      <c r="D339" s="69" t="s">
        <v>325</v>
      </c>
      <c r="E339" s="69" t="s">
        <v>191</v>
      </c>
      <c r="F339" s="69" t="s">
        <v>168</v>
      </c>
      <c r="G339" s="69" t="s">
        <v>199</v>
      </c>
      <c r="H339" s="69" t="s">
        <v>2417</v>
      </c>
      <c r="I339" s="69">
        <v>3</v>
      </c>
      <c r="J339" s="238">
        <v>0.39</v>
      </c>
      <c r="K339" s="238">
        <v>0</v>
      </c>
      <c r="L339" s="69">
        <v>130.38197748302079</v>
      </c>
      <c r="M339" s="69">
        <v>0</v>
      </c>
      <c r="N339" s="69">
        <v>0</v>
      </c>
      <c r="O339" s="69">
        <v>0</v>
      </c>
      <c r="P339" s="69">
        <v>0</v>
      </c>
      <c r="Q339" s="69">
        <v>0</v>
      </c>
      <c r="R339" s="69">
        <v>37.819499999997788</v>
      </c>
      <c r="S339" s="69">
        <v>37.819499999997788</v>
      </c>
      <c r="T339" s="69">
        <v>37.819499999997788</v>
      </c>
      <c r="U339" s="69">
        <v>37.819499999997788</v>
      </c>
      <c r="V339" s="69">
        <v>37.819499999997788</v>
      </c>
      <c r="W339" s="69">
        <v>37.819499999997788</v>
      </c>
      <c r="X339" s="69">
        <v>37.819499999997788</v>
      </c>
      <c r="Y339" s="69">
        <v>37.819499999997788</v>
      </c>
      <c r="Z339" s="69">
        <v>37.819499999997788</v>
      </c>
      <c r="AA339" s="69">
        <v>37.819499999997788</v>
      </c>
      <c r="AB339" s="69">
        <v>37.819499999997788</v>
      </c>
      <c r="AC339" s="69">
        <v>37.819499999997788</v>
      </c>
      <c r="AD339" s="69">
        <v>37.819499999997788</v>
      </c>
      <c r="AE339" s="69">
        <v>37.819499999997788</v>
      </c>
      <c r="AF339" s="69">
        <v>37.819499999997788</v>
      </c>
      <c r="AG339" s="69">
        <v>37.819499999997788</v>
      </c>
    </row>
    <row r="340" spans="1:33" ht="12.75" customHeight="1">
      <c r="A340" s="231" t="s">
        <v>2375</v>
      </c>
      <c r="B340" s="69" t="s">
        <v>439</v>
      </c>
      <c r="C340" s="69" t="s">
        <v>18</v>
      </c>
      <c r="D340" s="69" t="s">
        <v>325</v>
      </c>
      <c r="E340" s="69" t="s">
        <v>191</v>
      </c>
      <c r="F340" s="69" t="s">
        <v>168</v>
      </c>
      <c r="G340" s="69" t="s">
        <v>199</v>
      </c>
      <c r="H340" s="69" t="s">
        <v>2417</v>
      </c>
      <c r="I340" s="69">
        <v>3</v>
      </c>
      <c r="J340" s="238">
        <v>0.4</v>
      </c>
      <c r="K340" s="238">
        <v>0</v>
      </c>
      <c r="L340" s="69">
        <v>124.7772475019504</v>
      </c>
      <c r="M340" s="69">
        <v>0</v>
      </c>
      <c r="N340" s="69">
        <v>0</v>
      </c>
      <c r="O340" s="69">
        <v>0</v>
      </c>
      <c r="P340" s="69">
        <v>0</v>
      </c>
      <c r="Q340" s="69">
        <v>0</v>
      </c>
      <c r="R340" s="69">
        <v>17.519999999996799</v>
      </c>
      <c r="S340" s="69">
        <v>17.519999999996799</v>
      </c>
      <c r="T340" s="69">
        <v>17.519999999996799</v>
      </c>
      <c r="U340" s="69">
        <v>17.519999999996799</v>
      </c>
      <c r="V340" s="69">
        <v>17.519999999996799</v>
      </c>
      <c r="W340" s="69">
        <v>17.519999999996799</v>
      </c>
      <c r="X340" s="69">
        <v>17.519999999996799</v>
      </c>
      <c r="Y340" s="69">
        <v>17.519999999996799</v>
      </c>
      <c r="Z340" s="69">
        <v>17.519999999996799</v>
      </c>
      <c r="AA340" s="69">
        <v>17.519999999996799</v>
      </c>
      <c r="AB340" s="69">
        <v>17.519999999996799</v>
      </c>
      <c r="AC340" s="69">
        <v>17.519999999996799</v>
      </c>
      <c r="AD340" s="69">
        <v>17.519999999996799</v>
      </c>
      <c r="AE340" s="69">
        <v>17.519999999996799</v>
      </c>
      <c r="AF340" s="69">
        <v>17.519999999996799</v>
      </c>
      <c r="AG340" s="69">
        <v>17.519999999996799</v>
      </c>
    </row>
    <row r="341" spans="1:33" ht="12.75" customHeight="1">
      <c r="A341" s="231" t="s">
        <v>2375</v>
      </c>
      <c r="B341" s="69" t="s">
        <v>440</v>
      </c>
      <c r="C341" s="69" t="s">
        <v>18</v>
      </c>
      <c r="D341" s="69" t="s">
        <v>325</v>
      </c>
      <c r="E341" s="69" t="s">
        <v>191</v>
      </c>
      <c r="F341" s="69" t="s">
        <v>168</v>
      </c>
      <c r="G341" s="69" t="s">
        <v>199</v>
      </c>
      <c r="H341" s="69" t="s">
        <v>2417</v>
      </c>
      <c r="I341" s="69">
        <v>3</v>
      </c>
      <c r="J341" s="238">
        <v>0.45</v>
      </c>
      <c r="K341" s="238">
        <v>0</v>
      </c>
      <c r="L341" s="69">
        <v>174.48285143430195</v>
      </c>
      <c r="M341" s="69">
        <v>0</v>
      </c>
      <c r="N341" s="69">
        <v>0</v>
      </c>
      <c r="O341" s="69">
        <v>0</v>
      </c>
      <c r="P341" s="69">
        <v>0</v>
      </c>
      <c r="Q341" s="69">
        <v>0</v>
      </c>
      <c r="R341" s="69">
        <v>7.8839999999981956</v>
      </c>
      <c r="S341" s="69">
        <v>7.8839999999981956</v>
      </c>
      <c r="T341" s="69">
        <v>7.8839999999981956</v>
      </c>
      <c r="U341" s="69">
        <v>7.8839999999981956</v>
      </c>
      <c r="V341" s="69">
        <v>7.8839999999981956</v>
      </c>
      <c r="W341" s="69">
        <v>7.8839999999981956</v>
      </c>
      <c r="X341" s="69">
        <v>7.8839999999981956</v>
      </c>
      <c r="Y341" s="69">
        <v>7.8839999999981956</v>
      </c>
      <c r="Z341" s="69">
        <v>7.8839999999981956</v>
      </c>
      <c r="AA341" s="69">
        <v>7.8839999999981956</v>
      </c>
      <c r="AB341" s="69">
        <v>7.8839999999981956</v>
      </c>
      <c r="AC341" s="69">
        <v>7.8839999999981956</v>
      </c>
      <c r="AD341" s="69">
        <v>7.8839999999981956</v>
      </c>
      <c r="AE341" s="69">
        <v>7.8839999999981956</v>
      </c>
      <c r="AF341" s="69">
        <v>7.8839999999981956</v>
      </c>
      <c r="AG341" s="69">
        <v>7.8839999999981956</v>
      </c>
    </row>
    <row r="342" spans="1:33" ht="12.75" customHeight="1">
      <c r="A342" s="231" t="s">
        <v>2375</v>
      </c>
      <c r="B342" s="69" t="s">
        <v>441</v>
      </c>
      <c r="C342" s="69" t="s">
        <v>18</v>
      </c>
      <c r="D342" s="69" t="s">
        <v>325</v>
      </c>
      <c r="E342" s="69" t="s">
        <v>191</v>
      </c>
      <c r="F342" s="69" t="s">
        <v>168</v>
      </c>
      <c r="G342" s="69" t="s">
        <v>199</v>
      </c>
      <c r="H342" s="69" t="s">
        <v>2417</v>
      </c>
      <c r="I342" s="69">
        <v>3</v>
      </c>
      <c r="J342" s="238">
        <v>0.23</v>
      </c>
      <c r="K342" s="238">
        <v>0</v>
      </c>
      <c r="L342" s="69">
        <v>312.7564925473925</v>
      </c>
      <c r="M342" s="69">
        <v>0</v>
      </c>
      <c r="N342" s="69">
        <v>0</v>
      </c>
      <c r="O342" s="69">
        <v>0</v>
      </c>
      <c r="P342" s="69">
        <v>0</v>
      </c>
      <c r="Q342" s="69">
        <v>0</v>
      </c>
      <c r="R342" s="69">
        <v>40.296000000002095</v>
      </c>
      <c r="S342" s="69">
        <v>40.296000000002095</v>
      </c>
      <c r="T342" s="69">
        <v>40.296000000002095</v>
      </c>
      <c r="U342" s="69">
        <v>40.296000000002095</v>
      </c>
      <c r="V342" s="69">
        <v>40.296000000002095</v>
      </c>
      <c r="W342" s="69">
        <v>40.296000000002095</v>
      </c>
      <c r="X342" s="69">
        <v>40.296000000002095</v>
      </c>
      <c r="Y342" s="69">
        <v>40.296000000002095</v>
      </c>
      <c r="Z342" s="69">
        <v>40.296000000002095</v>
      </c>
      <c r="AA342" s="69">
        <v>40.296000000002095</v>
      </c>
      <c r="AB342" s="69">
        <v>40.296000000002095</v>
      </c>
      <c r="AC342" s="69">
        <v>40.296000000002095</v>
      </c>
      <c r="AD342" s="69">
        <v>40.296000000002095</v>
      </c>
      <c r="AE342" s="69">
        <v>40.296000000002095</v>
      </c>
      <c r="AF342" s="69">
        <v>40.296000000002095</v>
      </c>
      <c r="AG342" s="69">
        <v>40.296000000002095</v>
      </c>
    </row>
    <row r="343" spans="1:33" ht="12.75" customHeight="1">
      <c r="A343" s="231" t="s">
        <v>2375</v>
      </c>
      <c r="B343" s="69" t="s">
        <v>442</v>
      </c>
      <c r="C343" s="69" t="s">
        <v>18</v>
      </c>
      <c r="D343" s="69" t="s">
        <v>325</v>
      </c>
      <c r="E343" s="69" t="s">
        <v>191</v>
      </c>
      <c r="F343" s="69" t="s">
        <v>168</v>
      </c>
      <c r="G343" s="69" t="s">
        <v>199</v>
      </c>
      <c r="H343" s="69" t="s">
        <v>2417</v>
      </c>
      <c r="I343" s="69">
        <v>3</v>
      </c>
      <c r="J343" s="238">
        <v>0.24</v>
      </c>
      <c r="K343" s="238">
        <v>0</v>
      </c>
      <c r="L343" s="69">
        <v>358.77991895896548</v>
      </c>
      <c r="M343" s="69">
        <v>0</v>
      </c>
      <c r="N343" s="69">
        <v>0</v>
      </c>
      <c r="O343" s="69">
        <v>0</v>
      </c>
      <c r="P343" s="69">
        <v>0</v>
      </c>
      <c r="Q343" s="69">
        <v>0</v>
      </c>
      <c r="R343" s="69">
        <v>31.536000000000058</v>
      </c>
      <c r="S343" s="69">
        <v>31.536000000000058</v>
      </c>
      <c r="T343" s="69">
        <v>31.536000000000058</v>
      </c>
      <c r="U343" s="69">
        <v>31.536000000000058</v>
      </c>
      <c r="V343" s="69">
        <v>31.536000000000058</v>
      </c>
      <c r="W343" s="69">
        <v>31.536000000000058</v>
      </c>
      <c r="X343" s="69">
        <v>31.536000000000058</v>
      </c>
      <c r="Y343" s="69">
        <v>31.536000000000058</v>
      </c>
      <c r="Z343" s="69">
        <v>31.536000000000058</v>
      </c>
      <c r="AA343" s="69">
        <v>31.536000000000058</v>
      </c>
      <c r="AB343" s="69">
        <v>31.536000000000058</v>
      </c>
      <c r="AC343" s="69">
        <v>31.536000000000058</v>
      </c>
      <c r="AD343" s="69">
        <v>31.536000000000058</v>
      </c>
      <c r="AE343" s="69">
        <v>31.536000000000058</v>
      </c>
      <c r="AF343" s="69">
        <v>31.536000000000058</v>
      </c>
      <c r="AG343" s="69">
        <v>31.536000000000058</v>
      </c>
    </row>
    <row r="344" spans="1:33" ht="12.75" customHeight="1">
      <c r="A344" s="231" t="s">
        <v>2375</v>
      </c>
      <c r="B344" s="69" t="s">
        <v>443</v>
      </c>
      <c r="C344" s="69" t="s">
        <v>18</v>
      </c>
      <c r="D344" s="69" t="s">
        <v>325</v>
      </c>
      <c r="E344" s="69" t="s">
        <v>191</v>
      </c>
      <c r="F344" s="69" t="s">
        <v>168</v>
      </c>
      <c r="G344" s="69" t="s">
        <v>199</v>
      </c>
      <c r="H344" s="69" t="s">
        <v>2417</v>
      </c>
      <c r="I344" s="69">
        <v>3</v>
      </c>
      <c r="J344" s="238">
        <v>0.4</v>
      </c>
      <c r="K344" s="238">
        <v>0</v>
      </c>
      <c r="L344" s="69">
        <v>206.88569300488004</v>
      </c>
      <c r="M344" s="69">
        <v>0</v>
      </c>
      <c r="N344" s="69">
        <v>0</v>
      </c>
      <c r="O344" s="69">
        <v>0</v>
      </c>
      <c r="P344" s="69">
        <v>0</v>
      </c>
      <c r="Q344" s="69">
        <v>0</v>
      </c>
      <c r="R344" s="69">
        <v>5.9567999999999302</v>
      </c>
      <c r="S344" s="69">
        <v>5.9567999999999302</v>
      </c>
      <c r="T344" s="69">
        <v>5.9567999999999302</v>
      </c>
      <c r="U344" s="69">
        <v>5.9567999999999302</v>
      </c>
      <c r="V344" s="69">
        <v>5.9567999999999302</v>
      </c>
      <c r="W344" s="69">
        <v>5.9567999999999302</v>
      </c>
      <c r="X344" s="69">
        <v>5.9567999999999302</v>
      </c>
      <c r="Y344" s="69">
        <v>5.9567999999999302</v>
      </c>
      <c r="Z344" s="69">
        <v>5.9567999999999302</v>
      </c>
      <c r="AA344" s="69">
        <v>5.9567999999999302</v>
      </c>
      <c r="AB344" s="69">
        <v>5.9567999999999302</v>
      </c>
      <c r="AC344" s="69">
        <v>5.9567999999999302</v>
      </c>
      <c r="AD344" s="69">
        <v>5.9567999999999302</v>
      </c>
      <c r="AE344" s="69">
        <v>5.9567999999999302</v>
      </c>
      <c r="AF344" s="69">
        <v>5.9567999999999302</v>
      </c>
      <c r="AG344" s="69">
        <v>5.9567999999999302</v>
      </c>
    </row>
    <row r="345" spans="1:33" ht="12.75" customHeight="1">
      <c r="A345" s="231" t="s">
        <v>2375</v>
      </c>
      <c r="B345" s="69" t="s">
        <v>444</v>
      </c>
      <c r="C345" s="69" t="s">
        <v>18</v>
      </c>
      <c r="D345" s="69" t="s">
        <v>325</v>
      </c>
      <c r="E345" s="69" t="s">
        <v>191</v>
      </c>
      <c r="F345" s="69" t="s">
        <v>168</v>
      </c>
      <c r="G345" s="69" t="s">
        <v>199</v>
      </c>
      <c r="H345" s="69" t="s">
        <v>2417</v>
      </c>
      <c r="I345" s="69">
        <v>3</v>
      </c>
      <c r="J345" s="238">
        <v>0.4</v>
      </c>
      <c r="K345" s="238">
        <v>0</v>
      </c>
      <c r="L345" s="69">
        <v>192.71250574062856</v>
      </c>
      <c r="M345" s="69">
        <v>0</v>
      </c>
      <c r="N345" s="69">
        <v>0</v>
      </c>
      <c r="O345" s="69">
        <v>0</v>
      </c>
      <c r="P345" s="69">
        <v>0</v>
      </c>
      <c r="Q345" s="69">
        <v>0</v>
      </c>
      <c r="R345" s="69">
        <v>5.8165999999982887</v>
      </c>
      <c r="S345" s="69">
        <v>5.8165999999982887</v>
      </c>
      <c r="T345" s="69">
        <v>5.8165999999982887</v>
      </c>
      <c r="U345" s="69">
        <v>5.8165999999982887</v>
      </c>
      <c r="V345" s="69">
        <v>5.8165999999982887</v>
      </c>
      <c r="W345" s="69">
        <v>5.8165999999982887</v>
      </c>
      <c r="X345" s="69">
        <v>5.8165999999982887</v>
      </c>
      <c r="Y345" s="69">
        <v>5.8165999999982887</v>
      </c>
      <c r="Z345" s="69">
        <v>5.8165999999982887</v>
      </c>
      <c r="AA345" s="69">
        <v>5.8165999999982887</v>
      </c>
      <c r="AB345" s="69">
        <v>5.8165999999982887</v>
      </c>
      <c r="AC345" s="69">
        <v>5.8165999999982887</v>
      </c>
      <c r="AD345" s="69">
        <v>5.8165999999982887</v>
      </c>
      <c r="AE345" s="69">
        <v>5.8165999999982887</v>
      </c>
      <c r="AF345" s="69">
        <v>5.8165999999982887</v>
      </c>
      <c r="AG345" s="69">
        <v>5.8165999999982887</v>
      </c>
    </row>
    <row r="346" spans="1:33" ht="12.75" customHeight="1">
      <c r="A346" s="231" t="s">
        <v>2375</v>
      </c>
      <c r="B346" s="69" t="s">
        <v>445</v>
      </c>
      <c r="C346" s="69" t="s">
        <v>18</v>
      </c>
      <c r="D346" s="69" t="s">
        <v>325</v>
      </c>
      <c r="E346" s="69" t="s">
        <v>191</v>
      </c>
      <c r="F346" s="69" t="s">
        <v>168</v>
      </c>
      <c r="G346" s="69" t="s">
        <v>199</v>
      </c>
      <c r="H346" s="69" t="s">
        <v>2417</v>
      </c>
      <c r="I346" s="69">
        <v>3</v>
      </c>
      <c r="J346" s="238">
        <v>0.39</v>
      </c>
      <c r="K346" s="238">
        <v>0</v>
      </c>
      <c r="L346" s="69">
        <v>198.73809165504156</v>
      </c>
      <c r="M346" s="69">
        <v>0</v>
      </c>
      <c r="N346" s="69">
        <v>0</v>
      </c>
      <c r="O346" s="69">
        <v>0</v>
      </c>
      <c r="P346" s="69">
        <v>0</v>
      </c>
      <c r="Q346" s="69">
        <v>0</v>
      </c>
      <c r="R346" s="69">
        <v>6.1494999999995343</v>
      </c>
      <c r="S346" s="69">
        <v>6.1494999999995343</v>
      </c>
      <c r="T346" s="69">
        <v>6.1494999999995343</v>
      </c>
      <c r="U346" s="69">
        <v>6.1494999999995343</v>
      </c>
      <c r="V346" s="69">
        <v>6.1494999999995343</v>
      </c>
      <c r="W346" s="69">
        <v>6.1494999999995343</v>
      </c>
      <c r="X346" s="69">
        <v>6.1494999999995343</v>
      </c>
      <c r="Y346" s="69">
        <v>6.1494999999995343</v>
      </c>
      <c r="Z346" s="69">
        <v>6.1494999999995343</v>
      </c>
      <c r="AA346" s="69">
        <v>6.1494999999995343</v>
      </c>
      <c r="AB346" s="69">
        <v>6.1494999999995343</v>
      </c>
      <c r="AC346" s="69">
        <v>6.1494999999995343</v>
      </c>
      <c r="AD346" s="69">
        <v>6.1494999999995343</v>
      </c>
      <c r="AE346" s="69">
        <v>6.1494999999995343</v>
      </c>
      <c r="AF346" s="69">
        <v>6.1494999999995343</v>
      </c>
      <c r="AG346" s="69">
        <v>6.1494999999995343</v>
      </c>
    </row>
    <row r="347" spans="1:33" ht="12.75" customHeight="1">
      <c r="A347" s="231" t="s">
        <v>2375</v>
      </c>
      <c r="B347" s="69" t="s">
        <v>446</v>
      </c>
      <c r="C347" s="69" t="s">
        <v>18</v>
      </c>
      <c r="D347" s="69" t="s">
        <v>325</v>
      </c>
      <c r="E347" s="69" t="s">
        <v>191</v>
      </c>
      <c r="F347" s="69" t="s">
        <v>168</v>
      </c>
      <c r="G347" s="69" t="s">
        <v>199</v>
      </c>
      <c r="H347" s="69" t="s">
        <v>2417</v>
      </c>
      <c r="I347" s="69">
        <v>3</v>
      </c>
      <c r="J347" s="238">
        <v>0.34</v>
      </c>
      <c r="K347" s="238">
        <v>0</v>
      </c>
      <c r="L347" s="69">
        <v>223.74339718085989</v>
      </c>
      <c r="M347" s="69">
        <v>0</v>
      </c>
      <c r="N347" s="69">
        <v>0</v>
      </c>
      <c r="O347" s="69">
        <v>0</v>
      </c>
      <c r="P347" s="69">
        <v>0</v>
      </c>
      <c r="Q347" s="69">
        <v>0</v>
      </c>
      <c r="R347" s="69">
        <v>8.5480000000025029</v>
      </c>
      <c r="S347" s="69">
        <v>8.5480000000025029</v>
      </c>
      <c r="T347" s="69">
        <v>8.5480000000025029</v>
      </c>
      <c r="U347" s="69">
        <v>8.5480000000025029</v>
      </c>
      <c r="V347" s="69">
        <v>8.5480000000025029</v>
      </c>
      <c r="W347" s="69">
        <v>8.5480000000025029</v>
      </c>
      <c r="X347" s="69">
        <v>8.5480000000025029</v>
      </c>
      <c r="Y347" s="69">
        <v>8.5480000000025029</v>
      </c>
      <c r="Z347" s="69">
        <v>8.5480000000025029</v>
      </c>
      <c r="AA347" s="69">
        <v>8.5480000000025029</v>
      </c>
      <c r="AB347" s="69">
        <v>8.5480000000025029</v>
      </c>
      <c r="AC347" s="69">
        <v>8.5480000000025029</v>
      </c>
      <c r="AD347" s="69">
        <v>8.5480000000025029</v>
      </c>
      <c r="AE347" s="69">
        <v>8.5480000000025029</v>
      </c>
      <c r="AF347" s="69">
        <v>8.5480000000025029</v>
      </c>
      <c r="AG347" s="69">
        <v>8.5480000000025029</v>
      </c>
    </row>
    <row r="348" spans="1:33" ht="12.75" customHeight="1">
      <c r="A348" s="231" t="s">
        <v>2375</v>
      </c>
      <c r="B348" s="69" t="s">
        <v>447</v>
      </c>
      <c r="C348" s="69" t="s">
        <v>18</v>
      </c>
      <c r="D348" s="69" t="s">
        <v>325</v>
      </c>
      <c r="E348" s="69" t="s">
        <v>191</v>
      </c>
      <c r="F348" s="69" t="s">
        <v>168</v>
      </c>
      <c r="G348" s="69" t="s">
        <v>199</v>
      </c>
      <c r="H348" s="69" t="s">
        <v>2417</v>
      </c>
      <c r="I348" s="69">
        <v>3</v>
      </c>
      <c r="J348" s="238">
        <v>0.4</v>
      </c>
      <c r="K348" s="238">
        <v>0</v>
      </c>
      <c r="L348" s="69">
        <v>171.02932431645411</v>
      </c>
      <c r="M348" s="69">
        <v>0</v>
      </c>
      <c r="N348" s="69">
        <v>0</v>
      </c>
      <c r="O348" s="69">
        <v>0</v>
      </c>
      <c r="P348" s="69">
        <v>0</v>
      </c>
      <c r="Q348" s="69">
        <v>0</v>
      </c>
      <c r="R348" s="69">
        <v>5.5362999999997555</v>
      </c>
      <c r="S348" s="69">
        <v>5.5362999999997555</v>
      </c>
      <c r="T348" s="69">
        <v>5.5362999999997555</v>
      </c>
      <c r="U348" s="69">
        <v>5.5362999999997555</v>
      </c>
      <c r="V348" s="69">
        <v>5.5362999999997555</v>
      </c>
      <c r="W348" s="69">
        <v>5.5362999999997555</v>
      </c>
      <c r="X348" s="69">
        <v>5.5362999999997555</v>
      </c>
      <c r="Y348" s="69">
        <v>5.5362999999997555</v>
      </c>
      <c r="Z348" s="69">
        <v>5.5362999999997555</v>
      </c>
      <c r="AA348" s="69">
        <v>5.5362999999997555</v>
      </c>
      <c r="AB348" s="69">
        <v>5.5362999999997555</v>
      </c>
      <c r="AC348" s="69">
        <v>5.5362999999997555</v>
      </c>
      <c r="AD348" s="69">
        <v>5.5362999999997555</v>
      </c>
      <c r="AE348" s="69">
        <v>5.5362999999997555</v>
      </c>
      <c r="AF348" s="69">
        <v>5.5362999999997555</v>
      </c>
      <c r="AG348" s="69">
        <v>5.5362999999997555</v>
      </c>
    </row>
    <row r="349" spans="1:33" ht="12.75" customHeight="1">
      <c r="A349" s="231" t="s">
        <v>2375</v>
      </c>
      <c r="B349" s="69" t="s">
        <v>448</v>
      </c>
      <c r="C349" s="69" t="s">
        <v>18</v>
      </c>
      <c r="D349" s="69" t="s">
        <v>325</v>
      </c>
      <c r="E349" s="69" t="s">
        <v>191</v>
      </c>
      <c r="F349" s="69" t="s">
        <v>168</v>
      </c>
      <c r="G349" s="69" t="s">
        <v>199</v>
      </c>
      <c r="H349" s="69" t="s">
        <v>2417</v>
      </c>
      <c r="I349" s="69">
        <v>3</v>
      </c>
      <c r="J349" s="238">
        <v>0.4</v>
      </c>
      <c r="K349" s="238">
        <v>0</v>
      </c>
      <c r="L349" s="69">
        <v>267.04023764852548</v>
      </c>
      <c r="M349" s="69">
        <v>0</v>
      </c>
      <c r="N349" s="69">
        <v>0</v>
      </c>
      <c r="O349" s="69">
        <v>0</v>
      </c>
      <c r="P349" s="69">
        <v>0</v>
      </c>
      <c r="Q349" s="69">
        <v>0</v>
      </c>
      <c r="R349" s="69">
        <v>4.6148000000030152</v>
      </c>
      <c r="S349" s="69">
        <v>4.6148000000030152</v>
      </c>
      <c r="T349" s="69">
        <v>4.6148000000030152</v>
      </c>
      <c r="U349" s="69">
        <v>4.6148000000030152</v>
      </c>
      <c r="V349" s="69">
        <v>4.6148000000030152</v>
      </c>
      <c r="W349" s="69">
        <v>4.6148000000030152</v>
      </c>
      <c r="X349" s="69">
        <v>4.6148000000030152</v>
      </c>
      <c r="Y349" s="69">
        <v>4.6148000000030152</v>
      </c>
      <c r="Z349" s="69">
        <v>4.6148000000030152</v>
      </c>
      <c r="AA349" s="69">
        <v>4.6148000000030152</v>
      </c>
      <c r="AB349" s="69">
        <v>4.6148000000030152</v>
      </c>
      <c r="AC349" s="69">
        <v>4.6148000000030152</v>
      </c>
      <c r="AD349" s="69">
        <v>4.6148000000030152</v>
      </c>
      <c r="AE349" s="69">
        <v>4.6148000000030152</v>
      </c>
      <c r="AF349" s="69">
        <v>4.6148000000030152</v>
      </c>
      <c r="AG349" s="69">
        <v>4.6148000000030152</v>
      </c>
    </row>
    <row r="350" spans="1:33" ht="12.75" customHeight="1">
      <c r="A350" s="231" t="s">
        <v>2375</v>
      </c>
      <c r="B350" s="69" t="s">
        <v>449</v>
      </c>
      <c r="C350" s="69" t="s">
        <v>18</v>
      </c>
      <c r="D350" s="69" t="s">
        <v>325</v>
      </c>
      <c r="E350" s="69" t="s">
        <v>191</v>
      </c>
      <c r="F350" s="69" t="s">
        <v>168</v>
      </c>
      <c r="G350" s="69" t="s">
        <v>199</v>
      </c>
      <c r="H350" s="69" t="s">
        <v>2417</v>
      </c>
      <c r="I350" s="69">
        <v>3</v>
      </c>
      <c r="J350" s="238">
        <v>0.42</v>
      </c>
      <c r="K350" s="238">
        <v>0</v>
      </c>
      <c r="L350" s="69">
        <v>194.70184297024039</v>
      </c>
      <c r="M350" s="69">
        <v>0</v>
      </c>
      <c r="N350" s="69">
        <v>0</v>
      </c>
      <c r="O350" s="69">
        <v>0</v>
      </c>
      <c r="P350" s="69">
        <v>0</v>
      </c>
      <c r="Q350" s="69">
        <v>0</v>
      </c>
      <c r="R350" s="69">
        <v>4.047100000003411</v>
      </c>
      <c r="S350" s="69">
        <v>4.047100000003411</v>
      </c>
      <c r="T350" s="69">
        <v>4.047100000003411</v>
      </c>
      <c r="U350" s="69">
        <v>4.047100000003411</v>
      </c>
      <c r="V350" s="69">
        <v>4.047100000003411</v>
      </c>
      <c r="W350" s="69">
        <v>4.047100000003411</v>
      </c>
      <c r="X350" s="69">
        <v>4.047100000003411</v>
      </c>
      <c r="Y350" s="69">
        <v>4.047100000003411</v>
      </c>
      <c r="Z350" s="69">
        <v>4.047100000003411</v>
      </c>
      <c r="AA350" s="69">
        <v>4.047100000003411</v>
      </c>
      <c r="AB350" s="69">
        <v>4.047100000003411</v>
      </c>
      <c r="AC350" s="69">
        <v>4.047100000003411</v>
      </c>
      <c r="AD350" s="69">
        <v>4.047100000003411</v>
      </c>
      <c r="AE350" s="69">
        <v>4.047100000003411</v>
      </c>
      <c r="AF350" s="69">
        <v>4.047100000003411</v>
      </c>
      <c r="AG350" s="69">
        <v>4.047100000003411</v>
      </c>
    </row>
    <row r="351" spans="1:33" ht="12.75" customHeight="1">
      <c r="A351" s="231" t="s">
        <v>2375</v>
      </c>
      <c r="B351" s="69" t="s">
        <v>450</v>
      </c>
      <c r="C351" s="69" t="s">
        <v>18</v>
      </c>
      <c r="D351" s="69" t="s">
        <v>325</v>
      </c>
      <c r="E351" s="69" t="s">
        <v>191</v>
      </c>
      <c r="F351" s="69" t="s">
        <v>168</v>
      </c>
      <c r="G351" s="69" t="s">
        <v>199</v>
      </c>
      <c r="H351" s="69" t="s">
        <v>2417</v>
      </c>
      <c r="I351" s="69">
        <v>3</v>
      </c>
      <c r="J351" s="238">
        <v>0.27</v>
      </c>
      <c r="K351" s="238">
        <v>0</v>
      </c>
      <c r="L351" s="69">
        <v>403.95871441413698</v>
      </c>
      <c r="M351" s="69">
        <v>0</v>
      </c>
      <c r="N351" s="69">
        <v>0</v>
      </c>
      <c r="O351" s="69">
        <v>0</v>
      </c>
      <c r="P351" s="69">
        <v>0</v>
      </c>
      <c r="Q351" s="69">
        <v>0</v>
      </c>
      <c r="R351" s="69">
        <v>8.8695000000006967</v>
      </c>
      <c r="S351" s="69">
        <v>8.8695000000006967</v>
      </c>
      <c r="T351" s="69">
        <v>8.8695000000006967</v>
      </c>
      <c r="U351" s="69">
        <v>8.8695000000006967</v>
      </c>
      <c r="V351" s="69">
        <v>8.8695000000006967</v>
      </c>
      <c r="W351" s="69">
        <v>8.8695000000006967</v>
      </c>
      <c r="X351" s="69">
        <v>8.8695000000006967</v>
      </c>
      <c r="Y351" s="69">
        <v>8.8695000000006967</v>
      </c>
      <c r="Z351" s="69">
        <v>8.8695000000006967</v>
      </c>
      <c r="AA351" s="69">
        <v>8.8695000000006967</v>
      </c>
      <c r="AB351" s="69">
        <v>8.8695000000006967</v>
      </c>
      <c r="AC351" s="69">
        <v>8.8695000000006967</v>
      </c>
      <c r="AD351" s="69">
        <v>8.8695000000006967</v>
      </c>
      <c r="AE351" s="69">
        <v>8.8695000000006967</v>
      </c>
      <c r="AF351" s="69">
        <v>8.8695000000006967</v>
      </c>
      <c r="AG351" s="69">
        <v>8.8695000000006967</v>
      </c>
    </row>
    <row r="352" spans="1:33" ht="12.75" customHeight="1">
      <c r="A352" s="231" t="s">
        <v>2375</v>
      </c>
      <c r="B352" s="69" t="s">
        <v>451</v>
      </c>
      <c r="C352" s="69" t="s">
        <v>18</v>
      </c>
      <c r="D352" s="69" t="s">
        <v>325</v>
      </c>
      <c r="E352" s="69" t="s">
        <v>191</v>
      </c>
      <c r="F352" s="69" t="s">
        <v>168</v>
      </c>
      <c r="G352" s="69" t="s">
        <v>199</v>
      </c>
      <c r="H352" s="69" t="s">
        <v>2417</v>
      </c>
      <c r="I352" s="69">
        <v>3</v>
      </c>
      <c r="J352" s="238">
        <v>0.38</v>
      </c>
      <c r="K352" s="238">
        <v>0</v>
      </c>
      <c r="L352" s="69">
        <v>169.23260885907868</v>
      </c>
      <c r="M352" s="69">
        <v>0</v>
      </c>
      <c r="N352" s="69">
        <v>0</v>
      </c>
      <c r="O352" s="69">
        <v>0</v>
      </c>
      <c r="P352" s="69">
        <v>0</v>
      </c>
      <c r="Q352" s="69">
        <v>0</v>
      </c>
      <c r="R352" s="69">
        <v>3.3288000000029569</v>
      </c>
      <c r="S352" s="69">
        <v>3.3288000000029569</v>
      </c>
      <c r="T352" s="69">
        <v>3.3288000000029569</v>
      </c>
      <c r="U352" s="69">
        <v>3.3288000000029569</v>
      </c>
      <c r="V352" s="69">
        <v>3.3288000000029569</v>
      </c>
      <c r="W352" s="69">
        <v>3.3288000000029569</v>
      </c>
      <c r="X352" s="69">
        <v>3.3288000000029569</v>
      </c>
      <c r="Y352" s="69">
        <v>3.3288000000029569</v>
      </c>
      <c r="Z352" s="69">
        <v>3.3288000000029569</v>
      </c>
      <c r="AA352" s="69">
        <v>3.3288000000029569</v>
      </c>
      <c r="AB352" s="69">
        <v>3.3288000000029569</v>
      </c>
      <c r="AC352" s="69">
        <v>3.3288000000029569</v>
      </c>
      <c r="AD352" s="69">
        <v>3.3288000000029569</v>
      </c>
      <c r="AE352" s="69">
        <v>3.3288000000029569</v>
      </c>
      <c r="AF352" s="69">
        <v>3.3288000000029569</v>
      </c>
      <c r="AG352" s="69">
        <v>3.3288000000029569</v>
      </c>
    </row>
    <row r="353" spans="1:33" ht="12.75" customHeight="1">
      <c r="A353" s="231" t="s">
        <v>2375</v>
      </c>
      <c r="B353" s="69" t="s">
        <v>452</v>
      </c>
      <c r="C353" s="69" t="s">
        <v>18</v>
      </c>
      <c r="D353" s="69" t="s">
        <v>325</v>
      </c>
      <c r="E353" s="69" t="s">
        <v>191</v>
      </c>
      <c r="F353" s="69" t="s">
        <v>165</v>
      </c>
      <c r="G353" s="69" t="s">
        <v>201</v>
      </c>
      <c r="H353" s="69" t="s">
        <v>2417</v>
      </c>
      <c r="I353" s="69">
        <v>3</v>
      </c>
      <c r="J353" s="238">
        <v>0.35</v>
      </c>
      <c r="K353" s="238">
        <v>0</v>
      </c>
      <c r="L353" s="69">
        <v>130.22626235716638</v>
      </c>
      <c r="M353" s="69">
        <v>0</v>
      </c>
      <c r="N353" s="69">
        <v>0</v>
      </c>
      <c r="O353" s="69">
        <v>0</v>
      </c>
      <c r="P353" s="69">
        <v>0</v>
      </c>
      <c r="Q353" s="69">
        <v>0</v>
      </c>
      <c r="R353" s="69">
        <v>4.9055999999982305</v>
      </c>
      <c r="S353" s="69">
        <v>4.9055999999982305</v>
      </c>
      <c r="T353" s="69">
        <v>4.9055999999982305</v>
      </c>
      <c r="U353" s="69">
        <v>4.9055999999982305</v>
      </c>
      <c r="V353" s="69">
        <v>4.9055999999982305</v>
      </c>
      <c r="W353" s="69">
        <v>4.9055999999982305</v>
      </c>
      <c r="X353" s="69">
        <v>4.9055999999982305</v>
      </c>
      <c r="Y353" s="69">
        <v>4.9055999999982305</v>
      </c>
      <c r="Z353" s="69">
        <v>4.9055999999982305</v>
      </c>
      <c r="AA353" s="69">
        <v>4.9055999999982305</v>
      </c>
      <c r="AB353" s="69">
        <v>4.9055999999982305</v>
      </c>
      <c r="AC353" s="69">
        <v>4.9055999999982305</v>
      </c>
      <c r="AD353" s="69">
        <v>4.9055999999982305</v>
      </c>
      <c r="AE353" s="69">
        <v>4.9055999999982305</v>
      </c>
      <c r="AF353" s="69">
        <v>4.9055999999982305</v>
      </c>
      <c r="AG353" s="69">
        <v>4.9055999999982305</v>
      </c>
    </row>
    <row r="354" spans="1:33" ht="12.75" customHeight="1">
      <c r="A354" s="231" t="s">
        <v>2375</v>
      </c>
      <c r="B354" s="69" t="s">
        <v>453</v>
      </c>
      <c r="C354" s="69" t="s">
        <v>18</v>
      </c>
      <c r="D354" s="69" t="s">
        <v>325</v>
      </c>
      <c r="E354" s="69" t="s">
        <v>191</v>
      </c>
      <c r="F354" s="69" t="s">
        <v>165</v>
      </c>
      <c r="G354" s="69" t="s">
        <v>201</v>
      </c>
      <c r="H354" s="69" t="s">
        <v>2417</v>
      </c>
      <c r="I354" s="69">
        <v>3</v>
      </c>
      <c r="J354" s="238">
        <v>0.54</v>
      </c>
      <c r="K354" s="238">
        <v>0</v>
      </c>
      <c r="L354" s="69">
        <v>149.61772239136235</v>
      </c>
      <c r="M354" s="69">
        <v>0</v>
      </c>
      <c r="N354" s="69">
        <v>0</v>
      </c>
      <c r="O354" s="69">
        <v>0</v>
      </c>
      <c r="P354" s="69">
        <v>0</v>
      </c>
      <c r="Q354" s="69">
        <v>0</v>
      </c>
      <c r="R354" s="69">
        <v>5.2033999999985099</v>
      </c>
      <c r="S354" s="69">
        <v>5.2033999999985099</v>
      </c>
      <c r="T354" s="69">
        <v>5.2033999999985099</v>
      </c>
      <c r="U354" s="69">
        <v>5.2033999999985099</v>
      </c>
      <c r="V354" s="69">
        <v>5.2033999999985099</v>
      </c>
      <c r="W354" s="69">
        <v>5.2033999999985099</v>
      </c>
      <c r="X354" s="69">
        <v>5.2033999999985099</v>
      </c>
      <c r="Y354" s="69">
        <v>5.2033999999985099</v>
      </c>
      <c r="Z354" s="69">
        <v>5.2033999999985099</v>
      </c>
      <c r="AA354" s="69">
        <v>5.2033999999985099</v>
      </c>
      <c r="AB354" s="69">
        <v>5.2033999999985099</v>
      </c>
      <c r="AC354" s="69">
        <v>5.2033999999985099</v>
      </c>
      <c r="AD354" s="69">
        <v>5.2033999999985099</v>
      </c>
      <c r="AE354" s="69">
        <v>5.2033999999985099</v>
      </c>
      <c r="AF354" s="69">
        <v>5.2033999999985099</v>
      </c>
      <c r="AG354" s="69">
        <v>5.2033999999985099</v>
      </c>
    </row>
    <row r="355" spans="1:33" ht="12.75" customHeight="1">
      <c r="A355" s="231" t="s">
        <v>2375</v>
      </c>
      <c r="B355" s="69" t="s">
        <v>476</v>
      </c>
      <c r="C355" s="69" t="s">
        <v>18</v>
      </c>
      <c r="D355" s="69" t="s">
        <v>325</v>
      </c>
      <c r="E355" s="69" t="s">
        <v>191</v>
      </c>
      <c r="F355" s="69" t="s">
        <v>183</v>
      </c>
      <c r="G355" s="69" t="s">
        <v>329</v>
      </c>
      <c r="H355" s="69" t="s">
        <v>2417</v>
      </c>
      <c r="I355" s="69">
        <v>3</v>
      </c>
      <c r="J355" s="238">
        <v>0.63</v>
      </c>
      <c r="K355" s="238">
        <v>0</v>
      </c>
      <c r="L355" s="69">
        <v>105.87108500804942</v>
      </c>
      <c r="M355" s="69">
        <v>0</v>
      </c>
      <c r="N355" s="69">
        <v>0</v>
      </c>
      <c r="O355" s="69">
        <v>0</v>
      </c>
      <c r="P355" s="69">
        <v>0</v>
      </c>
      <c r="Q355" s="69">
        <v>0</v>
      </c>
      <c r="R355" s="69">
        <v>11.037600000003293</v>
      </c>
      <c r="S355" s="69">
        <v>11.037600000003293</v>
      </c>
      <c r="T355" s="69">
        <v>11.037600000003293</v>
      </c>
      <c r="U355" s="69">
        <v>11.037600000003293</v>
      </c>
      <c r="V355" s="69">
        <v>11.037600000003293</v>
      </c>
      <c r="W355" s="69">
        <v>11.037600000003293</v>
      </c>
      <c r="X355" s="69">
        <v>11.037600000003293</v>
      </c>
      <c r="Y355" s="69">
        <v>11.037600000003293</v>
      </c>
      <c r="Z355" s="69">
        <v>11.037600000003293</v>
      </c>
      <c r="AA355" s="69">
        <v>11.037600000003293</v>
      </c>
      <c r="AB355" s="69">
        <v>11.037600000003293</v>
      </c>
      <c r="AC355" s="69">
        <v>11.037600000003293</v>
      </c>
      <c r="AD355" s="69">
        <v>11.037600000003293</v>
      </c>
      <c r="AE355" s="69">
        <v>11.037600000003293</v>
      </c>
      <c r="AF355" s="69">
        <v>11.037600000003293</v>
      </c>
      <c r="AG355" s="69">
        <v>11.037600000003293</v>
      </c>
    </row>
    <row r="356" spans="1:33" ht="12.75" customHeight="1">
      <c r="A356" s="231" t="s">
        <v>2375</v>
      </c>
      <c r="B356" s="69" t="s">
        <v>483</v>
      </c>
      <c r="C356" s="69" t="s">
        <v>186</v>
      </c>
      <c r="D356" s="69" t="s">
        <v>334</v>
      </c>
      <c r="E356" s="69" t="s">
        <v>260</v>
      </c>
      <c r="F356" s="69" t="s">
        <v>157</v>
      </c>
      <c r="G356" s="69" t="s">
        <v>192</v>
      </c>
      <c r="H356" s="69" t="s">
        <v>805</v>
      </c>
      <c r="I356" s="69">
        <v>2</v>
      </c>
      <c r="J356" s="238">
        <v>0.19559527787058692</v>
      </c>
      <c r="K356" s="238">
        <v>0</v>
      </c>
      <c r="L356" s="69">
        <v>307.09437722419932</v>
      </c>
      <c r="M356" s="69">
        <v>-26.263345195729539</v>
      </c>
      <c r="N356" s="69">
        <v>0</v>
      </c>
      <c r="O356" s="69">
        <v>0</v>
      </c>
      <c r="P356" s="69">
        <v>0</v>
      </c>
      <c r="Q356" s="69">
        <v>155.23413069012531</v>
      </c>
      <c r="R356" s="69">
        <v>155.23413069012531</v>
      </c>
      <c r="S356" s="69">
        <v>155.23413069012531</v>
      </c>
      <c r="T356" s="69">
        <v>155.23413069012531</v>
      </c>
      <c r="U356" s="69">
        <v>155.23413069012531</v>
      </c>
      <c r="V356" s="69">
        <v>155.23413069012531</v>
      </c>
      <c r="W356" s="69">
        <v>155.23413069012531</v>
      </c>
      <c r="X356" s="69">
        <v>155.23413069012531</v>
      </c>
      <c r="Y356" s="69">
        <v>155.23413069012531</v>
      </c>
      <c r="Z356" s="69">
        <v>155.23413069012531</v>
      </c>
      <c r="AA356" s="69">
        <v>155.23413069012531</v>
      </c>
      <c r="AB356" s="69">
        <v>155.23413069012531</v>
      </c>
      <c r="AC356" s="69">
        <v>155.23413069012531</v>
      </c>
      <c r="AD356" s="69">
        <v>155.23413069012531</v>
      </c>
      <c r="AE356" s="69">
        <v>155.23413069012531</v>
      </c>
      <c r="AF356" s="69">
        <v>155.23413069012531</v>
      </c>
      <c r="AG356" s="69">
        <v>155.23413069012531</v>
      </c>
    </row>
    <row r="357" spans="1:33" ht="12.75" customHeight="1">
      <c r="A357" s="231" t="s">
        <v>2375</v>
      </c>
      <c r="B357" s="69" t="s">
        <v>484</v>
      </c>
      <c r="C357" s="69" t="s">
        <v>186</v>
      </c>
      <c r="D357" s="69" t="s">
        <v>334</v>
      </c>
      <c r="E357" s="69" t="s">
        <v>260</v>
      </c>
      <c r="F357" s="69" t="s">
        <v>157</v>
      </c>
      <c r="G357" s="69" t="s">
        <v>192</v>
      </c>
      <c r="H357" s="69" t="s">
        <v>805</v>
      </c>
      <c r="I357" s="69">
        <v>2</v>
      </c>
      <c r="J357" s="238">
        <v>0.19559527787058692</v>
      </c>
      <c r="K357" s="238">
        <v>0</v>
      </c>
      <c r="L357" s="69">
        <v>307.09437722419932</v>
      </c>
      <c r="M357" s="69">
        <v>-26.263345195729539</v>
      </c>
      <c r="N357" s="69">
        <v>0</v>
      </c>
      <c r="O357" s="69">
        <v>0</v>
      </c>
      <c r="P357" s="69">
        <v>0</v>
      </c>
      <c r="Q357" s="69">
        <v>0</v>
      </c>
      <c r="R357" s="69">
        <v>155.23413069012531</v>
      </c>
      <c r="S357" s="69">
        <v>155.23413069012531</v>
      </c>
      <c r="T357" s="69">
        <v>155.23413069012531</v>
      </c>
      <c r="U357" s="69">
        <v>155.23413069012531</v>
      </c>
      <c r="V357" s="69">
        <v>155.23413069012531</v>
      </c>
      <c r="W357" s="69">
        <v>155.23413069012531</v>
      </c>
      <c r="X357" s="69">
        <v>155.23413069012531</v>
      </c>
      <c r="Y357" s="69">
        <v>155.23413069012531</v>
      </c>
      <c r="Z357" s="69">
        <v>155.23413069012531</v>
      </c>
      <c r="AA357" s="69">
        <v>155.23413069012531</v>
      </c>
      <c r="AB357" s="69">
        <v>155.23413069012531</v>
      </c>
      <c r="AC357" s="69">
        <v>155.23413069012531</v>
      </c>
      <c r="AD357" s="69">
        <v>155.23413069012531</v>
      </c>
      <c r="AE357" s="69">
        <v>155.23413069012531</v>
      </c>
      <c r="AF357" s="69">
        <v>155.23413069012531</v>
      </c>
      <c r="AG357" s="69">
        <v>155.23413069012531</v>
      </c>
    </row>
    <row r="358" spans="1:33" ht="12.75" customHeight="1">
      <c r="A358" s="231" t="s">
        <v>2375</v>
      </c>
      <c r="B358" s="69" t="s">
        <v>485</v>
      </c>
      <c r="C358" s="69" t="s">
        <v>186</v>
      </c>
      <c r="D358" s="69" t="s">
        <v>334</v>
      </c>
      <c r="E358" s="69" t="s">
        <v>260</v>
      </c>
      <c r="F358" s="69" t="s">
        <v>157</v>
      </c>
      <c r="G358" s="69" t="s">
        <v>192</v>
      </c>
      <c r="H358" s="69" t="s">
        <v>805</v>
      </c>
      <c r="I358" s="69">
        <v>2</v>
      </c>
      <c r="J358" s="238">
        <v>0.19559527787058692</v>
      </c>
      <c r="K358" s="238">
        <v>0</v>
      </c>
      <c r="L358" s="69">
        <v>307.09437722419932</v>
      </c>
      <c r="M358" s="69">
        <v>-26.263345195729539</v>
      </c>
      <c r="N358" s="69">
        <v>0</v>
      </c>
      <c r="O358" s="69">
        <v>0</v>
      </c>
      <c r="P358" s="69">
        <v>0</v>
      </c>
      <c r="Q358" s="69">
        <v>0</v>
      </c>
      <c r="R358" s="69">
        <v>0</v>
      </c>
      <c r="S358" s="69">
        <v>204.79351693987701</v>
      </c>
      <c r="T358" s="69">
        <v>204.79351693987701</v>
      </c>
      <c r="U358" s="69">
        <v>204.79351693987701</v>
      </c>
      <c r="V358" s="69">
        <v>204.79351693987701</v>
      </c>
      <c r="W358" s="69">
        <v>204.79351693987701</v>
      </c>
      <c r="X358" s="69">
        <v>204.79351693987701</v>
      </c>
      <c r="Y358" s="69">
        <v>204.79351693987701</v>
      </c>
      <c r="Z358" s="69">
        <v>204.79351693987701</v>
      </c>
      <c r="AA358" s="69">
        <v>204.79351693987701</v>
      </c>
      <c r="AB358" s="69">
        <v>204.79351693987701</v>
      </c>
      <c r="AC358" s="69">
        <v>204.79351693987701</v>
      </c>
      <c r="AD358" s="69">
        <v>204.79351693987701</v>
      </c>
      <c r="AE358" s="69">
        <v>204.79351693987701</v>
      </c>
      <c r="AF358" s="69">
        <v>204.79351693987701</v>
      </c>
      <c r="AG358" s="69">
        <v>204.79351693987701</v>
      </c>
    </row>
    <row r="359" spans="1:33" ht="12.75" customHeight="1">
      <c r="A359" s="231" t="s">
        <v>2375</v>
      </c>
      <c r="B359" s="69" t="s">
        <v>486</v>
      </c>
      <c r="C359" s="69" t="s">
        <v>186</v>
      </c>
      <c r="D359" s="69" t="s">
        <v>334</v>
      </c>
      <c r="E359" s="69" t="s">
        <v>260</v>
      </c>
      <c r="F359" s="69" t="s">
        <v>157</v>
      </c>
      <c r="G359" s="69" t="s">
        <v>192</v>
      </c>
      <c r="H359" s="69" t="s">
        <v>805</v>
      </c>
      <c r="I359" s="69">
        <v>2</v>
      </c>
      <c r="J359" s="238">
        <v>0.19559527787058692</v>
      </c>
      <c r="K359" s="238">
        <v>0</v>
      </c>
      <c r="L359" s="69">
        <v>307.09437722419932</v>
      </c>
      <c r="M359" s="69">
        <v>-26.263345195729539</v>
      </c>
      <c r="N359" s="69">
        <v>0</v>
      </c>
      <c r="O359" s="69">
        <v>0</v>
      </c>
      <c r="P359" s="69">
        <v>0</v>
      </c>
      <c r="Q359" s="69">
        <v>0</v>
      </c>
      <c r="R359" s="69">
        <v>0</v>
      </c>
      <c r="S359" s="69">
        <v>0</v>
      </c>
      <c r="T359" s="69">
        <v>204.79351693987701</v>
      </c>
      <c r="U359" s="69">
        <v>204.79351693987701</v>
      </c>
      <c r="V359" s="69">
        <v>204.79351693987701</v>
      </c>
      <c r="W359" s="69">
        <v>204.79351693987701</v>
      </c>
      <c r="X359" s="69">
        <v>204.79351693987701</v>
      </c>
      <c r="Y359" s="69">
        <v>204.79351693987701</v>
      </c>
      <c r="Z359" s="69">
        <v>204.79351693987701</v>
      </c>
      <c r="AA359" s="69">
        <v>204.79351693987701</v>
      </c>
      <c r="AB359" s="69">
        <v>204.79351693987701</v>
      </c>
      <c r="AC359" s="69">
        <v>204.79351693987701</v>
      </c>
      <c r="AD359" s="69">
        <v>204.79351693987701</v>
      </c>
      <c r="AE359" s="69">
        <v>204.79351693987701</v>
      </c>
      <c r="AF359" s="69">
        <v>204.79351693987701</v>
      </c>
      <c r="AG359" s="69">
        <v>204.79351693987701</v>
      </c>
    </row>
    <row r="360" spans="1:33" ht="12.75" customHeight="1">
      <c r="A360" s="231" t="s">
        <v>2375</v>
      </c>
      <c r="B360" s="69" t="s">
        <v>487</v>
      </c>
      <c r="C360" s="69" t="s">
        <v>186</v>
      </c>
      <c r="D360" s="69" t="s">
        <v>334</v>
      </c>
      <c r="E360" s="69" t="s">
        <v>260</v>
      </c>
      <c r="F360" s="69" t="s">
        <v>157</v>
      </c>
      <c r="G360" s="69" t="s">
        <v>192</v>
      </c>
      <c r="H360" s="69" t="s">
        <v>805</v>
      </c>
      <c r="I360" s="69">
        <v>2</v>
      </c>
      <c r="J360" s="238">
        <v>0.19559527787058692</v>
      </c>
      <c r="K360" s="238">
        <v>0</v>
      </c>
      <c r="L360" s="69">
        <v>307.09437722419932</v>
      </c>
      <c r="M360" s="69">
        <v>-26.263345195729539</v>
      </c>
      <c r="N360" s="69">
        <v>0</v>
      </c>
      <c r="O360" s="69">
        <v>0</v>
      </c>
      <c r="P360" s="69">
        <v>0</v>
      </c>
      <c r="Q360" s="69">
        <v>0</v>
      </c>
      <c r="R360" s="69">
        <v>0</v>
      </c>
      <c r="S360" s="69">
        <v>0</v>
      </c>
      <c r="T360" s="69">
        <v>0</v>
      </c>
      <c r="U360" s="69">
        <v>204.79351693987701</v>
      </c>
      <c r="V360" s="69">
        <v>204.79351693987701</v>
      </c>
      <c r="W360" s="69">
        <v>204.79351693987701</v>
      </c>
      <c r="X360" s="69">
        <v>204.79351693987701</v>
      </c>
      <c r="Y360" s="69">
        <v>204.79351693987701</v>
      </c>
      <c r="Z360" s="69">
        <v>204.79351693987701</v>
      </c>
      <c r="AA360" s="69">
        <v>204.79351693987701</v>
      </c>
      <c r="AB360" s="69">
        <v>204.79351693987701</v>
      </c>
      <c r="AC360" s="69">
        <v>204.79351693987701</v>
      </c>
      <c r="AD360" s="69">
        <v>204.79351693987701</v>
      </c>
      <c r="AE360" s="69">
        <v>204.79351693987701</v>
      </c>
      <c r="AF360" s="69">
        <v>204.79351693987701</v>
      </c>
      <c r="AG360" s="69">
        <v>204.79351693987701</v>
      </c>
    </row>
    <row r="361" spans="1:33" ht="12.75" customHeight="1">
      <c r="A361" s="231" t="s">
        <v>2375</v>
      </c>
      <c r="B361" s="69" t="s">
        <v>488</v>
      </c>
      <c r="C361" s="69" t="s">
        <v>186</v>
      </c>
      <c r="D361" s="69" t="s">
        <v>334</v>
      </c>
      <c r="E361" s="69" t="s">
        <v>260</v>
      </c>
      <c r="F361" s="69" t="s">
        <v>157</v>
      </c>
      <c r="G361" s="69" t="s">
        <v>192</v>
      </c>
      <c r="H361" s="69" t="s">
        <v>805</v>
      </c>
      <c r="I361" s="69">
        <v>2</v>
      </c>
      <c r="J361" s="238">
        <v>0.19559527787058692</v>
      </c>
      <c r="K361" s="238">
        <v>0</v>
      </c>
      <c r="L361" s="69">
        <v>307.09437722419932</v>
      </c>
      <c r="M361" s="69">
        <v>-26.263345195729539</v>
      </c>
      <c r="N361" s="69">
        <v>0</v>
      </c>
      <c r="O361" s="69">
        <v>0</v>
      </c>
      <c r="P361" s="69">
        <v>0</v>
      </c>
      <c r="Q361" s="69">
        <v>0</v>
      </c>
      <c r="R361" s="69">
        <v>0</v>
      </c>
      <c r="S361" s="69">
        <v>0</v>
      </c>
      <c r="T361" s="69">
        <v>0</v>
      </c>
      <c r="U361" s="69">
        <v>0</v>
      </c>
      <c r="V361" s="69">
        <v>204.79351693987701</v>
      </c>
      <c r="W361" s="69">
        <v>204.79351693987701</v>
      </c>
      <c r="X361" s="69">
        <v>204.79351693987701</v>
      </c>
      <c r="Y361" s="69">
        <v>204.79351693987701</v>
      </c>
      <c r="Z361" s="69">
        <v>204.79351693987701</v>
      </c>
      <c r="AA361" s="69">
        <v>204.79351693987701</v>
      </c>
      <c r="AB361" s="69">
        <v>204.79351693987701</v>
      </c>
      <c r="AC361" s="69">
        <v>204.79351693987701</v>
      </c>
      <c r="AD361" s="69">
        <v>204.79351693987701</v>
      </c>
      <c r="AE361" s="69">
        <v>204.79351693987701</v>
      </c>
      <c r="AF361" s="69">
        <v>204.79351693987701</v>
      </c>
      <c r="AG361" s="69">
        <v>204.79351693987701</v>
      </c>
    </row>
    <row r="362" spans="1:33" ht="12.75" customHeight="1">
      <c r="A362" s="231" t="s">
        <v>2375</v>
      </c>
      <c r="B362" s="69" t="s">
        <v>489</v>
      </c>
      <c r="C362" s="69" t="s">
        <v>186</v>
      </c>
      <c r="D362" s="69" t="s">
        <v>334</v>
      </c>
      <c r="E362" s="69" t="s">
        <v>260</v>
      </c>
      <c r="F362" s="69" t="s">
        <v>157</v>
      </c>
      <c r="G362" s="69" t="s">
        <v>192</v>
      </c>
      <c r="H362" s="69" t="s">
        <v>805</v>
      </c>
      <c r="I362" s="69">
        <v>2</v>
      </c>
      <c r="J362" s="238">
        <v>0.19559527787058692</v>
      </c>
      <c r="K362" s="238">
        <v>0</v>
      </c>
      <c r="L362" s="69">
        <v>307.09437722419932</v>
      </c>
      <c r="M362" s="69">
        <v>-26.263345195729539</v>
      </c>
      <c r="N362" s="69">
        <v>0</v>
      </c>
      <c r="O362" s="69">
        <v>0</v>
      </c>
      <c r="P362" s="69">
        <v>0</v>
      </c>
      <c r="Q362" s="69">
        <v>0</v>
      </c>
      <c r="R362" s="69">
        <v>0</v>
      </c>
      <c r="S362" s="69">
        <v>0</v>
      </c>
      <c r="T362" s="69">
        <v>0</v>
      </c>
      <c r="U362" s="69">
        <v>0</v>
      </c>
      <c r="V362" s="69">
        <v>0</v>
      </c>
      <c r="W362" s="69">
        <v>204.79351693987701</v>
      </c>
      <c r="X362" s="69">
        <v>204.79351693987701</v>
      </c>
      <c r="Y362" s="69">
        <v>204.79351693987701</v>
      </c>
      <c r="Z362" s="69">
        <v>204.79351693987701</v>
      </c>
      <c r="AA362" s="69">
        <v>204.79351693987701</v>
      </c>
      <c r="AB362" s="69">
        <v>204.79351693987701</v>
      </c>
      <c r="AC362" s="69">
        <v>204.79351693987701</v>
      </c>
      <c r="AD362" s="69">
        <v>204.79351693987701</v>
      </c>
      <c r="AE362" s="69">
        <v>204.79351693987701</v>
      </c>
      <c r="AF362" s="69">
        <v>204.79351693987701</v>
      </c>
      <c r="AG362" s="69">
        <v>204.79351693987701</v>
      </c>
    </row>
    <row r="363" spans="1:33" ht="12.75" customHeight="1">
      <c r="A363" s="231" t="s">
        <v>2375</v>
      </c>
      <c r="B363" s="69" t="s">
        <v>490</v>
      </c>
      <c r="C363" s="69" t="s">
        <v>186</v>
      </c>
      <c r="D363" s="69" t="s">
        <v>491</v>
      </c>
      <c r="E363" s="69" t="s">
        <v>203</v>
      </c>
      <c r="F363" s="69" t="s">
        <v>157</v>
      </c>
      <c r="G363" s="69" t="s">
        <v>192</v>
      </c>
      <c r="H363" s="69" t="s">
        <v>805</v>
      </c>
      <c r="I363" s="69">
        <v>2</v>
      </c>
      <c r="J363" s="238">
        <v>0.25568920072762369</v>
      </c>
      <c r="K363" s="238">
        <v>0</v>
      </c>
      <c r="L363" s="69">
        <v>224.96275862068964</v>
      </c>
      <c r="M363" s="69">
        <v>-20.090744101633398</v>
      </c>
      <c r="N363" s="69">
        <v>0</v>
      </c>
      <c r="O363" s="69">
        <v>0</v>
      </c>
      <c r="P363" s="69">
        <v>0</v>
      </c>
      <c r="Q363" s="69">
        <v>7.3988971149810823</v>
      </c>
      <c r="R363" s="69">
        <v>7.3988971149810823</v>
      </c>
      <c r="S363" s="69">
        <v>7.3988971149810823</v>
      </c>
      <c r="T363" s="69">
        <v>7.3988971149810823</v>
      </c>
      <c r="U363" s="69">
        <v>7.3988971149810823</v>
      </c>
      <c r="V363" s="69">
        <v>7.3988971149810823</v>
      </c>
      <c r="W363" s="69">
        <v>7.3988971149810823</v>
      </c>
      <c r="X363" s="69">
        <v>7.3988971149810823</v>
      </c>
      <c r="Y363" s="69">
        <v>7.3988971149810823</v>
      </c>
      <c r="Z363" s="69">
        <v>7.3988971149810823</v>
      </c>
      <c r="AA363" s="69">
        <v>7.3988971149810823</v>
      </c>
      <c r="AB363" s="69">
        <v>7.3988971149810823</v>
      </c>
      <c r="AC363" s="69">
        <v>7.3988971149810823</v>
      </c>
      <c r="AD363" s="69">
        <v>7.3988971149810823</v>
      </c>
      <c r="AE363" s="69">
        <v>7.3988971149810823</v>
      </c>
      <c r="AF363" s="69">
        <v>7.3988971149810823</v>
      </c>
      <c r="AG363" s="69">
        <v>7.3988971149810823</v>
      </c>
    </row>
    <row r="364" spans="1:33" ht="12.75" customHeight="1">
      <c r="A364" s="231" t="s">
        <v>2375</v>
      </c>
      <c r="B364" s="69" t="s">
        <v>492</v>
      </c>
      <c r="C364" s="69" t="s">
        <v>186</v>
      </c>
      <c r="D364" s="69" t="s">
        <v>491</v>
      </c>
      <c r="E364" s="69" t="s">
        <v>203</v>
      </c>
      <c r="F364" s="69" t="s">
        <v>157</v>
      </c>
      <c r="G364" s="69" t="s">
        <v>192</v>
      </c>
      <c r="H364" s="69" t="s">
        <v>805</v>
      </c>
      <c r="I364" s="69">
        <v>2</v>
      </c>
      <c r="J364" s="238">
        <v>0.25568920072762369</v>
      </c>
      <c r="K364" s="238">
        <v>0</v>
      </c>
      <c r="L364" s="69">
        <v>224.96275862068964</v>
      </c>
      <c r="M364" s="69">
        <v>-20.090744101633398</v>
      </c>
      <c r="N364" s="69">
        <v>0</v>
      </c>
      <c r="O364" s="69">
        <v>0</v>
      </c>
      <c r="P364" s="69">
        <v>0</v>
      </c>
      <c r="Q364" s="69">
        <v>0</v>
      </c>
      <c r="R364" s="69">
        <v>7.3988971149810823</v>
      </c>
      <c r="S364" s="69">
        <v>7.3988971149810823</v>
      </c>
      <c r="T364" s="69">
        <v>7.3988971149810823</v>
      </c>
      <c r="U364" s="69">
        <v>7.3988971149810823</v>
      </c>
      <c r="V364" s="69">
        <v>7.3988971149810823</v>
      </c>
      <c r="W364" s="69">
        <v>7.3988971149810823</v>
      </c>
      <c r="X364" s="69">
        <v>7.3988971149810823</v>
      </c>
      <c r="Y364" s="69">
        <v>7.3988971149810823</v>
      </c>
      <c r="Z364" s="69">
        <v>7.3988971149810823</v>
      </c>
      <c r="AA364" s="69">
        <v>7.3988971149810823</v>
      </c>
      <c r="AB364" s="69">
        <v>7.3988971149810823</v>
      </c>
      <c r="AC364" s="69">
        <v>7.3988971149810823</v>
      </c>
      <c r="AD364" s="69">
        <v>7.3988971149810823</v>
      </c>
      <c r="AE364" s="69">
        <v>7.3988971149810823</v>
      </c>
      <c r="AF364" s="69">
        <v>7.3988971149810823</v>
      </c>
      <c r="AG364" s="69">
        <v>7.3988971149810823</v>
      </c>
    </row>
    <row r="365" spans="1:33" ht="12.75" customHeight="1">
      <c r="A365" s="231" t="s">
        <v>2375</v>
      </c>
      <c r="B365" s="69" t="s">
        <v>493</v>
      </c>
      <c r="C365" s="69" t="s">
        <v>186</v>
      </c>
      <c r="D365" s="69" t="s">
        <v>491</v>
      </c>
      <c r="E365" s="69" t="s">
        <v>203</v>
      </c>
      <c r="F365" s="69" t="s">
        <v>157</v>
      </c>
      <c r="G365" s="69" t="s">
        <v>192</v>
      </c>
      <c r="H365" s="69" t="s">
        <v>805</v>
      </c>
      <c r="I365" s="69">
        <v>2</v>
      </c>
      <c r="J365" s="238">
        <v>0.25568920072762369</v>
      </c>
      <c r="K365" s="238">
        <v>0</v>
      </c>
      <c r="L365" s="69">
        <v>224.96275862068964</v>
      </c>
      <c r="M365" s="69">
        <v>-20.090744101633398</v>
      </c>
      <c r="N365" s="69">
        <v>0</v>
      </c>
      <c r="O365" s="69">
        <v>0</v>
      </c>
      <c r="P365" s="69">
        <v>0</v>
      </c>
      <c r="Q365" s="69">
        <v>0</v>
      </c>
      <c r="R365" s="69">
        <v>0</v>
      </c>
      <c r="S365" s="69">
        <v>7.3988971149810823</v>
      </c>
      <c r="T365" s="69">
        <v>7.3988971149810823</v>
      </c>
      <c r="U365" s="69">
        <v>7.3988971149810823</v>
      </c>
      <c r="V365" s="69">
        <v>7.3988971149810823</v>
      </c>
      <c r="W365" s="69">
        <v>7.3988971149810823</v>
      </c>
      <c r="X365" s="69">
        <v>7.3988971149810823</v>
      </c>
      <c r="Y365" s="69">
        <v>7.3988971149810823</v>
      </c>
      <c r="Z365" s="69">
        <v>7.3988971149810823</v>
      </c>
      <c r="AA365" s="69">
        <v>7.3988971149810823</v>
      </c>
      <c r="AB365" s="69">
        <v>7.3988971149810823</v>
      </c>
      <c r="AC365" s="69">
        <v>7.3988971149810823</v>
      </c>
      <c r="AD365" s="69">
        <v>7.3988971149810823</v>
      </c>
      <c r="AE365" s="69">
        <v>7.3988971149810823</v>
      </c>
      <c r="AF365" s="69">
        <v>7.3988971149810823</v>
      </c>
      <c r="AG365" s="69">
        <v>7.3988971149810823</v>
      </c>
    </row>
    <row r="366" spans="1:33" ht="12.75" customHeight="1">
      <c r="A366" s="231" t="s">
        <v>2375</v>
      </c>
      <c r="B366" s="69" t="s">
        <v>494</v>
      </c>
      <c r="C366" s="69" t="s">
        <v>186</v>
      </c>
      <c r="D366" s="69" t="s">
        <v>491</v>
      </c>
      <c r="E366" s="69" t="s">
        <v>203</v>
      </c>
      <c r="F366" s="69" t="s">
        <v>157</v>
      </c>
      <c r="G366" s="69" t="s">
        <v>192</v>
      </c>
      <c r="H366" s="69" t="s">
        <v>805</v>
      </c>
      <c r="I366" s="69">
        <v>2</v>
      </c>
      <c r="J366" s="238">
        <v>0.25568920072762369</v>
      </c>
      <c r="K366" s="238">
        <v>0</v>
      </c>
      <c r="L366" s="69">
        <v>224.96275862068964</v>
      </c>
      <c r="M366" s="69">
        <v>-20.090744101633398</v>
      </c>
      <c r="N366" s="69">
        <v>0</v>
      </c>
      <c r="O366" s="69">
        <v>0</v>
      </c>
      <c r="P366" s="69">
        <v>0</v>
      </c>
      <c r="Q366" s="69">
        <v>0</v>
      </c>
      <c r="R366" s="69">
        <v>0</v>
      </c>
      <c r="S366" s="69">
        <v>0</v>
      </c>
      <c r="T366" s="69">
        <v>7.3988971149810823</v>
      </c>
      <c r="U366" s="69">
        <v>7.3988971149810823</v>
      </c>
      <c r="V366" s="69">
        <v>7.3988971149810823</v>
      </c>
      <c r="W366" s="69">
        <v>7.3988971149810823</v>
      </c>
      <c r="X366" s="69">
        <v>7.3988971149810823</v>
      </c>
      <c r="Y366" s="69">
        <v>7.3988971149810823</v>
      </c>
      <c r="Z366" s="69">
        <v>7.3988971149810823</v>
      </c>
      <c r="AA366" s="69">
        <v>7.3988971149810823</v>
      </c>
      <c r="AB366" s="69">
        <v>7.3988971149810823</v>
      </c>
      <c r="AC366" s="69">
        <v>7.3988971149810823</v>
      </c>
      <c r="AD366" s="69">
        <v>7.3988971149810823</v>
      </c>
      <c r="AE366" s="69">
        <v>7.3988971149810823</v>
      </c>
      <c r="AF366" s="69">
        <v>7.3988971149810823</v>
      </c>
      <c r="AG366" s="69">
        <v>7.3988971149810823</v>
      </c>
    </row>
    <row r="367" spans="1:33" ht="12.75" customHeight="1">
      <c r="A367" s="231" t="s">
        <v>2375</v>
      </c>
      <c r="B367" s="69" t="s">
        <v>495</v>
      </c>
      <c r="C367" s="69" t="s">
        <v>186</v>
      </c>
      <c r="D367" s="69" t="s">
        <v>491</v>
      </c>
      <c r="E367" s="69" t="s">
        <v>203</v>
      </c>
      <c r="F367" s="69" t="s">
        <v>157</v>
      </c>
      <c r="G367" s="69" t="s">
        <v>192</v>
      </c>
      <c r="H367" s="69" t="s">
        <v>805</v>
      </c>
      <c r="I367" s="69">
        <v>2</v>
      </c>
      <c r="J367" s="238">
        <v>0.25568920072762369</v>
      </c>
      <c r="K367" s="238">
        <v>0</v>
      </c>
      <c r="L367" s="69">
        <v>224.96275862068964</v>
      </c>
      <c r="M367" s="69">
        <v>-20.090744101633398</v>
      </c>
      <c r="N367" s="69">
        <v>0</v>
      </c>
      <c r="O367" s="69">
        <v>0</v>
      </c>
      <c r="P367" s="69">
        <v>0</v>
      </c>
      <c r="Q367" s="69">
        <v>0</v>
      </c>
      <c r="R367" s="69">
        <v>0</v>
      </c>
      <c r="S367" s="69">
        <v>0</v>
      </c>
      <c r="T367" s="69">
        <v>0</v>
      </c>
      <c r="U367" s="69">
        <v>7.3988971149810823</v>
      </c>
      <c r="V367" s="69">
        <v>7.3988971149810823</v>
      </c>
      <c r="W367" s="69">
        <v>7.3988971149810823</v>
      </c>
      <c r="X367" s="69">
        <v>7.3988971149810823</v>
      </c>
      <c r="Y367" s="69">
        <v>7.3988971149810823</v>
      </c>
      <c r="Z367" s="69">
        <v>7.3988971149810823</v>
      </c>
      <c r="AA367" s="69">
        <v>7.3988971149810823</v>
      </c>
      <c r="AB367" s="69">
        <v>7.3988971149810823</v>
      </c>
      <c r="AC367" s="69">
        <v>7.3988971149810823</v>
      </c>
      <c r="AD367" s="69">
        <v>7.3988971149810823</v>
      </c>
      <c r="AE367" s="69">
        <v>7.3988971149810823</v>
      </c>
      <c r="AF367" s="69">
        <v>7.3988971149810823</v>
      </c>
      <c r="AG367" s="69">
        <v>7.3988971149810823</v>
      </c>
    </row>
    <row r="368" spans="1:33" ht="12.75" customHeight="1">
      <c r="A368" s="231" t="s">
        <v>2375</v>
      </c>
      <c r="B368" s="69" t="s">
        <v>496</v>
      </c>
      <c r="C368" s="69" t="s">
        <v>186</v>
      </c>
      <c r="D368" s="69" t="s">
        <v>491</v>
      </c>
      <c r="E368" s="69" t="s">
        <v>203</v>
      </c>
      <c r="F368" s="69" t="s">
        <v>157</v>
      </c>
      <c r="G368" s="69" t="s">
        <v>192</v>
      </c>
      <c r="H368" s="69" t="s">
        <v>805</v>
      </c>
      <c r="I368" s="69">
        <v>2</v>
      </c>
      <c r="J368" s="238">
        <v>0.25568920072762369</v>
      </c>
      <c r="K368" s="238">
        <v>0</v>
      </c>
      <c r="L368" s="69">
        <v>224.96275862068964</v>
      </c>
      <c r="M368" s="69">
        <v>-20.090744101633398</v>
      </c>
      <c r="N368" s="69">
        <v>0</v>
      </c>
      <c r="O368" s="69">
        <v>0</v>
      </c>
      <c r="P368" s="69">
        <v>0</v>
      </c>
      <c r="Q368" s="69">
        <v>0</v>
      </c>
      <c r="R368" s="69">
        <v>0</v>
      </c>
      <c r="S368" s="69">
        <v>0</v>
      </c>
      <c r="T368" s="69">
        <v>0</v>
      </c>
      <c r="U368" s="69">
        <v>0</v>
      </c>
      <c r="V368" s="69">
        <v>7.3988971149810823</v>
      </c>
      <c r="W368" s="69">
        <v>7.3988971149810823</v>
      </c>
      <c r="X368" s="69">
        <v>7.3988971149810823</v>
      </c>
      <c r="Y368" s="69">
        <v>7.3988971149810823</v>
      </c>
      <c r="Z368" s="69">
        <v>7.3988971149810823</v>
      </c>
      <c r="AA368" s="69">
        <v>7.3988971149810823</v>
      </c>
      <c r="AB368" s="69">
        <v>7.3988971149810823</v>
      </c>
      <c r="AC368" s="69">
        <v>7.3988971149810823</v>
      </c>
      <c r="AD368" s="69">
        <v>7.3988971149810823</v>
      </c>
      <c r="AE368" s="69">
        <v>7.3988971149810823</v>
      </c>
      <c r="AF368" s="69">
        <v>7.3988971149810823</v>
      </c>
      <c r="AG368" s="69">
        <v>7.3988971149810823</v>
      </c>
    </row>
    <row r="369" spans="1:33" ht="12.75" customHeight="1">
      <c r="A369" s="231" t="s">
        <v>2375</v>
      </c>
      <c r="B369" s="69" t="s">
        <v>497</v>
      </c>
      <c r="C369" s="69" t="s">
        <v>186</v>
      </c>
      <c r="D369" s="69" t="s">
        <v>491</v>
      </c>
      <c r="E369" s="69" t="s">
        <v>203</v>
      </c>
      <c r="F369" s="69" t="s">
        <v>157</v>
      </c>
      <c r="G369" s="69" t="s">
        <v>192</v>
      </c>
      <c r="H369" s="69" t="s">
        <v>805</v>
      </c>
      <c r="I369" s="69">
        <v>2</v>
      </c>
      <c r="J369" s="238">
        <v>0.25568920072762369</v>
      </c>
      <c r="K369" s="238">
        <v>0</v>
      </c>
      <c r="L369" s="69">
        <v>224.96275862068964</v>
      </c>
      <c r="M369" s="69">
        <v>-20.090744101633398</v>
      </c>
      <c r="N369" s="69">
        <v>0</v>
      </c>
      <c r="O369" s="69">
        <v>0</v>
      </c>
      <c r="P369" s="69">
        <v>0</v>
      </c>
      <c r="Q369" s="69">
        <v>0</v>
      </c>
      <c r="R369" s="69">
        <v>0</v>
      </c>
      <c r="S369" s="69">
        <v>0</v>
      </c>
      <c r="T369" s="69">
        <v>0</v>
      </c>
      <c r="U369" s="69">
        <v>0</v>
      </c>
      <c r="V369" s="69">
        <v>0</v>
      </c>
      <c r="W369" s="69">
        <v>7.3988971149810823</v>
      </c>
      <c r="X369" s="69">
        <v>7.3988971149810823</v>
      </c>
      <c r="Y369" s="69">
        <v>7.3988971149810823</v>
      </c>
      <c r="Z369" s="69">
        <v>7.3988971149810823</v>
      </c>
      <c r="AA369" s="69">
        <v>7.3988971149810823</v>
      </c>
      <c r="AB369" s="69">
        <v>7.3988971149810823</v>
      </c>
      <c r="AC369" s="69">
        <v>7.3988971149810823</v>
      </c>
      <c r="AD369" s="69">
        <v>7.3988971149810823</v>
      </c>
      <c r="AE369" s="69">
        <v>7.3988971149810823</v>
      </c>
      <c r="AF369" s="69">
        <v>7.3988971149810823</v>
      </c>
      <c r="AG369" s="69">
        <v>7.3988971149810823</v>
      </c>
    </row>
    <row r="370" spans="1:33" ht="12.75" customHeight="1">
      <c r="A370" s="231" t="s">
        <v>2375</v>
      </c>
      <c r="B370" s="69" t="s">
        <v>498</v>
      </c>
      <c r="C370" s="69" t="s">
        <v>186</v>
      </c>
      <c r="D370" s="69" t="s">
        <v>491</v>
      </c>
      <c r="E370" s="69" t="s">
        <v>260</v>
      </c>
      <c r="F370" s="69" t="s">
        <v>157</v>
      </c>
      <c r="G370" s="69" t="s">
        <v>192</v>
      </c>
      <c r="H370" s="69" t="s">
        <v>805</v>
      </c>
      <c r="I370" s="69">
        <v>2</v>
      </c>
      <c r="J370" s="238">
        <v>0.23712737127371272</v>
      </c>
      <c r="K370" s="238">
        <v>0</v>
      </c>
      <c r="L370" s="69">
        <v>242.57236790606657</v>
      </c>
      <c r="M370" s="69">
        <v>-21.663405088062625</v>
      </c>
      <c r="N370" s="69">
        <v>0</v>
      </c>
      <c r="O370" s="69">
        <v>0</v>
      </c>
      <c r="P370" s="69">
        <v>0</v>
      </c>
      <c r="Q370" s="69">
        <v>3.8391234146329225</v>
      </c>
      <c r="R370" s="69">
        <v>3.8391234146329225</v>
      </c>
      <c r="S370" s="69">
        <v>3.8391234146329225</v>
      </c>
      <c r="T370" s="69">
        <v>3.8391234146329225</v>
      </c>
      <c r="U370" s="69">
        <v>3.8391234146329225</v>
      </c>
      <c r="V370" s="69">
        <v>3.8391234146329225</v>
      </c>
      <c r="W370" s="69">
        <v>3.8391234146329225</v>
      </c>
      <c r="X370" s="69">
        <v>3.8391234146329225</v>
      </c>
      <c r="Y370" s="69">
        <v>3.8391234146329225</v>
      </c>
      <c r="Z370" s="69">
        <v>3.8391234146329225</v>
      </c>
      <c r="AA370" s="69">
        <v>3.8391234146329225</v>
      </c>
      <c r="AB370" s="69">
        <v>3.8391234146329225</v>
      </c>
      <c r="AC370" s="69">
        <v>3.8391234146329225</v>
      </c>
      <c r="AD370" s="69">
        <v>3.8391234146329225</v>
      </c>
      <c r="AE370" s="69">
        <v>3.8391234146329225</v>
      </c>
      <c r="AF370" s="69">
        <v>3.8391234146329225</v>
      </c>
      <c r="AG370" s="69">
        <v>3.8391234146329225</v>
      </c>
    </row>
    <row r="371" spans="1:33" ht="12.75" customHeight="1">
      <c r="A371" s="231" t="s">
        <v>2375</v>
      </c>
      <c r="B371" s="69" t="s">
        <v>499</v>
      </c>
      <c r="C371" s="69" t="s">
        <v>186</v>
      </c>
      <c r="D371" s="69" t="s">
        <v>491</v>
      </c>
      <c r="E371" s="69" t="s">
        <v>260</v>
      </c>
      <c r="F371" s="69" t="s">
        <v>157</v>
      </c>
      <c r="G371" s="69" t="s">
        <v>192</v>
      </c>
      <c r="H371" s="69" t="s">
        <v>805</v>
      </c>
      <c r="I371" s="69">
        <v>2</v>
      </c>
      <c r="J371" s="238">
        <v>0.23712737127371272</v>
      </c>
      <c r="K371" s="238">
        <v>0</v>
      </c>
      <c r="L371" s="69">
        <v>242.57236790606657</v>
      </c>
      <c r="M371" s="69">
        <v>-21.663405088062625</v>
      </c>
      <c r="N371" s="69">
        <v>0</v>
      </c>
      <c r="O371" s="69">
        <v>0</v>
      </c>
      <c r="P371" s="69">
        <v>0</v>
      </c>
      <c r="Q371" s="69">
        <v>0</v>
      </c>
      <c r="R371" s="69">
        <v>3.8391234146329225</v>
      </c>
      <c r="S371" s="69">
        <v>3.8391234146329225</v>
      </c>
      <c r="T371" s="69">
        <v>3.8391234146329225</v>
      </c>
      <c r="U371" s="69">
        <v>3.8391234146329225</v>
      </c>
      <c r="V371" s="69">
        <v>3.8391234146329225</v>
      </c>
      <c r="W371" s="69">
        <v>3.8391234146329225</v>
      </c>
      <c r="X371" s="69">
        <v>3.8391234146329225</v>
      </c>
      <c r="Y371" s="69">
        <v>3.8391234146329225</v>
      </c>
      <c r="Z371" s="69">
        <v>3.8391234146329225</v>
      </c>
      <c r="AA371" s="69">
        <v>3.8391234146329225</v>
      </c>
      <c r="AB371" s="69">
        <v>3.8391234146329225</v>
      </c>
      <c r="AC371" s="69">
        <v>3.8391234146329225</v>
      </c>
      <c r="AD371" s="69">
        <v>3.8391234146329225</v>
      </c>
      <c r="AE371" s="69">
        <v>3.8391234146329225</v>
      </c>
      <c r="AF371" s="69">
        <v>3.8391234146329225</v>
      </c>
      <c r="AG371" s="69">
        <v>3.8391234146329225</v>
      </c>
    </row>
    <row r="372" spans="1:33" ht="12.75" customHeight="1">
      <c r="A372" s="231" t="s">
        <v>2375</v>
      </c>
      <c r="B372" s="69" t="s">
        <v>500</v>
      </c>
      <c r="C372" s="69" t="s">
        <v>186</v>
      </c>
      <c r="D372" s="69" t="s">
        <v>491</v>
      </c>
      <c r="E372" s="69" t="s">
        <v>260</v>
      </c>
      <c r="F372" s="69" t="s">
        <v>157</v>
      </c>
      <c r="G372" s="69" t="s">
        <v>192</v>
      </c>
      <c r="H372" s="69" t="s">
        <v>805</v>
      </c>
      <c r="I372" s="69">
        <v>2</v>
      </c>
      <c r="J372" s="238">
        <v>0.23712737127371272</v>
      </c>
      <c r="K372" s="238">
        <v>0</v>
      </c>
      <c r="L372" s="69">
        <v>242.57236790606657</v>
      </c>
      <c r="M372" s="69">
        <v>-21.663405088062625</v>
      </c>
      <c r="N372" s="69">
        <v>0</v>
      </c>
      <c r="O372" s="69">
        <v>0</v>
      </c>
      <c r="P372" s="69">
        <v>0</v>
      </c>
      <c r="Q372" s="69">
        <v>0</v>
      </c>
      <c r="R372" s="69">
        <v>0</v>
      </c>
      <c r="S372" s="69">
        <v>3.8391234146329225</v>
      </c>
      <c r="T372" s="69">
        <v>3.8391234146329225</v>
      </c>
      <c r="U372" s="69">
        <v>3.8391234146329225</v>
      </c>
      <c r="V372" s="69">
        <v>3.8391234146329225</v>
      </c>
      <c r="W372" s="69">
        <v>3.8391234146329225</v>
      </c>
      <c r="X372" s="69">
        <v>3.8391234146329225</v>
      </c>
      <c r="Y372" s="69">
        <v>3.8391234146329225</v>
      </c>
      <c r="Z372" s="69">
        <v>3.8391234146329225</v>
      </c>
      <c r="AA372" s="69">
        <v>3.8391234146329225</v>
      </c>
      <c r="AB372" s="69">
        <v>3.8391234146329225</v>
      </c>
      <c r="AC372" s="69">
        <v>3.8391234146329225</v>
      </c>
      <c r="AD372" s="69">
        <v>3.8391234146329225</v>
      </c>
      <c r="AE372" s="69">
        <v>3.8391234146329225</v>
      </c>
      <c r="AF372" s="69">
        <v>3.8391234146329225</v>
      </c>
      <c r="AG372" s="69">
        <v>3.8391234146329225</v>
      </c>
    </row>
    <row r="373" spans="1:33" ht="12.75" customHeight="1">
      <c r="A373" s="231" t="s">
        <v>2375</v>
      </c>
      <c r="B373" s="69" t="s">
        <v>501</v>
      </c>
      <c r="C373" s="69" t="s">
        <v>186</v>
      </c>
      <c r="D373" s="69" t="s">
        <v>491</v>
      </c>
      <c r="E373" s="69" t="s">
        <v>260</v>
      </c>
      <c r="F373" s="69" t="s">
        <v>157</v>
      </c>
      <c r="G373" s="69" t="s">
        <v>192</v>
      </c>
      <c r="H373" s="69" t="s">
        <v>805</v>
      </c>
      <c r="I373" s="69">
        <v>2</v>
      </c>
      <c r="J373" s="238">
        <v>0.23712737127371272</v>
      </c>
      <c r="K373" s="238">
        <v>0</v>
      </c>
      <c r="L373" s="69">
        <v>242.57236790606657</v>
      </c>
      <c r="M373" s="69">
        <v>-21.663405088062625</v>
      </c>
      <c r="N373" s="69">
        <v>0</v>
      </c>
      <c r="O373" s="69">
        <v>0</v>
      </c>
      <c r="P373" s="69">
        <v>0</v>
      </c>
      <c r="Q373" s="69">
        <v>0</v>
      </c>
      <c r="R373" s="69">
        <v>0</v>
      </c>
      <c r="S373" s="69">
        <v>0</v>
      </c>
      <c r="T373" s="69">
        <v>3.8391234146329225</v>
      </c>
      <c r="U373" s="69">
        <v>3.8391234146329225</v>
      </c>
      <c r="V373" s="69">
        <v>3.8391234146329225</v>
      </c>
      <c r="W373" s="69">
        <v>3.8391234146329225</v>
      </c>
      <c r="X373" s="69">
        <v>3.8391234146329225</v>
      </c>
      <c r="Y373" s="69">
        <v>3.8391234146329225</v>
      </c>
      <c r="Z373" s="69">
        <v>3.8391234146329225</v>
      </c>
      <c r="AA373" s="69">
        <v>3.8391234146329225</v>
      </c>
      <c r="AB373" s="69">
        <v>3.8391234146329225</v>
      </c>
      <c r="AC373" s="69">
        <v>3.8391234146329225</v>
      </c>
      <c r="AD373" s="69">
        <v>3.8391234146329225</v>
      </c>
      <c r="AE373" s="69">
        <v>3.8391234146329225</v>
      </c>
      <c r="AF373" s="69">
        <v>3.8391234146329225</v>
      </c>
      <c r="AG373" s="69">
        <v>3.8391234146329225</v>
      </c>
    </row>
    <row r="374" spans="1:33" ht="12.75" customHeight="1">
      <c r="A374" s="231" t="s">
        <v>2375</v>
      </c>
      <c r="B374" s="69" t="s">
        <v>502</v>
      </c>
      <c r="C374" s="69" t="s">
        <v>186</v>
      </c>
      <c r="D374" s="69" t="s">
        <v>491</v>
      </c>
      <c r="E374" s="69" t="s">
        <v>260</v>
      </c>
      <c r="F374" s="69" t="s">
        <v>157</v>
      </c>
      <c r="G374" s="69" t="s">
        <v>192</v>
      </c>
      <c r="H374" s="69" t="s">
        <v>805</v>
      </c>
      <c r="I374" s="69">
        <v>2</v>
      </c>
      <c r="J374" s="238">
        <v>0.23712737127371272</v>
      </c>
      <c r="K374" s="238">
        <v>0</v>
      </c>
      <c r="L374" s="69">
        <v>242.57236790606657</v>
      </c>
      <c r="M374" s="69">
        <v>-21.663405088062625</v>
      </c>
      <c r="N374" s="69">
        <v>0</v>
      </c>
      <c r="O374" s="69">
        <v>0</v>
      </c>
      <c r="P374" s="69">
        <v>0</v>
      </c>
      <c r="Q374" s="69">
        <v>0</v>
      </c>
      <c r="R374" s="69">
        <v>0</v>
      </c>
      <c r="S374" s="69">
        <v>0</v>
      </c>
      <c r="T374" s="69">
        <v>0</v>
      </c>
      <c r="U374" s="69">
        <v>3.8391234146329225</v>
      </c>
      <c r="V374" s="69">
        <v>3.8391234146329225</v>
      </c>
      <c r="W374" s="69">
        <v>3.8391234146329225</v>
      </c>
      <c r="X374" s="69">
        <v>3.8391234146329225</v>
      </c>
      <c r="Y374" s="69">
        <v>3.8391234146329225</v>
      </c>
      <c r="Z374" s="69">
        <v>3.8391234146329225</v>
      </c>
      <c r="AA374" s="69">
        <v>3.8391234146329225</v>
      </c>
      <c r="AB374" s="69">
        <v>3.8391234146329225</v>
      </c>
      <c r="AC374" s="69">
        <v>3.8391234146329225</v>
      </c>
      <c r="AD374" s="69">
        <v>3.8391234146329225</v>
      </c>
      <c r="AE374" s="69">
        <v>3.8391234146329225</v>
      </c>
      <c r="AF374" s="69">
        <v>3.8391234146329225</v>
      </c>
      <c r="AG374" s="69">
        <v>3.8391234146329225</v>
      </c>
    </row>
    <row r="375" spans="1:33" ht="12.75" customHeight="1">
      <c r="A375" s="231" t="s">
        <v>2375</v>
      </c>
      <c r="B375" s="69" t="s">
        <v>503</v>
      </c>
      <c r="C375" s="69" t="s">
        <v>186</v>
      </c>
      <c r="D375" s="69" t="s">
        <v>491</v>
      </c>
      <c r="E375" s="69" t="s">
        <v>260</v>
      </c>
      <c r="F375" s="69" t="s">
        <v>157</v>
      </c>
      <c r="G375" s="69" t="s">
        <v>192</v>
      </c>
      <c r="H375" s="69" t="s">
        <v>805</v>
      </c>
      <c r="I375" s="69">
        <v>2</v>
      </c>
      <c r="J375" s="238">
        <v>0.23712737127371272</v>
      </c>
      <c r="K375" s="238">
        <v>0</v>
      </c>
      <c r="L375" s="69">
        <v>242.57236790606657</v>
      </c>
      <c r="M375" s="69">
        <v>-21.663405088062625</v>
      </c>
      <c r="N375" s="69">
        <v>0</v>
      </c>
      <c r="O375" s="69">
        <v>0</v>
      </c>
      <c r="P375" s="69">
        <v>0</v>
      </c>
      <c r="Q375" s="69">
        <v>0</v>
      </c>
      <c r="R375" s="69">
        <v>0</v>
      </c>
      <c r="S375" s="69">
        <v>0</v>
      </c>
      <c r="T375" s="69">
        <v>0</v>
      </c>
      <c r="U375" s="69">
        <v>0</v>
      </c>
      <c r="V375" s="69">
        <v>3.8391234146329225</v>
      </c>
      <c r="W375" s="69">
        <v>3.8391234146329225</v>
      </c>
      <c r="X375" s="69">
        <v>3.8391234146329225</v>
      </c>
      <c r="Y375" s="69">
        <v>3.8391234146329225</v>
      </c>
      <c r="Z375" s="69">
        <v>3.8391234146329225</v>
      </c>
      <c r="AA375" s="69">
        <v>3.8391234146329225</v>
      </c>
      <c r="AB375" s="69">
        <v>3.8391234146329225</v>
      </c>
      <c r="AC375" s="69">
        <v>3.8391234146329225</v>
      </c>
      <c r="AD375" s="69">
        <v>3.8391234146329225</v>
      </c>
      <c r="AE375" s="69">
        <v>3.8391234146329225</v>
      </c>
      <c r="AF375" s="69">
        <v>3.8391234146329225</v>
      </c>
      <c r="AG375" s="69">
        <v>3.8391234146329225</v>
      </c>
    </row>
    <row r="376" spans="1:33" ht="12.75" customHeight="1">
      <c r="A376" s="231" t="s">
        <v>2375</v>
      </c>
      <c r="B376" s="69" t="s">
        <v>504</v>
      </c>
      <c r="C376" s="69" t="s">
        <v>186</v>
      </c>
      <c r="D376" s="69" t="s">
        <v>491</v>
      </c>
      <c r="E376" s="69" t="s">
        <v>260</v>
      </c>
      <c r="F376" s="69" t="s">
        <v>157</v>
      </c>
      <c r="G376" s="69" t="s">
        <v>192</v>
      </c>
      <c r="H376" s="69" t="s">
        <v>805</v>
      </c>
      <c r="I376" s="69">
        <v>2</v>
      </c>
      <c r="J376" s="238">
        <v>0.23712737127371272</v>
      </c>
      <c r="K376" s="238">
        <v>0</v>
      </c>
      <c r="L376" s="69">
        <v>242.57236790606657</v>
      </c>
      <c r="M376" s="69">
        <v>-21.663405088062625</v>
      </c>
      <c r="N376" s="69">
        <v>0</v>
      </c>
      <c r="O376" s="69">
        <v>0</v>
      </c>
      <c r="P376" s="69">
        <v>0</v>
      </c>
      <c r="Q376" s="69">
        <v>0</v>
      </c>
      <c r="R376" s="69">
        <v>0</v>
      </c>
      <c r="S376" s="69">
        <v>0</v>
      </c>
      <c r="T376" s="69">
        <v>0</v>
      </c>
      <c r="U376" s="69">
        <v>0</v>
      </c>
      <c r="V376" s="69">
        <v>0</v>
      </c>
      <c r="W376" s="69">
        <v>3.8391234146329225</v>
      </c>
      <c r="X376" s="69">
        <v>3.8391234146329225</v>
      </c>
      <c r="Y376" s="69">
        <v>3.8391234146329225</v>
      </c>
      <c r="Z376" s="69">
        <v>3.8391234146329225</v>
      </c>
      <c r="AA376" s="69">
        <v>3.8391234146329225</v>
      </c>
      <c r="AB376" s="69">
        <v>3.8391234146329225</v>
      </c>
      <c r="AC376" s="69">
        <v>3.8391234146329225</v>
      </c>
      <c r="AD376" s="69">
        <v>3.8391234146329225</v>
      </c>
      <c r="AE376" s="69">
        <v>3.8391234146329225</v>
      </c>
      <c r="AF376" s="69">
        <v>3.8391234146329225</v>
      </c>
      <c r="AG376" s="69">
        <v>3.8391234146329225</v>
      </c>
    </row>
    <row r="377" spans="1:33" ht="12.75" customHeight="1">
      <c r="A377" s="231" t="s">
        <v>2375</v>
      </c>
      <c r="B377" s="69" t="s">
        <v>505</v>
      </c>
      <c r="C377" s="69" t="s">
        <v>186</v>
      </c>
      <c r="D377" s="69" t="s">
        <v>259</v>
      </c>
      <c r="E377" s="69" t="s">
        <v>203</v>
      </c>
      <c r="F377" s="69" t="s">
        <v>157</v>
      </c>
      <c r="G377" s="69" t="s">
        <v>192</v>
      </c>
      <c r="H377" s="69" t="s">
        <v>805</v>
      </c>
      <c r="I377" s="69">
        <v>2</v>
      </c>
      <c r="J377" s="238">
        <v>0.23561922263058246</v>
      </c>
      <c r="K377" s="238">
        <v>0</v>
      </c>
      <c r="L377" s="69">
        <v>208.597341211226</v>
      </c>
      <c r="M377" s="69">
        <v>-4.8449039881831615</v>
      </c>
      <c r="N377" s="69">
        <v>0</v>
      </c>
      <c r="O377" s="69">
        <v>0</v>
      </c>
      <c r="P377" s="69">
        <v>0</v>
      </c>
      <c r="Q377" s="69">
        <v>32.416682491289976</v>
      </c>
      <c r="R377" s="69">
        <v>32.416682491289976</v>
      </c>
      <c r="S377" s="69">
        <v>32.416682491289976</v>
      </c>
      <c r="T377" s="69">
        <v>32.416682491289976</v>
      </c>
      <c r="U377" s="69">
        <v>32.416682491289976</v>
      </c>
      <c r="V377" s="69">
        <v>32.416682491289976</v>
      </c>
      <c r="W377" s="69">
        <v>32.416682491289976</v>
      </c>
      <c r="X377" s="69">
        <v>32.416682491289976</v>
      </c>
      <c r="Y377" s="69">
        <v>32.416682491289976</v>
      </c>
      <c r="Z377" s="69">
        <v>32.416682491289976</v>
      </c>
      <c r="AA377" s="69">
        <v>32.416682491289976</v>
      </c>
      <c r="AB377" s="69">
        <v>32.416682491289976</v>
      </c>
      <c r="AC377" s="69">
        <v>32.416682491289976</v>
      </c>
      <c r="AD377" s="69">
        <v>32.416682491289976</v>
      </c>
      <c r="AE377" s="69">
        <v>32.416682491289976</v>
      </c>
      <c r="AF377" s="69">
        <v>32.416682491289976</v>
      </c>
      <c r="AG377" s="69">
        <v>32.416682491289976</v>
      </c>
    </row>
    <row r="378" spans="1:33" ht="12.75" customHeight="1">
      <c r="A378" s="231" t="s">
        <v>2375</v>
      </c>
      <c r="B378" s="69" t="s">
        <v>506</v>
      </c>
      <c r="C378" s="69" t="s">
        <v>186</v>
      </c>
      <c r="D378" s="69" t="s">
        <v>259</v>
      </c>
      <c r="E378" s="69" t="s">
        <v>203</v>
      </c>
      <c r="F378" s="69" t="s">
        <v>157</v>
      </c>
      <c r="G378" s="69" t="s">
        <v>192</v>
      </c>
      <c r="H378" s="69" t="s">
        <v>805</v>
      </c>
      <c r="I378" s="69">
        <v>2</v>
      </c>
      <c r="J378" s="238">
        <v>0.23561922263058246</v>
      </c>
      <c r="K378" s="238">
        <v>0</v>
      </c>
      <c r="L378" s="69">
        <v>208.597341211226</v>
      </c>
      <c r="M378" s="69">
        <v>-4.8449039881831615</v>
      </c>
      <c r="N378" s="69">
        <v>0</v>
      </c>
      <c r="O378" s="69">
        <v>0</v>
      </c>
      <c r="P378" s="69">
        <v>0</v>
      </c>
      <c r="Q378" s="69">
        <v>0</v>
      </c>
      <c r="R378" s="69">
        <v>32.416682491289976</v>
      </c>
      <c r="S378" s="69">
        <v>32.416682491289976</v>
      </c>
      <c r="T378" s="69">
        <v>32.416682491289976</v>
      </c>
      <c r="U378" s="69">
        <v>32.416682491289976</v>
      </c>
      <c r="V378" s="69">
        <v>32.416682491289976</v>
      </c>
      <c r="W378" s="69">
        <v>32.416682491289976</v>
      </c>
      <c r="X378" s="69">
        <v>32.416682491289976</v>
      </c>
      <c r="Y378" s="69">
        <v>32.416682491289976</v>
      </c>
      <c r="Z378" s="69">
        <v>32.416682491289976</v>
      </c>
      <c r="AA378" s="69">
        <v>32.416682491289976</v>
      </c>
      <c r="AB378" s="69">
        <v>32.416682491289976</v>
      </c>
      <c r="AC378" s="69">
        <v>32.416682491289976</v>
      </c>
      <c r="AD378" s="69">
        <v>32.416682491289976</v>
      </c>
      <c r="AE378" s="69">
        <v>32.416682491289976</v>
      </c>
      <c r="AF378" s="69">
        <v>32.416682491289976</v>
      </c>
      <c r="AG378" s="69">
        <v>32.416682491289976</v>
      </c>
    </row>
    <row r="379" spans="1:33" ht="12.75" customHeight="1">
      <c r="A379" s="231" t="s">
        <v>2375</v>
      </c>
      <c r="B379" s="69" t="s">
        <v>507</v>
      </c>
      <c r="C379" s="69" t="s">
        <v>186</v>
      </c>
      <c r="D379" s="69" t="s">
        <v>259</v>
      </c>
      <c r="E379" s="69" t="s">
        <v>203</v>
      </c>
      <c r="F379" s="69" t="s">
        <v>157</v>
      </c>
      <c r="G379" s="69" t="s">
        <v>192</v>
      </c>
      <c r="H379" s="69" t="s">
        <v>805</v>
      </c>
      <c r="I379" s="69">
        <v>2</v>
      </c>
      <c r="J379" s="238">
        <v>0.23561922263058246</v>
      </c>
      <c r="K379" s="238">
        <v>0</v>
      </c>
      <c r="L379" s="69">
        <v>208.597341211226</v>
      </c>
      <c r="M379" s="69">
        <v>-4.8449039881831615</v>
      </c>
      <c r="N379" s="69">
        <v>0</v>
      </c>
      <c r="O379" s="69">
        <v>0</v>
      </c>
      <c r="P379" s="69">
        <v>0</v>
      </c>
      <c r="Q379" s="69">
        <v>0</v>
      </c>
      <c r="R379" s="69">
        <v>0</v>
      </c>
      <c r="S379" s="69">
        <v>32.416682491289976</v>
      </c>
      <c r="T379" s="69">
        <v>32.416682491289976</v>
      </c>
      <c r="U379" s="69">
        <v>32.416682491289976</v>
      </c>
      <c r="V379" s="69">
        <v>32.416682491289976</v>
      </c>
      <c r="W379" s="69">
        <v>32.416682491289976</v>
      </c>
      <c r="X379" s="69">
        <v>32.416682491289976</v>
      </c>
      <c r="Y379" s="69">
        <v>32.416682491289976</v>
      </c>
      <c r="Z379" s="69">
        <v>32.416682491289976</v>
      </c>
      <c r="AA379" s="69">
        <v>32.416682491289976</v>
      </c>
      <c r="AB379" s="69">
        <v>32.416682491289976</v>
      </c>
      <c r="AC379" s="69">
        <v>32.416682491289976</v>
      </c>
      <c r="AD379" s="69">
        <v>32.416682491289976</v>
      </c>
      <c r="AE379" s="69">
        <v>32.416682491289976</v>
      </c>
      <c r="AF379" s="69">
        <v>32.416682491289976</v>
      </c>
      <c r="AG379" s="69">
        <v>32.416682491289976</v>
      </c>
    </row>
    <row r="380" spans="1:33" ht="12.75" customHeight="1">
      <c r="A380" s="231" t="s">
        <v>2375</v>
      </c>
      <c r="B380" s="69" t="s">
        <v>508</v>
      </c>
      <c r="C380" s="69" t="s">
        <v>186</v>
      </c>
      <c r="D380" s="69" t="s">
        <v>259</v>
      </c>
      <c r="E380" s="69" t="s">
        <v>203</v>
      </c>
      <c r="F380" s="69" t="s">
        <v>157</v>
      </c>
      <c r="G380" s="69" t="s">
        <v>192</v>
      </c>
      <c r="H380" s="69" t="s">
        <v>805</v>
      </c>
      <c r="I380" s="69">
        <v>2</v>
      </c>
      <c r="J380" s="238">
        <v>0.23561922263058246</v>
      </c>
      <c r="K380" s="238">
        <v>0</v>
      </c>
      <c r="L380" s="69">
        <v>208.597341211226</v>
      </c>
      <c r="M380" s="69">
        <v>-4.8449039881831615</v>
      </c>
      <c r="N380" s="69">
        <v>0</v>
      </c>
      <c r="O380" s="69">
        <v>0</v>
      </c>
      <c r="P380" s="69">
        <v>0</v>
      </c>
      <c r="Q380" s="69">
        <v>0</v>
      </c>
      <c r="R380" s="69">
        <v>0</v>
      </c>
      <c r="S380" s="69">
        <v>0</v>
      </c>
      <c r="T380" s="69">
        <v>32.416682491289976</v>
      </c>
      <c r="U380" s="69">
        <v>32.416682491289976</v>
      </c>
      <c r="V380" s="69">
        <v>32.416682491289976</v>
      </c>
      <c r="W380" s="69">
        <v>32.416682491289976</v>
      </c>
      <c r="X380" s="69">
        <v>32.416682491289976</v>
      </c>
      <c r="Y380" s="69">
        <v>32.416682491289976</v>
      </c>
      <c r="Z380" s="69">
        <v>32.416682491289976</v>
      </c>
      <c r="AA380" s="69">
        <v>32.416682491289976</v>
      </c>
      <c r="AB380" s="69">
        <v>32.416682491289976</v>
      </c>
      <c r="AC380" s="69">
        <v>32.416682491289976</v>
      </c>
      <c r="AD380" s="69">
        <v>32.416682491289976</v>
      </c>
      <c r="AE380" s="69">
        <v>32.416682491289976</v>
      </c>
      <c r="AF380" s="69">
        <v>32.416682491289976</v>
      </c>
      <c r="AG380" s="69">
        <v>32.416682491289976</v>
      </c>
    </row>
    <row r="381" spans="1:33" ht="12.75" customHeight="1">
      <c r="A381" s="231" t="s">
        <v>2375</v>
      </c>
      <c r="B381" s="69" t="s">
        <v>509</v>
      </c>
      <c r="C381" s="69" t="s">
        <v>186</v>
      </c>
      <c r="D381" s="69" t="s">
        <v>259</v>
      </c>
      <c r="E381" s="69" t="s">
        <v>203</v>
      </c>
      <c r="F381" s="69" t="s">
        <v>157</v>
      </c>
      <c r="G381" s="69" t="s">
        <v>192</v>
      </c>
      <c r="H381" s="69" t="s">
        <v>805</v>
      </c>
      <c r="I381" s="69">
        <v>2</v>
      </c>
      <c r="J381" s="238">
        <v>0.23561922263058246</v>
      </c>
      <c r="K381" s="238">
        <v>0</v>
      </c>
      <c r="L381" s="69">
        <v>208.597341211226</v>
      </c>
      <c r="M381" s="69">
        <v>-4.8449039881831615</v>
      </c>
      <c r="N381" s="69">
        <v>0</v>
      </c>
      <c r="O381" s="69">
        <v>0</v>
      </c>
      <c r="P381" s="69">
        <v>0</v>
      </c>
      <c r="Q381" s="69">
        <v>0</v>
      </c>
      <c r="R381" s="69">
        <v>0</v>
      </c>
      <c r="S381" s="69">
        <v>0</v>
      </c>
      <c r="T381" s="69">
        <v>0</v>
      </c>
      <c r="U381" s="69">
        <v>32.416682491289976</v>
      </c>
      <c r="V381" s="69">
        <v>32.416682491289976</v>
      </c>
      <c r="W381" s="69">
        <v>32.416682491289976</v>
      </c>
      <c r="X381" s="69">
        <v>32.416682491289976</v>
      </c>
      <c r="Y381" s="69">
        <v>32.416682491289976</v>
      </c>
      <c r="Z381" s="69">
        <v>32.416682491289976</v>
      </c>
      <c r="AA381" s="69">
        <v>32.416682491289976</v>
      </c>
      <c r="AB381" s="69">
        <v>32.416682491289976</v>
      </c>
      <c r="AC381" s="69">
        <v>32.416682491289976</v>
      </c>
      <c r="AD381" s="69">
        <v>32.416682491289976</v>
      </c>
      <c r="AE381" s="69">
        <v>32.416682491289976</v>
      </c>
      <c r="AF381" s="69">
        <v>32.416682491289976</v>
      </c>
      <c r="AG381" s="69">
        <v>32.416682491289976</v>
      </c>
    </row>
    <row r="382" spans="1:33" ht="12.75" customHeight="1">
      <c r="A382" s="231" t="s">
        <v>2375</v>
      </c>
      <c r="B382" s="69" t="s">
        <v>510</v>
      </c>
      <c r="C382" s="69" t="s">
        <v>186</v>
      </c>
      <c r="D382" s="69" t="s">
        <v>259</v>
      </c>
      <c r="E382" s="69" t="s">
        <v>203</v>
      </c>
      <c r="F382" s="69" t="s">
        <v>157</v>
      </c>
      <c r="G382" s="69" t="s">
        <v>192</v>
      </c>
      <c r="H382" s="69" t="s">
        <v>805</v>
      </c>
      <c r="I382" s="69">
        <v>2</v>
      </c>
      <c r="J382" s="238">
        <v>0.23561922263058246</v>
      </c>
      <c r="K382" s="238">
        <v>0</v>
      </c>
      <c r="L382" s="69">
        <v>208.597341211226</v>
      </c>
      <c r="M382" s="69">
        <v>-4.8449039881831615</v>
      </c>
      <c r="N382" s="69">
        <v>0</v>
      </c>
      <c r="O382" s="69">
        <v>0</v>
      </c>
      <c r="P382" s="69">
        <v>0</v>
      </c>
      <c r="Q382" s="69">
        <v>0</v>
      </c>
      <c r="R382" s="69">
        <v>0</v>
      </c>
      <c r="S382" s="69">
        <v>0</v>
      </c>
      <c r="T382" s="69">
        <v>0</v>
      </c>
      <c r="U382" s="69">
        <v>0</v>
      </c>
      <c r="V382" s="69">
        <v>32.416682491289976</v>
      </c>
      <c r="W382" s="69">
        <v>32.416682491289976</v>
      </c>
      <c r="X382" s="69">
        <v>32.416682491289976</v>
      </c>
      <c r="Y382" s="69">
        <v>32.416682491289976</v>
      </c>
      <c r="Z382" s="69">
        <v>32.416682491289976</v>
      </c>
      <c r="AA382" s="69">
        <v>32.416682491289976</v>
      </c>
      <c r="AB382" s="69">
        <v>32.416682491289976</v>
      </c>
      <c r="AC382" s="69">
        <v>32.416682491289976</v>
      </c>
      <c r="AD382" s="69">
        <v>32.416682491289976</v>
      </c>
      <c r="AE382" s="69">
        <v>32.416682491289976</v>
      </c>
      <c r="AF382" s="69">
        <v>32.416682491289976</v>
      </c>
      <c r="AG382" s="69">
        <v>32.416682491289976</v>
      </c>
    </row>
    <row r="383" spans="1:33" ht="12.75" customHeight="1">
      <c r="A383" s="231" t="s">
        <v>2375</v>
      </c>
      <c r="B383" s="69" t="s">
        <v>511</v>
      </c>
      <c r="C383" s="69" t="s">
        <v>186</v>
      </c>
      <c r="D383" s="69" t="s">
        <v>259</v>
      </c>
      <c r="E383" s="69" t="s">
        <v>203</v>
      </c>
      <c r="F383" s="69" t="s">
        <v>157</v>
      </c>
      <c r="G383" s="69" t="s">
        <v>192</v>
      </c>
      <c r="H383" s="69" t="s">
        <v>805</v>
      </c>
      <c r="I383" s="69">
        <v>2</v>
      </c>
      <c r="J383" s="238">
        <v>0.23561922263058246</v>
      </c>
      <c r="K383" s="238">
        <v>0</v>
      </c>
      <c r="L383" s="69">
        <v>208.597341211226</v>
      </c>
      <c r="M383" s="69">
        <v>-4.8449039881831615</v>
      </c>
      <c r="N383" s="69">
        <v>0</v>
      </c>
      <c r="O383" s="69">
        <v>0</v>
      </c>
      <c r="P383" s="69">
        <v>0</v>
      </c>
      <c r="Q383" s="69">
        <v>0</v>
      </c>
      <c r="R383" s="69">
        <v>0</v>
      </c>
      <c r="S383" s="69">
        <v>0</v>
      </c>
      <c r="T383" s="69">
        <v>0</v>
      </c>
      <c r="U383" s="69">
        <v>0</v>
      </c>
      <c r="V383" s="69">
        <v>0</v>
      </c>
      <c r="W383" s="69">
        <v>32.416682491289976</v>
      </c>
      <c r="X383" s="69">
        <v>32.416682491289976</v>
      </c>
      <c r="Y383" s="69">
        <v>32.416682491289976</v>
      </c>
      <c r="Z383" s="69">
        <v>32.416682491289976</v>
      </c>
      <c r="AA383" s="69">
        <v>32.416682491289976</v>
      </c>
      <c r="AB383" s="69">
        <v>32.416682491289976</v>
      </c>
      <c r="AC383" s="69">
        <v>32.416682491289976</v>
      </c>
      <c r="AD383" s="69">
        <v>32.416682491289976</v>
      </c>
      <c r="AE383" s="69">
        <v>32.416682491289976</v>
      </c>
      <c r="AF383" s="69">
        <v>32.416682491289976</v>
      </c>
      <c r="AG383" s="69">
        <v>32.416682491289976</v>
      </c>
    </row>
    <row r="384" spans="1:33" ht="12.75" customHeight="1">
      <c r="A384" s="231" t="s">
        <v>2375</v>
      </c>
      <c r="B384" s="69" t="s">
        <v>512</v>
      </c>
      <c r="C384" s="69" t="s">
        <v>186</v>
      </c>
      <c r="D384" s="69" t="s">
        <v>259</v>
      </c>
      <c r="E384" s="69" t="s">
        <v>260</v>
      </c>
      <c r="F384" s="69" t="s">
        <v>157</v>
      </c>
      <c r="G384" s="69" t="s">
        <v>192</v>
      </c>
      <c r="H384" s="69" t="s">
        <v>805</v>
      </c>
      <c r="I384" s="69">
        <v>2</v>
      </c>
      <c r="J384" s="238">
        <v>0.21868155325388869</v>
      </c>
      <c r="K384" s="238">
        <v>0</v>
      </c>
      <c r="L384" s="69">
        <v>224.75395225464192</v>
      </c>
      <c r="M384" s="69">
        <v>-5.2201591511936343</v>
      </c>
      <c r="N384" s="69">
        <v>0</v>
      </c>
      <c r="O384" s="69">
        <v>0</v>
      </c>
      <c r="P384" s="69">
        <v>0</v>
      </c>
      <c r="Q384" s="69">
        <v>12.488086686993483</v>
      </c>
      <c r="R384" s="69">
        <v>12.488086686993483</v>
      </c>
      <c r="S384" s="69">
        <v>12.488086686993483</v>
      </c>
      <c r="T384" s="69">
        <v>12.488086686993483</v>
      </c>
      <c r="U384" s="69">
        <v>12.488086686993483</v>
      </c>
      <c r="V384" s="69">
        <v>12.488086686993483</v>
      </c>
      <c r="W384" s="69">
        <v>12.488086686993483</v>
      </c>
      <c r="X384" s="69">
        <v>12.488086686993483</v>
      </c>
      <c r="Y384" s="69">
        <v>12.488086686993483</v>
      </c>
      <c r="Z384" s="69">
        <v>12.488086686993483</v>
      </c>
      <c r="AA384" s="69">
        <v>12.488086686993483</v>
      </c>
      <c r="AB384" s="69">
        <v>12.488086686993483</v>
      </c>
      <c r="AC384" s="69">
        <v>12.488086686993483</v>
      </c>
      <c r="AD384" s="69">
        <v>12.488086686993483</v>
      </c>
      <c r="AE384" s="69">
        <v>12.488086686993483</v>
      </c>
      <c r="AF384" s="69">
        <v>12.488086686993483</v>
      </c>
      <c r="AG384" s="69">
        <v>12.488086686993483</v>
      </c>
    </row>
    <row r="385" spans="1:33" ht="12.75" customHeight="1">
      <c r="A385" s="231" t="s">
        <v>2375</v>
      </c>
      <c r="B385" s="69" t="s">
        <v>513</v>
      </c>
      <c r="C385" s="69" t="s">
        <v>186</v>
      </c>
      <c r="D385" s="69" t="s">
        <v>259</v>
      </c>
      <c r="E385" s="69" t="s">
        <v>260</v>
      </c>
      <c r="F385" s="69" t="s">
        <v>157</v>
      </c>
      <c r="G385" s="69" t="s">
        <v>192</v>
      </c>
      <c r="H385" s="69" t="s">
        <v>805</v>
      </c>
      <c r="I385" s="69">
        <v>2</v>
      </c>
      <c r="J385" s="238">
        <v>0.21868155325388869</v>
      </c>
      <c r="K385" s="238">
        <v>0</v>
      </c>
      <c r="L385" s="69">
        <v>224.75395225464192</v>
      </c>
      <c r="M385" s="69">
        <v>-5.2201591511936343</v>
      </c>
      <c r="N385" s="69">
        <v>0</v>
      </c>
      <c r="O385" s="69">
        <v>0</v>
      </c>
      <c r="P385" s="69">
        <v>0</v>
      </c>
      <c r="Q385" s="69">
        <v>0</v>
      </c>
      <c r="R385" s="69">
        <v>12.488086686993483</v>
      </c>
      <c r="S385" s="69">
        <v>12.488086686993483</v>
      </c>
      <c r="T385" s="69">
        <v>12.488086686993483</v>
      </c>
      <c r="U385" s="69">
        <v>12.488086686993483</v>
      </c>
      <c r="V385" s="69">
        <v>12.488086686993483</v>
      </c>
      <c r="W385" s="69">
        <v>12.488086686993483</v>
      </c>
      <c r="X385" s="69">
        <v>12.488086686993483</v>
      </c>
      <c r="Y385" s="69">
        <v>12.488086686993483</v>
      </c>
      <c r="Z385" s="69">
        <v>12.488086686993483</v>
      </c>
      <c r="AA385" s="69">
        <v>12.488086686993483</v>
      </c>
      <c r="AB385" s="69">
        <v>12.488086686993483</v>
      </c>
      <c r="AC385" s="69">
        <v>12.488086686993483</v>
      </c>
      <c r="AD385" s="69">
        <v>12.488086686993483</v>
      </c>
      <c r="AE385" s="69">
        <v>12.488086686993483</v>
      </c>
      <c r="AF385" s="69">
        <v>12.488086686993483</v>
      </c>
      <c r="AG385" s="69">
        <v>12.488086686993483</v>
      </c>
    </row>
    <row r="386" spans="1:33" ht="12.75" customHeight="1">
      <c r="A386" s="231" t="s">
        <v>2375</v>
      </c>
      <c r="B386" s="69" t="s">
        <v>514</v>
      </c>
      <c r="C386" s="69" t="s">
        <v>186</v>
      </c>
      <c r="D386" s="69" t="s">
        <v>259</v>
      </c>
      <c r="E386" s="69" t="s">
        <v>260</v>
      </c>
      <c r="F386" s="69" t="s">
        <v>157</v>
      </c>
      <c r="G386" s="69" t="s">
        <v>192</v>
      </c>
      <c r="H386" s="69" t="s">
        <v>805</v>
      </c>
      <c r="I386" s="69">
        <v>2</v>
      </c>
      <c r="J386" s="238">
        <v>0.21868155325388869</v>
      </c>
      <c r="K386" s="238">
        <v>0</v>
      </c>
      <c r="L386" s="69">
        <v>224.75395225464192</v>
      </c>
      <c r="M386" s="69">
        <v>-5.2201591511936343</v>
      </c>
      <c r="N386" s="69">
        <v>0</v>
      </c>
      <c r="O386" s="69">
        <v>0</v>
      </c>
      <c r="P386" s="69">
        <v>0</v>
      </c>
      <c r="Q386" s="69">
        <v>0</v>
      </c>
      <c r="R386" s="69">
        <v>0</v>
      </c>
      <c r="S386" s="69">
        <v>12.488086686993483</v>
      </c>
      <c r="T386" s="69">
        <v>12.488086686993483</v>
      </c>
      <c r="U386" s="69">
        <v>12.488086686993483</v>
      </c>
      <c r="V386" s="69">
        <v>12.488086686993483</v>
      </c>
      <c r="W386" s="69">
        <v>12.488086686993483</v>
      </c>
      <c r="X386" s="69">
        <v>12.488086686993483</v>
      </c>
      <c r="Y386" s="69">
        <v>12.488086686993483</v>
      </c>
      <c r="Z386" s="69">
        <v>12.488086686993483</v>
      </c>
      <c r="AA386" s="69">
        <v>12.488086686993483</v>
      </c>
      <c r="AB386" s="69">
        <v>12.488086686993483</v>
      </c>
      <c r="AC386" s="69">
        <v>12.488086686993483</v>
      </c>
      <c r="AD386" s="69">
        <v>12.488086686993483</v>
      </c>
      <c r="AE386" s="69">
        <v>12.488086686993483</v>
      </c>
      <c r="AF386" s="69">
        <v>12.488086686993483</v>
      </c>
      <c r="AG386" s="69">
        <v>12.488086686993483</v>
      </c>
    </row>
    <row r="387" spans="1:33" ht="12.75" customHeight="1">
      <c r="A387" s="231" t="s">
        <v>2375</v>
      </c>
      <c r="B387" s="69" t="s">
        <v>515</v>
      </c>
      <c r="C387" s="69" t="s">
        <v>186</v>
      </c>
      <c r="D387" s="69" t="s">
        <v>259</v>
      </c>
      <c r="E387" s="69" t="s">
        <v>260</v>
      </c>
      <c r="F387" s="69" t="s">
        <v>157</v>
      </c>
      <c r="G387" s="69" t="s">
        <v>192</v>
      </c>
      <c r="H387" s="69" t="s">
        <v>805</v>
      </c>
      <c r="I387" s="69">
        <v>2</v>
      </c>
      <c r="J387" s="238">
        <v>0.21868155325388869</v>
      </c>
      <c r="K387" s="238">
        <v>0</v>
      </c>
      <c r="L387" s="69">
        <v>224.75395225464192</v>
      </c>
      <c r="M387" s="69">
        <v>-5.2201591511936343</v>
      </c>
      <c r="N387" s="69">
        <v>0</v>
      </c>
      <c r="O387" s="69">
        <v>0</v>
      </c>
      <c r="P387" s="69">
        <v>0</v>
      </c>
      <c r="Q387" s="69">
        <v>0</v>
      </c>
      <c r="R387" s="69">
        <v>0</v>
      </c>
      <c r="S387" s="69">
        <v>0</v>
      </c>
      <c r="T387" s="69">
        <v>12.488086686993483</v>
      </c>
      <c r="U387" s="69">
        <v>12.488086686993483</v>
      </c>
      <c r="V387" s="69">
        <v>12.488086686993483</v>
      </c>
      <c r="W387" s="69">
        <v>12.488086686993483</v>
      </c>
      <c r="X387" s="69">
        <v>12.488086686993483</v>
      </c>
      <c r="Y387" s="69">
        <v>12.488086686993483</v>
      </c>
      <c r="Z387" s="69">
        <v>12.488086686993483</v>
      </c>
      <c r="AA387" s="69">
        <v>12.488086686993483</v>
      </c>
      <c r="AB387" s="69">
        <v>12.488086686993483</v>
      </c>
      <c r="AC387" s="69">
        <v>12.488086686993483</v>
      </c>
      <c r="AD387" s="69">
        <v>12.488086686993483</v>
      </c>
      <c r="AE387" s="69">
        <v>12.488086686993483</v>
      </c>
      <c r="AF387" s="69">
        <v>12.488086686993483</v>
      </c>
      <c r="AG387" s="69">
        <v>12.488086686993483</v>
      </c>
    </row>
    <row r="388" spans="1:33" ht="12.75" customHeight="1">
      <c r="A388" s="231" t="s">
        <v>2375</v>
      </c>
      <c r="B388" s="69" t="s">
        <v>516</v>
      </c>
      <c r="C388" s="69" t="s">
        <v>186</v>
      </c>
      <c r="D388" s="69" t="s">
        <v>259</v>
      </c>
      <c r="E388" s="69" t="s">
        <v>260</v>
      </c>
      <c r="F388" s="69" t="s">
        <v>157</v>
      </c>
      <c r="G388" s="69" t="s">
        <v>192</v>
      </c>
      <c r="H388" s="69" t="s">
        <v>805</v>
      </c>
      <c r="I388" s="69">
        <v>2</v>
      </c>
      <c r="J388" s="238">
        <v>0.21868155325388869</v>
      </c>
      <c r="K388" s="238">
        <v>0</v>
      </c>
      <c r="L388" s="69">
        <v>224.75395225464192</v>
      </c>
      <c r="M388" s="69">
        <v>-5.2201591511936343</v>
      </c>
      <c r="N388" s="69">
        <v>0</v>
      </c>
      <c r="O388" s="69">
        <v>0</v>
      </c>
      <c r="P388" s="69">
        <v>0</v>
      </c>
      <c r="Q388" s="69">
        <v>0</v>
      </c>
      <c r="R388" s="69">
        <v>0</v>
      </c>
      <c r="S388" s="69">
        <v>0</v>
      </c>
      <c r="T388" s="69">
        <v>0</v>
      </c>
      <c r="U388" s="69">
        <v>12.488086686993483</v>
      </c>
      <c r="V388" s="69">
        <v>12.488086686993483</v>
      </c>
      <c r="W388" s="69">
        <v>12.488086686993483</v>
      </c>
      <c r="X388" s="69">
        <v>12.488086686993483</v>
      </c>
      <c r="Y388" s="69">
        <v>12.488086686993483</v>
      </c>
      <c r="Z388" s="69">
        <v>12.488086686993483</v>
      </c>
      <c r="AA388" s="69">
        <v>12.488086686993483</v>
      </c>
      <c r="AB388" s="69">
        <v>12.488086686993483</v>
      </c>
      <c r="AC388" s="69">
        <v>12.488086686993483</v>
      </c>
      <c r="AD388" s="69">
        <v>12.488086686993483</v>
      </c>
      <c r="AE388" s="69">
        <v>12.488086686993483</v>
      </c>
      <c r="AF388" s="69">
        <v>12.488086686993483</v>
      </c>
      <c r="AG388" s="69">
        <v>12.488086686993483</v>
      </c>
    </row>
    <row r="389" spans="1:33" ht="12.75" customHeight="1">
      <c r="A389" s="231" t="s">
        <v>2375</v>
      </c>
      <c r="B389" s="69" t="s">
        <v>517</v>
      </c>
      <c r="C389" s="69" t="s">
        <v>186</v>
      </c>
      <c r="D389" s="69" t="s">
        <v>259</v>
      </c>
      <c r="E389" s="69" t="s">
        <v>260</v>
      </c>
      <c r="F389" s="69" t="s">
        <v>157</v>
      </c>
      <c r="G389" s="69" t="s">
        <v>192</v>
      </c>
      <c r="H389" s="69" t="s">
        <v>805</v>
      </c>
      <c r="I389" s="69">
        <v>2</v>
      </c>
      <c r="J389" s="238">
        <v>0.21868155325388869</v>
      </c>
      <c r="K389" s="238">
        <v>0</v>
      </c>
      <c r="L389" s="69">
        <v>224.75395225464192</v>
      </c>
      <c r="M389" s="69">
        <v>-5.2201591511936343</v>
      </c>
      <c r="N389" s="69">
        <v>0</v>
      </c>
      <c r="O389" s="69">
        <v>0</v>
      </c>
      <c r="P389" s="69">
        <v>0</v>
      </c>
      <c r="Q389" s="69">
        <v>0</v>
      </c>
      <c r="R389" s="69">
        <v>0</v>
      </c>
      <c r="S389" s="69">
        <v>0</v>
      </c>
      <c r="T389" s="69">
        <v>0</v>
      </c>
      <c r="U389" s="69">
        <v>0</v>
      </c>
      <c r="V389" s="69">
        <v>12.488086686993483</v>
      </c>
      <c r="W389" s="69">
        <v>12.488086686993483</v>
      </c>
      <c r="X389" s="69">
        <v>12.488086686993483</v>
      </c>
      <c r="Y389" s="69">
        <v>12.488086686993483</v>
      </c>
      <c r="Z389" s="69">
        <v>12.488086686993483</v>
      </c>
      <c r="AA389" s="69">
        <v>12.488086686993483</v>
      </c>
      <c r="AB389" s="69">
        <v>12.488086686993483</v>
      </c>
      <c r="AC389" s="69">
        <v>12.488086686993483</v>
      </c>
      <c r="AD389" s="69">
        <v>12.488086686993483</v>
      </c>
      <c r="AE389" s="69">
        <v>12.488086686993483</v>
      </c>
      <c r="AF389" s="69">
        <v>12.488086686993483</v>
      </c>
      <c r="AG389" s="69">
        <v>12.488086686993483</v>
      </c>
    </row>
    <row r="390" spans="1:33" ht="12.75" customHeight="1">
      <c r="A390" s="231" t="s">
        <v>2375</v>
      </c>
      <c r="B390" s="69" t="s">
        <v>518</v>
      </c>
      <c r="C390" s="69" t="s">
        <v>186</v>
      </c>
      <c r="D390" s="69" t="s">
        <v>259</v>
      </c>
      <c r="E390" s="69" t="s">
        <v>260</v>
      </c>
      <c r="F390" s="69" t="s">
        <v>157</v>
      </c>
      <c r="G390" s="69" t="s">
        <v>192</v>
      </c>
      <c r="H390" s="69" t="s">
        <v>805</v>
      </c>
      <c r="I390" s="69">
        <v>2</v>
      </c>
      <c r="J390" s="238">
        <v>0.21868155325388869</v>
      </c>
      <c r="K390" s="238">
        <v>0</v>
      </c>
      <c r="L390" s="69">
        <v>224.75395225464192</v>
      </c>
      <c r="M390" s="69">
        <v>-5.2201591511936343</v>
      </c>
      <c r="N390" s="69">
        <v>0</v>
      </c>
      <c r="O390" s="69">
        <v>0</v>
      </c>
      <c r="P390" s="69">
        <v>0</v>
      </c>
      <c r="Q390" s="69">
        <v>0</v>
      </c>
      <c r="R390" s="69">
        <v>0</v>
      </c>
      <c r="S390" s="69">
        <v>0</v>
      </c>
      <c r="T390" s="69">
        <v>0</v>
      </c>
      <c r="U390" s="69">
        <v>0</v>
      </c>
      <c r="V390" s="69">
        <v>0</v>
      </c>
      <c r="W390" s="69">
        <v>12.488086686993483</v>
      </c>
      <c r="X390" s="69">
        <v>12.488086686993483</v>
      </c>
      <c r="Y390" s="69">
        <v>12.488086686993483</v>
      </c>
      <c r="Z390" s="69">
        <v>12.488086686993483</v>
      </c>
      <c r="AA390" s="69">
        <v>12.488086686993483</v>
      </c>
      <c r="AB390" s="69">
        <v>12.488086686993483</v>
      </c>
      <c r="AC390" s="69">
        <v>12.488086686993483</v>
      </c>
      <c r="AD390" s="69">
        <v>12.488086686993483</v>
      </c>
      <c r="AE390" s="69">
        <v>12.488086686993483</v>
      </c>
      <c r="AF390" s="69">
        <v>12.488086686993483</v>
      </c>
      <c r="AG390" s="69">
        <v>12.488086686993483</v>
      </c>
    </row>
    <row r="391" spans="1:33" ht="12.75" customHeight="1">
      <c r="A391" s="231" t="s">
        <v>2375</v>
      </c>
      <c r="B391" s="69" t="s">
        <v>519</v>
      </c>
      <c r="C391" s="69" t="s">
        <v>186</v>
      </c>
      <c r="D391" s="69" t="s">
        <v>218</v>
      </c>
      <c r="E391" s="69" t="s">
        <v>203</v>
      </c>
      <c r="F391" s="69" t="s">
        <v>157</v>
      </c>
      <c r="G391" s="69" t="s">
        <v>192</v>
      </c>
      <c r="H391" s="69" t="s">
        <v>805</v>
      </c>
      <c r="I391" s="69">
        <v>2</v>
      </c>
      <c r="J391" s="238">
        <v>0.23561922263058246</v>
      </c>
      <c r="K391" s="238">
        <v>0</v>
      </c>
      <c r="L391" s="69">
        <v>200.17205317577549</v>
      </c>
      <c r="M391" s="69">
        <v>-4.8449039881831615</v>
      </c>
      <c r="N391" s="69">
        <v>0</v>
      </c>
      <c r="O391" s="69">
        <v>0</v>
      </c>
      <c r="P391" s="69">
        <v>0</v>
      </c>
      <c r="Q391" s="69">
        <v>26.540714410009969</v>
      </c>
      <c r="R391" s="69">
        <v>26.540714410009969</v>
      </c>
      <c r="S391" s="69">
        <v>26.540714410009969</v>
      </c>
      <c r="T391" s="69">
        <v>26.540714410009969</v>
      </c>
      <c r="U391" s="69">
        <v>26.540714410009969</v>
      </c>
      <c r="V391" s="69">
        <v>26.540714410009969</v>
      </c>
      <c r="W391" s="69">
        <v>26.540714410009969</v>
      </c>
      <c r="X391" s="69">
        <v>26.540714410009969</v>
      </c>
      <c r="Y391" s="69">
        <v>26.540714410009969</v>
      </c>
      <c r="Z391" s="69">
        <v>26.540714410009969</v>
      </c>
      <c r="AA391" s="69">
        <v>26.540714410009969</v>
      </c>
      <c r="AB391" s="69">
        <v>26.540714410009969</v>
      </c>
      <c r="AC391" s="69">
        <v>26.540714410009969</v>
      </c>
      <c r="AD391" s="69">
        <v>26.540714410009969</v>
      </c>
      <c r="AE391" s="69">
        <v>26.540714410009969</v>
      </c>
      <c r="AF391" s="69">
        <v>26.540714410009969</v>
      </c>
      <c r="AG391" s="69">
        <v>26.540714410009969</v>
      </c>
    </row>
    <row r="392" spans="1:33" ht="12.75" customHeight="1">
      <c r="A392" s="231" t="s">
        <v>2375</v>
      </c>
      <c r="B392" s="69" t="s">
        <v>520</v>
      </c>
      <c r="C392" s="69" t="s">
        <v>186</v>
      </c>
      <c r="D392" s="69" t="s">
        <v>218</v>
      </c>
      <c r="E392" s="69" t="s">
        <v>203</v>
      </c>
      <c r="F392" s="69" t="s">
        <v>157</v>
      </c>
      <c r="G392" s="69" t="s">
        <v>192</v>
      </c>
      <c r="H392" s="69" t="s">
        <v>805</v>
      </c>
      <c r="I392" s="69">
        <v>2</v>
      </c>
      <c r="J392" s="238">
        <v>0.23561922263058246</v>
      </c>
      <c r="K392" s="238">
        <v>0</v>
      </c>
      <c r="L392" s="69">
        <v>200.17205317577549</v>
      </c>
      <c r="M392" s="69">
        <v>-4.8449039881831615</v>
      </c>
      <c r="N392" s="69">
        <v>0</v>
      </c>
      <c r="O392" s="69">
        <v>0</v>
      </c>
      <c r="P392" s="69">
        <v>0</v>
      </c>
      <c r="Q392" s="69">
        <v>0</v>
      </c>
      <c r="R392" s="69">
        <v>26.540714410009969</v>
      </c>
      <c r="S392" s="69">
        <v>26.540714410009969</v>
      </c>
      <c r="T392" s="69">
        <v>26.540714410009969</v>
      </c>
      <c r="U392" s="69">
        <v>26.540714410009969</v>
      </c>
      <c r="V392" s="69">
        <v>26.540714410009969</v>
      </c>
      <c r="W392" s="69">
        <v>26.540714410009969</v>
      </c>
      <c r="X392" s="69">
        <v>26.540714410009969</v>
      </c>
      <c r="Y392" s="69">
        <v>26.540714410009969</v>
      </c>
      <c r="Z392" s="69">
        <v>26.540714410009969</v>
      </c>
      <c r="AA392" s="69">
        <v>26.540714410009969</v>
      </c>
      <c r="AB392" s="69">
        <v>26.540714410009969</v>
      </c>
      <c r="AC392" s="69">
        <v>26.540714410009969</v>
      </c>
      <c r="AD392" s="69">
        <v>26.540714410009969</v>
      </c>
      <c r="AE392" s="69">
        <v>26.540714410009969</v>
      </c>
      <c r="AF392" s="69">
        <v>26.540714410009969</v>
      </c>
      <c r="AG392" s="69">
        <v>26.540714410009969</v>
      </c>
    </row>
    <row r="393" spans="1:33" ht="12.75" customHeight="1">
      <c r="A393" s="231" t="s">
        <v>2375</v>
      </c>
      <c r="B393" s="69" t="s">
        <v>521</v>
      </c>
      <c r="C393" s="69" t="s">
        <v>186</v>
      </c>
      <c r="D393" s="69" t="s">
        <v>218</v>
      </c>
      <c r="E393" s="69" t="s">
        <v>203</v>
      </c>
      <c r="F393" s="69" t="s">
        <v>157</v>
      </c>
      <c r="G393" s="69" t="s">
        <v>192</v>
      </c>
      <c r="H393" s="69" t="s">
        <v>805</v>
      </c>
      <c r="I393" s="69">
        <v>2</v>
      </c>
      <c r="J393" s="238">
        <v>0.23561922263058246</v>
      </c>
      <c r="K393" s="238">
        <v>0</v>
      </c>
      <c r="L393" s="69">
        <v>200.17205317577546</v>
      </c>
      <c r="M393" s="69">
        <v>-4.8449039881831615</v>
      </c>
      <c r="N393" s="69">
        <v>0</v>
      </c>
      <c r="O393" s="69">
        <v>0</v>
      </c>
      <c r="P393" s="69">
        <v>0</v>
      </c>
      <c r="Q393" s="69">
        <v>0</v>
      </c>
      <c r="R393" s="69">
        <v>0</v>
      </c>
      <c r="S393" s="69">
        <v>45.572348645480815</v>
      </c>
      <c r="T393" s="69">
        <v>45.572348645480815</v>
      </c>
      <c r="U393" s="69">
        <v>45.572348645480815</v>
      </c>
      <c r="V393" s="69">
        <v>45.572348645480815</v>
      </c>
      <c r="W393" s="69">
        <v>45.572348645480815</v>
      </c>
      <c r="X393" s="69">
        <v>45.572348645480815</v>
      </c>
      <c r="Y393" s="69">
        <v>45.572348645480815</v>
      </c>
      <c r="Z393" s="69">
        <v>45.572348645480815</v>
      </c>
      <c r="AA393" s="69">
        <v>45.572348645480815</v>
      </c>
      <c r="AB393" s="69">
        <v>45.572348645480815</v>
      </c>
      <c r="AC393" s="69">
        <v>45.572348645480815</v>
      </c>
      <c r="AD393" s="69">
        <v>45.572348645480815</v>
      </c>
      <c r="AE393" s="69">
        <v>45.572348645480815</v>
      </c>
      <c r="AF393" s="69">
        <v>45.572348645480815</v>
      </c>
      <c r="AG393" s="69">
        <v>45.572348645480815</v>
      </c>
    </row>
    <row r="394" spans="1:33" ht="12.75" customHeight="1">
      <c r="A394" s="231" t="s">
        <v>2375</v>
      </c>
      <c r="B394" s="69" t="s">
        <v>522</v>
      </c>
      <c r="C394" s="69" t="s">
        <v>186</v>
      </c>
      <c r="D394" s="69" t="s">
        <v>218</v>
      </c>
      <c r="E394" s="69" t="s">
        <v>203</v>
      </c>
      <c r="F394" s="69" t="s">
        <v>157</v>
      </c>
      <c r="G394" s="69" t="s">
        <v>192</v>
      </c>
      <c r="H394" s="69" t="s">
        <v>805</v>
      </c>
      <c r="I394" s="69">
        <v>2</v>
      </c>
      <c r="J394" s="238">
        <v>0.23561922263058246</v>
      </c>
      <c r="K394" s="238">
        <v>0</v>
      </c>
      <c r="L394" s="69">
        <v>200.17205317577546</v>
      </c>
      <c r="M394" s="69">
        <v>-4.8449039881831615</v>
      </c>
      <c r="N394" s="69">
        <v>0</v>
      </c>
      <c r="O394" s="69">
        <v>0</v>
      </c>
      <c r="P394" s="69">
        <v>0</v>
      </c>
      <c r="Q394" s="69">
        <v>0</v>
      </c>
      <c r="R394" s="69">
        <v>0</v>
      </c>
      <c r="S394" s="69">
        <v>0</v>
      </c>
      <c r="T394" s="69">
        <v>45.572348645480815</v>
      </c>
      <c r="U394" s="69">
        <v>45.572348645480815</v>
      </c>
      <c r="V394" s="69">
        <v>45.572348645480815</v>
      </c>
      <c r="W394" s="69">
        <v>45.572348645480815</v>
      </c>
      <c r="X394" s="69">
        <v>45.572348645480815</v>
      </c>
      <c r="Y394" s="69">
        <v>45.572348645480815</v>
      </c>
      <c r="Z394" s="69">
        <v>45.572348645480815</v>
      </c>
      <c r="AA394" s="69">
        <v>45.572348645480815</v>
      </c>
      <c r="AB394" s="69">
        <v>45.572348645480815</v>
      </c>
      <c r="AC394" s="69">
        <v>45.572348645480815</v>
      </c>
      <c r="AD394" s="69">
        <v>45.572348645480815</v>
      </c>
      <c r="AE394" s="69">
        <v>45.572348645480815</v>
      </c>
      <c r="AF394" s="69">
        <v>45.572348645480815</v>
      </c>
      <c r="AG394" s="69">
        <v>45.572348645480815</v>
      </c>
    </row>
    <row r="395" spans="1:33" ht="12.75" customHeight="1">
      <c r="A395" s="231" t="s">
        <v>2375</v>
      </c>
      <c r="B395" s="69" t="s">
        <v>523</v>
      </c>
      <c r="C395" s="69" t="s">
        <v>186</v>
      </c>
      <c r="D395" s="69" t="s">
        <v>218</v>
      </c>
      <c r="E395" s="69" t="s">
        <v>203</v>
      </c>
      <c r="F395" s="69" t="s">
        <v>157</v>
      </c>
      <c r="G395" s="69" t="s">
        <v>192</v>
      </c>
      <c r="H395" s="69" t="s">
        <v>805</v>
      </c>
      <c r="I395" s="69">
        <v>2</v>
      </c>
      <c r="J395" s="238">
        <v>0.23561922263058246</v>
      </c>
      <c r="K395" s="238">
        <v>0</v>
      </c>
      <c r="L395" s="69">
        <v>200.17205317577546</v>
      </c>
      <c r="M395" s="69">
        <v>-4.8449039881831615</v>
      </c>
      <c r="N395" s="69">
        <v>0</v>
      </c>
      <c r="O395" s="69">
        <v>0</v>
      </c>
      <c r="P395" s="69">
        <v>0</v>
      </c>
      <c r="Q395" s="69">
        <v>0</v>
      </c>
      <c r="R395" s="69">
        <v>0</v>
      </c>
      <c r="S395" s="69">
        <v>0</v>
      </c>
      <c r="T395" s="69">
        <v>0</v>
      </c>
      <c r="U395" s="69">
        <v>45.572348645480815</v>
      </c>
      <c r="V395" s="69">
        <v>45.572348645480815</v>
      </c>
      <c r="W395" s="69">
        <v>45.572348645480815</v>
      </c>
      <c r="X395" s="69">
        <v>45.572348645480815</v>
      </c>
      <c r="Y395" s="69">
        <v>45.572348645480815</v>
      </c>
      <c r="Z395" s="69">
        <v>45.572348645480815</v>
      </c>
      <c r="AA395" s="69">
        <v>45.572348645480815</v>
      </c>
      <c r="AB395" s="69">
        <v>45.572348645480815</v>
      </c>
      <c r="AC395" s="69">
        <v>45.572348645480815</v>
      </c>
      <c r="AD395" s="69">
        <v>45.572348645480815</v>
      </c>
      <c r="AE395" s="69">
        <v>45.572348645480815</v>
      </c>
      <c r="AF395" s="69">
        <v>45.572348645480815</v>
      </c>
      <c r="AG395" s="69">
        <v>45.572348645480815</v>
      </c>
    </row>
    <row r="396" spans="1:33" ht="12.75" customHeight="1">
      <c r="A396" s="231" t="s">
        <v>2375</v>
      </c>
      <c r="B396" s="69" t="s">
        <v>524</v>
      </c>
      <c r="C396" s="69" t="s">
        <v>186</v>
      </c>
      <c r="D396" s="69" t="s">
        <v>218</v>
      </c>
      <c r="E396" s="69" t="s">
        <v>203</v>
      </c>
      <c r="F396" s="69" t="s">
        <v>157</v>
      </c>
      <c r="G396" s="69" t="s">
        <v>192</v>
      </c>
      <c r="H396" s="69" t="s">
        <v>805</v>
      </c>
      <c r="I396" s="69">
        <v>2</v>
      </c>
      <c r="J396" s="238">
        <v>0.23561922263058246</v>
      </c>
      <c r="K396" s="238">
        <v>0</v>
      </c>
      <c r="L396" s="69">
        <v>200.17205317577546</v>
      </c>
      <c r="M396" s="69">
        <v>-4.8449039881831615</v>
      </c>
      <c r="N396" s="69">
        <v>0</v>
      </c>
      <c r="O396" s="69">
        <v>0</v>
      </c>
      <c r="P396" s="69">
        <v>0</v>
      </c>
      <c r="Q396" s="69">
        <v>0</v>
      </c>
      <c r="R396" s="69">
        <v>0</v>
      </c>
      <c r="S396" s="69">
        <v>0</v>
      </c>
      <c r="T396" s="69">
        <v>0</v>
      </c>
      <c r="U396" s="69">
        <v>0</v>
      </c>
      <c r="V396" s="69">
        <v>45.572348645480815</v>
      </c>
      <c r="W396" s="69">
        <v>45.572348645480815</v>
      </c>
      <c r="X396" s="69">
        <v>45.572348645480815</v>
      </c>
      <c r="Y396" s="69">
        <v>45.572348645480815</v>
      </c>
      <c r="Z396" s="69">
        <v>45.572348645480815</v>
      </c>
      <c r="AA396" s="69">
        <v>45.572348645480815</v>
      </c>
      <c r="AB396" s="69">
        <v>45.572348645480815</v>
      </c>
      <c r="AC396" s="69">
        <v>45.572348645480815</v>
      </c>
      <c r="AD396" s="69">
        <v>45.572348645480815</v>
      </c>
      <c r="AE396" s="69">
        <v>45.572348645480815</v>
      </c>
      <c r="AF396" s="69">
        <v>45.572348645480815</v>
      </c>
      <c r="AG396" s="69">
        <v>45.572348645480815</v>
      </c>
    </row>
    <row r="397" spans="1:33" ht="12.75" customHeight="1">
      <c r="A397" s="231" t="s">
        <v>2375</v>
      </c>
      <c r="B397" s="69" t="s">
        <v>525</v>
      </c>
      <c r="C397" s="69" t="s">
        <v>186</v>
      </c>
      <c r="D397" s="69" t="s">
        <v>218</v>
      </c>
      <c r="E397" s="69" t="s">
        <v>203</v>
      </c>
      <c r="F397" s="69" t="s">
        <v>157</v>
      </c>
      <c r="G397" s="69" t="s">
        <v>192</v>
      </c>
      <c r="H397" s="69" t="s">
        <v>805</v>
      </c>
      <c r="I397" s="69">
        <v>2</v>
      </c>
      <c r="J397" s="238">
        <v>0.23561922263058246</v>
      </c>
      <c r="K397" s="238">
        <v>0</v>
      </c>
      <c r="L397" s="69">
        <v>200.17205317577546</v>
      </c>
      <c r="M397" s="69">
        <v>-4.8449039881831615</v>
      </c>
      <c r="N397" s="69">
        <v>0</v>
      </c>
      <c r="O397" s="69">
        <v>0</v>
      </c>
      <c r="P397" s="69">
        <v>0</v>
      </c>
      <c r="Q397" s="69">
        <v>0</v>
      </c>
      <c r="R397" s="69">
        <v>0</v>
      </c>
      <c r="S397" s="69">
        <v>0</v>
      </c>
      <c r="T397" s="69">
        <v>0</v>
      </c>
      <c r="U397" s="69">
        <v>0</v>
      </c>
      <c r="V397" s="69">
        <v>0</v>
      </c>
      <c r="W397" s="69">
        <v>45.572348645480815</v>
      </c>
      <c r="X397" s="69">
        <v>45.572348645480815</v>
      </c>
      <c r="Y397" s="69">
        <v>45.572348645480815</v>
      </c>
      <c r="Z397" s="69">
        <v>45.572348645480815</v>
      </c>
      <c r="AA397" s="69">
        <v>45.572348645480815</v>
      </c>
      <c r="AB397" s="69">
        <v>45.572348645480815</v>
      </c>
      <c r="AC397" s="69">
        <v>45.572348645480815</v>
      </c>
      <c r="AD397" s="69">
        <v>45.572348645480815</v>
      </c>
      <c r="AE397" s="69">
        <v>45.572348645480815</v>
      </c>
      <c r="AF397" s="69">
        <v>45.572348645480815</v>
      </c>
      <c r="AG397" s="69">
        <v>45.572348645480815</v>
      </c>
    </row>
    <row r="398" spans="1:33" ht="12.75" customHeight="1">
      <c r="A398" s="231" t="s">
        <v>2375</v>
      </c>
      <c r="B398" s="69" t="s">
        <v>526</v>
      </c>
      <c r="C398" s="69" t="s">
        <v>186</v>
      </c>
      <c r="D398" s="69" t="s">
        <v>218</v>
      </c>
      <c r="E398" s="69" t="s">
        <v>260</v>
      </c>
      <c r="F398" s="69" t="s">
        <v>157</v>
      </c>
      <c r="G398" s="69" t="s">
        <v>192</v>
      </c>
      <c r="H398" s="69" t="s">
        <v>805</v>
      </c>
      <c r="I398" s="69">
        <v>2</v>
      </c>
      <c r="J398" s="238">
        <v>0.21868155325388869</v>
      </c>
      <c r="K398" s="238">
        <v>0</v>
      </c>
      <c r="L398" s="69">
        <v>215.67609549071619</v>
      </c>
      <c r="M398" s="69">
        <v>-5.2201591511936343</v>
      </c>
      <c r="N398" s="69">
        <v>0</v>
      </c>
      <c r="O398" s="69">
        <v>0</v>
      </c>
      <c r="P398" s="69">
        <v>0</v>
      </c>
      <c r="Q398" s="69">
        <v>27.29541051296474</v>
      </c>
      <c r="R398" s="69">
        <v>27.29541051296474</v>
      </c>
      <c r="S398" s="69">
        <v>27.29541051296474</v>
      </c>
      <c r="T398" s="69">
        <v>27.29541051296474</v>
      </c>
      <c r="U398" s="69">
        <v>27.29541051296474</v>
      </c>
      <c r="V398" s="69">
        <v>27.29541051296474</v>
      </c>
      <c r="W398" s="69">
        <v>27.29541051296474</v>
      </c>
      <c r="X398" s="69">
        <v>27.29541051296474</v>
      </c>
      <c r="Y398" s="69">
        <v>27.29541051296474</v>
      </c>
      <c r="Z398" s="69">
        <v>27.29541051296474</v>
      </c>
      <c r="AA398" s="69">
        <v>27.29541051296474</v>
      </c>
      <c r="AB398" s="69">
        <v>27.29541051296474</v>
      </c>
      <c r="AC398" s="69">
        <v>27.29541051296474</v>
      </c>
      <c r="AD398" s="69">
        <v>27.29541051296474</v>
      </c>
      <c r="AE398" s="69">
        <v>27.29541051296474</v>
      </c>
      <c r="AF398" s="69">
        <v>27.29541051296474</v>
      </c>
      <c r="AG398" s="69">
        <v>27.29541051296474</v>
      </c>
    </row>
    <row r="399" spans="1:33" ht="12.75" customHeight="1">
      <c r="A399" s="231" t="s">
        <v>2375</v>
      </c>
      <c r="B399" s="69" t="s">
        <v>527</v>
      </c>
      <c r="C399" s="69" t="s">
        <v>186</v>
      </c>
      <c r="D399" s="69" t="s">
        <v>218</v>
      </c>
      <c r="E399" s="69" t="s">
        <v>260</v>
      </c>
      <c r="F399" s="69" t="s">
        <v>157</v>
      </c>
      <c r="G399" s="69" t="s">
        <v>192</v>
      </c>
      <c r="H399" s="69" t="s">
        <v>805</v>
      </c>
      <c r="I399" s="69">
        <v>2</v>
      </c>
      <c r="J399" s="238">
        <v>0.21868155325388869</v>
      </c>
      <c r="K399" s="238">
        <v>0</v>
      </c>
      <c r="L399" s="69">
        <v>215.67609549071619</v>
      </c>
      <c r="M399" s="69">
        <v>-5.2201591511936343</v>
      </c>
      <c r="N399" s="69">
        <v>0</v>
      </c>
      <c r="O399" s="69">
        <v>0</v>
      </c>
      <c r="P399" s="69">
        <v>0</v>
      </c>
      <c r="Q399" s="69">
        <v>0</v>
      </c>
      <c r="R399" s="69">
        <v>27.29541051296474</v>
      </c>
      <c r="S399" s="69">
        <v>27.29541051296474</v>
      </c>
      <c r="T399" s="69">
        <v>27.29541051296474</v>
      </c>
      <c r="U399" s="69">
        <v>27.29541051296474</v>
      </c>
      <c r="V399" s="69">
        <v>27.29541051296474</v>
      </c>
      <c r="W399" s="69">
        <v>27.29541051296474</v>
      </c>
      <c r="X399" s="69">
        <v>27.29541051296474</v>
      </c>
      <c r="Y399" s="69">
        <v>27.29541051296474</v>
      </c>
      <c r="Z399" s="69">
        <v>27.29541051296474</v>
      </c>
      <c r="AA399" s="69">
        <v>27.29541051296474</v>
      </c>
      <c r="AB399" s="69">
        <v>27.29541051296474</v>
      </c>
      <c r="AC399" s="69">
        <v>27.29541051296474</v>
      </c>
      <c r="AD399" s="69">
        <v>27.29541051296474</v>
      </c>
      <c r="AE399" s="69">
        <v>27.29541051296474</v>
      </c>
      <c r="AF399" s="69">
        <v>27.29541051296474</v>
      </c>
      <c r="AG399" s="69">
        <v>27.29541051296474</v>
      </c>
    </row>
    <row r="400" spans="1:33" ht="12.75" customHeight="1">
      <c r="A400" s="231" t="s">
        <v>2375</v>
      </c>
      <c r="B400" s="69" t="s">
        <v>528</v>
      </c>
      <c r="C400" s="69" t="s">
        <v>186</v>
      </c>
      <c r="D400" s="69" t="s">
        <v>218</v>
      </c>
      <c r="E400" s="69" t="s">
        <v>260</v>
      </c>
      <c r="F400" s="69" t="s">
        <v>157</v>
      </c>
      <c r="G400" s="69" t="s">
        <v>192</v>
      </c>
      <c r="H400" s="69" t="s">
        <v>805</v>
      </c>
      <c r="I400" s="69">
        <v>2</v>
      </c>
      <c r="J400" s="238">
        <v>0.21868155325388869</v>
      </c>
      <c r="K400" s="238">
        <v>0</v>
      </c>
      <c r="L400" s="69">
        <v>215.67609549071622</v>
      </c>
      <c r="M400" s="69">
        <v>-5.2201591511936343</v>
      </c>
      <c r="N400" s="69">
        <v>0</v>
      </c>
      <c r="O400" s="69">
        <v>0</v>
      </c>
      <c r="P400" s="69">
        <v>0</v>
      </c>
      <c r="Q400" s="69">
        <v>0</v>
      </c>
      <c r="R400" s="69">
        <v>0</v>
      </c>
      <c r="S400" s="69">
        <v>46.868217075920256</v>
      </c>
      <c r="T400" s="69">
        <v>46.868217075920256</v>
      </c>
      <c r="U400" s="69">
        <v>46.868217075920256</v>
      </c>
      <c r="V400" s="69">
        <v>46.868217075920256</v>
      </c>
      <c r="W400" s="69">
        <v>46.868217075920256</v>
      </c>
      <c r="X400" s="69">
        <v>46.868217075920256</v>
      </c>
      <c r="Y400" s="69">
        <v>46.868217075920256</v>
      </c>
      <c r="Z400" s="69">
        <v>46.868217075920256</v>
      </c>
      <c r="AA400" s="69">
        <v>46.868217075920256</v>
      </c>
      <c r="AB400" s="69">
        <v>46.868217075920256</v>
      </c>
      <c r="AC400" s="69">
        <v>46.868217075920256</v>
      </c>
      <c r="AD400" s="69">
        <v>46.868217075920256</v>
      </c>
      <c r="AE400" s="69">
        <v>46.868217075920256</v>
      </c>
      <c r="AF400" s="69">
        <v>46.868217075920256</v>
      </c>
      <c r="AG400" s="69">
        <v>46.868217075920256</v>
      </c>
    </row>
    <row r="401" spans="1:33" ht="12.75" customHeight="1">
      <c r="A401" s="231" t="s">
        <v>2375</v>
      </c>
      <c r="B401" s="69" t="s">
        <v>529</v>
      </c>
      <c r="C401" s="69" t="s">
        <v>186</v>
      </c>
      <c r="D401" s="69" t="s">
        <v>218</v>
      </c>
      <c r="E401" s="69" t="s">
        <v>260</v>
      </c>
      <c r="F401" s="69" t="s">
        <v>157</v>
      </c>
      <c r="G401" s="69" t="s">
        <v>192</v>
      </c>
      <c r="H401" s="69" t="s">
        <v>805</v>
      </c>
      <c r="I401" s="69">
        <v>2</v>
      </c>
      <c r="J401" s="238">
        <v>0.21868155325388869</v>
      </c>
      <c r="K401" s="238">
        <v>0</v>
      </c>
      <c r="L401" s="69">
        <v>215.67609549071622</v>
      </c>
      <c r="M401" s="69">
        <v>-5.2201591511936343</v>
      </c>
      <c r="N401" s="69">
        <v>0</v>
      </c>
      <c r="O401" s="69">
        <v>0</v>
      </c>
      <c r="P401" s="69">
        <v>0</v>
      </c>
      <c r="Q401" s="69">
        <v>0</v>
      </c>
      <c r="R401" s="69">
        <v>0</v>
      </c>
      <c r="S401" s="69">
        <v>0</v>
      </c>
      <c r="T401" s="69">
        <v>46.868217075920256</v>
      </c>
      <c r="U401" s="69">
        <v>46.868217075920256</v>
      </c>
      <c r="V401" s="69">
        <v>46.868217075920256</v>
      </c>
      <c r="W401" s="69">
        <v>46.868217075920256</v>
      </c>
      <c r="X401" s="69">
        <v>46.868217075920256</v>
      </c>
      <c r="Y401" s="69">
        <v>46.868217075920256</v>
      </c>
      <c r="Z401" s="69">
        <v>46.868217075920256</v>
      </c>
      <c r="AA401" s="69">
        <v>46.868217075920256</v>
      </c>
      <c r="AB401" s="69">
        <v>46.868217075920256</v>
      </c>
      <c r="AC401" s="69">
        <v>46.868217075920256</v>
      </c>
      <c r="AD401" s="69">
        <v>46.868217075920256</v>
      </c>
      <c r="AE401" s="69">
        <v>46.868217075920256</v>
      </c>
      <c r="AF401" s="69">
        <v>46.868217075920256</v>
      </c>
      <c r="AG401" s="69">
        <v>46.868217075920256</v>
      </c>
    </row>
    <row r="402" spans="1:33" ht="12.75" customHeight="1">
      <c r="A402" s="231" t="s">
        <v>2375</v>
      </c>
      <c r="B402" s="69" t="s">
        <v>530</v>
      </c>
      <c r="C402" s="69" t="s">
        <v>186</v>
      </c>
      <c r="D402" s="69" t="s">
        <v>218</v>
      </c>
      <c r="E402" s="69" t="s">
        <v>260</v>
      </c>
      <c r="F402" s="69" t="s">
        <v>157</v>
      </c>
      <c r="G402" s="69" t="s">
        <v>192</v>
      </c>
      <c r="H402" s="69" t="s">
        <v>805</v>
      </c>
      <c r="I402" s="69">
        <v>2</v>
      </c>
      <c r="J402" s="238">
        <v>0.21868155325388869</v>
      </c>
      <c r="K402" s="238">
        <v>0</v>
      </c>
      <c r="L402" s="69">
        <v>215.67609549071622</v>
      </c>
      <c r="M402" s="69">
        <v>-5.2201591511936343</v>
      </c>
      <c r="N402" s="69">
        <v>0</v>
      </c>
      <c r="O402" s="69">
        <v>0</v>
      </c>
      <c r="P402" s="69">
        <v>0</v>
      </c>
      <c r="Q402" s="69">
        <v>0</v>
      </c>
      <c r="R402" s="69">
        <v>0</v>
      </c>
      <c r="S402" s="69">
        <v>0</v>
      </c>
      <c r="T402" s="69">
        <v>0</v>
      </c>
      <c r="U402" s="69">
        <v>46.868217075920256</v>
      </c>
      <c r="V402" s="69">
        <v>46.868217075920256</v>
      </c>
      <c r="W402" s="69">
        <v>46.868217075920256</v>
      </c>
      <c r="X402" s="69">
        <v>46.868217075920256</v>
      </c>
      <c r="Y402" s="69">
        <v>46.868217075920256</v>
      </c>
      <c r="Z402" s="69">
        <v>46.868217075920256</v>
      </c>
      <c r="AA402" s="69">
        <v>46.868217075920256</v>
      </c>
      <c r="AB402" s="69">
        <v>46.868217075920256</v>
      </c>
      <c r="AC402" s="69">
        <v>46.868217075920256</v>
      </c>
      <c r="AD402" s="69">
        <v>46.868217075920256</v>
      </c>
      <c r="AE402" s="69">
        <v>46.868217075920256</v>
      </c>
      <c r="AF402" s="69">
        <v>46.868217075920256</v>
      </c>
      <c r="AG402" s="69">
        <v>46.868217075920256</v>
      </c>
    </row>
    <row r="403" spans="1:33" ht="12.75" customHeight="1">
      <c r="A403" s="231" t="s">
        <v>2375</v>
      </c>
      <c r="B403" s="69" t="s">
        <v>531</v>
      </c>
      <c r="C403" s="69" t="s">
        <v>186</v>
      </c>
      <c r="D403" s="69" t="s">
        <v>218</v>
      </c>
      <c r="E403" s="69" t="s">
        <v>260</v>
      </c>
      <c r="F403" s="69" t="s">
        <v>157</v>
      </c>
      <c r="G403" s="69" t="s">
        <v>192</v>
      </c>
      <c r="H403" s="69" t="s">
        <v>805</v>
      </c>
      <c r="I403" s="69">
        <v>2</v>
      </c>
      <c r="J403" s="238">
        <v>0.21868155325388869</v>
      </c>
      <c r="K403" s="238">
        <v>0</v>
      </c>
      <c r="L403" s="69">
        <v>215.67609549071622</v>
      </c>
      <c r="M403" s="69">
        <v>-5.2201591511936343</v>
      </c>
      <c r="N403" s="69">
        <v>0</v>
      </c>
      <c r="O403" s="69">
        <v>0</v>
      </c>
      <c r="P403" s="69">
        <v>0</v>
      </c>
      <c r="Q403" s="69">
        <v>0</v>
      </c>
      <c r="R403" s="69">
        <v>0</v>
      </c>
      <c r="S403" s="69">
        <v>0</v>
      </c>
      <c r="T403" s="69">
        <v>0</v>
      </c>
      <c r="U403" s="69">
        <v>0</v>
      </c>
      <c r="V403" s="69">
        <v>46.868217075920256</v>
      </c>
      <c r="W403" s="69">
        <v>46.868217075920256</v>
      </c>
      <c r="X403" s="69">
        <v>46.868217075920256</v>
      </c>
      <c r="Y403" s="69">
        <v>46.868217075920256</v>
      </c>
      <c r="Z403" s="69">
        <v>46.868217075920256</v>
      </c>
      <c r="AA403" s="69">
        <v>46.868217075920256</v>
      </c>
      <c r="AB403" s="69">
        <v>46.868217075920256</v>
      </c>
      <c r="AC403" s="69">
        <v>46.868217075920256</v>
      </c>
      <c r="AD403" s="69">
        <v>46.868217075920256</v>
      </c>
      <c r="AE403" s="69">
        <v>46.868217075920256</v>
      </c>
      <c r="AF403" s="69">
        <v>46.868217075920256</v>
      </c>
      <c r="AG403" s="69">
        <v>46.868217075920256</v>
      </c>
    </row>
    <row r="404" spans="1:33" ht="12.75" customHeight="1">
      <c r="A404" s="231" t="s">
        <v>2375</v>
      </c>
      <c r="B404" s="69" t="s">
        <v>532</v>
      </c>
      <c r="C404" s="69" t="s">
        <v>186</v>
      </c>
      <c r="D404" s="69" t="s">
        <v>218</v>
      </c>
      <c r="E404" s="69" t="s">
        <v>260</v>
      </c>
      <c r="F404" s="69" t="s">
        <v>157</v>
      </c>
      <c r="G404" s="69" t="s">
        <v>192</v>
      </c>
      <c r="H404" s="69" t="s">
        <v>805</v>
      </c>
      <c r="I404" s="69">
        <v>2</v>
      </c>
      <c r="J404" s="238">
        <v>0.21868155325388869</v>
      </c>
      <c r="K404" s="238">
        <v>0</v>
      </c>
      <c r="L404" s="69">
        <v>215.67609549071622</v>
      </c>
      <c r="M404" s="69">
        <v>-5.2201591511936343</v>
      </c>
      <c r="N404" s="69">
        <v>0</v>
      </c>
      <c r="O404" s="69">
        <v>0</v>
      </c>
      <c r="P404" s="69">
        <v>0</v>
      </c>
      <c r="Q404" s="69">
        <v>0</v>
      </c>
      <c r="R404" s="69">
        <v>0</v>
      </c>
      <c r="S404" s="69">
        <v>0</v>
      </c>
      <c r="T404" s="69">
        <v>0</v>
      </c>
      <c r="U404" s="69">
        <v>0</v>
      </c>
      <c r="V404" s="69">
        <v>0</v>
      </c>
      <c r="W404" s="69">
        <v>46.868217075920256</v>
      </c>
      <c r="X404" s="69">
        <v>46.868217075920256</v>
      </c>
      <c r="Y404" s="69">
        <v>46.868217075920256</v>
      </c>
      <c r="Z404" s="69">
        <v>46.868217075920256</v>
      </c>
      <c r="AA404" s="69">
        <v>46.868217075920256</v>
      </c>
      <c r="AB404" s="69">
        <v>46.868217075920256</v>
      </c>
      <c r="AC404" s="69">
        <v>46.868217075920256</v>
      </c>
      <c r="AD404" s="69">
        <v>46.868217075920256</v>
      </c>
      <c r="AE404" s="69">
        <v>46.868217075920256</v>
      </c>
      <c r="AF404" s="69">
        <v>46.868217075920256</v>
      </c>
      <c r="AG404" s="69">
        <v>46.868217075920256</v>
      </c>
    </row>
    <row r="405" spans="1:33" ht="12.75" customHeight="1">
      <c r="A405" s="231" t="s">
        <v>2375</v>
      </c>
      <c r="B405" s="69" t="s">
        <v>533</v>
      </c>
      <c r="C405" s="69" t="s">
        <v>186</v>
      </c>
      <c r="D405" s="69" t="s">
        <v>334</v>
      </c>
      <c r="E405" s="69" t="s">
        <v>242</v>
      </c>
      <c r="F405" s="69" t="s">
        <v>158</v>
      </c>
      <c r="G405" s="69" t="s">
        <v>192</v>
      </c>
      <c r="H405" s="69" t="s">
        <v>804</v>
      </c>
      <c r="I405" s="69">
        <v>2</v>
      </c>
      <c r="J405" s="238">
        <v>0.21172086720867209</v>
      </c>
      <c r="K405" s="238">
        <v>0</v>
      </c>
      <c r="L405" s="69">
        <v>283.7047232876713</v>
      </c>
      <c r="M405" s="69">
        <v>-24.263013698630136</v>
      </c>
      <c r="N405" s="69">
        <v>0</v>
      </c>
      <c r="O405" s="69">
        <v>0</v>
      </c>
      <c r="P405" s="69">
        <v>0</v>
      </c>
      <c r="Q405" s="69">
        <v>212.6818080546218</v>
      </c>
      <c r="R405" s="69">
        <v>212.6818080546218</v>
      </c>
      <c r="S405" s="69">
        <v>212.6818080546218</v>
      </c>
      <c r="T405" s="69">
        <v>212.6818080546218</v>
      </c>
      <c r="U405" s="69">
        <v>212.6818080546218</v>
      </c>
      <c r="V405" s="69">
        <v>212.6818080546218</v>
      </c>
      <c r="W405" s="69">
        <v>212.6818080546218</v>
      </c>
      <c r="X405" s="69">
        <v>212.6818080546218</v>
      </c>
      <c r="Y405" s="69">
        <v>212.6818080546218</v>
      </c>
      <c r="Z405" s="69">
        <v>212.6818080546218</v>
      </c>
      <c r="AA405" s="69">
        <v>212.6818080546218</v>
      </c>
      <c r="AB405" s="69">
        <v>212.6818080546218</v>
      </c>
      <c r="AC405" s="69">
        <v>212.6818080546218</v>
      </c>
      <c r="AD405" s="69">
        <v>212.6818080546218</v>
      </c>
      <c r="AE405" s="69">
        <v>212.6818080546218</v>
      </c>
      <c r="AF405" s="69">
        <v>212.6818080546218</v>
      </c>
      <c r="AG405" s="69">
        <v>212.6818080546218</v>
      </c>
    </row>
    <row r="406" spans="1:33" ht="12.75" customHeight="1">
      <c r="A406" s="231" t="s">
        <v>2375</v>
      </c>
      <c r="B406" s="69" t="s">
        <v>534</v>
      </c>
      <c r="C406" s="69" t="s">
        <v>186</v>
      </c>
      <c r="D406" s="69" t="s">
        <v>334</v>
      </c>
      <c r="E406" s="69" t="s">
        <v>242</v>
      </c>
      <c r="F406" s="69" t="s">
        <v>158</v>
      </c>
      <c r="G406" s="69" t="s">
        <v>192</v>
      </c>
      <c r="H406" s="69" t="s">
        <v>804</v>
      </c>
      <c r="I406" s="69">
        <v>2</v>
      </c>
      <c r="J406" s="238">
        <v>0.21172086720867209</v>
      </c>
      <c r="K406" s="238">
        <v>0</v>
      </c>
      <c r="L406" s="69">
        <v>283.7047232876713</v>
      </c>
      <c r="M406" s="69">
        <v>-24.263013698630136</v>
      </c>
      <c r="N406" s="69">
        <v>0</v>
      </c>
      <c r="O406" s="69">
        <v>0</v>
      </c>
      <c r="P406" s="69">
        <v>0</v>
      </c>
      <c r="Q406" s="69">
        <v>0</v>
      </c>
      <c r="R406" s="69">
        <v>212.6818080546218</v>
      </c>
      <c r="S406" s="69">
        <v>212.6818080546218</v>
      </c>
      <c r="T406" s="69">
        <v>212.6818080546218</v>
      </c>
      <c r="U406" s="69">
        <v>212.6818080546218</v>
      </c>
      <c r="V406" s="69">
        <v>212.6818080546218</v>
      </c>
      <c r="W406" s="69">
        <v>212.6818080546218</v>
      </c>
      <c r="X406" s="69">
        <v>212.6818080546218</v>
      </c>
      <c r="Y406" s="69">
        <v>212.6818080546218</v>
      </c>
      <c r="Z406" s="69">
        <v>212.6818080546218</v>
      </c>
      <c r="AA406" s="69">
        <v>212.6818080546218</v>
      </c>
      <c r="AB406" s="69">
        <v>212.6818080546218</v>
      </c>
      <c r="AC406" s="69">
        <v>212.6818080546218</v>
      </c>
      <c r="AD406" s="69">
        <v>212.6818080546218</v>
      </c>
      <c r="AE406" s="69">
        <v>212.6818080546218</v>
      </c>
      <c r="AF406" s="69">
        <v>212.6818080546218</v>
      </c>
      <c r="AG406" s="69">
        <v>212.6818080546218</v>
      </c>
    </row>
    <row r="407" spans="1:33" ht="12.75" customHeight="1">
      <c r="A407" s="231" t="s">
        <v>2375</v>
      </c>
      <c r="B407" s="69" t="s">
        <v>535</v>
      </c>
      <c r="C407" s="69" t="s">
        <v>186</v>
      </c>
      <c r="D407" s="69" t="s">
        <v>334</v>
      </c>
      <c r="E407" s="69" t="s">
        <v>242</v>
      </c>
      <c r="F407" s="69" t="s">
        <v>158</v>
      </c>
      <c r="G407" s="69" t="s">
        <v>192</v>
      </c>
      <c r="H407" s="69" t="s">
        <v>804</v>
      </c>
      <c r="I407" s="69">
        <v>2</v>
      </c>
      <c r="J407" s="238">
        <v>0.21172086720867209</v>
      </c>
      <c r="K407" s="238">
        <v>0</v>
      </c>
      <c r="L407" s="69">
        <v>283.7047232876713</v>
      </c>
      <c r="M407" s="69">
        <v>-24.263013698630136</v>
      </c>
      <c r="N407" s="69">
        <v>0</v>
      </c>
      <c r="O407" s="69">
        <v>0</v>
      </c>
      <c r="P407" s="69">
        <v>0</v>
      </c>
      <c r="Q407" s="69">
        <v>0</v>
      </c>
      <c r="R407" s="69">
        <v>0</v>
      </c>
      <c r="S407" s="69">
        <v>280.58169467630432</v>
      </c>
      <c r="T407" s="69">
        <v>280.58169467630432</v>
      </c>
      <c r="U407" s="69">
        <v>280.58169467630432</v>
      </c>
      <c r="V407" s="69">
        <v>280.58169467630432</v>
      </c>
      <c r="W407" s="69">
        <v>280.58169467630432</v>
      </c>
      <c r="X407" s="69">
        <v>280.58169467630432</v>
      </c>
      <c r="Y407" s="69">
        <v>280.58169467630432</v>
      </c>
      <c r="Z407" s="69">
        <v>280.58169467630432</v>
      </c>
      <c r="AA407" s="69">
        <v>280.58169467630432</v>
      </c>
      <c r="AB407" s="69">
        <v>280.58169467630432</v>
      </c>
      <c r="AC407" s="69">
        <v>280.58169467630432</v>
      </c>
      <c r="AD407" s="69">
        <v>280.58169467630432</v>
      </c>
      <c r="AE407" s="69">
        <v>280.58169467630432</v>
      </c>
      <c r="AF407" s="69">
        <v>280.58169467630432</v>
      </c>
      <c r="AG407" s="69">
        <v>280.58169467630432</v>
      </c>
    </row>
    <row r="408" spans="1:33" ht="12.75" customHeight="1">
      <c r="A408" s="231" t="s">
        <v>2375</v>
      </c>
      <c r="B408" s="69" t="s">
        <v>536</v>
      </c>
      <c r="C408" s="69" t="s">
        <v>186</v>
      </c>
      <c r="D408" s="69" t="s">
        <v>334</v>
      </c>
      <c r="E408" s="69" t="s">
        <v>242</v>
      </c>
      <c r="F408" s="69" t="s">
        <v>158</v>
      </c>
      <c r="G408" s="69" t="s">
        <v>192</v>
      </c>
      <c r="H408" s="69" t="s">
        <v>804</v>
      </c>
      <c r="I408" s="69">
        <v>2</v>
      </c>
      <c r="J408" s="238">
        <v>0.21172086720867209</v>
      </c>
      <c r="K408" s="238">
        <v>0</v>
      </c>
      <c r="L408" s="69">
        <v>283.7047232876713</v>
      </c>
      <c r="M408" s="69">
        <v>-24.263013698630136</v>
      </c>
      <c r="N408" s="69">
        <v>0</v>
      </c>
      <c r="O408" s="69">
        <v>0</v>
      </c>
      <c r="P408" s="69">
        <v>0</v>
      </c>
      <c r="Q408" s="69">
        <v>0</v>
      </c>
      <c r="R408" s="69">
        <v>0</v>
      </c>
      <c r="S408" s="69">
        <v>0</v>
      </c>
      <c r="T408" s="69">
        <v>280.58169467630432</v>
      </c>
      <c r="U408" s="69">
        <v>280.58169467630432</v>
      </c>
      <c r="V408" s="69">
        <v>280.58169467630432</v>
      </c>
      <c r="W408" s="69">
        <v>280.58169467630432</v>
      </c>
      <c r="X408" s="69">
        <v>280.58169467630432</v>
      </c>
      <c r="Y408" s="69">
        <v>280.58169467630432</v>
      </c>
      <c r="Z408" s="69">
        <v>280.58169467630432</v>
      </c>
      <c r="AA408" s="69">
        <v>280.58169467630432</v>
      </c>
      <c r="AB408" s="69">
        <v>280.58169467630432</v>
      </c>
      <c r="AC408" s="69">
        <v>280.58169467630432</v>
      </c>
      <c r="AD408" s="69">
        <v>280.58169467630432</v>
      </c>
      <c r="AE408" s="69">
        <v>280.58169467630432</v>
      </c>
      <c r="AF408" s="69">
        <v>280.58169467630432</v>
      </c>
      <c r="AG408" s="69">
        <v>280.58169467630432</v>
      </c>
    </row>
    <row r="409" spans="1:33" ht="12.75" customHeight="1">
      <c r="A409" s="231" t="s">
        <v>2375</v>
      </c>
      <c r="B409" s="69" t="s">
        <v>537</v>
      </c>
      <c r="C409" s="69" t="s">
        <v>186</v>
      </c>
      <c r="D409" s="69" t="s">
        <v>334</v>
      </c>
      <c r="E409" s="69" t="s">
        <v>242</v>
      </c>
      <c r="F409" s="69" t="s">
        <v>158</v>
      </c>
      <c r="G409" s="69" t="s">
        <v>192</v>
      </c>
      <c r="H409" s="69" t="s">
        <v>804</v>
      </c>
      <c r="I409" s="69">
        <v>2</v>
      </c>
      <c r="J409" s="238">
        <v>0.21172086720867209</v>
      </c>
      <c r="K409" s="238">
        <v>0</v>
      </c>
      <c r="L409" s="69">
        <v>283.7047232876713</v>
      </c>
      <c r="M409" s="69">
        <v>-24.263013698630136</v>
      </c>
      <c r="N409" s="69">
        <v>0</v>
      </c>
      <c r="O409" s="69">
        <v>0</v>
      </c>
      <c r="P409" s="69">
        <v>0</v>
      </c>
      <c r="Q409" s="69">
        <v>0</v>
      </c>
      <c r="R409" s="69">
        <v>0</v>
      </c>
      <c r="S409" s="69">
        <v>0</v>
      </c>
      <c r="T409" s="69">
        <v>0</v>
      </c>
      <c r="U409" s="69">
        <v>280.58169467630432</v>
      </c>
      <c r="V409" s="69">
        <v>280.58169467630432</v>
      </c>
      <c r="W409" s="69">
        <v>280.58169467630432</v>
      </c>
      <c r="X409" s="69">
        <v>280.58169467630432</v>
      </c>
      <c r="Y409" s="69">
        <v>280.58169467630432</v>
      </c>
      <c r="Z409" s="69">
        <v>280.58169467630432</v>
      </c>
      <c r="AA409" s="69">
        <v>280.58169467630432</v>
      </c>
      <c r="AB409" s="69">
        <v>280.58169467630432</v>
      </c>
      <c r="AC409" s="69">
        <v>280.58169467630432</v>
      </c>
      <c r="AD409" s="69">
        <v>280.58169467630432</v>
      </c>
      <c r="AE409" s="69">
        <v>280.58169467630432</v>
      </c>
      <c r="AF409" s="69">
        <v>280.58169467630432</v>
      </c>
      <c r="AG409" s="69">
        <v>280.58169467630432</v>
      </c>
    </row>
    <row r="410" spans="1:33" ht="12.75" customHeight="1">
      <c r="A410" s="231" t="s">
        <v>2375</v>
      </c>
      <c r="B410" s="69" t="s">
        <v>538</v>
      </c>
      <c r="C410" s="69" t="s">
        <v>186</v>
      </c>
      <c r="D410" s="69" t="s">
        <v>334</v>
      </c>
      <c r="E410" s="69" t="s">
        <v>242</v>
      </c>
      <c r="F410" s="69" t="s">
        <v>158</v>
      </c>
      <c r="G410" s="69" t="s">
        <v>192</v>
      </c>
      <c r="H410" s="69" t="s">
        <v>804</v>
      </c>
      <c r="I410" s="69">
        <v>2</v>
      </c>
      <c r="J410" s="238">
        <v>0.21172086720867209</v>
      </c>
      <c r="K410" s="238">
        <v>0</v>
      </c>
      <c r="L410" s="69">
        <v>283.7047232876713</v>
      </c>
      <c r="M410" s="69">
        <v>-24.263013698630136</v>
      </c>
      <c r="N410" s="69">
        <v>0</v>
      </c>
      <c r="O410" s="69">
        <v>0</v>
      </c>
      <c r="P410" s="69">
        <v>0</v>
      </c>
      <c r="Q410" s="69">
        <v>0</v>
      </c>
      <c r="R410" s="69">
        <v>0</v>
      </c>
      <c r="S410" s="69">
        <v>0</v>
      </c>
      <c r="T410" s="69">
        <v>0</v>
      </c>
      <c r="U410" s="69">
        <v>0</v>
      </c>
      <c r="V410" s="69">
        <v>280.58169467630432</v>
      </c>
      <c r="W410" s="69">
        <v>280.58169467630432</v>
      </c>
      <c r="X410" s="69">
        <v>280.58169467630432</v>
      </c>
      <c r="Y410" s="69">
        <v>280.58169467630432</v>
      </c>
      <c r="Z410" s="69">
        <v>280.58169467630432</v>
      </c>
      <c r="AA410" s="69">
        <v>280.58169467630432</v>
      </c>
      <c r="AB410" s="69">
        <v>280.58169467630432</v>
      </c>
      <c r="AC410" s="69">
        <v>280.58169467630432</v>
      </c>
      <c r="AD410" s="69">
        <v>280.58169467630432</v>
      </c>
      <c r="AE410" s="69">
        <v>280.58169467630432</v>
      </c>
      <c r="AF410" s="69">
        <v>280.58169467630432</v>
      </c>
      <c r="AG410" s="69">
        <v>280.58169467630432</v>
      </c>
    </row>
    <row r="411" spans="1:33" ht="12.75" customHeight="1">
      <c r="A411" s="231" t="s">
        <v>2375</v>
      </c>
      <c r="B411" s="69" t="s">
        <v>539</v>
      </c>
      <c r="C411" s="69" t="s">
        <v>186</v>
      </c>
      <c r="D411" s="69" t="s">
        <v>334</v>
      </c>
      <c r="E411" s="69" t="s">
        <v>242</v>
      </c>
      <c r="F411" s="69" t="s">
        <v>158</v>
      </c>
      <c r="G411" s="69" t="s">
        <v>192</v>
      </c>
      <c r="H411" s="69" t="s">
        <v>804</v>
      </c>
      <c r="I411" s="69">
        <v>2</v>
      </c>
      <c r="J411" s="238">
        <v>0.21172086720867209</v>
      </c>
      <c r="K411" s="238">
        <v>0</v>
      </c>
      <c r="L411" s="69">
        <v>283.7047232876713</v>
      </c>
      <c r="M411" s="69">
        <v>-24.263013698630136</v>
      </c>
      <c r="N411" s="69">
        <v>0</v>
      </c>
      <c r="O411" s="69">
        <v>0</v>
      </c>
      <c r="P411" s="69">
        <v>0</v>
      </c>
      <c r="Q411" s="69">
        <v>0</v>
      </c>
      <c r="R411" s="69">
        <v>0</v>
      </c>
      <c r="S411" s="69">
        <v>0</v>
      </c>
      <c r="T411" s="69">
        <v>0</v>
      </c>
      <c r="U411" s="69">
        <v>0</v>
      </c>
      <c r="V411" s="69">
        <v>0</v>
      </c>
      <c r="W411" s="69">
        <v>280.58169467630432</v>
      </c>
      <c r="X411" s="69">
        <v>280.58169467630432</v>
      </c>
      <c r="Y411" s="69">
        <v>280.58169467630432</v>
      </c>
      <c r="Z411" s="69">
        <v>280.58169467630432</v>
      </c>
      <c r="AA411" s="69">
        <v>280.58169467630432</v>
      </c>
      <c r="AB411" s="69">
        <v>280.58169467630432</v>
      </c>
      <c r="AC411" s="69">
        <v>280.58169467630432</v>
      </c>
      <c r="AD411" s="69">
        <v>280.58169467630432</v>
      </c>
      <c r="AE411" s="69">
        <v>280.58169467630432</v>
      </c>
      <c r="AF411" s="69">
        <v>280.58169467630432</v>
      </c>
      <c r="AG411" s="69">
        <v>280.58169467630432</v>
      </c>
    </row>
    <row r="412" spans="1:33" ht="12.75" customHeight="1">
      <c r="A412" s="231" t="s">
        <v>2375</v>
      </c>
      <c r="B412" s="69" t="s">
        <v>540</v>
      </c>
      <c r="C412" s="69" t="s">
        <v>186</v>
      </c>
      <c r="D412" s="69" t="s">
        <v>491</v>
      </c>
      <c r="E412" s="69" t="s">
        <v>244</v>
      </c>
      <c r="F412" s="69" t="s">
        <v>158</v>
      </c>
      <c r="G412" s="69" t="s">
        <v>192</v>
      </c>
      <c r="H412" s="69" t="s">
        <v>804</v>
      </c>
      <c r="I412" s="69">
        <v>2</v>
      </c>
      <c r="J412" s="238">
        <v>0.29362493967405423</v>
      </c>
      <c r="K412" s="238">
        <v>0</v>
      </c>
      <c r="L412" s="69">
        <v>195.89803239826159</v>
      </c>
      <c r="M412" s="69">
        <v>-17.495061240616362</v>
      </c>
      <c r="N412" s="69">
        <v>0</v>
      </c>
      <c r="O412" s="69">
        <v>0</v>
      </c>
      <c r="P412" s="69">
        <v>0</v>
      </c>
      <c r="Q412" s="69">
        <v>0.84711615406558849</v>
      </c>
      <c r="R412" s="69">
        <v>0.84711615406558849</v>
      </c>
      <c r="S412" s="69">
        <v>0.84711615406558849</v>
      </c>
      <c r="T412" s="69">
        <v>0.84711615406558849</v>
      </c>
      <c r="U412" s="69">
        <v>0.84711615406558849</v>
      </c>
      <c r="V412" s="69">
        <v>0.84711615406558849</v>
      </c>
      <c r="W412" s="69">
        <v>0.84711615406558849</v>
      </c>
      <c r="X412" s="69">
        <v>0.84711615406558849</v>
      </c>
      <c r="Y412" s="69">
        <v>0.84711615406558849</v>
      </c>
      <c r="Z412" s="69">
        <v>0.84711615406558849</v>
      </c>
      <c r="AA412" s="69">
        <v>0.84711615406558849</v>
      </c>
      <c r="AB412" s="69">
        <v>0.84711615406558849</v>
      </c>
      <c r="AC412" s="69">
        <v>0.84711615406558849</v>
      </c>
      <c r="AD412" s="69">
        <v>0.84711615406558849</v>
      </c>
      <c r="AE412" s="69">
        <v>0.84711615406558849</v>
      </c>
      <c r="AF412" s="69">
        <v>0.84711615406558849</v>
      </c>
      <c r="AG412" s="69">
        <v>0.84711615406558849</v>
      </c>
    </row>
    <row r="413" spans="1:33" ht="12.75" customHeight="1">
      <c r="A413" s="231" t="s">
        <v>2375</v>
      </c>
      <c r="B413" s="69" t="s">
        <v>541</v>
      </c>
      <c r="C413" s="69" t="s">
        <v>186</v>
      </c>
      <c r="D413" s="69" t="s">
        <v>491</v>
      </c>
      <c r="E413" s="69" t="s">
        <v>244</v>
      </c>
      <c r="F413" s="69" t="s">
        <v>158</v>
      </c>
      <c r="G413" s="69" t="s">
        <v>192</v>
      </c>
      <c r="H413" s="69" t="s">
        <v>804</v>
      </c>
      <c r="I413" s="69">
        <v>2</v>
      </c>
      <c r="J413" s="238">
        <v>0.29362493967405423</v>
      </c>
      <c r="K413" s="238">
        <v>0</v>
      </c>
      <c r="L413" s="69">
        <v>195.89803239826159</v>
      </c>
      <c r="M413" s="69">
        <v>-17.495061240616362</v>
      </c>
      <c r="N413" s="69">
        <v>0</v>
      </c>
      <c r="O413" s="69">
        <v>0</v>
      </c>
      <c r="P413" s="69">
        <v>0</v>
      </c>
      <c r="Q413" s="69">
        <v>0</v>
      </c>
      <c r="R413" s="69">
        <v>0.84711615406558849</v>
      </c>
      <c r="S413" s="69">
        <v>0.84711615406558849</v>
      </c>
      <c r="T413" s="69">
        <v>0.84711615406558849</v>
      </c>
      <c r="U413" s="69">
        <v>0.84711615406558849</v>
      </c>
      <c r="V413" s="69">
        <v>0.84711615406558849</v>
      </c>
      <c r="W413" s="69">
        <v>0.84711615406558849</v>
      </c>
      <c r="X413" s="69">
        <v>0.84711615406558849</v>
      </c>
      <c r="Y413" s="69">
        <v>0.84711615406558849</v>
      </c>
      <c r="Z413" s="69">
        <v>0.84711615406558849</v>
      </c>
      <c r="AA413" s="69">
        <v>0.84711615406558849</v>
      </c>
      <c r="AB413" s="69">
        <v>0.84711615406558849</v>
      </c>
      <c r="AC413" s="69">
        <v>0.84711615406558849</v>
      </c>
      <c r="AD413" s="69">
        <v>0.84711615406558849</v>
      </c>
      <c r="AE413" s="69">
        <v>0.84711615406558849</v>
      </c>
      <c r="AF413" s="69">
        <v>0.84711615406558849</v>
      </c>
      <c r="AG413" s="69">
        <v>0.84711615406558849</v>
      </c>
    </row>
    <row r="414" spans="1:33" ht="12.75" customHeight="1">
      <c r="A414" s="231" t="s">
        <v>2375</v>
      </c>
      <c r="B414" s="69" t="s">
        <v>542</v>
      </c>
      <c r="C414" s="69" t="s">
        <v>186</v>
      </c>
      <c r="D414" s="69" t="s">
        <v>491</v>
      </c>
      <c r="E414" s="69" t="s">
        <v>244</v>
      </c>
      <c r="F414" s="69" t="s">
        <v>158</v>
      </c>
      <c r="G414" s="69" t="s">
        <v>192</v>
      </c>
      <c r="H414" s="69" t="s">
        <v>804</v>
      </c>
      <c r="I414" s="69">
        <v>2</v>
      </c>
      <c r="J414" s="238">
        <v>0.29362493967405423</v>
      </c>
      <c r="K414" s="238">
        <v>0</v>
      </c>
      <c r="L414" s="69">
        <v>195.89803239826159</v>
      </c>
      <c r="M414" s="69">
        <v>-17.495061240616362</v>
      </c>
      <c r="N414" s="69">
        <v>0</v>
      </c>
      <c r="O414" s="69">
        <v>0</v>
      </c>
      <c r="P414" s="69">
        <v>0</v>
      </c>
      <c r="Q414" s="69">
        <v>0</v>
      </c>
      <c r="R414" s="69">
        <v>0</v>
      </c>
      <c r="S414" s="69">
        <v>0.84711615406558849</v>
      </c>
      <c r="T414" s="69">
        <v>0.84711615406558849</v>
      </c>
      <c r="U414" s="69">
        <v>0.84711615406558849</v>
      </c>
      <c r="V414" s="69">
        <v>0.84711615406558849</v>
      </c>
      <c r="W414" s="69">
        <v>0.84711615406558849</v>
      </c>
      <c r="X414" s="69">
        <v>0.84711615406558849</v>
      </c>
      <c r="Y414" s="69">
        <v>0.84711615406558849</v>
      </c>
      <c r="Z414" s="69">
        <v>0.84711615406558849</v>
      </c>
      <c r="AA414" s="69">
        <v>0.84711615406558849</v>
      </c>
      <c r="AB414" s="69">
        <v>0.84711615406558849</v>
      </c>
      <c r="AC414" s="69">
        <v>0.84711615406558849</v>
      </c>
      <c r="AD414" s="69">
        <v>0.84711615406558849</v>
      </c>
      <c r="AE414" s="69">
        <v>0.84711615406558849</v>
      </c>
      <c r="AF414" s="69">
        <v>0.84711615406558849</v>
      </c>
      <c r="AG414" s="69">
        <v>0.84711615406558849</v>
      </c>
    </row>
    <row r="415" spans="1:33" ht="12.75" customHeight="1">
      <c r="A415" s="231" t="s">
        <v>2375</v>
      </c>
      <c r="B415" s="69" t="s">
        <v>543</v>
      </c>
      <c r="C415" s="69" t="s">
        <v>186</v>
      </c>
      <c r="D415" s="69" t="s">
        <v>491</v>
      </c>
      <c r="E415" s="69" t="s">
        <v>244</v>
      </c>
      <c r="F415" s="69" t="s">
        <v>158</v>
      </c>
      <c r="G415" s="69" t="s">
        <v>192</v>
      </c>
      <c r="H415" s="69" t="s">
        <v>804</v>
      </c>
      <c r="I415" s="69">
        <v>2</v>
      </c>
      <c r="J415" s="238">
        <v>0.29362493967405423</v>
      </c>
      <c r="K415" s="238">
        <v>0</v>
      </c>
      <c r="L415" s="69">
        <v>195.89803239826159</v>
      </c>
      <c r="M415" s="69">
        <v>-17.495061240616362</v>
      </c>
      <c r="N415" s="69">
        <v>0</v>
      </c>
      <c r="O415" s="69">
        <v>0</v>
      </c>
      <c r="P415" s="69">
        <v>0</v>
      </c>
      <c r="Q415" s="69">
        <v>0</v>
      </c>
      <c r="R415" s="69">
        <v>0</v>
      </c>
      <c r="S415" s="69">
        <v>0</v>
      </c>
      <c r="T415" s="69">
        <v>0.84711615406558849</v>
      </c>
      <c r="U415" s="69">
        <v>0.84711615406558849</v>
      </c>
      <c r="V415" s="69">
        <v>0.84711615406558849</v>
      </c>
      <c r="W415" s="69">
        <v>0.84711615406558849</v>
      </c>
      <c r="X415" s="69">
        <v>0.84711615406558849</v>
      </c>
      <c r="Y415" s="69">
        <v>0.84711615406558849</v>
      </c>
      <c r="Z415" s="69">
        <v>0.84711615406558849</v>
      </c>
      <c r="AA415" s="69">
        <v>0.84711615406558849</v>
      </c>
      <c r="AB415" s="69">
        <v>0.84711615406558849</v>
      </c>
      <c r="AC415" s="69">
        <v>0.84711615406558849</v>
      </c>
      <c r="AD415" s="69">
        <v>0.84711615406558849</v>
      </c>
      <c r="AE415" s="69">
        <v>0.84711615406558849</v>
      </c>
      <c r="AF415" s="69">
        <v>0.84711615406558849</v>
      </c>
      <c r="AG415" s="69">
        <v>0.84711615406558849</v>
      </c>
    </row>
    <row r="416" spans="1:33" ht="12.75" customHeight="1">
      <c r="A416" s="231" t="s">
        <v>2375</v>
      </c>
      <c r="B416" s="69" t="s">
        <v>544</v>
      </c>
      <c r="C416" s="69" t="s">
        <v>186</v>
      </c>
      <c r="D416" s="69" t="s">
        <v>491</v>
      </c>
      <c r="E416" s="69" t="s">
        <v>244</v>
      </c>
      <c r="F416" s="69" t="s">
        <v>158</v>
      </c>
      <c r="G416" s="69" t="s">
        <v>192</v>
      </c>
      <c r="H416" s="69" t="s">
        <v>804</v>
      </c>
      <c r="I416" s="69">
        <v>2</v>
      </c>
      <c r="J416" s="238">
        <v>0.29362493967405423</v>
      </c>
      <c r="K416" s="238">
        <v>0</v>
      </c>
      <c r="L416" s="69">
        <v>195.89803239826159</v>
      </c>
      <c r="M416" s="69">
        <v>-17.495061240616362</v>
      </c>
      <c r="N416" s="69">
        <v>0</v>
      </c>
      <c r="O416" s="69">
        <v>0</v>
      </c>
      <c r="P416" s="69">
        <v>0</v>
      </c>
      <c r="Q416" s="69">
        <v>0</v>
      </c>
      <c r="R416" s="69">
        <v>0</v>
      </c>
      <c r="S416" s="69">
        <v>0</v>
      </c>
      <c r="T416" s="69">
        <v>0</v>
      </c>
      <c r="U416" s="69">
        <v>0.84711615406558849</v>
      </c>
      <c r="V416" s="69">
        <v>0.84711615406558849</v>
      </c>
      <c r="W416" s="69">
        <v>0.84711615406558849</v>
      </c>
      <c r="X416" s="69">
        <v>0.84711615406558849</v>
      </c>
      <c r="Y416" s="69">
        <v>0.84711615406558849</v>
      </c>
      <c r="Z416" s="69">
        <v>0.84711615406558849</v>
      </c>
      <c r="AA416" s="69">
        <v>0.84711615406558849</v>
      </c>
      <c r="AB416" s="69">
        <v>0.84711615406558849</v>
      </c>
      <c r="AC416" s="69">
        <v>0.84711615406558849</v>
      </c>
      <c r="AD416" s="69">
        <v>0.84711615406558849</v>
      </c>
      <c r="AE416" s="69">
        <v>0.84711615406558849</v>
      </c>
      <c r="AF416" s="69">
        <v>0.84711615406558849</v>
      </c>
      <c r="AG416" s="69">
        <v>0.84711615406558849</v>
      </c>
    </row>
    <row r="417" spans="1:33" ht="12.75" customHeight="1">
      <c r="A417" s="231" t="s">
        <v>2375</v>
      </c>
      <c r="B417" s="69" t="s">
        <v>545</v>
      </c>
      <c r="C417" s="69" t="s">
        <v>186</v>
      </c>
      <c r="D417" s="69" t="s">
        <v>491</v>
      </c>
      <c r="E417" s="69" t="s">
        <v>244</v>
      </c>
      <c r="F417" s="69" t="s">
        <v>158</v>
      </c>
      <c r="G417" s="69" t="s">
        <v>192</v>
      </c>
      <c r="H417" s="69" t="s">
        <v>804</v>
      </c>
      <c r="I417" s="69">
        <v>2</v>
      </c>
      <c r="J417" s="238">
        <v>0.29362493967405423</v>
      </c>
      <c r="K417" s="238">
        <v>0</v>
      </c>
      <c r="L417" s="69">
        <v>195.89803239826159</v>
      </c>
      <c r="M417" s="69">
        <v>-17.495061240616362</v>
      </c>
      <c r="N417" s="69">
        <v>0</v>
      </c>
      <c r="O417" s="69">
        <v>0</v>
      </c>
      <c r="P417" s="69">
        <v>0</v>
      </c>
      <c r="Q417" s="69">
        <v>0</v>
      </c>
      <c r="R417" s="69">
        <v>0</v>
      </c>
      <c r="S417" s="69">
        <v>0</v>
      </c>
      <c r="T417" s="69">
        <v>0</v>
      </c>
      <c r="U417" s="69">
        <v>0</v>
      </c>
      <c r="V417" s="69">
        <v>0.84711615406558849</v>
      </c>
      <c r="W417" s="69">
        <v>0.84711615406558849</v>
      </c>
      <c r="X417" s="69">
        <v>0.84711615406558849</v>
      </c>
      <c r="Y417" s="69">
        <v>0.84711615406558849</v>
      </c>
      <c r="Z417" s="69">
        <v>0.84711615406558849</v>
      </c>
      <c r="AA417" s="69">
        <v>0.84711615406558849</v>
      </c>
      <c r="AB417" s="69">
        <v>0.84711615406558849</v>
      </c>
      <c r="AC417" s="69">
        <v>0.84711615406558849</v>
      </c>
      <c r="AD417" s="69">
        <v>0.84711615406558849</v>
      </c>
      <c r="AE417" s="69">
        <v>0.84711615406558849</v>
      </c>
      <c r="AF417" s="69">
        <v>0.84711615406558849</v>
      </c>
      <c r="AG417" s="69">
        <v>0.84711615406558849</v>
      </c>
    </row>
    <row r="418" spans="1:33" ht="12.75" customHeight="1">
      <c r="A418" s="231" t="s">
        <v>2375</v>
      </c>
      <c r="B418" s="69" t="s">
        <v>546</v>
      </c>
      <c r="C418" s="69" t="s">
        <v>186</v>
      </c>
      <c r="D418" s="69" t="s">
        <v>491</v>
      </c>
      <c r="E418" s="69" t="s">
        <v>244</v>
      </c>
      <c r="F418" s="69" t="s">
        <v>158</v>
      </c>
      <c r="G418" s="69" t="s">
        <v>192</v>
      </c>
      <c r="H418" s="69" t="s">
        <v>804</v>
      </c>
      <c r="I418" s="69">
        <v>2</v>
      </c>
      <c r="J418" s="238">
        <v>0.29362493967405423</v>
      </c>
      <c r="K418" s="238">
        <v>0</v>
      </c>
      <c r="L418" s="69">
        <v>195.89803239826159</v>
      </c>
      <c r="M418" s="69">
        <v>-17.495061240616362</v>
      </c>
      <c r="N418" s="69">
        <v>0</v>
      </c>
      <c r="O418" s="69">
        <v>0</v>
      </c>
      <c r="P418" s="69">
        <v>0</v>
      </c>
      <c r="Q418" s="69">
        <v>0</v>
      </c>
      <c r="R418" s="69">
        <v>0</v>
      </c>
      <c r="S418" s="69">
        <v>0</v>
      </c>
      <c r="T418" s="69">
        <v>0</v>
      </c>
      <c r="U418" s="69">
        <v>0</v>
      </c>
      <c r="V418" s="69">
        <v>0</v>
      </c>
      <c r="W418" s="69">
        <v>0.84711615406558849</v>
      </c>
      <c r="X418" s="69">
        <v>0.84711615406558849</v>
      </c>
      <c r="Y418" s="69">
        <v>0.84711615406558849</v>
      </c>
      <c r="Z418" s="69">
        <v>0.84711615406558849</v>
      </c>
      <c r="AA418" s="69">
        <v>0.84711615406558849</v>
      </c>
      <c r="AB418" s="69">
        <v>0.84711615406558849</v>
      </c>
      <c r="AC418" s="69">
        <v>0.84711615406558849</v>
      </c>
      <c r="AD418" s="69">
        <v>0.84711615406558849</v>
      </c>
      <c r="AE418" s="69">
        <v>0.84711615406558849</v>
      </c>
      <c r="AF418" s="69">
        <v>0.84711615406558849</v>
      </c>
      <c r="AG418" s="69">
        <v>0.84711615406558849</v>
      </c>
    </row>
    <row r="419" spans="1:33" ht="12.75" customHeight="1">
      <c r="A419" s="231" t="s">
        <v>2375</v>
      </c>
      <c r="B419" s="69" t="s">
        <v>547</v>
      </c>
      <c r="C419" s="69" t="s">
        <v>186</v>
      </c>
      <c r="D419" s="69" t="s">
        <v>491</v>
      </c>
      <c r="E419" s="69" t="s">
        <v>203</v>
      </c>
      <c r="F419" s="69" t="s">
        <v>158</v>
      </c>
      <c r="G419" s="69" t="s">
        <v>192</v>
      </c>
      <c r="H419" s="69" t="s">
        <v>804</v>
      </c>
      <c r="I419" s="69">
        <v>2</v>
      </c>
      <c r="J419" s="238">
        <v>0.25568920072762369</v>
      </c>
      <c r="K419" s="238">
        <v>0</v>
      </c>
      <c r="L419" s="69">
        <v>224.96275862068964</v>
      </c>
      <c r="M419" s="69">
        <v>-20.090744101633398</v>
      </c>
      <c r="N419" s="69">
        <v>0</v>
      </c>
      <c r="O419" s="69">
        <v>0</v>
      </c>
      <c r="P419" s="69">
        <v>0</v>
      </c>
      <c r="Q419" s="69">
        <v>0.70717022799726692</v>
      </c>
      <c r="R419" s="69">
        <v>0.70717022799726692</v>
      </c>
      <c r="S419" s="69">
        <v>0.70717022799726692</v>
      </c>
      <c r="T419" s="69">
        <v>0.70717022799726692</v>
      </c>
      <c r="U419" s="69">
        <v>0.70717022799726692</v>
      </c>
      <c r="V419" s="69">
        <v>0.70717022799726692</v>
      </c>
      <c r="W419" s="69">
        <v>0.70717022799726692</v>
      </c>
      <c r="X419" s="69">
        <v>0.70717022799726692</v>
      </c>
      <c r="Y419" s="69">
        <v>0.70717022799726692</v>
      </c>
      <c r="Z419" s="69">
        <v>0.70717022799726692</v>
      </c>
      <c r="AA419" s="69">
        <v>0.70717022799726692</v>
      </c>
      <c r="AB419" s="69">
        <v>0.70717022799726692</v>
      </c>
      <c r="AC419" s="69">
        <v>0.70717022799726692</v>
      </c>
      <c r="AD419" s="69">
        <v>0.70717022799726692</v>
      </c>
      <c r="AE419" s="69">
        <v>0.70717022799726692</v>
      </c>
      <c r="AF419" s="69">
        <v>0.70717022799726692</v>
      </c>
      <c r="AG419" s="69">
        <v>0.70717022799726692</v>
      </c>
    </row>
    <row r="420" spans="1:33" ht="12.75" customHeight="1">
      <c r="A420" s="231" t="s">
        <v>2375</v>
      </c>
      <c r="B420" s="69" t="s">
        <v>548</v>
      </c>
      <c r="C420" s="69" t="s">
        <v>186</v>
      </c>
      <c r="D420" s="69" t="s">
        <v>491</v>
      </c>
      <c r="E420" s="69" t="s">
        <v>203</v>
      </c>
      <c r="F420" s="69" t="s">
        <v>158</v>
      </c>
      <c r="G420" s="69" t="s">
        <v>192</v>
      </c>
      <c r="H420" s="69" t="s">
        <v>804</v>
      </c>
      <c r="I420" s="69">
        <v>2</v>
      </c>
      <c r="J420" s="238">
        <v>0.25568920072762369</v>
      </c>
      <c r="K420" s="238">
        <v>0</v>
      </c>
      <c r="L420" s="69">
        <v>224.96275862068964</v>
      </c>
      <c r="M420" s="69">
        <v>-20.090744101633398</v>
      </c>
      <c r="N420" s="69">
        <v>0</v>
      </c>
      <c r="O420" s="69">
        <v>0</v>
      </c>
      <c r="P420" s="69">
        <v>0</v>
      </c>
      <c r="Q420" s="69">
        <v>0</v>
      </c>
      <c r="R420" s="69">
        <v>0.70717022799726692</v>
      </c>
      <c r="S420" s="69">
        <v>0.70717022799726692</v>
      </c>
      <c r="T420" s="69">
        <v>0.70717022799726692</v>
      </c>
      <c r="U420" s="69">
        <v>0.70717022799726692</v>
      </c>
      <c r="V420" s="69">
        <v>0.70717022799726692</v>
      </c>
      <c r="W420" s="69">
        <v>0.70717022799726692</v>
      </c>
      <c r="X420" s="69">
        <v>0.70717022799726692</v>
      </c>
      <c r="Y420" s="69">
        <v>0.70717022799726692</v>
      </c>
      <c r="Z420" s="69">
        <v>0.70717022799726692</v>
      </c>
      <c r="AA420" s="69">
        <v>0.70717022799726692</v>
      </c>
      <c r="AB420" s="69">
        <v>0.70717022799726692</v>
      </c>
      <c r="AC420" s="69">
        <v>0.70717022799726692</v>
      </c>
      <c r="AD420" s="69">
        <v>0.70717022799726692</v>
      </c>
      <c r="AE420" s="69">
        <v>0.70717022799726692</v>
      </c>
      <c r="AF420" s="69">
        <v>0.70717022799726692</v>
      </c>
      <c r="AG420" s="69">
        <v>0.70717022799726692</v>
      </c>
    </row>
    <row r="421" spans="1:33" ht="12.75" customHeight="1">
      <c r="A421" s="231" t="s">
        <v>2375</v>
      </c>
      <c r="B421" s="69" t="s">
        <v>549</v>
      </c>
      <c r="C421" s="69" t="s">
        <v>186</v>
      </c>
      <c r="D421" s="69" t="s">
        <v>491</v>
      </c>
      <c r="E421" s="69" t="s">
        <v>203</v>
      </c>
      <c r="F421" s="69" t="s">
        <v>158</v>
      </c>
      <c r="G421" s="69" t="s">
        <v>192</v>
      </c>
      <c r="H421" s="69" t="s">
        <v>804</v>
      </c>
      <c r="I421" s="69">
        <v>2</v>
      </c>
      <c r="J421" s="238">
        <v>0.25568920072762369</v>
      </c>
      <c r="K421" s="238">
        <v>0</v>
      </c>
      <c r="L421" s="69">
        <v>224.96275862068964</v>
      </c>
      <c r="M421" s="69">
        <v>-20.090744101633398</v>
      </c>
      <c r="N421" s="69">
        <v>0</v>
      </c>
      <c r="O421" s="69">
        <v>0</v>
      </c>
      <c r="P421" s="69">
        <v>0</v>
      </c>
      <c r="Q421" s="69">
        <v>0</v>
      </c>
      <c r="R421" s="69">
        <v>0</v>
      </c>
      <c r="S421" s="69">
        <v>0.70717022799726692</v>
      </c>
      <c r="T421" s="69">
        <v>0.70717022799726692</v>
      </c>
      <c r="U421" s="69">
        <v>0.70717022799726692</v>
      </c>
      <c r="V421" s="69">
        <v>0.70717022799726692</v>
      </c>
      <c r="W421" s="69">
        <v>0.70717022799726692</v>
      </c>
      <c r="X421" s="69">
        <v>0.70717022799726692</v>
      </c>
      <c r="Y421" s="69">
        <v>0.70717022799726692</v>
      </c>
      <c r="Z421" s="69">
        <v>0.70717022799726692</v>
      </c>
      <c r="AA421" s="69">
        <v>0.70717022799726692</v>
      </c>
      <c r="AB421" s="69">
        <v>0.70717022799726692</v>
      </c>
      <c r="AC421" s="69">
        <v>0.70717022799726692</v>
      </c>
      <c r="AD421" s="69">
        <v>0.70717022799726692</v>
      </c>
      <c r="AE421" s="69">
        <v>0.70717022799726692</v>
      </c>
      <c r="AF421" s="69">
        <v>0.70717022799726692</v>
      </c>
      <c r="AG421" s="69">
        <v>0.70717022799726692</v>
      </c>
    </row>
    <row r="422" spans="1:33" ht="12.75" customHeight="1">
      <c r="A422" s="231" t="s">
        <v>2375</v>
      </c>
      <c r="B422" s="69" t="s">
        <v>550</v>
      </c>
      <c r="C422" s="69" t="s">
        <v>186</v>
      </c>
      <c r="D422" s="69" t="s">
        <v>491</v>
      </c>
      <c r="E422" s="69" t="s">
        <v>203</v>
      </c>
      <c r="F422" s="69" t="s">
        <v>158</v>
      </c>
      <c r="G422" s="69" t="s">
        <v>192</v>
      </c>
      <c r="H422" s="69" t="s">
        <v>804</v>
      </c>
      <c r="I422" s="69">
        <v>2</v>
      </c>
      <c r="J422" s="238">
        <v>0.25568920072762369</v>
      </c>
      <c r="K422" s="238">
        <v>0</v>
      </c>
      <c r="L422" s="69">
        <v>224.96275862068964</v>
      </c>
      <c r="M422" s="69">
        <v>-20.090744101633398</v>
      </c>
      <c r="N422" s="69">
        <v>0</v>
      </c>
      <c r="O422" s="69">
        <v>0</v>
      </c>
      <c r="P422" s="69">
        <v>0</v>
      </c>
      <c r="Q422" s="69">
        <v>0</v>
      </c>
      <c r="R422" s="69">
        <v>0</v>
      </c>
      <c r="S422" s="69">
        <v>0</v>
      </c>
      <c r="T422" s="69">
        <v>0.70717022799726692</v>
      </c>
      <c r="U422" s="69">
        <v>0.70717022799726692</v>
      </c>
      <c r="V422" s="69">
        <v>0.70717022799726692</v>
      </c>
      <c r="W422" s="69">
        <v>0.70717022799726692</v>
      </c>
      <c r="X422" s="69">
        <v>0.70717022799726692</v>
      </c>
      <c r="Y422" s="69">
        <v>0.70717022799726692</v>
      </c>
      <c r="Z422" s="69">
        <v>0.70717022799726692</v>
      </c>
      <c r="AA422" s="69">
        <v>0.70717022799726692</v>
      </c>
      <c r="AB422" s="69">
        <v>0.70717022799726692</v>
      </c>
      <c r="AC422" s="69">
        <v>0.70717022799726692</v>
      </c>
      <c r="AD422" s="69">
        <v>0.70717022799726692</v>
      </c>
      <c r="AE422" s="69">
        <v>0.70717022799726692</v>
      </c>
      <c r="AF422" s="69">
        <v>0.70717022799726692</v>
      </c>
      <c r="AG422" s="69">
        <v>0.70717022799726692</v>
      </c>
    </row>
    <row r="423" spans="1:33" ht="12.75" customHeight="1">
      <c r="A423" s="231" t="s">
        <v>2375</v>
      </c>
      <c r="B423" s="69" t="s">
        <v>551</v>
      </c>
      <c r="C423" s="69" t="s">
        <v>186</v>
      </c>
      <c r="D423" s="69" t="s">
        <v>491</v>
      </c>
      <c r="E423" s="69" t="s">
        <v>203</v>
      </c>
      <c r="F423" s="69" t="s">
        <v>158</v>
      </c>
      <c r="G423" s="69" t="s">
        <v>192</v>
      </c>
      <c r="H423" s="69" t="s">
        <v>804</v>
      </c>
      <c r="I423" s="69">
        <v>2</v>
      </c>
      <c r="J423" s="238">
        <v>0.25568920072762369</v>
      </c>
      <c r="K423" s="238">
        <v>0</v>
      </c>
      <c r="L423" s="69">
        <v>224.96275862068964</v>
      </c>
      <c r="M423" s="69">
        <v>-20.090744101633398</v>
      </c>
      <c r="N423" s="69">
        <v>0</v>
      </c>
      <c r="O423" s="69">
        <v>0</v>
      </c>
      <c r="P423" s="69">
        <v>0</v>
      </c>
      <c r="Q423" s="69">
        <v>0</v>
      </c>
      <c r="R423" s="69">
        <v>0</v>
      </c>
      <c r="S423" s="69">
        <v>0</v>
      </c>
      <c r="T423" s="69">
        <v>0</v>
      </c>
      <c r="U423" s="69">
        <v>0.70717022799726692</v>
      </c>
      <c r="V423" s="69">
        <v>0.70717022799726692</v>
      </c>
      <c r="W423" s="69">
        <v>0.70717022799726692</v>
      </c>
      <c r="X423" s="69">
        <v>0.70717022799726692</v>
      </c>
      <c r="Y423" s="69">
        <v>0.70717022799726692</v>
      </c>
      <c r="Z423" s="69">
        <v>0.70717022799726692</v>
      </c>
      <c r="AA423" s="69">
        <v>0.70717022799726692</v>
      </c>
      <c r="AB423" s="69">
        <v>0.70717022799726692</v>
      </c>
      <c r="AC423" s="69">
        <v>0.70717022799726692</v>
      </c>
      <c r="AD423" s="69">
        <v>0.70717022799726692</v>
      </c>
      <c r="AE423" s="69">
        <v>0.70717022799726692</v>
      </c>
      <c r="AF423" s="69">
        <v>0.70717022799726692</v>
      </c>
      <c r="AG423" s="69">
        <v>0.70717022799726692</v>
      </c>
    </row>
    <row r="424" spans="1:33" ht="12.75" customHeight="1">
      <c r="A424" s="231" t="s">
        <v>2375</v>
      </c>
      <c r="B424" s="69" t="s">
        <v>552</v>
      </c>
      <c r="C424" s="69" t="s">
        <v>186</v>
      </c>
      <c r="D424" s="69" t="s">
        <v>491</v>
      </c>
      <c r="E424" s="69" t="s">
        <v>203</v>
      </c>
      <c r="F424" s="69" t="s">
        <v>158</v>
      </c>
      <c r="G424" s="69" t="s">
        <v>192</v>
      </c>
      <c r="H424" s="69" t="s">
        <v>804</v>
      </c>
      <c r="I424" s="69">
        <v>2</v>
      </c>
      <c r="J424" s="238">
        <v>0.25568920072762369</v>
      </c>
      <c r="K424" s="238">
        <v>0</v>
      </c>
      <c r="L424" s="69">
        <v>224.96275862068964</v>
      </c>
      <c r="M424" s="69">
        <v>-20.090744101633398</v>
      </c>
      <c r="N424" s="69">
        <v>0</v>
      </c>
      <c r="O424" s="69">
        <v>0</v>
      </c>
      <c r="P424" s="69">
        <v>0</v>
      </c>
      <c r="Q424" s="69">
        <v>0</v>
      </c>
      <c r="R424" s="69">
        <v>0</v>
      </c>
      <c r="S424" s="69">
        <v>0</v>
      </c>
      <c r="T424" s="69">
        <v>0</v>
      </c>
      <c r="U424" s="69">
        <v>0</v>
      </c>
      <c r="V424" s="69">
        <v>0.70717022799726692</v>
      </c>
      <c r="W424" s="69">
        <v>0.70717022799726692</v>
      </c>
      <c r="X424" s="69">
        <v>0.70717022799726692</v>
      </c>
      <c r="Y424" s="69">
        <v>0.70717022799726692</v>
      </c>
      <c r="Z424" s="69">
        <v>0.70717022799726692</v>
      </c>
      <c r="AA424" s="69">
        <v>0.70717022799726692</v>
      </c>
      <c r="AB424" s="69">
        <v>0.70717022799726692</v>
      </c>
      <c r="AC424" s="69">
        <v>0.70717022799726692</v>
      </c>
      <c r="AD424" s="69">
        <v>0.70717022799726692</v>
      </c>
      <c r="AE424" s="69">
        <v>0.70717022799726692</v>
      </c>
      <c r="AF424" s="69">
        <v>0.70717022799726692</v>
      </c>
      <c r="AG424" s="69">
        <v>0.70717022799726692</v>
      </c>
    </row>
    <row r="425" spans="1:33" ht="12.75" customHeight="1">
      <c r="A425" s="231" t="s">
        <v>2375</v>
      </c>
      <c r="B425" s="69" t="s">
        <v>553</v>
      </c>
      <c r="C425" s="69" t="s">
        <v>186</v>
      </c>
      <c r="D425" s="69" t="s">
        <v>491</v>
      </c>
      <c r="E425" s="69" t="s">
        <v>203</v>
      </c>
      <c r="F425" s="69" t="s">
        <v>158</v>
      </c>
      <c r="G425" s="69" t="s">
        <v>192</v>
      </c>
      <c r="H425" s="69" t="s">
        <v>804</v>
      </c>
      <c r="I425" s="69">
        <v>2</v>
      </c>
      <c r="J425" s="238">
        <v>0.25568920072762369</v>
      </c>
      <c r="K425" s="238">
        <v>0</v>
      </c>
      <c r="L425" s="69">
        <v>224.96275862068964</v>
      </c>
      <c r="M425" s="69">
        <v>-20.090744101633398</v>
      </c>
      <c r="N425" s="69">
        <v>0</v>
      </c>
      <c r="O425" s="69">
        <v>0</v>
      </c>
      <c r="P425" s="69">
        <v>0</v>
      </c>
      <c r="Q425" s="69">
        <v>0</v>
      </c>
      <c r="R425" s="69">
        <v>0</v>
      </c>
      <c r="S425" s="69">
        <v>0</v>
      </c>
      <c r="T425" s="69">
        <v>0</v>
      </c>
      <c r="U425" s="69">
        <v>0</v>
      </c>
      <c r="V425" s="69">
        <v>0</v>
      </c>
      <c r="W425" s="69">
        <v>0.70717022799726692</v>
      </c>
      <c r="X425" s="69">
        <v>0.70717022799726692</v>
      </c>
      <c r="Y425" s="69">
        <v>0.70717022799726692</v>
      </c>
      <c r="Z425" s="69">
        <v>0.70717022799726692</v>
      </c>
      <c r="AA425" s="69">
        <v>0.70717022799726692</v>
      </c>
      <c r="AB425" s="69">
        <v>0.70717022799726692</v>
      </c>
      <c r="AC425" s="69">
        <v>0.70717022799726692</v>
      </c>
      <c r="AD425" s="69">
        <v>0.70717022799726692</v>
      </c>
      <c r="AE425" s="69">
        <v>0.70717022799726692</v>
      </c>
      <c r="AF425" s="69">
        <v>0.70717022799726692</v>
      </c>
      <c r="AG425" s="69">
        <v>0.70717022799726692</v>
      </c>
    </row>
    <row r="426" spans="1:33" ht="12.75" customHeight="1">
      <c r="A426" s="231" t="s">
        <v>2375</v>
      </c>
      <c r="B426" s="69" t="s">
        <v>554</v>
      </c>
      <c r="C426" s="69" t="s">
        <v>186</v>
      </c>
      <c r="D426" s="69" t="s">
        <v>491</v>
      </c>
      <c r="E426" s="69" t="s">
        <v>242</v>
      </c>
      <c r="F426" s="69" t="s">
        <v>158</v>
      </c>
      <c r="G426" s="69" t="s">
        <v>192</v>
      </c>
      <c r="H426" s="69" t="s">
        <v>804</v>
      </c>
      <c r="I426" s="69">
        <v>2</v>
      </c>
      <c r="J426" s="238">
        <v>0.26090971526153617</v>
      </c>
      <c r="K426" s="238">
        <v>0</v>
      </c>
      <c r="L426" s="69">
        <v>220.46150289017342</v>
      </c>
      <c r="M426" s="69">
        <v>-19.688750555802578</v>
      </c>
      <c r="N426" s="69">
        <v>0</v>
      </c>
      <c r="O426" s="69">
        <v>0</v>
      </c>
      <c r="P426" s="69">
        <v>0</v>
      </c>
      <c r="Q426" s="69">
        <v>0.19613295063754776</v>
      </c>
      <c r="R426" s="69">
        <v>0.19613295063754776</v>
      </c>
      <c r="S426" s="69">
        <v>0.19613295063754776</v>
      </c>
      <c r="T426" s="69">
        <v>0.19613295063754776</v>
      </c>
      <c r="U426" s="69">
        <v>0.19613295063754776</v>
      </c>
      <c r="V426" s="69">
        <v>0.19613295063754776</v>
      </c>
      <c r="W426" s="69">
        <v>0.19613295063754776</v>
      </c>
      <c r="X426" s="69">
        <v>0.19613295063754776</v>
      </c>
      <c r="Y426" s="69">
        <v>0.19613295063754776</v>
      </c>
      <c r="Z426" s="69">
        <v>0.19613295063754776</v>
      </c>
      <c r="AA426" s="69">
        <v>0.19613295063754776</v>
      </c>
      <c r="AB426" s="69">
        <v>0.19613295063754776</v>
      </c>
      <c r="AC426" s="69">
        <v>0.19613295063754776</v>
      </c>
      <c r="AD426" s="69">
        <v>0.19613295063754776</v>
      </c>
      <c r="AE426" s="69">
        <v>0.19613295063754776</v>
      </c>
      <c r="AF426" s="69">
        <v>0.19613295063754776</v>
      </c>
      <c r="AG426" s="69">
        <v>0.19613295063754776</v>
      </c>
    </row>
    <row r="427" spans="1:33" ht="12.75" customHeight="1">
      <c r="A427" s="231" t="s">
        <v>2375</v>
      </c>
      <c r="B427" s="69" t="s">
        <v>555</v>
      </c>
      <c r="C427" s="69" t="s">
        <v>186</v>
      </c>
      <c r="D427" s="69" t="s">
        <v>491</v>
      </c>
      <c r="E427" s="69" t="s">
        <v>242</v>
      </c>
      <c r="F427" s="69" t="s">
        <v>158</v>
      </c>
      <c r="G427" s="69" t="s">
        <v>192</v>
      </c>
      <c r="H427" s="69" t="s">
        <v>804</v>
      </c>
      <c r="I427" s="69">
        <v>2</v>
      </c>
      <c r="J427" s="238">
        <v>0.26090971526153617</v>
      </c>
      <c r="K427" s="238">
        <v>0</v>
      </c>
      <c r="L427" s="69">
        <v>220.46150289017342</v>
      </c>
      <c r="M427" s="69">
        <v>-19.688750555802578</v>
      </c>
      <c r="N427" s="69">
        <v>0</v>
      </c>
      <c r="O427" s="69">
        <v>0</v>
      </c>
      <c r="P427" s="69">
        <v>0</v>
      </c>
      <c r="Q427" s="69">
        <v>0</v>
      </c>
      <c r="R427" s="69">
        <v>0.19613295063754776</v>
      </c>
      <c r="S427" s="69">
        <v>0.19613295063754776</v>
      </c>
      <c r="T427" s="69">
        <v>0.19613295063754776</v>
      </c>
      <c r="U427" s="69">
        <v>0.19613295063754776</v>
      </c>
      <c r="V427" s="69">
        <v>0.19613295063754776</v>
      </c>
      <c r="W427" s="69">
        <v>0.19613295063754776</v>
      </c>
      <c r="X427" s="69">
        <v>0.19613295063754776</v>
      </c>
      <c r="Y427" s="69">
        <v>0.19613295063754776</v>
      </c>
      <c r="Z427" s="69">
        <v>0.19613295063754776</v>
      </c>
      <c r="AA427" s="69">
        <v>0.19613295063754776</v>
      </c>
      <c r="AB427" s="69">
        <v>0.19613295063754776</v>
      </c>
      <c r="AC427" s="69">
        <v>0.19613295063754776</v>
      </c>
      <c r="AD427" s="69">
        <v>0.19613295063754776</v>
      </c>
      <c r="AE427" s="69">
        <v>0.19613295063754776</v>
      </c>
      <c r="AF427" s="69">
        <v>0.19613295063754776</v>
      </c>
      <c r="AG427" s="69">
        <v>0.19613295063754776</v>
      </c>
    </row>
    <row r="428" spans="1:33" ht="12.75" customHeight="1">
      <c r="A428" s="231" t="s">
        <v>2375</v>
      </c>
      <c r="B428" s="69" t="s">
        <v>556</v>
      </c>
      <c r="C428" s="69" t="s">
        <v>186</v>
      </c>
      <c r="D428" s="69" t="s">
        <v>491</v>
      </c>
      <c r="E428" s="69" t="s">
        <v>242</v>
      </c>
      <c r="F428" s="69" t="s">
        <v>158</v>
      </c>
      <c r="G428" s="69" t="s">
        <v>192</v>
      </c>
      <c r="H428" s="69" t="s">
        <v>804</v>
      </c>
      <c r="I428" s="69">
        <v>2</v>
      </c>
      <c r="J428" s="238">
        <v>0.26090971526153617</v>
      </c>
      <c r="K428" s="238">
        <v>0</v>
      </c>
      <c r="L428" s="69">
        <v>220.46150289017342</v>
      </c>
      <c r="M428" s="69">
        <v>-19.688750555802578</v>
      </c>
      <c r="N428" s="69">
        <v>0</v>
      </c>
      <c r="O428" s="69">
        <v>0</v>
      </c>
      <c r="P428" s="69">
        <v>0</v>
      </c>
      <c r="Q428" s="69">
        <v>0</v>
      </c>
      <c r="R428" s="69">
        <v>0</v>
      </c>
      <c r="S428" s="69">
        <v>0.19613295063754776</v>
      </c>
      <c r="T428" s="69">
        <v>0.19613295063754776</v>
      </c>
      <c r="U428" s="69">
        <v>0.19613295063754776</v>
      </c>
      <c r="V428" s="69">
        <v>0.19613295063754776</v>
      </c>
      <c r="W428" s="69">
        <v>0.19613295063754776</v>
      </c>
      <c r="X428" s="69">
        <v>0.19613295063754776</v>
      </c>
      <c r="Y428" s="69">
        <v>0.19613295063754776</v>
      </c>
      <c r="Z428" s="69">
        <v>0.19613295063754776</v>
      </c>
      <c r="AA428" s="69">
        <v>0.19613295063754776</v>
      </c>
      <c r="AB428" s="69">
        <v>0.19613295063754776</v>
      </c>
      <c r="AC428" s="69">
        <v>0.19613295063754776</v>
      </c>
      <c r="AD428" s="69">
        <v>0.19613295063754776</v>
      </c>
      <c r="AE428" s="69">
        <v>0.19613295063754776</v>
      </c>
      <c r="AF428" s="69">
        <v>0.19613295063754776</v>
      </c>
      <c r="AG428" s="69">
        <v>0.19613295063754776</v>
      </c>
    </row>
    <row r="429" spans="1:33" ht="12.75" customHeight="1">
      <c r="A429" s="231" t="s">
        <v>2375</v>
      </c>
      <c r="B429" s="69" t="s">
        <v>557</v>
      </c>
      <c r="C429" s="69" t="s">
        <v>186</v>
      </c>
      <c r="D429" s="69" t="s">
        <v>491</v>
      </c>
      <c r="E429" s="69" t="s">
        <v>242</v>
      </c>
      <c r="F429" s="69" t="s">
        <v>158</v>
      </c>
      <c r="G429" s="69" t="s">
        <v>192</v>
      </c>
      <c r="H429" s="69" t="s">
        <v>804</v>
      </c>
      <c r="I429" s="69">
        <v>2</v>
      </c>
      <c r="J429" s="238">
        <v>0.26090971526153617</v>
      </c>
      <c r="K429" s="238">
        <v>0</v>
      </c>
      <c r="L429" s="69">
        <v>220.46150289017342</v>
      </c>
      <c r="M429" s="69">
        <v>-19.688750555802578</v>
      </c>
      <c r="N429" s="69">
        <v>0</v>
      </c>
      <c r="O429" s="69">
        <v>0</v>
      </c>
      <c r="P429" s="69">
        <v>0</v>
      </c>
      <c r="Q429" s="69">
        <v>0</v>
      </c>
      <c r="R429" s="69">
        <v>0</v>
      </c>
      <c r="S429" s="69">
        <v>0</v>
      </c>
      <c r="T429" s="69">
        <v>0.19613295063754776</v>
      </c>
      <c r="U429" s="69">
        <v>0.19613295063754776</v>
      </c>
      <c r="V429" s="69">
        <v>0.19613295063754776</v>
      </c>
      <c r="W429" s="69">
        <v>0.19613295063754776</v>
      </c>
      <c r="X429" s="69">
        <v>0.19613295063754776</v>
      </c>
      <c r="Y429" s="69">
        <v>0.19613295063754776</v>
      </c>
      <c r="Z429" s="69">
        <v>0.19613295063754776</v>
      </c>
      <c r="AA429" s="69">
        <v>0.19613295063754776</v>
      </c>
      <c r="AB429" s="69">
        <v>0.19613295063754776</v>
      </c>
      <c r="AC429" s="69">
        <v>0.19613295063754776</v>
      </c>
      <c r="AD429" s="69">
        <v>0.19613295063754776</v>
      </c>
      <c r="AE429" s="69">
        <v>0.19613295063754776</v>
      </c>
      <c r="AF429" s="69">
        <v>0.19613295063754776</v>
      </c>
      <c r="AG429" s="69">
        <v>0.19613295063754776</v>
      </c>
    </row>
    <row r="430" spans="1:33" ht="12.75" customHeight="1">
      <c r="A430" s="231" t="s">
        <v>2375</v>
      </c>
      <c r="B430" s="69" t="s">
        <v>558</v>
      </c>
      <c r="C430" s="69" t="s">
        <v>186</v>
      </c>
      <c r="D430" s="69" t="s">
        <v>491</v>
      </c>
      <c r="E430" s="69" t="s">
        <v>242</v>
      </c>
      <c r="F430" s="69" t="s">
        <v>158</v>
      </c>
      <c r="G430" s="69" t="s">
        <v>192</v>
      </c>
      <c r="H430" s="69" t="s">
        <v>804</v>
      </c>
      <c r="I430" s="69">
        <v>2</v>
      </c>
      <c r="J430" s="238">
        <v>0.26090971526153617</v>
      </c>
      <c r="K430" s="238">
        <v>0</v>
      </c>
      <c r="L430" s="69">
        <v>220.46150289017342</v>
      </c>
      <c r="M430" s="69">
        <v>-19.688750555802578</v>
      </c>
      <c r="N430" s="69">
        <v>0</v>
      </c>
      <c r="O430" s="69">
        <v>0</v>
      </c>
      <c r="P430" s="69">
        <v>0</v>
      </c>
      <c r="Q430" s="69">
        <v>0</v>
      </c>
      <c r="R430" s="69">
        <v>0</v>
      </c>
      <c r="S430" s="69">
        <v>0</v>
      </c>
      <c r="T430" s="69">
        <v>0</v>
      </c>
      <c r="U430" s="69">
        <v>0.19613295063754776</v>
      </c>
      <c r="V430" s="69">
        <v>0.19613295063754776</v>
      </c>
      <c r="W430" s="69">
        <v>0.19613295063754776</v>
      </c>
      <c r="X430" s="69">
        <v>0.19613295063754776</v>
      </c>
      <c r="Y430" s="69">
        <v>0.19613295063754776</v>
      </c>
      <c r="Z430" s="69">
        <v>0.19613295063754776</v>
      </c>
      <c r="AA430" s="69">
        <v>0.19613295063754776</v>
      </c>
      <c r="AB430" s="69">
        <v>0.19613295063754776</v>
      </c>
      <c r="AC430" s="69">
        <v>0.19613295063754776</v>
      </c>
      <c r="AD430" s="69">
        <v>0.19613295063754776</v>
      </c>
      <c r="AE430" s="69">
        <v>0.19613295063754776</v>
      </c>
      <c r="AF430" s="69">
        <v>0.19613295063754776</v>
      </c>
      <c r="AG430" s="69">
        <v>0.19613295063754776</v>
      </c>
    </row>
    <row r="431" spans="1:33" ht="12.75" customHeight="1">
      <c r="A431" s="231" t="s">
        <v>2375</v>
      </c>
      <c r="B431" s="69" t="s">
        <v>559</v>
      </c>
      <c r="C431" s="69" t="s">
        <v>186</v>
      </c>
      <c r="D431" s="69" t="s">
        <v>491</v>
      </c>
      <c r="E431" s="69" t="s">
        <v>242</v>
      </c>
      <c r="F431" s="69" t="s">
        <v>158</v>
      </c>
      <c r="G431" s="69" t="s">
        <v>192</v>
      </c>
      <c r="H431" s="69" t="s">
        <v>804</v>
      </c>
      <c r="I431" s="69">
        <v>2</v>
      </c>
      <c r="J431" s="238">
        <v>0.26090971526153617</v>
      </c>
      <c r="K431" s="238">
        <v>0</v>
      </c>
      <c r="L431" s="69">
        <v>220.46150289017342</v>
      </c>
      <c r="M431" s="69">
        <v>-19.688750555802578</v>
      </c>
      <c r="N431" s="69">
        <v>0</v>
      </c>
      <c r="O431" s="69">
        <v>0</v>
      </c>
      <c r="P431" s="69">
        <v>0</v>
      </c>
      <c r="Q431" s="69">
        <v>0</v>
      </c>
      <c r="R431" s="69">
        <v>0</v>
      </c>
      <c r="S431" s="69">
        <v>0</v>
      </c>
      <c r="T431" s="69">
        <v>0</v>
      </c>
      <c r="U431" s="69">
        <v>0</v>
      </c>
      <c r="V431" s="69">
        <v>0.19613295063754776</v>
      </c>
      <c r="W431" s="69">
        <v>0.19613295063754776</v>
      </c>
      <c r="X431" s="69">
        <v>0.19613295063754776</v>
      </c>
      <c r="Y431" s="69">
        <v>0.19613295063754776</v>
      </c>
      <c r="Z431" s="69">
        <v>0.19613295063754776</v>
      </c>
      <c r="AA431" s="69">
        <v>0.19613295063754776</v>
      </c>
      <c r="AB431" s="69">
        <v>0.19613295063754776</v>
      </c>
      <c r="AC431" s="69">
        <v>0.19613295063754776</v>
      </c>
      <c r="AD431" s="69">
        <v>0.19613295063754776</v>
      </c>
      <c r="AE431" s="69">
        <v>0.19613295063754776</v>
      </c>
      <c r="AF431" s="69">
        <v>0.19613295063754776</v>
      </c>
      <c r="AG431" s="69">
        <v>0.19613295063754776</v>
      </c>
    </row>
    <row r="432" spans="1:33" ht="12.75" customHeight="1">
      <c r="A432" s="231" t="s">
        <v>2375</v>
      </c>
      <c r="B432" s="69" t="s">
        <v>560</v>
      </c>
      <c r="C432" s="69" t="s">
        <v>186</v>
      </c>
      <c r="D432" s="69" t="s">
        <v>491</v>
      </c>
      <c r="E432" s="69" t="s">
        <v>242</v>
      </c>
      <c r="F432" s="69" t="s">
        <v>158</v>
      </c>
      <c r="G432" s="69" t="s">
        <v>192</v>
      </c>
      <c r="H432" s="69" t="s">
        <v>804</v>
      </c>
      <c r="I432" s="69">
        <v>2</v>
      </c>
      <c r="J432" s="238">
        <v>0.26090971526153617</v>
      </c>
      <c r="K432" s="238">
        <v>0</v>
      </c>
      <c r="L432" s="69">
        <v>220.46150289017342</v>
      </c>
      <c r="M432" s="69">
        <v>-19.688750555802578</v>
      </c>
      <c r="N432" s="69">
        <v>0</v>
      </c>
      <c r="O432" s="69">
        <v>0</v>
      </c>
      <c r="P432" s="69">
        <v>0</v>
      </c>
      <c r="Q432" s="69">
        <v>0</v>
      </c>
      <c r="R432" s="69">
        <v>0</v>
      </c>
      <c r="S432" s="69">
        <v>0</v>
      </c>
      <c r="T432" s="69">
        <v>0</v>
      </c>
      <c r="U432" s="69">
        <v>0</v>
      </c>
      <c r="V432" s="69">
        <v>0</v>
      </c>
      <c r="W432" s="69">
        <v>0.19613295063754776</v>
      </c>
      <c r="X432" s="69">
        <v>0.19613295063754776</v>
      </c>
      <c r="Y432" s="69">
        <v>0.19613295063754776</v>
      </c>
      <c r="Z432" s="69">
        <v>0.19613295063754776</v>
      </c>
      <c r="AA432" s="69">
        <v>0.19613295063754776</v>
      </c>
      <c r="AB432" s="69">
        <v>0.19613295063754776</v>
      </c>
      <c r="AC432" s="69">
        <v>0.19613295063754776</v>
      </c>
      <c r="AD432" s="69">
        <v>0.19613295063754776</v>
      </c>
      <c r="AE432" s="69">
        <v>0.19613295063754776</v>
      </c>
      <c r="AF432" s="69">
        <v>0.19613295063754776</v>
      </c>
      <c r="AG432" s="69">
        <v>0.19613295063754776</v>
      </c>
    </row>
    <row r="433" spans="1:33" ht="12.75" customHeight="1">
      <c r="A433" s="231" t="s">
        <v>2375</v>
      </c>
      <c r="B433" s="69" t="s">
        <v>561</v>
      </c>
      <c r="C433" s="69" t="s">
        <v>186</v>
      </c>
      <c r="D433" s="69" t="s">
        <v>259</v>
      </c>
      <c r="E433" s="69" t="s">
        <v>244</v>
      </c>
      <c r="F433" s="69" t="s">
        <v>158</v>
      </c>
      <c r="G433" s="69" t="s">
        <v>192</v>
      </c>
      <c r="H433" s="69" t="s">
        <v>804</v>
      </c>
      <c r="I433" s="69">
        <v>2</v>
      </c>
      <c r="J433" s="238">
        <v>0.2668262983999703</v>
      </c>
      <c r="K433" s="238">
        <v>0</v>
      </c>
      <c r="L433" s="69">
        <v>184.20052173913041</v>
      </c>
      <c r="M433" s="69">
        <v>-4.2782608695652176</v>
      </c>
      <c r="N433" s="69">
        <v>0</v>
      </c>
      <c r="O433" s="69">
        <v>0</v>
      </c>
      <c r="P433" s="69">
        <v>0</v>
      </c>
      <c r="Q433" s="69">
        <v>2.9891244601385552</v>
      </c>
      <c r="R433" s="69">
        <v>2.9891244601385552</v>
      </c>
      <c r="S433" s="69">
        <v>2.9891244601385552</v>
      </c>
      <c r="T433" s="69">
        <v>2.9891244601385552</v>
      </c>
      <c r="U433" s="69">
        <v>2.9891244601385552</v>
      </c>
      <c r="V433" s="69">
        <v>2.9891244601385552</v>
      </c>
      <c r="W433" s="69">
        <v>2.9891244601385552</v>
      </c>
      <c r="X433" s="69">
        <v>2.9891244601385552</v>
      </c>
      <c r="Y433" s="69">
        <v>2.9891244601385552</v>
      </c>
      <c r="Z433" s="69">
        <v>2.9891244601385552</v>
      </c>
      <c r="AA433" s="69">
        <v>2.9891244601385552</v>
      </c>
      <c r="AB433" s="69">
        <v>2.9891244601385552</v>
      </c>
      <c r="AC433" s="69">
        <v>2.9891244601385552</v>
      </c>
      <c r="AD433" s="69">
        <v>2.9891244601385552</v>
      </c>
      <c r="AE433" s="69">
        <v>2.9891244601385552</v>
      </c>
      <c r="AF433" s="69">
        <v>2.9891244601385552</v>
      </c>
      <c r="AG433" s="69">
        <v>2.9891244601385552</v>
      </c>
    </row>
    <row r="434" spans="1:33" ht="12.75" customHeight="1">
      <c r="A434" s="231" t="s">
        <v>2375</v>
      </c>
      <c r="B434" s="69" t="s">
        <v>562</v>
      </c>
      <c r="C434" s="69" t="s">
        <v>186</v>
      </c>
      <c r="D434" s="69" t="s">
        <v>259</v>
      </c>
      <c r="E434" s="69" t="s">
        <v>244</v>
      </c>
      <c r="F434" s="69" t="s">
        <v>158</v>
      </c>
      <c r="G434" s="69" t="s">
        <v>192</v>
      </c>
      <c r="H434" s="69" t="s">
        <v>804</v>
      </c>
      <c r="I434" s="69">
        <v>2</v>
      </c>
      <c r="J434" s="238">
        <v>0.2668262983999703</v>
      </c>
      <c r="K434" s="238">
        <v>0</v>
      </c>
      <c r="L434" s="69">
        <v>184.20052173913041</v>
      </c>
      <c r="M434" s="69">
        <v>-4.2782608695652176</v>
      </c>
      <c r="N434" s="69">
        <v>0</v>
      </c>
      <c r="O434" s="69">
        <v>0</v>
      </c>
      <c r="P434" s="69">
        <v>0</v>
      </c>
      <c r="Q434" s="69">
        <v>0</v>
      </c>
      <c r="R434" s="69">
        <v>2.9891244601385552</v>
      </c>
      <c r="S434" s="69">
        <v>2.9891244601385552</v>
      </c>
      <c r="T434" s="69">
        <v>2.9891244601385552</v>
      </c>
      <c r="U434" s="69">
        <v>2.9891244601385552</v>
      </c>
      <c r="V434" s="69">
        <v>2.9891244601385552</v>
      </c>
      <c r="W434" s="69">
        <v>2.9891244601385552</v>
      </c>
      <c r="X434" s="69">
        <v>2.9891244601385552</v>
      </c>
      <c r="Y434" s="69">
        <v>2.9891244601385552</v>
      </c>
      <c r="Z434" s="69">
        <v>2.9891244601385552</v>
      </c>
      <c r="AA434" s="69">
        <v>2.9891244601385552</v>
      </c>
      <c r="AB434" s="69">
        <v>2.9891244601385552</v>
      </c>
      <c r="AC434" s="69">
        <v>2.9891244601385552</v>
      </c>
      <c r="AD434" s="69">
        <v>2.9891244601385552</v>
      </c>
      <c r="AE434" s="69">
        <v>2.9891244601385552</v>
      </c>
      <c r="AF434" s="69">
        <v>2.9891244601385552</v>
      </c>
      <c r="AG434" s="69">
        <v>2.9891244601385552</v>
      </c>
    </row>
    <row r="435" spans="1:33" ht="12.75" customHeight="1">
      <c r="A435" s="231" t="s">
        <v>2375</v>
      </c>
      <c r="B435" s="69" t="s">
        <v>563</v>
      </c>
      <c r="C435" s="69" t="s">
        <v>186</v>
      </c>
      <c r="D435" s="69" t="s">
        <v>259</v>
      </c>
      <c r="E435" s="69" t="s">
        <v>244</v>
      </c>
      <c r="F435" s="69" t="s">
        <v>158</v>
      </c>
      <c r="G435" s="69" t="s">
        <v>192</v>
      </c>
      <c r="H435" s="69" t="s">
        <v>804</v>
      </c>
      <c r="I435" s="69">
        <v>2</v>
      </c>
      <c r="J435" s="238">
        <v>0.2668262983999703</v>
      </c>
      <c r="K435" s="238">
        <v>0</v>
      </c>
      <c r="L435" s="69">
        <v>184.20052173913041</v>
      </c>
      <c r="M435" s="69">
        <v>-4.2782608695652176</v>
      </c>
      <c r="N435" s="69">
        <v>0</v>
      </c>
      <c r="O435" s="69">
        <v>0</v>
      </c>
      <c r="P435" s="69">
        <v>0</v>
      </c>
      <c r="Q435" s="69">
        <v>0</v>
      </c>
      <c r="R435" s="69">
        <v>0</v>
      </c>
      <c r="S435" s="69">
        <v>2.9891244601385552</v>
      </c>
      <c r="T435" s="69">
        <v>2.9891244601385552</v>
      </c>
      <c r="U435" s="69">
        <v>2.9891244601385552</v>
      </c>
      <c r="V435" s="69">
        <v>2.9891244601385552</v>
      </c>
      <c r="W435" s="69">
        <v>2.9891244601385552</v>
      </c>
      <c r="X435" s="69">
        <v>2.9891244601385552</v>
      </c>
      <c r="Y435" s="69">
        <v>2.9891244601385552</v>
      </c>
      <c r="Z435" s="69">
        <v>2.9891244601385552</v>
      </c>
      <c r="AA435" s="69">
        <v>2.9891244601385552</v>
      </c>
      <c r="AB435" s="69">
        <v>2.9891244601385552</v>
      </c>
      <c r="AC435" s="69">
        <v>2.9891244601385552</v>
      </c>
      <c r="AD435" s="69">
        <v>2.9891244601385552</v>
      </c>
      <c r="AE435" s="69">
        <v>2.9891244601385552</v>
      </c>
      <c r="AF435" s="69">
        <v>2.9891244601385552</v>
      </c>
      <c r="AG435" s="69">
        <v>2.9891244601385552</v>
      </c>
    </row>
    <row r="436" spans="1:33" ht="12.75" customHeight="1">
      <c r="A436" s="231" t="s">
        <v>2375</v>
      </c>
      <c r="B436" s="69" t="s">
        <v>564</v>
      </c>
      <c r="C436" s="69" t="s">
        <v>186</v>
      </c>
      <c r="D436" s="69" t="s">
        <v>259</v>
      </c>
      <c r="E436" s="69" t="s">
        <v>244</v>
      </c>
      <c r="F436" s="69" t="s">
        <v>158</v>
      </c>
      <c r="G436" s="69" t="s">
        <v>192</v>
      </c>
      <c r="H436" s="69" t="s">
        <v>804</v>
      </c>
      <c r="I436" s="69">
        <v>2</v>
      </c>
      <c r="J436" s="238">
        <v>0.2668262983999703</v>
      </c>
      <c r="K436" s="238">
        <v>0</v>
      </c>
      <c r="L436" s="69">
        <v>184.20052173913041</v>
      </c>
      <c r="M436" s="69">
        <v>-4.2782608695652176</v>
      </c>
      <c r="N436" s="69">
        <v>0</v>
      </c>
      <c r="O436" s="69">
        <v>0</v>
      </c>
      <c r="P436" s="69">
        <v>0</v>
      </c>
      <c r="Q436" s="69">
        <v>0</v>
      </c>
      <c r="R436" s="69">
        <v>0</v>
      </c>
      <c r="S436" s="69">
        <v>0</v>
      </c>
      <c r="T436" s="69">
        <v>2.9891244601385552</v>
      </c>
      <c r="U436" s="69">
        <v>2.9891244601385552</v>
      </c>
      <c r="V436" s="69">
        <v>2.9891244601385552</v>
      </c>
      <c r="W436" s="69">
        <v>2.9891244601385552</v>
      </c>
      <c r="X436" s="69">
        <v>2.9891244601385552</v>
      </c>
      <c r="Y436" s="69">
        <v>2.9891244601385552</v>
      </c>
      <c r="Z436" s="69">
        <v>2.9891244601385552</v>
      </c>
      <c r="AA436" s="69">
        <v>2.9891244601385552</v>
      </c>
      <c r="AB436" s="69">
        <v>2.9891244601385552</v>
      </c>
      <c r="AC436" s="69">
        <v>2.9891244601385552</v>
      </c>
      <c r="AD436" s="69">
        <v>2.9891244601385552</v>
      </c>
      <c r="AE436" s="69">
        <v>2.9891244601385552</v>
      </c>
      <c r="AF436" s="69">
        <v>2.9891244601385552</v>
      </c>
      <c r="AG436" s="69">
        <v>2.9891244601385552</v>
      </c>
    </row>
    <row r="437" spans="1:33" ht="12.75" customHeight="1">
      <c r="A437" s="231" t="s">
        <v>2375</v>
      </c>
      <c r="B437" s="69" t="s">
        <v>565</v>
      </c>
      <c r="C437" s="69" t="s">
        <v>186</v>
      </c>
      <c r="D437" s="69" t="s">
        <v>259</v>
      </c>
      <c r="E437" s="69" t="s">
        <v>244</v>
      </c>
      <c r="F437" s="69" t="s">
        <v>158</v>
      </c>
      <c r="G437" s="69" t="s">
        <v>192</v>
      </c>
      <c r="H437" s="69" t="s">
        <v>804</v>
      </c>
      <c r="I437" s="69">
        <v>2</v>
      </c>
      <c r="J437" s="238">
        <v>0.2668262983999703</v>
      </c>
      <c r="K437" s="238">
        <v>0</v>
      </c>
      <c r="L437" s="69">
        <v>184.20052173913041</v>
      </c>
      <c r="M437" s="69">
        <v>-4.2782608695652176</v>
      </c>
      <c r="N437" s="69">
        <v>0</v>
      </c>
      <c r="O437" s="69">
        <v>0</v>
      </c>
      <c r="P437" s="69">
        <v>0</v>
      </c>
      <c r="Q437" s="69">
        <v>0</v>
      </c>
      <c r="R437" s="69">
        <v>0</v>
      </c>
      <c r="S437" s="69">
        <v>0</v>
      </c>
      <c r="T437" s="69">
        <v>0</v>
      </c>
      <c r="U437" s="69">
        <v>2.9891244601385552</v>
      </c>
      <c r="V437" s="69">
        <v>2.9891244601385552</v>
      </c>
      <c r="W437" s="69">
        <v>2.9891244601385552</v>
      </c>
      <c r="X437" s="69">
        <v>2.9891244601385552</v>
      </c>
      <c r="Y437" s="69">
        <v>2.9891244601385552</v>
      </c>
      <c r="Z437" s="69">
        <v>2.9891244601385552</v>
      </c>
      <c r="AA437" s="69">
        <v>2.9891244601385552</v>
      </c>
      <c r="AB437" s="69">
        <v>2.9891244601385552</v>
      </c>
      <c r="AC437" s="69">
        <v>2.9891244601385552</v>
      </c>
      <c r="AD437" s="69">
        <v>2.9891244601385552</v>
      </c>
      <c r="AE437" s="69">
        <v>2.9891244601385552</v>
      </c>
      <c r="AF437" s="69">
        <v>2.9891244601385552</v>
      </c>
      <c r="AG437" s="69">
        <v>2.9891244601385552</v>
      </c>
    </row>
    <row r="438" spans="1:33" ht="12.75" customHeight="1">
      <c r="A438" s="231" t="s">
        <v>2375</v>
      </c>
      <c r="B438" s="69" t="s">
        <v>566</v>
      </c>
      <c r="C438" s="69" t="s">
        <v>186</v>
      </c>
      <c r="D438" s="69" t="s">
        <v>259</v>
      </c>
      <c r="E438" s="69" t="s">
        <v>244</v>
      </c>
      <c r="F438" s="69" t="s">
        <v>158</v>
      </c>
      <c r="G438" s="69" t="s">
        <v>192</v>
      </c>
      <c r="H438" s="69" t="s">
        <v>804</v>
      </c>
      <c r="I438" s="69">
        <v>2</v>
      </c>
      <c r="J438" s="238">
        <v>0.2668262983999703</v>
      </c>
      <c r="K438" s="238">
        <v>0</v>
      </c>
      <c r="L438" s="69">
        <v>184.20052173913041</v>
      </c>
      <c r="M438" s="69">
        <v>-4.2782608695652176</v>
      </c>
      <c r="N438" s="69">
        <v>0</v>
      </c>
      <c r="O438" s="69">
        <v>0</v>
      </c>
      <c r="P438" s="69">
        <v>0</v>
      </c>
      <c r="Q438" s="69">
        <v>0</v>
      </c>
      <c r="R438" s="69">
        <v>0</v>
      </c>
      <c r="S438" s="69">
        <v>0</v>
      </c>
      <c r="T438" s="69">
        <v>0</v>
      </c>
      <c r="U438" s="69">
        <v>0</v>
      </c>
      <c r="V438" s="69">
        <v>2.9891244601385552</v>
      </c>
      <c r="W438" s="69">
        <v>2.9891244601385552</v>
      </c>
      <c r="X438" s="69">
        <v>2.9891244601385552</v>
      </c>
      <c r="Y438" s="69">
        <v>2.9891244601385552</v>
      </c>
      <c r="Z438" s="69">
        <v>2.9891244601385552</v>
      </c>
      <c r="AA438" s="69">
        <v>2.9891244601385552</v>
      </c>
      <c r="AB438" s="69">
        <v>2.9891244601385552</v>
      </c>
      <c r="AC438" s="69">
        <v>2.9891244601385552</v>
      </c>
      <c r="AD438" s="69">
        <v>2.9891244601385552</v>
      </c>
      <c r="AE438" s="69">
        <v>2.9891244601385552</v>
      </c>
      <c r="AF438" s="69">
        <v>2.9891244601385552</v>
      </c>
      <c r="AG438" s="69">
        <v>2.9891244601385552</v>
      </c>
    </row>
    <row r="439" spans="1:33" ht="12.75" customHeight="1">
      <c r="A439" s="231" t="s">
        <v>2375</v>
      </c>
      <c r="B439" s="69" t="s">
        <v>567</v>
      </c>
      <c r="C439" s="69" t="s">
        <v>186</v>
      </c>
      <c r="D439" s="69" t="s">
        <v>259</v>
      </c>
      <c r="E439" s="69" t="s">
        <v>244</v>
      </c>
      <c r="F439" s="69" t="s">
        <v>158</v>
      </c>
      <c r="G439" s="69" t="s">
        <v>192</v>
      </c>
      <c r="H439" s="69" t="s">
        <v>804</v>
      </c>
      <c r="I439" s="69">
        <v>2</v>
      </c>
      <c r="J439" s="238">
        <v>0.2668262983999703</v>
      </c>
      <c r="K439" s="238">
        <v>0</v>
      </c>
      <c r="L439" s="69">
        <v>184.20052173913041</v>
      </c>
      <c r="M439" s="69">
        <v>-4.2782608695652176</v>
      </c>
      <c r="N439" s="69">
        <v>0</v>
      </c>
      <c r="O439" s="69">
        <v>0</v>
      </c>
      <c r="P439" s="69">
        <v>0</v>
      </c>
      <c r="Q439" s="69">
        <v>0</v>
      </c>
      <c r="R439" s="69">
        <v>0</v>
      </c>
      <c r="S439" s="69">
        <v>0</v>
      </c>
      <c r="T439" s="69">
        <v>0</v>
      </c>
      <c r="U439" s="69">
        <v>0</v>
      </c>
      <c r="V439" s="69">
        <v>0</v>
      </c>
      <c r="W439" s="69">
        <v>2.9891244601385552</v>
      </c>
      <c r="X439" s="69">
        <v>2.9891244601385552</v>
      </c>
      <c r="Y439" s="69">
        <v>2.9891244601385552</v>
      </c>
      <c r="Z439" s="69">
        <v>2.9891244601385552</v>
      </c>
      <c r="AA439" s="69">
        <v>2.9891244601385552</v>
      </c>
      <c r="AB439" s="69">
        <v>2.9891244601385552</v>
      </c>
      <c r="AC439" s="69">
        <v>2.9891244601385552</v>
      </c>
      <c r="AD439" s="69">
        <v>2.9891244601385552</v>
      </c>
      <c r="AE439" s="69">
        <v>2.9891244601385552</v>
      </c>
      <c r="AF439" s="69">
        <v>2.9891244601385552</v>
      </c>
      <c r="AG439" s="69">
        <v>2.9891244601385552</v>
      </c>
    </row>
    <row r="440" spans="1:33" ht="12.75" customHeight="1">
      <c r="A440" s="231" t="s">
        <v>2375</v>
      </c>
      <c r="B440" s="69" t="s">
        <v>568</v>
      </c>
      <c r="C440" s="69" t="s">
        <v>186</v>
      </c>
      <c r="D440" s="69" t="s">
        <v>259</v>
      </c>
      <c r="E440" s="69" t="s">
        <v>203</v>
      </c>
      <c r="F440" s="69" t="s">
        <v>158</v>
      </c>
      <c r="G440" s="69" t="s">
        <v>192</v>
      </c>
      <c r="H440" s="69" t="s">
        <v>804</v>
      </c>
      <c r="I440" s="69">
        <v>2</v>
      </c>
      <c r="J440" s="238">
        <v>0.23561922263058244</v>
      </c>
      <c r="K440" s="238">
        <v>0</v>
      </c>
      <c r="L440" s="69">
        <v>208.59734121122602</v>
      </c>
      <c r="M440" s="69">
        <v>-4.8449039881831615</v>
      </c>
      <c r="N440" s="69">
        <v>0</v>
      </c>
      <c r="O440" s="69">
        <v>0</v>
      </c>
      <c r="P440" s="69">
        <v>0</v>
      </c>
      <c r="Q440" s="69">
        <v>4.1553228229131491</v>
      </c>
      <c r="R440" s="69">
        <v>4.1553228229131491</v>
      </c>
      <c r="S440" s="69">
        <v>4.1553228229131491</v>
      </c>
      <c r="T440" s="69">
        <v>4.1553228229131491</v>
      </c>
      <c r="U440" s="69">
        <v>4.1553228229131491</v>
      </c>
      <c r="V440" s="69">
        <v>4.1553228229131491</v>
      </c>
      <c r="W440" s="69">
        <v>4.1553228229131491</v>
      </c>
      <c r="X440" s="69">
        <v>4.1553228229131491</v>
      </c>
      <c r="Y440" s="69">
        <v>4.1553228229131491</v>
      </c>
      <c r="Z440" s="69">
        <v>4.1553228229131491</v>
      </c>
      <c r="AA440" s="69">
        <v>4.1553228229131491</v>
      </c>
      <c r="AB440" s="69">
        <v>4.1553228229131491</v>
      </c>
      <c r="AC440" s="69">
        <v>4.1553228229131491</v>
      </c>
      <c r="AD440" s="69">
        <v>4.1553228229131491</v>
      </c>
      <c r="AE440" s="69">
        <v>4.1553228229131491</v>
      </c>
      <c r="AF440" s="69">
        <v>4.1553228229131491</v>
      </c>
      <c r="AG440" s="69">
        <v>4.1553228229131491</v>
      </c>
    </row>
    <row r="441" spans="1:33" ht="12.75" customHeight="1">
      <c r="A441" s="231" t="s">
        <v>2375</v>
      </c>
      <c r="B441" s="69" t="s">
        <v>569</v>
      </c>
      <c r="C441" s="69" t="s">
        <v>186</v>
      </c>
      <c r="D441" s="69" t="s">
        <v>259</v>
      </c>
      <c r="E441" s="69" t="s">
        <v>203</v>
      </c>
      <c r="F441" s="69" t="s">
        <v>158</v>
      </c>
      <c r="G441" s="69" t="s">
        <v>192</v>
      </c>
      <c r="H441" s="69" t="s">
        <v>804</v>
      </c>
      <c r="I441" s="69">
        <v>2</v>
      </c>
      <c r="J441" s="238">
        <v>0.23561922263058244</v>
      </c>
      <c r="K441" s="238">
        <v>0</v>
      </c>
      <c r="L441" s="69">
        <v>208.59734121122602</v>
      </c>
      <c r="M441" s="69">
        <v>-4.8449039881831615</v>
      </c>
      <c r="N441" s="69">
        <v>0</v>
      </c>
      <c r="O441" s="69">
        <v>0</v>
      </c>
      <c r="P441" s="69">
        <v>0</v>
      </c>
      <c r="Q441" s="69">
        <v>0</v>
      </c>
      <c r="R441" s="69">
        <v>4.1553228229131491</v>
      </c>
      <c r="S441" s="69">
        <v>4.1553228229131491</v>
      </c>
      <c r="T441" s="69">
        <v>4.1553228229131491</v>
      </c>
      <c r="U441" s="69">
        <v>4.1553228229131491</v>
      </c>
      <c r="V441" s="69">
        <v>4.1553228229131491</v>
      </c>
      <c r="W441" s="69">
        <v>4.1553228229131491</v>
      </c>
      <c r="X441" s="69">
        <v>4.1553228229131491</v>
      </c>
      <c r="Y441" s="69">
        <v>4.1553228229131491</v>
      </c>
      <c r="Z441" s="69">
        <v>4.1553228229131491</v>
      </c>
      <c r="AA441" s="69">
        <v>4.1553228229131491</v>
      </c>
      <c r="AB441" s="69">
        <v>4.1553228229131491</v>
      </c>
      <c r="AC441" s="69">
        <v>4.1553228229131491</v>
      </c>
      <c r="AD441" s="69">
        <v>4.1553228229131491</v>
      </c>
      <c r="AE441" s="69">
        <v>4.1553228229131491</v>
      </c>
      <c r="AF441" s="69">
        <v>4.1553228229131491</v>
      </c>
      <c r="AG441" s="69">
        <v>4.1553228229131491</v>
      </c>
    </row>
    <row r="442" spans="1:33" ht="12.75" customHeight="1">
      <c r="A442" s="231" t="s">
        <v>2375</v>
      </c>
      <c r="B442" s="69" t="s">
        <v>570</v>
      </c>
      <c r="C442" s="69" t="s">
        <v>186</v>
      </c>
      <c r="D442" s="69" t="s">
        <v>259</v>
      </c>
      <c r="E442" s="69" t="s">
        <v>203</v>
      </c>
      <c r="F442" s="69" t="s">
        <v>158</v>
      </c>
      <c r="G442" s="69" t="s">
        <v>192</v>
      </c>
      <c r="H442" s="69" t="s">
        <v>804</v>
      </c>
      <c r="I442" s="69">
        <v>2</v>
      </c>
      <c r="J442" s="238">
        <v>0.23561922263058244</v>
      </c>
      <c r="K442" s="238">
        <v>0</v>
      </c>
      <c r="L442" s="69">
        <v>208.59734121122602</v>
      </c>
      <c r="M442" s="69">
        <v>-4.8449039881831615</v>
      </c>
      <c r="N442" s="69">
        <v>0</v>
      </c>
      <c r="O442" s="69">
        <v>0</v>
      </c>
      <c r="P442" s="69">
        <v>0</v>
      </c>
      <c r="Q442" s="69">
        <v>0</v>
      </c>
      <c r="R442" s="69">
        <v>0</v>
      </c>
      <c r="S442" s="69">
        <v>4.1553228229131491</v>
      </c>
      <c r="T442" s="69">
        <v>4.1553228229131491</v>
      </c>
      <c r="U442" s="69">
        <v>4.1553228229131491</v>
      </c>
      <c r="V442" s="69">
        <v>4.1553228229131491</v>
      </c>
      <c r="W442" s="69">
        <v>4.1553228229131491</v>
      </c>
      <c r="X442" s="69">
        <v>4.1553228229131491</v>
      </c>
      <c r="Y442" s="69">
        <v>4.1553228229131491</v>
      </c>
      <c r="Z442" s="69">
        <v>4.1553228229131491</v>
      </c>
      <c r="AA442" s="69">
        <v>4.1553228229131491</v>
      </c>
      <c r="AB442" s="69">
        <v>4.1553228229131491</v>
      </c>
      <c r="AC442" s="69">
        <v>4.1553228229131491</v>
      </c>
      <c r="AD442" s="69">
        <v>4.1553228229131491</v>
      </c>
      <c r="AE442" s="69">
        <v>4.1553228229131491</v>
      </c>
      <c r="AF442" s="69">
        <v>4.1553228229131491</v>
      </c>
      <c r="AG442" s="69">
        <v>4.1553228229131491</v>
      </c>
    </row>
    <row r="443" spans="1:33" ht="12.75" customHeight="1">
      <c r="A443" s="231" t="s">
        <v>2375</v>
      </c>
      <c r="B443" s="69" t="s">
        <v>571</v>
      </c>
      <c r="C443" s="69" t="s">
        <v>186</v>
      </c>
      <c r="D443" s="69" t="s">
        <v>259</v>
      </c>
      <c r="E443" s="69" t="s">
        <v>203</v>
      </c>
      <c r="F443" s="69" t="s">
        <v>158</v>
      </c>
      <c r="G443" s="69" t="s">
        <v>192</v>
      </c>
      <c r="H443" s="69" t="s">
        <v>804</v>
      </c>
      <c r="I443" s="69">
        <v>2</v>
      </c>
      <c r="J443" s="238">
        <v>0.23561922263058244</v>
      </c>
      <c r="K443" s="238">
        <v>0</v>
      </c>
      <c r="L443" s="69">
        <v>208.59734121122602</v>
      </c>
      <c r="M443" s="69">
        <v>-4.8449039881831615</v>
      </c>
      <c r="N443" s="69">
        <v>0</v>
      </c>
      <c r="O443" s="69">
        <v>0</v>
      </c>
      <c r="P443" s="69">
        <v>0</v>
      </c>
      <c r="Q443" s="69">
        <v>0</v>
      </c>
      <c r="R443" s="69">
        <v>0</v>
      </c>
      <c r="S443" s="69">
        <v>0</v>
      </c>
      <c r="T443" s="69">
        <v>4.1553228229131491</v>
      </c>
      <c r="U443" s="69">
        <v>4.1553228229131491</v>
      </c>
      <c r="V443" s="69">
        <v>4.1553228229131491</v>
      </c>
      <c r="W443" s="69">
        <v>4.1553228229131491</v>
      </c>
      <c r="X443" s="69">
        <v>4.1553228229131491</v>
      </c>
      <c r="Y443" s="69">
        <v>4.1553228229131491</v>
      </c>
      <c r="Z443" s="69">
        <v>4.1553228229131491</v>
      </c>
      <c r="AA443" s="69">
        <v>4.1553228229131491</v>
      </c>
      <c r="AB443" s="69">
        <v>4.1553228229131491</v>
      </c>
      <c r="AC443" s="69">
        <v>4.1553228229131491</v>
      </c>
      <c r="AD443" s="69">
        <v>4.1553228229131491</v>
      </c>
      <c r="AE443" s="69">
        <v>4.1553228229131491</v>
      </c>
      <c r="AF443" s="69">
        <v>4.1553228229131491</v>
      </c>
      <c r="AG443" s="69">
        <v>4.1553228229131491</v>
      </c>
    </row>
    <row r="444" spans="1:33" ht="12.75" customHeight="1">
      <c r="A444" s="231" t="s">
        <v>2375</v>
      </c>
      <c r="B444" s="69" t="s">
        <v>572</v>
      </c>
      <c r="C444" s="69" t="s">
        <v>186</v>
      </c>
      <c r="D444" s="69" t="s">
        <v>259</v>
      </c>
      <c r="E444" s="69" t="s">
        <v>203</v>
      </c>
      <c r="F444" s="69" t="s">
        <v>158</v>
      </c>
      <c r="G444" s="69" t="s">
        <v>192</v>
      </c>
      <c r="H444" s="69" t="s">
        <v>804</v>
      </c>
      <c r="I444" s="69">
        <v>2</v>
      </c>
      <c r="J444" s="238">
        <v>0.23561922263058244</v>
      </c>
      <c r="K444" s="238">
        <v>0</v>
      </c>
      <c r="L444" s="69">
        <v>208.59734121122602</v>
      </c>
      <c r="M444" s="69">
        <v>-4.8449039881831615</v>
      </c>
      <c r="N444" s="69">
        <v>0</v>
      </c>
      <c r="O444" s="69">
        <v>0</v>
      </c>
      <c r="P444" s="69">
        <v>0</v>
      </c>
      <c r="Q444" s="69">
        <v>0</v>
      </c>
      <c r="R444" s="69">
        <v>0</v>
      </c>
      <c r="S444" s="69">
        <v>0</v>
      </c>
      <c r="T444" s="69">
        <v>0</v>
      </c>
      <c r="U444" s="69">
        <v>4.1553228229131491</v>
      </c>
      <c r="V444" s="69">
        <v>4.1553228229131491</v>
      </c>
      <c r="W444" s="69">
        <v>4.1553228229131491</v>
      </c>
      <c r="X444" s="69">
        <v>4.1553228229131491</v>
      </c>
      <c r="Y444" s="69">
        <v>4.1553228229131491</v>
      </c>
      <c r="Z444" s="69">
        <v>4.1553228229131491</v>
      </c>
      <c r="AA444" s="69">
        <v>4.1553228229131491</v>
      </c>
      <c r="AB444" s="69">
        <v>4.1553228229131491</v>
      </c>
      <c r="AC444" s="69">
        <v>4.1553228229131491</v>
      </c>
      <c r="AD444" s="69">
        <v>4.1553228229131491</v>
      </c>
      <c r="AE444" s="69">
        <v>4.1553228229131491</v>
      </c>
      <c r="AF444" s="69">
        <v>4.1553228229131491</v>
      </c>
      <c r="AG444" s="69">
        <v>4.1553228229131491</v>
      </c>
    </row>
    <row r="445" spans="1:33" ht="12.75" customHeight="1">
      <c r="A445" s="231" t="s">
        <v>2375</v>
      </c>
      <c r="B445" s="69" t="s">
        <v>573</v>
      </c>
      <c r="C445" s="69" t="s">
        <v>186</v>
      </c>
      <c r="D445" s="69" t="s">
        <v>259</v>
      </c>
      <c r="E445" s="69" t="s">
        <v>203</v>
      </c>
      <c r="F445" s="69" t="s">
        <v>158</v>
      </c>
      <c r="G445" s="69" t="s">
        <v>192</v>
      </c>
      <c r="H445" s="69" t="s">
        <v>804</v>
      </c>
      <c r="I445" s="69">
        <v>2</v>
      </c>
      <c r="J445" s="238">
        <v>0.23561922263058244</v>
      </c>
      <c r="K445" s="238">
        <v>0</v>
      </c>
      <c r="L445" s="69">
        <v>208.59734121122602</v>
      </c>
      <c r="M445" s="69">
        <v>-4.8449039881831615</v>
      </c>
      <c r="N445" s="69">
        <v>0</v>
      </c>
      <c r="O445" s="69">
        <v>0</v>
      </c>
      <c r="P445" s="69">
        <v>0</v>
      </c>
      <c r="Q445" s="69">
        <v>0</v>
      </c>
      <c r="R445" s="69">
        <v>0</v>
      </c>
      <c r="S445" s="69">
        <v>0</v>
      </c>
      <c r="T445" s="69">
        <v>0</v>
      </c>
      <c r="U445" s="69">
        <v>0</v>
      </c>
      <c r="V445" s="69">
        <v>4.1553228229131491</v>
      </c>
      <c r="W445" s="69">
        <v>4.1553228229131491</v>
      </c>
      <c r="X445" s="69">
        <v>4.1553228229131491</v>
      </c>
      <c r="Y445" s="69">
        <v>4.1553228229131491</v>
      </c>
      <c r="Z445" s="69">
        <v>4.1553228229131491</v>
      </c>
      <c r="AA445" s="69">
        <v>4.1553228229131491</v>
      </c>
      <c r="AB445" s="69">
        <v>4.1553228229131491</v>
      </c>
      <c r="AC445" s="69">
        <v>4.1553228229131491</v>
      </c>
      <c r="AD445" s="69">
        <v>4.1553228229131491</v>
      </c>
      <c r="AE445" s="69">
        <v>4.1553228229131491</v>
      </c>
      <c r="AF445" s="69">
        <v>4.1553228229131491</v>
      </c>
      <c r="AG445" s="69">
        <v>4.1553228229131491</v>
      </c>
    </row>
    <row r="446" spans="1:33" ht="12.75" customHeight="1">
      <c r="A446" s="231" t="s">
        <v>2375</v>
      </c>
      <c r="B446" s="69" t="s">
        <v>574</v>
      </c>
      <c r="C446" s="69" t="s">
        <v>186</v>
      </c>
      <c r="D446" s="69" t="s">
        <v>259</v>
      </c>
      <c r="E446" s="69" t="s">
        <v>203</v>
      </c>
      <c r="F446" s="69" t="s">
        <v>158</v>
      </c>
      <c r="G446" s="69" t="s">
        <v>192</v>
      </c>
      <c r="H446" s="69" t="s">
        <v>804</v>
      </c>
      <c r="I446" s="69">
        <v>2</v>
      </c>
      <c r="J446" s="238">
        <v>0.23561922263058244</v>
      </c>
      <c r="K446" s="238">
        <v>0</v>
      </c>
      <c r="L446" s="69">
        <v>208.59734121122602</v>
      </c>
      <c r="M446" s="69">
        <v>-4.8449039881831615</v>
      </c>
      <c r="N446" s="69">
        <v>0</v>
      </c>
      <c r="O446" s="69">
        <v>0</v>
      </c>
      <c r="P446" s="69">
        <v>0</v>
      </c>
      <c r="Q446" s="69">
        <v>0</v>
      </c>
      <c r="R446" s="69">
        <v>0</v>
      </c>
      <c r="S446" s="69">
        <v>0</v>
      </c>
      <c r="T446" s="69">
        <v>0</v>
      </c>
      <c r="U446" s="69">
        <v>0</v>
      </c>
      <c r="V446" s="69">
        <v>0</v>
      </c>
      <c r="W446" s="69">
        <v>4.1553228229131491</v>
      </c>
      <c r="X446" s="69">
        <v>4.1553228229131491</v>
      </c>
      <c r="Y446" s="69">
        <v>4.1553228229131491</v>
      </c>
      <c r="Z446" s="69">
        <v>4.1553228229131491</v>
      </c>
      <c r="AA446" s="69">
        <v>4.1553228229131491</v>
      </c>
      <c r="AB446" s="69">
        <v>4.1553228229131491</v>
      </c>
      <c r="AC446" s="69">
        <v>4.1553228229131491</v>
      </c>
      <c r="AD446" s="69">
        <v>4.1553228229131491</v>
      </c>
      <c r="AE446" s="69">
        <v>4.1553228229131491</v>
      </c>
      <c r="AF446" s="69">
        <v>4.1553228229131491</v>
      </c>
      <c r="AG446" s="69">
        <v>4.1553228229131491</v>
      </c>
    </row>
    <row r="447" spans="1:33" ht="12.75" customHeight="1">
      <c r="A447" s="231" t="s">
        <v>2375</v>
      </c>
      <c r="B447" s="69" t="s">
        <v>575</v>
      </c>
      <c r="C447" s="69" t="s">
        <v>186</v>
      </c>
      <c r="D447" s="69" t="s">
        <v>259</v>
      </c>
      <c r="E447" s="69" t="s">
        <v>242</v>
      </c>
      <c r="F447" s="69" t="s">
        <v>158</v>
      </c>
      <c r="G447" s="69" t="s">
        <v>192</v>
      </c>
      <c r="H447" s="69" t="s">
        <v>804</v>
      </c>
      <c r="I447" s="69">
        <v>2</v>
      </c>
      <c r="J447" s="238">
        <v>0.24339198871440765</v>
      </c>
      <c r="K447" s="238">
        <v>0</v>
      </c>
      <c r="L447" s="69">
        <v>201.93574833174455</v>
      </c>
      <c r="M447" s="69">
        <v>-4.6901811248808389</v>
      </c>
      <c r="N447" s="69">
        <v>0</v>
      </c>
      <c r="O447" s="69">
        <v>0</v>
      </c>
      <c r="P447" s="69">
        <v>0</v>
      </c>
      <c r="Q447" s="69">
        <v>1.2880827428234625</v>
      </c>
      <c r="R447" s="69">
        <v>1.2880827428234625</v>
      </c>
      <c r="S447" s="69">
        <v>1.2880827428234625</v>
      </c>
      <c r="T447" s="69">
        <v>1.2880827428234625</v>
      </c>
      <c r="U447" s="69">
        <v>1.2880827428234625</v>
      </c>
      <c r="V447" s="69">
        <v>1.2880827428234625</v>
      </c>
      <c r="W447" s="69">
        <v>1.2880827428234625</v>
      </c>
      <c r="X447" s="69">
        <v>1.2880827428234625</v>
      </c>
      <c r="Y447" s="69">
        <v>1.2880827428234625</v>
      </c>
      <c r="Z447" s="69">
        <v>1.2880827428234625</v>
      </c>
      <c r="AA447" s="69">
        <v>1.2880827428234625</v>
      </c>
      <c r="AB447" s="69">
        <v>1.2880827428234625</v>
      </c>
      <c r="AC447" s="69">
        <v>1.2880827428234625</v>
      </c>
      <c r="AD447" s="69">
        <v>1.2880827428234625</v>
      </c>
      <c r="AE447" s="69">
        <v>1.2880827428234625</v>
      </c>
      <c r="AF447" s="69">
        <v>1.2880827428234625</v>
      </c>
      <c r="AG447" s="69">
        <v>1.2880827428234625</v>
      </c>
    </row>
    <row r="448" spans="1:33" ht="12.75" customHeight="1">
      <c r="A448" s="231" t="s">
        <v>2375</v>
      </c>
      <c r="B448" s="69" t="s">
        <v>576</v>
      </c>
      <c r="C448" s="69" t="s">
        <v>186</v>
      </c>
      <c r="D448" s="69" t="s">
        <v>259</v>
      </c>
      <c r="E448" s="69" t="s">
        <v>242</v>
      </c>
      <c r="F448" s="69" t="s">
        <v>158</v>
      </c>
      <c r="G448" s="69" t="s">
        <v>192</v>
      </c>
      <c r="H448" s="69" t="s">
        <v>804</v>
      </c>
      <c r="I448" s="69">
        <v>2</v>
      </c>
      <c r="J448" s="238">
        <v>0.24339198871440765</v>
      </c>
      <c r="K448" s="238">
        <v>0</v>
      </c>
      <c r="L448" s="69">
        <v>201.93574833174455</v>
      </c>
      <c r="M448" s="69">
        <v>-4.6901811248808389</v>
      </c>
      <c r="N448" s="69">
        <v>0</v>
      </c>
      <c r="O448" s="69">
        <v>0</v>
      </c>
      <c r="P448" s="69">
        <v>0</v>
      </c>
      <c r="Q448" s="69">
        <v>0</v>
      </c>
      <c r="R448" s="69">
        <v>1.2880827428234625</v>
      </c>
      <c r="S448" s="69">
        <v>1.2880827428234625</v>
      </c>
      <c r="T448" s="69">
        <v>1.2880827428234625</v>
      </c>
      <c r="U448" s="69">
        <v>1.2880827428234625</v>
      </c>
      <c r="V448" s="69">
        <v>1.2880827428234625</v>
      </c>
      <c r="W448" s="69">
        <v>1.2880827428234625</v>
      </c>
      <c r="X448" s="69">
        <v>1.2880827428234625</v>
      </c>
      <c r="Y448" s="69">
        <v>1.2880827428234625</v>
      </c>
      <c r="Z448" s="69">
        <v>1.2880827428234625</v>
      </c>
      <c r="AA448" s="69">
        <v>1.2880827428234625</v>
      </c>
      <c r="AB448" s="69">
        <v>1.2880827428234625</v>
      </c>
      <c r="AC448" s="69">
        <v>1.2880827428234625</v>
      </c>
      <c r="AD448" s="69">
        <v>1.2880827428234625</v>
      </c>
      <c r="AE448" s="69">
        <v>1.2880827428234625</v>
      </c>
      <c r="AF448" s="69">
        <v>1.2880827428234625</v>
      </c>
      <c r="AG448" s="69">
        <v>1.2880827428234625</v>
      </c>
    </row>
    <row r="449" spans="1:33" ht="12.75" customHeight="1">
      <c r="A449" s="231" t="s">
        <v>2375</v>
      </c>
      <c r="B449" s="69" t="s">
        <v>577</v>
      </c>
      <c r="C449" s="69" t="s">
        <v>186</v>
      </c>
      <c r="D449" s="69" t="s">
        <v>259</v>
      </c>
      <c r="E449" s="69" t="s">
        <v>242</v>
      </c>
      <c r="F449" s="69" t="s">
        <v>158</v>
      </c>
      <c r="G449" s="69" t="s">
        <v>192</v>
      </c>
      <c r="H449" s="69" t="s">
        <v>804</v>
      </c>
      <c r="I449" s="69">
        <v>2</v>
      </c>
      <c r="J449" s="238">
        <v>0.24339198871440765</v>
      </c>
      <c r="K449" s="238">
        <v>0</v>
      </c>
      <c r="L449" s="69">
        <v>201.93574833174455</v>
      </c>
      <c r="M449" s="69">
        <v>-4.6901811248808389</v>
      </c>
      <c r="N449" s="69">
        <v>0</v>
      </c>
      <c r="O449" s="69">
        <v>0</v>
      </c>
      <c r="P449" s="69">
        <v>0</v>
      </c>
      <c r="Q449" s="69">
        <v>0</v>
      </c>
      <c r="R449" s="69">
        <v>0</v>
      </c>
      <c r="S449" s="69">
        <v>1.2880827428234625</v>
      </c>
      <c r="T449" s="69">
        <v>1.2880827428234625</v>
      </c>
      <c r="U449" s="69">
        <v>1.2880827428234625</v>
      </c>
      <c r="V449" s="69">
        <v>1.2880827428234625</v>
      </c>
      <c r="W449" s="69">
        <v>1.2880827428234625</v>
      </c>
      <c r="X449" s="69">
        <v>1.2880827428234625</v>
      </c>
      <c r="Y449" s="69">
        <v>1.2880827428234625</v>
      </c>
      <c r="Z449" s="69">
        <v>1.2880827428234625</v>
      </c>
      <c r="AA449" s="69">
        <v>1.2880827428234625</v>
      </c>
      <c r="AB449" s="69">
        <v>1.2880827428234625</v>
      </c>
      <c r="AC449" s="69">
        <v>1.2880827428234625</v>
      </c>
      <c r="AD449" s="69">
        <v>1.2880827428234625</v>
      </c>
      <c r="AE449" s="69">
        <v>1.2880827428234625</v>
      </c>
      <c r="AF449" s="69">
        <v>1.2880827428234625</v>
      </c>
      <c r="AG449" s="69">
        <v>1.2880827428234625</v>
      </c>
    </row>
    <row r="450" spans="1:33" ht="12.75" customHeight="1">
      <c r="A450" s="231" t="s">
        <v>2375</v>
      </c>
      <c r="B450" s="69" t="s">
        <v>578</v>
      </c>
      <c r="C450" s="69" t="s">
        <v>186</v>
      </c>
      <c r="D450" s="69" t="s">
        <v>259</v>
      </c>
      <c r="E450" s="69" t="s">
        <v>242</v>
      </c>
      <c r="F450" s="69" t="s">
        <v>158</v>
      </c>
      <c r="G450" s="69" t="s">
        <v>192</v>
      </c>
      <c r="H450" s="69" t="s">
        <v>804</v>
      </c>
      <c r="I450" s="69">
        <v>2</v>
      </c>
      <c r="J450" s="238">
        <v>0.24339198871440765</v>
      </c>
      <c r="K450" s="238">
        <v>0</v>
      </c>
      <c r="L450" s="69">
        <v>201.93574833174455</v>
      </c>
      <c r="M450" s="69">
        <v>-4.6901811248808389</v>
      </c>
      <c r="N450" s="69">
        <v>0</v>
      </c>
      <c r="O450" s="69">
        <v>0</v>
      </c>
      <c r="P450" s="69">
        <v>0</v>
      </c>
      <c r="Q450" s="69">
        <v>0</v>
      </c>
      <c r="R450" s="69">
        <v>0</v>
      </c>
      <c r="S450" s="69">
        <v>0</v>
      </c>
      <c r="T450" s="69">
        <v>1.2880827428234625</v>
      </c>
      <c r="U450" s="69">
        <v>1.2880827428234625</v>
      </c>
      <c r="V450" s="69">
        <v>1.2880827428234625</v>
      </c>
      <c r="W450" s="69">
        <v>1.2880827428234625</v>
      </c>
      <c r="X450" s="69">
        <v>1.2880827428234625</v>
      </c>
      <c r="Y450" s="69">
        <v>1.2880827428234625</v>
      </c>
      <c r="Z450" s="69">
        <v>1.2880827428234625</v>
      </c>
      <c r="AA450" s="69">
        <v>1.2880827428234625</v>
      </c>
      <c r="AB450" s="69">
        <v>1.2880827428234625</v>
      </c>
      <c r="AC450" s="69">
        <v>1.2880827428234625</v>
      </c>
      <c r="AD450" s="69">
        <v>1.2880827428234625</v>
      </c>
      <c r="AE450" s="69">
        <v>1.2880827428234625</v>
      </c>
      <c r="AF450" s="69">
        <v>1.2880827428234625</v>
      </c>
      <c r="AG450" s="69">
        <v>1.2880827428234625</v>
      </c>
    </row>
    <row r="451" spans="1:33" ht="12.75" customHeight="1">
      <c r="A451" s="231" t="s">
        <v>2375</v>
      </c>
      <c r="B451" s="69" t="s">
        <v>579</v>
      </c>
      <c r="C451" s="69" t="s">
        <v>186</v>
      </c>
      <c r="D451" s="69" t="s">
        <v>259</v>
      </c>
      <c r="E451" s="69" t="s">
        <v>242</v>
      </c>
      <c r="F451" s="69" t="s">
        <v>158</v>
      </c>
      <c r="G451" s="69" t="s">
        <v>192</v>
      </c>
      <c r="H451" s="69" t="s">
        <v>804</v>
      </c>
      <c r="I451" s="69">
        <v>2</v>
      </c>
      <c r="J451" s="238">
        <v>0.24339198871440765</v>
      </c>
      <c r="K451" s="238">
        <v>0</v>
      </c>
      <c r="L451" s="69">
        <v>201.93574833174455</v>
      </c>
      <c r="M451" s="69">
        <v>-4.6901811248808389</v>
      </c>
      <c r="N451" s="69">
        <v>0</v>
      </c>
      <c r="O451" s="69">
        <v>0</v>
      </c>
      <c r="P451" s="69">
        <v>0</v>
      </c>
      <c r="Q451" s="69">
        <v>0</v>
      </c>
      <c r="R451" s="69">
        <v>0</v>
      </c>
      <c r="S451" s="69">
        <v>0</v>
      </c>
      <c r="T451" s="69">
        <v>0</v>
      </c>
      <c r="U451" s="69">
        <v>1.2880827428234625</v>
      </c>
      <c r="V451" s="69">
        <v>1.2880827428234625</v>
      </c>
      <c r="W451" s="69">
        <v>1.2880827428234625</v>
      </c>
      <c r="X451" s="69">
        <v>1.2880827428234625</v>
      </c>
      <c r="Y451" s="69">
        <v>1.2880827428234625</v>
      </c>
      <c r="Z451" s="69">
        <v>1.2880827428234625</v>
      </c>
      <c r="AA451" s="69">
        <v>1.2880827428234625</v>
      </c>
      <c r="AB451" s="69">
        <v>1.2880827428234625</v>
      </c>
      <c r="AC451" s="69">
        <v>1.2880827428234625</v>
      </c>
      <c r="AD451" s="69">
        <v>1.2880827428234625</v>
      </c>
      <c r="AE451" s="69">
        <v>1.2880827428234625</v>
      </c>
      <c r="AF451" s="69">
        <v>1.2880827428234625</v>
      </c>
      <c r="AG451" s="69">
        <v>1.2880827428234625</v>
      </c>
    </row>
    <row r="452" spans="1:33" ht="12.75" customHeight="1">
      <c r="A452" s="231" t="s">
        <v>2375</v>
      </c>
      <c r="B452" s="69" t="s">
        <v>580</v>
      </c>
      <c r="C452" s="69" t="s">
        <v>186</v>
      </c>
      <c r="D452" s="69" t="s">
        <v>259</v>
      </c>
      <c r="E452" s="69" t="s">
        <v>242</v>
      </c>
      <c r="F452" s="69" t="s">
        <v>158</v>
      </c>
      <c r="G452" s="69" t="s">
        <v>192</v>
      </c>
      <c r="H452" s="69" t="s">
        <v>804</v>
      </c>
      <c r="I452" s="69">
        <v>2</v>
      </c>
      <c r="J452" s="238">
        <v>0.24339198871440765</v>
      </c>
      <c r="K452" s="238">
        <v>0</v>
      </c>
      <c r="L452" s="69">
        <v>201.93574833174455</v>
      </c>
      <c r="M452" s="69">
        <v>-4.6901811248808389</v>
      </c>
      <c r="N452" s="69">
        <v>0</v>
      </c>
      <c r="O452" s="69">
        <v>0</v>
      </c>
      <c r="P452" s="69">
        <v>0</v>
      </c>
      <c r="Q452" s="69">
        <v>0</v>
      </c>
      <c r="R452" s="69">
        <v>0</v>
      </c>
      <c r="S452" s="69">
        <v>0</v>
      </c>
      <c r="T452" s="69">
        <v>0</v>
      </c>
      <c r="U452" s="69">
        <v>0</v>
      </c>
      <c r="V452" s="69">
        <v>1.2880827428234625</v>
      </c>
      <c r="W452" s="69">
        <v>1.2880827428234625</v>
      </c>
      <c r="X452" s="69">
        <v>1.2880827428234625</v>
      </c>
      <c r="Y452" s="69">
        <v>1.2880827428234625</v>
      </c>
      <c r="Z452" s="69">
        <v>1.2880827428234625</v>
      </c>
      <c r="AA452" s="69">
        <v>1.2880827428234625</v>
      </c>
      <c r="AB452" s="69">
        <v>1.2880827428234625</v>
      </c>
      <c r="AC452" s="69">
        <v>1.2880827428234625</v>
      </c>
      <c r="AD452" s="69">
        <v>1.2880827428234625</v>
      </c>
      <c r="AE452" s="69">
        <v>1.2880827428234625</v>
      </c>
      <c r="AF452" s="69">
        <v>1.2880827428234625</v>
      </c>
      <c r="AG452" s="69">
        <v>1.2880827428234625</v>
      </c>
    </row>
    <row r="453" spans="1:33" ht="12.75" customHeight="1">
      <c r="A453" s="231" t="s">
        <v>2375</v>
      </c>
      <c r="B453" s="69" t="s">
        <v>581</v>
      </c>
      <c r="C453" s="69" t="s">
        <v>186</v>
      </c>
      <c r="D453" s="69" t="s">
        <v>259</v>
      </c>
      <c r="E453" s="69" t="s">
        <v>242</v>
      </c>
      <c r="F453" s="69" t="s">
        <v>158</v>
      </c>
      <c r="G453" s="69" t="s">
        <v>192</v>
      </c>
      <c r="H453" s="69" t="s">
        <v>804</v>
      </c>
      <c r="I453" s="69">
        <v>2</v>
      </c>
      <c r="J453" s="238">
        <v>0.24339198871440765</v>
      </c>
      <c r="K453" s="238">
        <v>0</v>
      </c>
      <c r="L453" s="69">
        <v>201.93574833174455</v>
      </c>
      <c r="M453" s="69">
        <v>-4.6901811248808389</v>
      </c>
      <c r="N453" s="69">
        <v>0</v>
      </c>
      <c r="O453" s="69">
        <v>0</v>
      </c>
      <c r="P453" s="69">
        <v>0</v>
      </c>
      <c r="Q453" s="69">
        <v>0</v>
      </c>
      <c r="R453" s="69">
        <v>0</v>
      </c>
      <c r="S453" s="69">
        <v>0</v>
      </c>
      <c r="T453" s="69">
        <v>0</v>
      </c>
      <c r="U453" s="69">
        <v>0</v>
      </c>
      <c r="V453" s="69">
        <v>0</v>
      </c>
      <c r="W453" s="69">
        <v>1.2880827428234625</v>
      </c>
      <c r="X453" s="69">
        <v>1.2880827428234625</v>
      </c>
      <c r="Y453" s="69">
        <v>1.2880827428234625</v>
      </c>
      <c r="Z453" s="69">
        <v>1.2880827428234625</v>
      </c>
      <c r="AA453" s="69">
        <v>1.2880827428234625</v>
      </c>
      <c r="AB453" s="69">
        <v>1.2880827428234625</v>
      </c>
      <c r="AC453" s="69">
        <v>1.2880827428234625</v>
      </c>
      <c r="AD453" s="69">
        <v>1.2880827428234625</v>
      </c>
      <c r="AE453" s="69">
        <v>1.2880827428234625</v>
      </c>
      <c r="AF453" s="69">
        <v>1.2880827428234625</v>
      </c>
      <c r="AG453" s="69">
        <v>1.2880827428234625</v>
      </c>
    </row>
    <row r="454" spans="1:33" ht="12.75" customHeight="1">
      <c r="A454" s="231" t="s">
        <v>2375</v>
      </c>
      <c r="B454" s="69" t="s">
        <v>582</v>
      </c>
      <c r="C454" s="69" t="s">
        <v>186</v>
      </c>
      <c r="D454" s="69" t="s">
        <v>218</v>
      </c>
      <c r="E454" s="69" t="s">
        <v>244</v>
      </c>
      <c r="F454" s="69" t="s">
        <v>158</v>
      </c>
      <c r="G454" s="69" t="s">
        <v>192</v>
      </c>
      <c r="H454" s="69" t="s">
        <v>804</v>
      </c>
      <c r="I454" s="69">
        <v>2</v>
      </c>
      <c r="J454" s="238">
        <v>0.2668262983999703</v>
      </c>
      <c r="K454" s="238">
        <v>0</v>
      </c>
      <c r="L454" s="69">
        <v>176.76062608695653</v>
      </c>
      <c r="M454" s="69">
        <v>-4.2782608695652176</v>
      </c>
      <c r="N454" s="69">
        <v>0</v>
      </c>
      <c r="O454" s="69">
        <v>0</v>
      </c>
      <c r="P454" s="69">
        <v>0</v>
      </c>
      <c r="Q454" s="69">
        <v>12.221656373312726</v>
      </c>
      <c r="R454" s="69">
        <v>12.221656373312726</v>
      </c>
      <c r="S454" s="69">
        <v>12.221656373312726</v>
      </c>
      <c r="T454" s="69">
        <v>12.221656373312726</v>
      </c>
      <c r="U454" s="69">
        <v>12.221656373312726</v>
      </c>
      <c r="V454" s="69">
        <v>12.221656373312726</v>
      </c>
      <c r="W454" s="69">
        <v>12.221656373312726</v>
      </c>
      <c r="X454" s="69">
        <v>12.221656373312726</v>
      </c>
      <c r="Y454" s="69">
        <v>12.221656373312726</v>
      </c>
      <c r="Z454" s="69">
        <v>12.221656373312726</v>
      </c>
      <c r="AA454" s="69">
        <v>12.221656373312726</v>
      </c>
      <c r="AB454" s="69">
        <v>12.221656373312726</v>
      </c>
      <c r="AC454" s="69">
        <v>12.221656373312726</v>
      </c>
      <c r="AD454" s="69">
        <v>12.221656373312726</v>
      </c>
      <c r="AE454" s="69">
        <v>12.221656373312726</v>
      </c>
      <c r="AF454" s="69">
        <v>12.221656373312726</v>
      </c>
      <c r="AG454" s="69">
        <v>12.221656373312726</v>
      </c>
    </row>
    <row r="455" spans="1:33" ht="12.75" customHeight="1">
      <c r="A455" s="231" t="s">
        <v>2375</v>
      </c>
      <c r="B455" s="69" t="s">
        <v>583</v>
      </c>
      <c r="C455" s="69" t="s">
        <v>186</v>
      </c>
      <c r="D455" s="69" t="s">
        <v>218</v>
      </c>
      <c r="E455" s="69" t="s">
        <v>244</v>
      </c>
      <c r="F455" s="69" t="s">
        <v>158</v>
      </c>
      <c r="G455" s="69" t="s">
        <v>192</v>
      </c>
      <c r="H455" s="69" t="s">
        <v>804</v>
      </c>
      <c r="I455" s="69">
        <v>2</v>
      </c>
      <c r="J455" s="238">
        <v>0.2668262983999703</v>
      </c>
      <c r="K455" s="238">
        <v>0</v>
      </c>
      <c r="L455" s="69">
        <v>176.76062608695653</v>
      </c>
      <c r="M455" s="69">
        <v>-4.2782608695652176</v>
      </c>
      <c r="N455" s="69">
        <v>0</v>
      </c>
      <c r="O455" s="69">
        <v>0</v>
      </c>
      <c r="P455" s="69">
        <v>0</v>
      </c>
      <c r="Q455" s="69">
        <v>0</v>
      </c>
      <c r="R455" s="69">
        <v>12.221656373312726</v>
      </c>
      <c r="S455" s="69">
        <v>12.221656373312726</v>
      </c>
      <c r="T455" s="69">
        <v>12.221656373312726</v>
      </c>
      <c r="U455" s="69">
        <v>12.221656373312726</v>
      </c>
      <c r="V455" s="69">
        <v>12.221656373312726</v>
      </c>
      <c r="W455" s="69">
        <v>12.221656373312726</v>
      </c>
      <c r="X455" s="69">
        <v>12.221656373312726</v>
      </c>
      <c r="Y455" s="69">
        <v>12.221656373312726</v>
      </c>
      <c r="Z455" s="69">
        <v>12.221656373312726</v>
      </c>
      <c r="AA455" s="69">
        <v>12.221656373312726</v>
      </c>
      <c r="AB455" s="69">
        <v>12.221656373312726</v>
      </c>
      <c r="AC455" s="69">
        <v>12.221656373312726</v>
      </c>
      <c r="AD455" s="69">
        <v>12.221656373312726</v>
      </c>
      <c r="AE455" s="69">
        <v>12.221656373312726</v>
      </c>
      <c r="AF455" s="69">
        <v>12.221656373312726</v>
      </c>
      <c r="AG455" s="69">
        <v>12.221656373312726</v>
      </c>
    </row>
    <row r="456" spans="1:33" ht="12.75" customHeight="1">
      <c r="A456" s="231" t="s">
        <v>2375</v>
      </c>
      <c r="B456" s="69" t="s">
        <v>584</v>
      </c>
      <c r="C456" s="69" t="s">
        <v>186</v>
      </c>
      <c r="D456" s="69" t="s">
        <v>218</v>
      </c>
      <c r="E456" s="69" t="s">
        <v>244</v>
      </c>
      <c r="F456" s="69" t="s">
        <v>158</v>
      </c>
      <c r="G456" s="69" t="s">
        <v>192</v>
      </c>
      <c r="H456" s="69" t="s">
        <v>804</v>
      </c>
      <c r="I456" s="69">
        <v>2</v>
      </c>
      <c r="J456" s="238">
        <v>0.2668262983999703</v>
      </c>
      <c r="K456" s="238">
        <v>0</v>
      </c>
      <c r="L456" s="69">
        <v>176.76062608695653</v>
      </c>
      <c r="M456" s="69">
        <v>-4.2782608695652176</v>
      </c>
      <c r="N456" s="69">
        <v>0</v>
      </c>
      <c r="O456" s="69">
        <v>0</v>
      </c>
      <c r="P456" s="69">
        <v>0</v>
      </c>
      <c r="Q456" s="69">
        <v>0</v>
      </c>
      <c r="R456" s="69">
        <v>0</v>
      </c>
      <c r="S456" s="69">
        <v>20.985478260517993</v>
      </c>
      <c r="T456" s="69">
        <v>20.985478260517993</v>
      </c>
      <c r="U456" s="69">
        <v>20.985478260517993</v>
      </c>
      <c r="V456" s="69">
        <v>20.985478260517993</v>
      </c>
      <c r="W456" s="69">
        <v>20.985478260517993</v>
      </c>
      <c r="X456" s="69">
        <v>20.985478260517993</v>
      </c>
      <c r="Y456" s="69">
        <v>20.985478260517993</v>
      </c>
      <c r="Z456" s="69">
        <v>20.985478260517993</v>
      </c>
      <c r="AA456" s="69">
        <v>20.985478260517993</v>
      </c>
      <c r="AB456" s="69">
        <v>20.985478260517993</v>
      </c>
      <c r="AC456" s="69">
        <v>20.985478260517993</v>
      </c>
      <c r="AD456" s="69">
        <v>20.985478260517993</v>
      </c>
      <c r="AE456" s="69">
        <v>20.985478260517993</v>
      </c>
      <c r="AF456" s="69">
        <v>20.985478260517993</v>
      </c>
      <c r="AG456" s="69">
        <v>20.985478260517993</v>
      </c>
    </row>
    <row r="457" spans="1:33" ht="12.75" customHeight="1">
      <c r="A457" s="231" t="s">
        <v>2375</v>
      </c>
      <c r="B457" s="69" t="s">
        <v>585</v>
      </c>
      <c r="C457" s="69" t="s">
        <v>186</v>
      </c>
      <c r="D457" s="69" t="s">
        <v>218</v>
      </c>
      <c r="E457" s="69" t="s">
        <v>244</v>
      </c>
      <c r="F457" s="69" t="s">
        <v>158</v>
      </c>
      <c r="G457" s="69" t="s">
        <v>192</v>
      </c>
      <c r="H457" s="69" t="s">
        <v>804</v>
      </c>
      <c r="I457" s="69">
        <v>2</v>
      </c>
      <c r="J457" s="238">
        <v>0.2668262983999703</v>
      </c>
      <c r="K457" s="238">
        <v>0</v>
      </c>
      <c r="L457" s="69">
        <v>176.76062608695653</v>
      </c>
      <c r="M457" s="69">
        <v>-4.2782608695652176</v>
      </c>
      <c r="N457" s="69">
        <v>0</v>
      </c>
      <c r="O457" s="69">
        <v>0</v>
      </c>
      <c r="P457" s="69">
        <v>0</v>
      </c>
      <c r="Q457" s="69">
        <v>0</v>
      </c>
      <c r="R457" s="69">
        <v>0</v>
      </c>
      <c r="S457" s="69">
        <v>0</v>
      </c>
      <c r="T457" s="69">
        <v>20.985478260517993</v>
      </c>
      <c r="U457" s="69">
        <v>20.985478260517993</v>
      </c>
      <c r="V457" s="69">
        <v>20.985478260517993</v>
      </c>
      <c r="W457" s="69">
        <v>20.985478260517993</v>
      </c>
      <c r="X457" s="69">
        <v>20.985478260517993</v>
      </c>
      <c r="Y457" s="69">
        <v>20.985478260517993</v>
      </c>
      <c r="Z457" s="69">
        <v>20.985478260517993</v>
      </c>
      <c r="AA457" s="69">
        <v>20.985478260517993</v>
      </c>
      <c r="AB457" s="69">
        <v>20.985478260517993</v>
      </c>
      <c r="AC457" s="69">
        <v>20.985478260517993</v>
      </c>
      <c r="AD457" s="69">
        <v>20.985478260517993</v>
      </c>
      <c r="AE457" s="69">
        <v>20.985478260517993</v>
      </c>
      <c r="AF457" s="69">
        <v>20.985478260517993</v>
      </c>
      <c r="AG457" s="69">
        <v>20.985478260517993</v>
      </c>
    </row>
    <row r="458" spans="1:33" ht="12.75" customHeight="1">
      <c r="A458" s="231" t="s">
        <v>2375</v>
      </c>
      <c r="B458" s="69" t="s">
        <v>586</v>
      </c>
      <c r="C458" s="69" t="s">
        <v>186</v>
      </c>
      <c r="D458" s="69" t="s">
        <v>218</v>
      </c>
      <c r="E458" s="69" t="s">
        <v>244</v>
      </c>
      <c r="F458" s="69" t="s">
        <v>158</v>
      </c>
      <c r="G458" s="69" t="s">
        <v>192</v>
      </c>
      <c r="H458" s="69" t="s">
        <v>804</v>
      </c>
      <c r="I458" s="69">
        <v>2</v>
      </c>
      <c r="J458" s="238">
        <v>0.2668262983999703</v>
      </c>
      <c r="K458" s="238">
        <v>0</v>
      </c>
      <c r="L458" s="69">
        <v>176.76062608695653</v>
      </c>
      <c r="M458" s="69">
        <v>-4.2782608695652176</v>
      </c>
      <c r="N458" s="69">
        <v>0</v>
      </c>
      <c r="O458" s="69">
        <v>0</v>
      </c>
      <c r="P458" s="69">
        <v>0</v>
      </c>
      <c r="Q458" s="69">
        <v>0</v>
      </c>
      <c r="R458" s="69">
        <v>0</v>
      </c>
      <c r="S458" s="69">
        <v>0</v>
      </c>
      <c r="T458" s="69">
        <v>0</v>
      </c>
      <c r="U458" s="69">
        <v>20.985478260517993</v>
      </c>
      <c r="V458" s="69">
        <v>20.985478260517993</v>
      </c>
      <c r="W458" s="69">
        <v>20.985478260517993</v>
      </c>
      <c r="X458" s="69">
        <v>20.985478260517993</v>
      </c>
      <c r="Y458" s="69">
        <v>20.985478260517993</v>
      </c>
      <c r="Z458" s="69">
        <v>20.985478260517993</v>
      </c>
      <c r="AA458" s="69">
        <v>20.985478260517993</v>
      </c>
      <c r="AB458" s="69">
        <v>20.985478260517993</v>
      </c>
      <c r="AC458" s="69">
        <v>20.985478260517993</v>
      </c>
      <c r="AD458" s="69">
        <v>20.985478260517993</v>
      </c>
      <c r="AE458" s="69">
        <v>20.985478260517993</v>
      </c>
      <c r="AF458" s="69">
        <v>20.985478260517993</v>
      </c>
      <c r="AG458" s="69">
        <v>20.985478260517993</v>
      </c>
    </row>
    <row r="459" spans="1:33" ht="12.75" customHeight="1">
      <c r="A459" s="231" t="s">
        <v>2375</v>
      </c>
      <c r="B459" s="69" t="s">
        <v>587</v>
      </c>
      <c r="C459" s="69" t="s">
        <v>186</v>
      </c>
      <c r="D459" s="69" t="s">
        <v>218</v>
      </c>
      <c r="E459" s="69" t="s">
        <v>244</v>
      </c>
      <c r="F459" s="69" t="s">
        <v>158</v>
      </c>
      <c r="G459" s="69" t="s">
        <v>192</v>
      </c>
      <c r="H459" s="69" t="s">
        <v>804</v>
      </c>
      <c r="I459" s="69">
        <v>2</v>
      </c>
      <c r="J459" s="238">
        <v>0.2668262983999703</v>
      </c>
      <c r="K459" s="238">
        <v>0</v>
      </c>
      <c r="L459" s="69">
        <v>176.76062608695653</v>
      </c>
      <c r="M459" s="69">
        <v>-4.2782608695652176</v>
      </c>
      <c r="N459" s="69">
        <v>0</v>
      </c>
      <c r="O459" s="69">
        <v>0</v>
      </c>
      <c r="P459" s="69">
        <v>0</v>
      </c>
      <c r="Q459" s="69">
        <v>0</v>
      </c>
      <c r="R459" s="69">
        <v>0</v>
      </c>
      <c r="S459" s="69">
        <v>0</v>
      </c>
      <c r="T459" s="69">
        <v>0</v>
      </c>
      <c r="U459" s="69">
        <v>0</v>
      </c>
      <c r="V459" s="69">
        <v>20.985478260517993</v>
      </c>
      <c r="W459" s="69">
        <v>20.985478260517993</v>
      </c>
      <c r="X459" s="69">
        <v>20.985478260517993</v>
      </c>
      <c r="Y459" s="69">
        <v>20.985478260517993</v>
      </c>
      <c r="Z459" s="69">
        <v>20.985478260517993</v>
      </c>
      <c r="AA459" s="69">
        <v>20.985478260517993</v>
      </c>
      <c r="AB459" s="69">
        <v>20.985478260517993</v>
      </c>
      <c r="AC459" s="69">
        <v>20.985478260517993</v>
      </c>
      <c r="AD459" s="69">
        <v>20.985478260517993</v>
      </c>
      <c r="AE459" s="69">
        <v>20.985478260517993</v>
      </c>
      <c r="AF459" s="69">
        <v>20.985478260517993</v>
      </c>
      <c r="AG459" s="69">
        <v>20.985478260517993</v>
      </c>
    </row>
    <row r="460" spans="1:33" ht="12.75" customHeight="1">
      <c r="A460" s="231" t="s">
        <v>2375</v>
      </c>
      <c r="B460" s="69" t="s">
        <v>588</v>
      </c>
      <c r="C460" s="69" t="s">
        <v>186</v>
      </c>
      <c r="D460" s="69" t="s">
        <v>218</v>
      </c>
      <c r="E460" s="69" t="s">
        <v>244</v>
      </c>
      <c r="F460" s="69" t="s">
        <v>158</v>
      </c>
      <c r="G460" s="69" t="s">
        <v>192</v>
      </c>
      <c r="H460" s="69" t="s">
        <v>804</v>
      </c>
      <c r="I460" s="69">
        <v>2</v>
      </c>
      <c r="J460" s="238">
        <v>0.2668262983999703</v>
      </c>
      <c r="K460" s="238">
        <v>0</v>
      </c>
      <c r="L460" s="69">
        <v>176.76062608695653</v>
      </c>
      <c r="M460" s="69">
        <v>-4.2782608695652176</v>
      </c>
      <c r="N460" s="69">
        <v>0</v>
      </c>
      <c r="O460" s="69">
        <v>0</v>
      </c>
      <c r="P460" s="69">
        <v>0</v>
      </c>
      <c r="Q460" s="69">
        <v>0</v>
      </c>
      <c r="R460" s="69">
        <v>0</v>
      </c>
      <c r="S460" s="69">
        <v>0</v>
      </c>
      <c r="T460" s="69">
        <v>0</v>
      </c>
      <c r="U460" s="69">
        <v>0</v>
      </c>
      <c r="V460" s="69">
        <v>0</v>
      </c>
      <c r="W460" s="69">
        <v>20.985478260517993</v>
      </c>
      <c r="X460" s="69">
        <v>20.985478260517993</v>
      </c>
      <c r="Y460" s="69">
        <v>20.985478260517993</v>
      </c>
      <c r="Z460" s="69">
        <v>20.985478260517993</v>
      </c>
      <c r="AA460" s="69">
        <v>20.985478260517993</v>
      </c>
      <c r="AB460" s="69">
        <v>20.985478260517993</v>
      </c>
      <c r="AC460" s="69">
        <v>20.985478260517993</v>
      </c>
      <c r="AD460" s="69">
        <v>20.985478260517993</v>
      </c>
      <c r="AE460" s="69">
        <v>20.985478260517993</v>
      </c>
      <c r="AF460" s="69">
        <v>20.985478260517993</v>
      </c>
      <c r="AG460" s="69">
        <v>20.985478260517993</v>
      </c>
    </row>
    <row r="461" spans="1:33" ht="12.75" customHeight="1">
      <c r="A461" s="231" t="s">
        <v>2375</v>
      </c>
      <c r="B461" s="69" t="s">
        <v>589</v>
      </c>
      <c r="C461" s="69" t="s">
        <v>186</v>
      </c>
      <c r="D461" s="69" t="s">
        <v>218</v>
      </c>
      <c r="E461" s="69" t="s">
        <v>203</v>
      </c>
      <c r="F461" s="69" t="s">
        <v>158</v>
      </c>
      <c r="G461" s="69" t="s">
        <v>192</v>
      </c>
      <c r="H461" s="69" t="s">
        <v>804</v>
      </c>
      <c r="I461" s="69">
        <v>2</v>
      </c>
      <c r="J461" s="238">
        <v>0.23561922263058244</v>
      </c>
      <c r="K461" s="238">
        <v>0</v>
      </c>
      <c r="L461" s="69">
        <v>200.17205317577552</v>
      </c>
      <c r="M461" s="69">
        <v>-4.8449039881831615</v>
      </c>
      <c r="N461" s="69">
        <v>0</v>
      </c>
      <c r="O461" s="69">
        <v>0</v>
      </c>
      <c r="P461" s="69">
        <v>0</v>
      </c>
      <c r="Q461" s="69">
        <v>19.36462463935095</v>
      </c>
      <c r="R461" s="69">
        <v>19.36462463935095</v>
      </c>
      <c r="S461" s="69">
        <v>19.36462463935095</v>
      </c>
      <c r="T461" s="69">
        <v>19.36462463935095</v>
      </c>
      <c r="U461" s="69">
        <v>19.36462463935095</v>
      </c>
      <c r="V461" s="69">
        <v>19.36462463935095</v>
      </c>
      <c r="W461" s="69">
        <v>19.36462463935095</v>
      </c>
      <c r="X461" s="69">
        <v>19.36462463935095</v>
      </c>
      <c r="Y461" s="69">
        <v>19.36462463935095</v>
      </c>
      <c r="Z461" s="69">
        <v>19.36462463935095</v>
      </c>
      <c r="AA461" s="69">
        <v>19.36462463935095</v>
      </c>
      <c r="AB461" s="69">
        <v>19.36462463935095</v>
      </c>
      <c r="AC461" s="69">
        <v>19.36462463935095</v>
      </c>
      <c r="AD461" s="69">
        <v>19.36462463935095</v>
      </c>
      <c r="AE461" s="69">
        <v>19.36462463935095</v>
      </c>
      <c r="AF461" s="69">
        <v>19.36462463935095</v>
      </c>
      <c r="AG461" s="69">
        <v>19.36462463935095</v>
      </c>
    </row>
    <row r="462" spans="1:33" ht="12.75" customHeight="1">
      <c r="A462" s="231" t="s">
        <v>2375</v>
      </c>
      <c r="B462" s="69" t="s">
        <v>590</v>
      </c>
      <c r="C462" s="69" t="s">
        <v>186</v>
      </c>
      <c r="D462" s="69" t="s">
        <v>218</v>
      </c>
      <c r="E462" s="69" t="s">
        <v>203</v>
      </c>
      <c r="F462" s="69" t="s">
        <v>158</v>
      </c>
      <c r="G462" s="69" t="s">
        <v>192</v>
      </c>
      <c r="H462" s="69" t="s">
        <v>804</v>
      </c>
      <c r="I462" s="69">
        <v>2</v>
      </c>
      <c r="J462" s="238">
        <v>0.23561922263058244</v>
      </c>
      <c r="K462" s="238">
        <v>0</v>
      </c>
      <c r="L462" s="69">
        <v>200.17205317577552</v>
      </c>
      <c r="M462" s="69">
        <v>-4.8449039881831615</v>
      </c>
      <c r="N462" s="69">
        <v>0</v>
      </c>
      <c r="O462" s="69">
        <v>0</v>
      </c>
      <c r="P462" s="69">
        <v>0</v>
      </c>
      <c r="Q462" s="69">
        <v>0</v>
      </c>
      <c r="R462" s="69">
        <v>19.36462463935095</v>
      </c>
      <c r="S462" s="69">
        <v>19.36462463935095</v>
      </c>
      <c r="T462" s="69">
        <v>19.36462463935095</v>
      </c>
      <c r="U462" s="69">
        <v>19.36462463935095</v>
      </c>
      <c r="V462" s="69">
        <v>19.36462463935095</v>
      </c>
      <c r="W462" s="69">
        <v>19.36462463935095</v>
      </c>
      <c r="X462" s="69">
        <v>19.36462463935095</v>
      </c>
      <c r="Y462" s="69">
        <v>19.36462463935095</v>
      </c>
      <c r="Z462" s="69">
        <v>19.36462463935095</v>
      </c>
      <c r="AA462" s="69">
        <v>19.36462463935095</v>
      </c>
      <c r="AB462" s="69">
        <v>19.36462463935095</v>
      </c>
      <c r="AC462" s="69">
        <v>19.36462463935095</v>
      </c>
      <c r="AD462" s="69">
        <v>19.36462463935095</v>
      </c>
      <c r="AE462" s="69">
        <v>19.36462463935095</v>
      </c>
      <c r="AF462" s="69">
        <v>19.36462463935095</v>
      </c>
      <c r="AG462" s="69">
        <v>19.36462463935095</v>
      </c>
    </row>
    <row r="463" spans="1:33" ht="12.75" customHeight="1">
      <c r="A463" s="231" t="s">
        <v>2375</v>
      </c>
      <c r="B463" s="69" t="s">
        <v>591</v>
      </c>
      <c r="C463" s="69" t="s">
        <v>186</v>
      </c>
      <c r="D463" s="69" t="s">
        <v>218</v>
      </c>
      <c r="E463" s="69" t="s">
        <v>203</v>
      </c>
      <c r="F463" s="69" t="s">
        <v>158</v>
      </c>
      <c r="G463" s="69" t="s">
        <v>192</v>
      </c>
      <c r="H463" s="69" t="s">
        <v>804</v>
      </c>
      <c r="I463" s="69">
        <v>2</v>
      </c>
      <c r="J463" s="238">
        <v>0.23561922263058246</v>
      </c>
      <c r="K463" s="238">
        <v>0</v>
      </c>
      <c r="L463" s="69">
        <v>200.17205317577549</v>
      </c>
      <c r="M463" s="69">
        <v>-4.8449039881831615</v>
      </c>
      <c r="N463" s="69">
        <v>0</v>
      </c>
      <c r="O463" s="69">
        <v>0</v>
      </c>
      <c r="P463" s="69">
        <v>0</v>
      </c>
      <c r="Q463" s="69">
        <v>0</v>
      </c>
      <c r="R463" s="69">
        <v>0</v>
      </c>
      <c r="S463" s="69">
        <v>33.250477429519378</v>
      </c>
      <c r="T463" s="69">
        <v>33.250477429519378</v>
      </c>
      <c r="U463" s="69">
        <v>33.250477429519378</v>
      </c>
      <c r="V463" s="69">
        <v>33.250477429519378</v>
      </c>
      <c r="W463" s="69">
        <v>33.250477429519378</v>
      </c>
      <c r="X463" s="69">
        <v>33.250477429519378</v>
      </c>
      <c r="Y463" s="69">
        <v>33.250477429519378</v>
      </c>
      <c r="Z463" s="69">
        <v>33.250477429519378</v>
      </c>
      <c r="AA463" s="69">
        <v>33.250477429519378</v>
      </c>
      <c r="AB463" s="69">
        <v>33.250477429519378</v>
      </c>
      <c r="AC463" s="69">
        <v>33.250477429519378</v>
      </c>
      <c r="AD463" s="69">
        <v>33.250477429519378</v>
      </c>
      <c r="AE463" s="69">
        <v>33.250477429519378</v>
      </c>
      <c r="AF463" s="69">
        <v>33.250477429519378</v>
      </c>
      <c r="AG463" s="69">
        <v>33.250477429519378</v>
      </c>
    </row>
    <row r="464" spans="1:33" ht="12.75" customHeight="1">
      <c r="A464" s="231" t="s">
        <v>2375</v>
      </c>
      <c r="B464" s="69" t="s">
        <v>592</v>
      </c>
      <c r="C464" s="69" t="s">
        <v>186</v>
      </c>
      <c r="D464" s="69" t="s">
        <v>218</v>
      </c>
      <c r="E464" s="69" t="s">
        <v>203</v>
      </c>
      <c r="F464" s="69" t="s">
        <v>158</v>
      </c>
      <c r="G464" s="69" t="s">
        <v>192</v>
      </c>
      <c r="H464" s="69" t="s">
        <v>804</v>
      </c>
      <c r="I464" s="69">
        <v>2</v>
      </c>
      <c r="J464" s="238">
        <v>0.23561922263058246</v>
      </c>
      <c r="K464" s="238">
        <v>0</v>
      </c>
      <c r="L464" s="69">
        <v>200.17205317577549</v>
      </c>
      <c r="M464" s="69">
        <v>-4.8449039881831615</v>
      </c>
      <c r="N464" s="69">
        <v>0</v>
      </c>
      <c r="O464" s="69">
        <v>0</v>
      </c>
      <c r="P464" s="69">
        <v>0</v>
      </c>
      <c r="Q464" s="69">
        <v>0</v>
      </c>
      <c r="R464" s="69">
        <v>0</v>
      </c>
      <c r="S464" s="69">
        <v>0</v>
      </c>
      <c r="T464" s="69">
        <v>33.250477429519378</v>
      </c>
      <c r="U464" s="69">
        <v>33.250477429519378</v>
      </c>
      <c r="V464" s="69">
        <v>33.250477429519378</v>
      </c>
      <c r="W464" s="69">
        <v>33.250477429519378</v>
      </c>
      <c r="X464" s="69">
        <v>33.250477429519378</v>
      </c>
      <c r="Y464" s="69">
        <v>33.250477429519378</v>
      </c>
      <c r="Z464" s="69">
        <v>33.250477429519378</v>
      </c>
      <c r="AA464" s="69">
        <v>33.250477429519378</v>
      </c>
      <c r="AB464" s="69">
        <v>33.250477429519378</v>
      </c>
      <c r="AC464" s="69">
        <v>33.250477429519378</v>
      </c>
      <c r="AD464" s="69">
        <v>33.250477429519378</v>
      </c>
      <c r="AE464" s="69">
        <v>33.250477429519378</v>
      </c>
      <c r="AF464" s="69">
        <v>33.250477429519378</v>
      </c>
      <c r="AG464" s="69">
        <v>33.250477429519378</v>
      </c>
    </row>
    <row r="465" spans="1:33" ht="12.75" customHeight="1">
      <c r="A465" s="231" t="s">
        <v>2375</v>
      </c>
      <c r="B465" s="69" t="s">
        <v>593</v>
      </c>
      <c r="C465" s="69" t="s">
        <v>186</v>
      </c>
      <c r="D465" s="69" t="s">
        <v>218</v>
      </c>
      <c r="E465" s="69" t="s">
        <v>203</v>
      </c>
      <c r="F465" s="69" t="s">
        <v>158</v>
      </c>
      <c r="G465" s="69" t="s">
        <v>192</v>
      </c>
      <c r="H465" s="69" t="s">
        <v>804</v>
      </c>
      <c r="I465" s="69">
        <v>2</v>
      </c>
      <c r="J465" s="238">
        <v>0.23561922263058246</v>
      </c>
      <c r="K465" s="238">
        <v>0</v>
      </c>
      <c r="L465" s="69">
        <v>200.17205317577549</v>
      </c>
      <c r="M465" s="69">
        <v>-4.8449039881831615</v>
      </c>
      <c r="N465" s="69">
        <v>0</v>
      </c>
      <c r="O465" s="69">
        <v>0</v>
      </c>
      <c r="P465" s="69">
        <v>0</v>
      </c>
      <c r="Q465" s="69">
        <v>0</v>
      </c>
      <c r="R465" s="69">
        <v>0</v>
      </c>
      <c r="S465" s="69">
        <v>0</v>
      </c>
      <c r="T465" s="69">
        <v>0</v>
      </c>
      <c r="U465" s="69">
        <v>33.250477429519378</v>
      </c>
      <c r="V465" s="69">
        <v>33.250477429519378</v>
      </c>
      <c r="W465" s="69">
        <v>33.250477429519378</v>
      </c>
      <c r="X465" s="69">
        <v>33.250477429519378</v>
      </c>
      <c r="Y465" s="69">
        <v>33.250477429519378</v>
      </c>
      <c r="Z465" s="69">
        <v>33.250477429519378</v>
      </c>
      <c r="AA465" s="69">
        <v>33.250477429519378</v>
      </c>
      <c r="AB465" s="69">
        <v>33.250477429519378</v>
      </c>
      <c r="AC465" s="69">
        <v>33.250477429519378</v>
      </c>
      <c r="AD465" s="69">
        <v>33.250477429519378</v>
      </c>
      <c r="AE465" s="69">
        <v>33.250477429519378</v>
      </c>
      <c r="AF465" s="69">
        <v>33.250477429519378</v>
      </c>
      <c r="AG465" s="69">
        <v>33.250477429519378</v>
      </c>
    </row>
    <row r="466" spans="1:33" ht="12.75" customHeight="1">
      <c r="A466" s="231" t="s">
        <v>2375</v>
      </c>
      <c r="B466" s="69" t="s">
        <v>594</v>
      </c>
      <c r="C466" s="69" t="s">
        <v>186</v>
      </c>
      <c r="D466" s="69" t="s">
        <v>218</v>
      </c>
      <c r="E466" s="69" t="s">
        <v>203</v>
      </c>
      <c r="F466" s="69" t="s">
        <v>158</v>
      </c>
      <c r="G466" s="69" t="s">
        <v>192</v>
      </c>
      <c r="H466" s="69" t="s">
        <v>804</v>
      </c>
      <c r="I466" s="69">
        <v>2</v>
      </c>
      <c r="J466" s="238">
        <v>0.23561922263058246</v>
      </c>
      <c r="K466" s="238">
        <v>0</v>
      </c>
      <c r="L466" s="69">
        <v>200.17205317577549</v>
      </c>
      <c r="M466" s="69">
        <v>-4.8449039881831615</v>
      </c>
      <c r="N466" s="69">
        <v>0</v>
      </c>
      <c r="O466" s="69">
        <v>0</v>
      </c>
      <c r="P466" s="69">
        <v>0</v>
      </c>
      <c r="Q466" s="69">
        <v>0</v>
      </c>
      <c r="R466" s="69">
        <v>0</v>
      </c>
      <c r="S466" s="69">
        <v>0</v>
      </c>
      <c r="T466" s="69">
        <v>0</v>
      </c>
      <c r="U466" s="69">
        <v>0</v>
      </c>
      <c r="V466" s="69">
        <v>33.250477429519378</v>
      </c>
      <c r="W466" s="69">
        <v>33.250477429519378</v>
      </c>
      <c r="X466" s="69">
        <v>33.250477429519378</v>
      </c>
      <c r="Y466" s="69">
        <v>33.250477429519378</v>
      </c>
      <c r="Z466" s="69">
        <v>33.250477429519378</v>
      </c>
      <c r="AA466" s="69">
        <v>33.250477429519378</v>
      </c>
      <c r="AB466" s="69">
        <v>33.250477429519378</v>
      </c>
      <c r="AC466" s="69">
        <v>33.250477429519378</v>
      </c>
      <c r="AD466" s="69">
        <v>33.250477429519378</v>
      </c>
      <c r="AE466" s="69">
        <v>33.250477429519378</v>
      </c>
      <c r="AF466" s="69">
        <v>33.250477429519378</v>
      </c>
      <c r="AG466" s="69">
        <v>33.250477429519378</v>
      </c>
    </row>
    <row r="467" spans="1:33" ht="12.75" customHeight="1">
      <c r="A467" s="231" t="s">
        <v>2375</v>
      </c>
      <c r="B467" s="69" t="s">
        <v>595</v>
      </c>
      <c r="C467" s="69" t="s">
        <v>186</v>
      </c>
      <c r="D467" s="69" t="s">
        <v>218</v>
      </c>
      <c r="E467" s="69" t="s">
        <v>203</v>
      </c>
      <c r="F467" s="69" t="s">
        <v>158</v>
      </c>
      <c r="G467" s="69" t="s">
        <v>192</v>
      </c>
      <c r="H467" s="69" t="s">
        <v>804</v>
      </c>
      <c r="I467" s="69">
        <v>2</v>
      </c>
      <c r="J467" s="238">
        <v>0.23561922263058246</v>
      </c>
      <c r="K467" s="238">
        <v>0</v>
      </c>
      <c r="L467" s="69">
        <v>200.17205317577549</v>
      </c>
      <c r="M467" s="69">
        <v>-4.8449039881831615</v>
      </c>
      <c r="N467" s="69">
        <v>0</v>
      </c>
      <c r="O467" s="69">
        <v>0</v>
      </c>
      <c r="P467" s="69">
        <v>0</v>
      </c>
      <c r="Q467" s="69">
        <v>0</v>
      </c>
      <c r="R467" s="69">
        <v>0</v>
      </c>
      <c r="S467" s="69">
        <v>0</v>
      </c>
      <c r="T467" s="69">
        <v>0</v>
      </c>
      <c r="U467" s="69">
        <v>0</v>
      </c>
      <c r="V467" s="69">
        <v>0</v>
      </c>
      <c r="W467" s="69">
        <v>33.250477429519378</v>
      </c>
      <c r="X467" s="69">
        <v>33.250477429519378</v>
      </c>
      <c r="Y467" s="69">
        <v>33.250477429519378</v>
      </c>
      <c r="Z467" s="69">
        <v>33.250477429519378</v>
      </c>
      <c r="AA467" s="69">
        <v>33.250477429519378</v>
      </c>
      <c r="AB467" s="69">
        <v>33.250477429519378</v>
      </c>
      <c r="AC467" s="69">
        <v>33.250477429519378</v>
      </c>
      <c r="AD467" s="69">
        <v>33.250477429519378</v>
      </c>
      <c r="AE467" s="69">
        <v>33.250477429519378</v>
      </c>
      <c r="AF467" s="69">
        <v>33.250477429519378</v>
      </c>
      <c r="AG467" s="69">
        <v>33.250477429519378</v>
      </c>
    </row>
    <row r="468" spans="1:33" ht="12.75" customHeight="1">
      <c r="A468" s="231" t="s">
        <v>2375</v>
      </c>
      <c r="B468" s="69" t="s">
        <v>596</v>
      </c>
      <c r="C468" s="69" t="s">
        <v>186</v>
      </c>
      <c r="D468" s="69" t="s">
        <v>218</v>
      </c>
      <c r="E468" s="69" t="s">
        <v>242</v>
      </c>
      <c r="F468" s="69" t="s">
        <v>158</v>
      </c>
      <c r="G468" s="69" t="s">
        <v>192</v>
      </c>
      <c r="H468" s="69" t="s">
        <v>804</v>
      </c>
      <c r="I468" s="69">
        <v>2</v>
      </c>
      <c r="J468" s="238">
        <v>0.2433919887144077</v>
      </c>
      <c r="K468" s="238">
        <v>0</v>
      </c>
      <c r="L468" s="69">
        <v>193.77952335557671</v>
      </c>
      <c r="M468" s="69">
        <v>-4.6901811248808389</v>
      </c>
      <c r="N468" s="69">
        <v>0</v>
      </c>
      <c r="O468" s="69">
        <v>0</v>
      </c>
      <c r="P468" s="69">
        <v>0</v>
      </c>
      <c r="Q468" s="69">
        <v>135.43675364029696</v>
      </c>
      <c r="R468" s="69">
        <v>135.43675364029696</v>
      </c>
      <c r="S468" s="69">
        <v>135.43675364029696</v>
      </c>
      <c r="T468" s="69">
        <v>135.43675364029696</v>
      </c>
      <c r="U468" s="69">
        <v>135.43675364029696</v>
      </c>
      <c r="V468" s="69">
        <v>135.43675364029696</v>
      </c>
      <c r="W468" s="69">
        <v>135.43675364029696</v>
      </c>
      <c r="X468" s="69">
        <v>135.43675364029696</v>
      </c>
      <c r="Y468" s="69">
        <v>135.43675364029696</v>
      </c>
      <c r="Z468" s="69">
        <v>135.43675364029696</v>
      </c>
      <c r="AA468" s="69">
        <v>135.43675364029696</v>
      </c>
      <c r="AB468" s="69">
        <v>135.43675364029696</v>
      </c>
      <c r="AC468" s="69">
        <v>135.43675364029696</v>
      </c>
      <c r="AD468" s="69">
        <v>135.43675364029696</v>
      </c>
      <c r="AE468" s="69">
        <v>135.43675364029696</v>
      </c>
      <c r="AF468" s="69">
        <v>135.43675364029696</v>
      </c>
      <c r="AG468" s="69">
        <v>135.43675364029696</v>
      </c>
    </row>
    <row r="469" spans="1:33" ht="12.75" customHeight="1">
      <c r="A469" s="231" t="s">
        <v>2375</v>
      </c>
      <c r="B469" s="69" t="s">
        <v>597</v>
      </c>
      <c r="C469" s="69" t="s">
        <v>186</v>
      </c>
      <c r="D469" s="69" t="s">
        <v>218</v>
      </c>
      <c r="E469" s="69" t="s">
        <v>242</v>
      </c>
      <c r="F469" s="69" t="s">
        <v>158</v>
      </c>
      <c r="G469" s="69" t="s">
        <v>192</v>
      </c>
      <c r="H469" s="69" t="s">
        <v>804</v>
      </c>
      <c r="I469" s="69">
        <v>2</v>
      </c>
      <c r="J469" s="238">
        <v>0.2433919887144077</v>
      </c>
      <c r="K469" s="238">
        <v>0</v>
      </c>
      <c r="L469" s="69">
        <v>193.77952335557671</v>
      </c>
      <c r="M469" s="69">
        <v>-4.6901811248808389</v>
      </c>
      <c r="N469" s="69">
        <v>0</v>
      </c>
      <c r="O469" s="69">
        <v>0</v>
      </c>
      <c r="P469" s="69">
        <v>0</v>
      </c>
      <c r="Q469" s="69">
        <v>0</v>
      </c>
      <c r="R469" s="69">
        <v>135.43675364029696</v>
      </c>
      <c r="S469" s="69">
        <v>135.43675364029696</v>
      </c>
      <c r="T469" s="69">
        <v>135.43675364029696</v>
      </c>
      <c r="U469" s="69">
        <v>135.43675364029696</v>
      </c>
      <c r="V469" s="69">
        <v>135.43675364029696</v>
      </c>
      <c r="W469" s="69">
        <v>135.43675364029696</v>
      </c>
      <c r="X469" s="69">
        <v>135.43675364029696</v>
      </c>
      <c r="Y469" s="69">
        <v>135.43675364029696</v>
      </c>
      <c r="Z469" s="69">
        <v>135.43675364029696</v>
      </c>
      <c r="AA469" s="69">
        <v>135.43675364029696</v>
      </c>
      <c r="AB469" s="69">
        <v>135.43675364029696</v>
      </c>
      <c r="AC469" s="69">
        <v>135.43675364029696</v>
      </c>
      <c r="AD469" s="69">
        <v>135.43675364029696</v>
      </c>
      <c r="AE469" s="69">
        <v>135.43675364029696</v>
      </c>
      <c r="AF469" s="69">
        <v>135.43675364029696</v>
      </c>
      <c r="AG469" s="69">
        <v>135.43675364029696</v>
      </c>
    </row>
    <row r="470" spans="1:33" ht="12.75" customHeight="1">
      <c r="A470" s="231" t="s">
        <v>2375</v>
      </c>
      <c r="B470" s="69" t="s">
        <v>598</v>
      </c>
      <c r="C470" s="69" t="s">
        <v>186</v>
      </c>
      <c r="D470" s="69" t="s">
        <v>218</v>
      </c>
      <c r="E470" s="69" t="s">
        <v>242</v>
      </c>
      <c r="F470" s="69" t="s">
        <v>158</v>
      </c>
      <c r="G470" s="69" t="s">
        <v>192</v>
      </c>
      <c r="H470" s="69" t="s">
        <v>804</v>
      </c>
      <c r="I470" s="69">
        <v>2</v>
      </c>
      <c r="J470" s="238">
        <v>0.2433919887144077</v>
      </c>
      <c r="K470" s="238">
        <v>0</v>
      </c>
      <c r="L470" s="69">
        <v>193.77952335557674</v>
      </c>
      <c r="M470" s="69">
        <v>-4.6901811248808389</v>
      </c>
      <c r="N470" s="69">
        <v>0</v>
      </c>
      <c r="O470" s="69">
        <v>0</v>
      </c>
      <c r="P470" s="69">
        <v>0</v>
      </c>
      <c r="Q470" s="69">
        <v>0</v>
      </c>
      <c r="R470" s="69">
        <v>0</v>
      </c>
      <c r="S470" s="69">
        <v>232.55481600675557</v>
      </c>
      <c r="T470" s="69">
        <v>232.55481600675557</v>
      </c>
      <c r="U470" s="69">
        <v>232.55481600675557</v>
      </c>
      <c r="V470" s="69">
        <v>232.55481600675557</v>
      </c>
      <c r="W470" s="69">
        <v>232.55481600675557</v>
      </c>
      <c r="X470" s="69">
        <v>232.55481600675557</v>
      </c>
      <c r="Y470" s="69">
        <v>232.55481600675557</v>
      </c>
      <c r="Z470" s="69">
        <v>232.55481600675557</v>
      </c>
      <c r="AA470" s="69">
        <v>232.55481600675557</v>
      </c>
      <c r="AB470" s="69">
        <v>232.55481600675557</v>
      </c>
      <c r="AC470" s="69">
        <v>232.55481600675557</v>
      </c>
      <c r="AD470" s="69">
        <v>232.55481600675557</v>
      </c>
      <c r="AE470" s="69">
        <v>232.55481600675557</v>
      </c>
      <c r="AF470" s="69">
        <v>232.55481600675557</v>
      </c>
      <c r="AG470" s="69">
        <v>232.55481600675557</v>
      </c>
    </row>
    <row r="471" spans="1:33" ht="12.75" customHeight="1">
      <c r="A471" s="231" t="s">
        <v>2375</v>
      </c>
      <c r="B471" s="69" t="s">
        <v>599</v>
      </c>
      <c r="C471" s="69" t="s">
        <v>186</v>
      </c>
      <c r="D471" s="69" t="s">
        <v>218</v>
      </c>
      <c r="E471" s="69" t="s">
        <v>242</v>
      </c>
      <c r="F471" s="69" t="s">
        <v>158</v>
      </c>
      <c r="G471" s="69" t="s">
        <v>192</v>
      </c>
      <c r="H471" s="69" t="s">
        <v>804</v>
      </c>
      <c r="I471" s="69">
        <v>2</v>
      </c>
      <c r="J471" s="238">
        <v>0.2433919887144077</v>
      </c>
      <c r="K471" s="238">
        <v>0</v>
      </c>
      <c r="L471" s="69">
        <v>193.77952335557674</v>
      </c>
      <c r="M471" s="69">
        <v>-4.6901811248808389</v>
      </c>
      <c r="N471" s="69">
        <v>0</v>
      </c>
      <c r="O471" s="69">
        <v>0</v>
      </c>
      <c r="P471" s="69">
        <v>0</v>
      </c>
      <c r="Q471" s="69">
        <v>0</v>
      </c>
      <c r="R471" s="69">
        <v>0</v>
      </c>
      <c r="S471" s="69">
        <v>0</v>
      </c>
      <c r="T471" s="69">
        <v>232.55481600675557</v>
      </c>
      <c r="U471" s="69">
        <v>232.55481600675557</v>
      </c>
      <c r="V471" s="69">
        <v>232.55481600675557</v>
      </c>
      <c r="W471" s="69">
        <v>232.55481600675557</v>
      </c>
      <c r="X471" s="69">
        <v>232.55481600675557</v>
      </c>
      <c r="Y471" s="69">
        <v>232.55481600675557</v>
      </c>
      <c r="Z471" s="69">
        <v>232.55481600675557</v>
      </c>
      <c r="AA471" s="69">
        <v>232.55481600675557</v>
      </c>
      <c r="AB471" s="69">
        <v>232.55481600675557</v>
      </c>
      <c r="AC471" s="69">
        <v>232.55481600675557</v>
      </c>
      <c r="AD471" s="69">
        <v>232.55481600675557</v>
      </c>
      <c r="AE471" s="69">
        <v>232.55481600675557</v>
      </c>
      <c r="AF471" s="69">
        <v>232.55481600675557</v>
      </c>
      <c r="AG471" s="69">
        <v>232.55481600675557</v>
      </c>
    </row>
    <row r="472" spans="1:33" ht="12.75" customHeight="1">
      <c r="A472" s="231" t="s">
        <v>2375</v>
      </c>
      <c r="B472" s="69" t="s">
        <v>600</v>
      </c>
      <c r="C472" s="69" t="s">
        <v>186</v>
      </c>
      <c r="D472" s="69" t="s">
        <v>218</v>
      </c>
      <c r="E472" s="69" t="s">
        <v>242</v>
      </c>
      <c r="F472" s="69" t="s">
        <v>158</v>
      </c>
      <c r="G472" s="69" t="s">
        <v>192</v>
      </c>
      <c r="H472" s="69" t="s">
        <v>804</v>
      </c>
      <c r="I472" s="69">
        <v>2</v>
      </c>
      <c r="J472" s="238">
        <v>0.2433919887144077</v>
      </c>
      <c r="K472" s="238">
        <v>0</v>
      </c>
      <c r="L472" s="69">
        <v>193.77952335557674</v>
      </c>
      <c r="M472" s="69">
        <v>-4.6901811248808389</v>
      </c>
      <c r="N472" s="69">
        <v>0</v>
      </c>
      <c r="O472" s="69">
        <v>0</v>
      </c>
      <c r="P472" s="69">
        <v>0</v>
      </c>
      <c r="Q472" s="69">
        <v>0</v>
      </c>
      <c r="R472" s="69">
        <v>0</v>
      </c>
      <c r="S472" s="69">
        <v>0</v>
      </c>
      <c r="T472" s="69">
        <v>0</v>
      </c>
      <c r="U472" s="69">
        <v>232.55481600675557</v>
      </c>
      <c r="V472" s="69">
        <v>232.55481600675557</v>
      </c>
      <c r="W472" s="69">
        <v>232.55481600675557</v>
      </c>
      <c r="X472" s="69">
        <v>232.55481600675557</v>
      </c>
      <c r="Y472" s="69">
        <v>232.55481600675557</v>
      </c>
      <c r="Z472" s="69">
        <v>232.55481600675557</v>
      </c>
      <c r="AA472" s="69">
        <v>232.55481600675557</v>
      </c>
      <c r="AB472" s="69">
        <v>232.55481600675557</v>
      </c>
      <c r="AC472" s="69">
        <v>232.55481600675557</v>
      </c>
      <c r="AD472" s="69">
        <v>232.55481600675557</v>
      </c>
      <c r="AE472" s="69">
        <v>232.55481600675557</v>
      </c>
      <c r="AF472" s="69">
        <v>232.55481600675557</v>
      </c>
      <c r="AG472" s="69">
        <v>232.55481600675557</v>
      </c>
    </row>
    <row r="473" spans="1:33" ht="12.75" customHeight="1">
      <c r="A473" s="231" t="s">
        <v>2375</v>
      </c>
      <c r="B473" s="69" t="s">
        <v>601</v>
      </c>
      <c r="C473" s="69" t="s">
        <v>186</v>
      </c>
      <c r="D473" s="69" t="s">
        <v>218</v>
      </c>
      <c r="E473" s="69" t="s">
        <v>242</v>
      </c>
      <c r="F473" s="69" t="s">
        <v>158</v>
      </c>
      <c r="G473" s="69" t="s">
        <v>192</v>
      </c>
      <c r="H473" s="69" t="s">
        <v>804</v>
      </c>
      <c r="I473" s="69">
        <v>2</v>
      </c>
      <c r="J473" s="238">
        <v>0.2433919887144077</v>
      </c>
      <c r="K473" s="238">
        <v>0</v>
      </c>
      <c r="L473" s="69">
        <v>193.77952335557674</v>
      </c>
      <c r="M473" s="69">
        <v>-4.6901811248808389</v>
      </c>
      <c r="N473" s="69">
        <v>0</v>
      </c>
      <c r="O473" s="69">
        <v>0</v>
      </c>
      <c r="P473" s="69">
        <v>0</v>
      </c>
      <c r="Q473" s="69">
        <v>0</v>
      </c>
      <c r="R473" s="69">
        <v>0</v>
      </c>
      <c r="S473" s="69">
        <v>0</v>
      </c>
      <c r="T473" s="69">
        <v>0</v>
      </c>
      <c r="U473" s="69">
        <v>0</v>
      </c>
      <c r="V473" s="69">
        <v>232.55481600675557</v>
      </c>
      <c r="W473" s="69">
        <v>232.55481600675557</v>
      </c>
      <c r="X473" s="69">
        <v>232.55481600675557</v>
      </c>
      <c r="Y473" s="69">
        <v>232.55481600675557</v>
      </c>
      <c r="Z473" s="69">
        <v>232.55481600675557</v>
      </c>
      <c r="AA473" s="69">
        <v>232.55481600675557</v>
      </c>
      <c r="AB473" s="69">
        <v>232.55481600675557</v>
      </c>
      <c r="AC473" s="69">
        <v>232.55481600675557</v>
      </c>
      <c r="AD473" s="69">
        <v>232.55481600675557</v>
      </c>
      <c r="AE473" s="69">
        <v>232.55481600675557</v>
      </c>
      <c r="AF473" s="69">
        <v>232.55481600675557</v>
      </c>
      <c r="AG473" s="69">
        <v>232.55481600675557</v>
      </c>
    </row>
    <row r="474" spans="1:33" ht="12.75" customHeight="1">
      <c r="A474" s="231" t="s">
        <v>2375</v>
      </c>
      <c r="B474" s="69" t="s">
        <v>602</v>
      </c>
      <c r="C474" s="69" t="s">
        <v>186</v>
      </c>
      <c r="D474" s="69" t="s">
        <v>218</v>
      </c>
      <c r="E474" s="69" t="s">
        <v>242</v>
      </c>
      <c r="F474" s="69" t="s">
        <v>158</v>
      </c>
      <c r="G474" s="69" t="s">
        <v>192</v>
      </c>
      <c r="H474" s="69" t="s">
        <v>804</v>
      </c>
      <c r="I474" s="69">
        <v>2</v>
      </c>
      <c r="J474" s="238">
        <v>0.2433919887144077</v>
      </c>
      <c r="K474" s="238">
        <v>0</v>
      </c>
      <c r="L474" s="69">
        <v>193.77952335557674</v>
      </c>
      <c r="M474" s="69">
        <v>-4.6901811248808389</v>
      </c>
      <c r="N474" s="69">
        <v>0</v>
      </c>
      <c r="O474" s="69">
        <v>0</v>
      </c>
      <c r="P474" s="69">
        <v>0</v>
      </c>
      <c r="Q474" s="69">
        <v>0</v>
      </c>
      <c r="R474" s="69">
        <v>0</v>
      </c>
      <c r="S474" s="69">
        <v>0</v>
      </c>
      <c r="T474" s="69">
        <v>0</v>
      </c>
      <c r="U474" s="69">
        <v>0</v>
      </c>
      <c r="V474" s="69">
        <v>0</v>
      </c>
      <c r="W474" s="69">
        <v>232.55481600675557</v>
      </c>
      <c r="X474" s="69">
        <v>232.55481600675557</v>
      </c>
      <c r="Y474" s="69">
        <v>232.55481600675557</v>
      </c>
      <c r="Z474" s="69">
        <v>232.55481600675557</v>
      </c>
      <c r="AA474" s="69">
        <v>232.55481600675557</v>
      </c>
      <c r="AB474" s="69">
        <v>232.55481600675557</v>
      </c>
      <c r="AC474" s="69">
        <v>232.55481600675557</v>
      </c>
      <c r="AD474" s="69">
        <v>232.55481600675557</v>
      </c>
      <c r="AE474" s="69">
        <v>232.55481600675557</v>
      </c>
      <c r="AF474" s="69">
        <v>232.55481600675557</v>
      </c>
      <c r="AG474" s="69">
        <v>232.55481600675557</v>
      </c>
    </row>
    <row r="475" spans="1:33" ht="12.75" customHeight="1">
      <c r="A475" s="231" t="s">
        <v>2375</v>
      </c>
      <c r="B475" s="69" t="s">
        <v>603</v>
      </c>
      <c r="C475" s="69" t="s">
        <v>186</v>
      </c>
      <c r="D475" s="69" t="s">
        <v>334</v>
      </c>
      <c r="E475" s="69" t="s">
        <v>244</v>
      </c>
      <c r="F475" s="69" t="s">
        <v>159</v>
      </c>
      <c r="G475" s="69" t="s">
        <v>192</v>
      </c>
      <c r="H475" s="69" t="s">
        <v>2130</v>
      </c>
      <c r="I475" s="69">
        <v>2</v>
      </c>
      <c r="J475" s="238">
        <v>0.22877454801945279</v>
      </c>
      <c r="K475" s="238">
        <v>0</v>
      </c>
      <c r="L475" s="69">
        <v>262.55634888438135</v>
      </c>
      <c r="M475" s="69">
        <v>-22.454361054766736</v>
      </c>
      <c r="N475" s="69">
        <v>0</v>
      </c>
      <c r="O475" s="69">
        <v>0</v>
      </c>
      <c r="P475" s="69">
        <v>0</v>
      </c>
      <c r="Q475" s="69">
        <v>16.752147213439457</v>
      </c>
      <c r="R475" s="69">
        <v>16.752147213439457</v>
      </c>
      <c r="S475" s="69">
        <v>16.752147213439457</v>
      </c>
      <c r="T475" s="69">
        <v>16.752147213439457</v>
      </c>
      <c r="U475" s="69">
        <v>16.752147213439457</v>
      </c>
      <c r="V475" s="69">
        <v>16.752147213439457</v>
      </c>
      <c r="W475" s="69">
        <v>16.752147213439457</v>
      </c>
      <c r="X475" s="69">
        <v>16.752147213439457</v>
      </c>
      <c r="Y475" s="69">
        <v>16.752147213439457</v>
      </c>
      <c r="Z475" s="69">
        <v>16.752147213439457</v>
      </c>
      <c r="AA475" s="69">
        <v>16.752147213439457</v>
      </c>
      <c r="AB475" s="69">
        <v>16.752147213439457</v>
      </c>
      <c r="AC475" s="69">
        <v>16.752147213439457</v>
      </c>
      <c r="AD475" s="69">
        <v>16.752147213439457</v>
      </c>
      <c r="AE475" s="69">
        <v>16.752147213439457</v>
      </c>
      <c r="AF475" s="69">
        <v>16.752147213439457</v>
      </c>
      <c r="AG475" s="69">
        <v>16.752147213439457</v>
      </c>
    </row>
    <row r="476" spans="1:33" ht="12.75" customHeight="1">
      <c r="A476" s="231" t="s">
        <v>2375</v>
      </c>
      <c r="B476" s="69" t="s">
        <v>604</v>
      </c>
      <c r="C476" s="69" t="s">
        <v>186</v>
      </c>
      <c r="D476" s="69" t="s">
        <v>334</v>
      </c>
      <c r="E476" s="69" t="s">
        <v>244</v>
      </c>
      <c r="F476" s="69" t="s">
        <v>159</v>
      </c>
      <c r="G476" s="69" t="s">
        <v>192</v>
      </c>
      <c r="H476" s="69" t="s">
        <v>2130</v>
      </c>
      <c r="I476" s="69">
        <v>2</v>
      </c>
      <c r="J476" s="238">
        <v>0.22877454801945279</v>
      </c>
      <c r="K476" s="238">
        <v>0</v>
      </c>
      <c r="L476" s="69">
        <v>262.55634888438135</v>
      </c>
      <c r="M476" s="69">
        <v>-22.454361054766736</v>
      </c>
      <c r="N476" s="69">
        <v>0</v>
      </c>
      <c r="O476" s="69">
        <v>0</v>
      </c>
      <c r="P476" s="69">
        <v>0</v>
      </c>
      <c r="Q476" s="69">
        <v>0</v>
      </c>
      <c r="R476" s="69">
        <v>16.752147213439457</v>
      </c>
      <c r="S476" s="69">
        <v>16.752147213439457</v>
      </c>
      <c r="T476" s="69">
        <v>16.752147213439457</v>
      </c>
      <c r="U476" s="69">
        <v>16.752147213439457</v>
      </c>
      <c r="V476" s="69">
        <v>16.752147213439457</v>
      </c>
      <c r="W476" s="69">
        <v>16.752147213439457</v>
      </c>
      <c r="X476" s="69">
        <v>16.752147213439457</v>
      </c>
      <c r="Y476" s="69">
        <v>16.752147213439457</v>
      </c>
      <c r="Z476" s="69">
        <v>16.752147213439457</v>
      </c>
      <c r="AA476" s="69">
        <v>16.752147213439457</v>
      </c>
      <c r="AB476" s="69">
        <v>16.752147213439457</v>
      </c>
      <c r="AC476" s="69">
        <v>16.752147213439457</v>
      </c>
      <c r="AD476" s="69">
        <v>16.752147213439457</v>
      </c>
      <c r="AE476" s="69">
        <v>16.752147213439457</v>
      </c>
      <c r="AF476" s="69">
        <v>16.752147213439457</v>
      </c>
      <c r="AG476" s="69">
        <v>16.752147213439457</v>
      </c>
    </row>
    <row r="477" spans="1:33" ht="12.75" customHeight="1">
      <c r="A477" s="231" t="s">
        <v>2375</v>
      </c>
      <c r="B477" s="69" t="s">
        <v>605</v>
      </c>
      <c r="C477" s="69" t="s">
        <v>186</v>
      </c>
      <c r="D477" s="69" t="s">
        <v>334</v>
      </c>
      <c r="E477" s="69" t="s">
        <v>244</v>
      </c>
      <c r="F477" s="69" t="s">
        <v>159</v>
      </c>
      <c r="G477" s="69" t="s">
        <v>192</v>
      </c>
      <c r="H477" s="69" t="s">
        <v>2130</v>
      </c>
      <c r="I477" s="69">
        <v>2</v>
      </c>
      <c r="J477" s="238">
        <v>0.22877454801945279</v>
      </c>
      <c r="K477" s="238">
        <v>0</v>
      </c>
      <c r="L477" s="69">
        <v>262.55634888438135</v>
      </c>
      <c r="M477" s="69">
        <v>-22.454361054766736</v>
      </c>
      <c r="N477" s="69">
        <v>0</v>
      </c>
      <c r="O477" s="69">
        <v>0</v>
      </c>
      <c r="P477" s="69">
        <v>0</v>
      </c>
      <c r="Q477" s="69">
        <v>0</v>
      </c>
      <c r="R477" s="69">
        <v>0</v>
      </c>
      <c r="S477" s="69">
        <v>22.100366258906433</v>
      </c>
      <c r="T477" s="69">
        <v>22.100366258906433</v>
      </c>
      <c r="U477" s="69">
        <v>22.100366258906433</v>
      </c>
      <c r="V477" s="69">
        <v>22.100366258906433</v>
      </c>
      <c r="W477" s="69">
        <v>22.100366258906433</v>
      </c>
      <c r="X477" s="69">
        <v>22.100366258906433</v>
      </c>
      <c r="Y477" s="69">
        <v>22.100366258906433</v>
      </c>
      <c r="Z477" s="69">
        <v>22.100366258906433</v>
      </c>
      <c r="AA477" s="69">
        <v>22.100366258906433</v>
      </c>
      <c r="AB477" s="69">
        <v>22.100366258906433</v>
      </c>
      <c r="AC477" s="69">
        <v>22.100366258906433</v>
      </c>
      <c r="AD477" s="69">
        <v>22.100366258906433</v>
      </c>
      <c r="AE477" s="69">
        <v>22.100366258906433</v>
      </c>
      <c r="AF477" s="69">
        <v>22.100366258906433</v>
      </c>
      <c r="AG477" s="69">
        <v>22.100366258906433</v>
      </c>
    </row>
    <row r="478" spans="1:33" ht="12.75" customHeight="1">
      <c r="A478" s="231" t="s">
        <v>2375</v>
      </c>
      <c r="B478" s="69" t="s">
        <v>606</v>
      </c>
      <c r="C478" s="69" t="s">
        <v>186</v>
      </c>
      <c r="D478" s="69" t="s">
        <v>334</v>
      </c>
      <c r="E478" s="69" t="s">
        <v>244</v>
      </c>
      <c r="F478" s="69" t="s">
        <v>159</v>
      </c>
      <c r="G478" s="69" t="s">
        <v>192</v>
      </c>
      <c r="H478" s="69" t="s">
        <v>2130</v>
      </c>
      <c r="I478" s="69">
        <v>2</v>
      </c>
      <c r="J478" s="238">
        <v>0.22877454801945279</v>
      </c>
      <c r="K478" s="238">
        <v>0</v>
      </c>
      <c r="L478" s="69">
        <v>262.55634888438135</v>
      </c>
      <c r="M478" s="69">
        <v>-22.454361054766736</v>
      </c>
      <c r="N478" s="69">
        <v>0</v>
      </c>
      <c r="O478" s="69">
        <v>0</v>
      </c>
      <c r="P478" s="69">
        <v>0</v>
      </c>
      <c r="Q478" s="69">
        <v>0</v>
      </c>
      <c r="R478" s="69">
        <v>0</v>
      </c>
      <c r="S478" s="69">
        <v>0</v>
      </c>
      <c r="T478" s="69">
        <v>22.100366258906433</v>
      </c>
      <c r="U478" s="69">
        <v>22.100366258906433</v>
      </c>
      <c r="V478" s="69">
        <v>22.100366258906433</v>
      </c>
      <c r="W478" s="69">
        <v>22.100366258906433</v>
      </c>
      <c r="X478" s="69">
        <v>22.100366258906433</v>
      </c>
      <c r="Y478" s="69">
        <v>22.100366258906433</v>
      </c>
      <c r="Z478" s="69">
        <v>22.100366258906433</v>
      </c>
      <c r="AA478" s="69">
        <v>22.100366258906433</v>
      </c>
      <c r="AB478" s="69">
        <v>22.100366258906433</v>
      </c>
      <c r="AC478" s="69">
        <v>22.100366258906433</v>
      </c>
      <c r="AD478" s="69">
        <v>22.100366258906433</v>
      </c>
      <c r="AE478" s="69">
        <v>22.100366258906433</v>
      </c>
      <c r="AF478" s="69">
        <v>22.100366258906433</v>
      </c>
      <c r="AG478" s="69">
        <v>22.100366258906433</v>
      </c>
    </row>
    <row r="479" spans="1:33" ht="12.75" customHeight="1">
      <c r="A479" s="231" t="s">
        <v>2375</v>
      </c>
      <c r="B479" s="69" t="s">
        <v>607</v>
      </c>
      <c r="C479" s="69" t="s">
        <v>186</v>
      </c>
      <c r="D479" s="69" t="s">
        <v>334</v>
      </c>
      <c r="E479" s="69" t="s">
        <v>244</v>
      </c>
      <c r="F479" s="69" t="s">
        <v>159</v>
      </c>
      <c r="G479" s="69" t="s">
        <v>192</v>
      </c>
      <c r="H479" s="69" t="s">
        <v>2130</v>
      </c>
      <c r="I479" s="69">
        <v>2</v>
      </c>
      <c r="J479" s="238">
        <v>0.22877454801945279</v>
      </c>
      <c r="K479" s="238">
        <v>0</v>
      </c>
      <c r="L479" s="69">
        <v>262.55634888438135</v>
      </c>
      <c r="M479" s="69">
        <v>-22.454361054766736</v>
      </c>
      <c r="N479" s="69">
        <v>0</v>
      </c>
      <c r="O479" s="69">
        <v>0</v>
      </c>
      <c r="P479" s="69">
        <v>0</v>
      </c>
      <c r="Q479" s="69">
        <v>0</v>
      </c>
      <c r="R479" s="69">
        <v>0</v>
      </c>
      <c r="S479" s="69">
        <v>0</v>
      </c>
      <c r="T479" s="69">
        <v>0</v>
      </c>
      <c r="U479" s="69">
        <v>22.100366258906433</v>
      </c>
      <c r="V479" s="69">
        <v>22.100366258906433</v>
      </c>
      <c r="W479" s="69">
        <v>22.100366258906433</v>
      </c>
      <c r="X479" s="69">
        <v>22.100366258906433</v>
      </c>
      <c r="Y479" s="69">
        <v>22.100366258906433</v>
      </c>
      <c r="Z479" s="69">
        <v>22.100366258906433</v>
      </c>
      <c r="AA479" s="69">
        <v>22.100366258906433</v>
      </c>
      <c r="AB479" s="69">
        <v>22.100366258906433</v>
      </c>
      <c r="AC479" s="69">
        <v>22.100366258906433</v>
      </c>
      <c r="AD479" s="69">
        <v>22.100366258906433</v>
      </c>
      <c r="AE479" s="69">
        <v>22.100366258906433</v>
      </c>
      <c r="AF479" s="69">
        <v>22.100366258906433</v>
      </c>
      <c r="AG479" s="69">
        <v>22.100366258906433</v>
      </c>
    </row>
    <row r="480" spans="1:33" ht="12.75" customHeight="1">
      <c r="A480" s="231" t="s">
        <v>2375</v>
      </c>
      <c r="B480" s="69" t="s">
        <v>608</v>
      </c>
      <c r="C480" s="69" t="s">
        <v>186</v>
      </c>
      <c r="D480" s="69" t="s">
        <v>334</v>
      </c>
      <c r="E480" s="69" t="s">
        <v>244</v>
      </c>
      <c r="F480" s="69" t="s">
        <v>159</v>
      </c>
      <c r="G480" s="69" t="s">
        <v>192</v>
      </c>
      <c r="H480" s="69" t="s">
        <v>2130</v>
      </c>
      <c r="I480" s="69">
        <v>2</v>
      </c>
      <c r="J480" s="238">
        <v>0.22877454801945279</v>
      </c>
      <c r="K480" s="238">
        <v>0</v>
      </c>
      <c r="L480" s="69">
        <v>262.55634888438135</v>
      </c>
      <c r="M480" s="69">
        <v>-22.454361054766736</v>
      </c>
      <c r="N480" s="69">
        <v>0</v>
      </c>
      <c r="O480" s="69">
        <v>0</v>
      </c>
      <c r="P480" s="69">
        <v>0</v>
      </c>
      <c r="Q480" s="69">
        <v>0</v>
      </c>
      <c r="R480" s="69">
        <v>0</v>
      </c>
      <c r="S480" s="69">
        <v>0</v>
      </c>
      <c r="T480" s="69">
        <v>0</v>
      </c>
      <c r="U480" s="69">
        <v>0</v>
      </c>
      <c r="V480" s="69">
        <v>22.100366258906433</v>
      </c>
      <c r="W480" s="69">
        <v>22.100366258906433</v>
      </c>
      <c r="X480" s="69">
        <v>22.100366258906433</v>
      </c>
      <c r="Y480" s="69">
        <v>22.100366258906433</v>
      </c>
      <c r="Z480" s="69">
        <v>22.100366258906433</v>
      </c>
      <c r="AA480" s="69">
        <v>22.100366258906433</v>
      </c>
      <c r="AB480" s="69">
        <v>22.100366258906433</v>
      </c>
      <c r="AC480" s="69">
        <v>22.100366258906433</v>
      </c>
      <c r="AD480" s="69">
        <v>22.100366258906433</v>
      </c>
      <c r="AE480" s="69">
        <v>22.100366258906433</v>
      </c>
      <c r="AF480" s="69">
        <v>22.100366258906433</v>
      </c>
      <c r="AG480" s="69">
        <v>22.100366258906433</v>
      </c>
    </row>
    <row r="481" spans="1:33" ht="12.75" customHeight="1">
      <c r="A481" s="231" t="s">
        <v>2375</v>
      </c>
      <c r="B481" s="69" t="s">
        <v>609</v>
      </c>
      <c r="C481" s="69" t="s">
        <v>186</v>
      </c>
      <c r="D481" s="69" t="s">
        <v>334</v>
      </c>
      <c r="E481" s="69" t="s">
        <v>244</v>
      </c>
      <c r="F481" s="69" t="s">
        <v>159</v>
      </c>
      <c r="G481" s="69" t="s">
        <v>192</v>
      </c>
      <c r="H481" s="69" t="s">
        <v>2130</v>
      </c>
      <c r="I481" s="69">
        <v>2</v>
      </c>
      <c r="J481" s="238">
        <v>0.22877454801945279</v>
      </c>
      <c r="K481" s="238">
        <v>0</v>
      </c>
      <c r="L481" s="69">
        <v>262.55634888438135</v>
      </c>
      <c r="M481" s="69">
        <v>-22.454361054766736</v>
      </c>
      <c r="N481" s="69">
        <v>0</v>
      </c>
      <c r="O481" s="69">
        <v>0</v>
      </c>
      <c r="P481" s="69">
        <v>0</v>
      </c>
      <c r="Q481" s="69">
        <v>0</v>
      </c>
      <c r="R481" s="69">
        <v>0</v>
      </c>
      <c r="S481" s="69">
        <v>0</v>
      </c>
      <c r="T481" s="69">
        <v>0</v>
      </c>
      <c r="U481" s="69">
        <v>0</v>
      </c>
      <c r="V481" s="69">
        <v>0</v>
      </c>
      <c r="W481" s="69">
        <v>22.100366258906433</v>
      </c>
      <c r="X481" s="69">
        <v>22.100366258906433</v>
      </c>
      <c r="Y481" s="69">
        <v>22.100366258906433</v>
      </c>
      <c r="Z481" s="69">
        <v>22.100366258906433</v>
      </c>
      <c r="AA481" s="69">
        <v>22.100366258906433</v>
      </c>
      <c r="AB481" s="69">
        <v>22.100366258906433</v>
      </c>
      <c r="AC481" s="69">
        <v>22.100366258906433</v>
      </c>
      <c r="AD481" s="69">
        <v>22.100366258906433</v>
      </c>
      <c r="AE481" s="69">
        <v>22.100366258906433</v>
      </c>
      <c r="AF481" s="69">
        <v>22.100366258906433</v>
      </c>
      <c r="AG481" s="69">
        <v>22.100366258906433</v>
      </c>
    </row>
    <row r="482" spans="1:33" ht="12.75" customHeight="1">
      <c r="A482" s="231" t="s">
        <v>2375</v>
      </c>
      <c r="B482" s="69" t="s">
        <v>610</v>
      </c>
      <c r="C482" s="69" t="s">
        <v>186</v>
      </c>
      <c r="D482" s="69" t="s">
        <v>334</v>
      </c>
      <c r="E482" s="69" t="s">
        <v>242</v>
      </c>
      <c r="F482" s="69" t="s">
        <v>159</v>
      </c>
      <c r="G482" s="69" t="s">
        <v>192</v>
      </c>
      <c r="H482" s="69" t="s">
        <v>2130</v>
      </c>
      <c r="I482" s="69">
        <v>2</v>
      </c>
      <c r="J482" s="238">
        <v>0.21172086720867209</v>
      </c>
      <c r="K482" s="238">
        <v>0</v>
      </c>
      <c r="L482" s="69">
        <v>283.70472328767124</v>
      </c>
      <c r="M482" s="69">
        <v>-24.263013698630136</v>
      </c>
      <c r="N482" s="69">
        <v>0</v>
      </c>
      <c r="O482" s="69">
        <v>0</v>
      </c>
      <c r="P482" s="69">
        <v>0</v>
      </c>
      <c r="Q482" s="69">
        <v>29.71481487847268</v>
      </c>
      <c r="R482" s="69">
        <v>29.71481487847268</v>
      </c>
      <c r="S482" s="69">
        <v>29.71481487847268</v>
      </c>
      <c r="T482" s="69">
        <v>29.71481487847268</v>
      </c>
      <c r="U482" s="69">
        <v>29.71481487847268</v>
      </c>
      <c r="V482" s="69">
        <v>29.71481487847268</v>
      </c>
      <c r="W482" s="69">
        <v>29.71481487847268</v>
      </c>
      <c r="X482" s="69">
        <v>29.71481487847268</v>
      </c>
      <c r="Y482" s="69">
        <v>29.71481487847268</v>
      </c>
      <c r="Z482" s="69">
        <v>29.71481487847268</v>
      </c>
      <c r="AA482" s="69">
        <v>29.71481487847268</v>
      </c>
      <c r="AB482" s="69">
        <v>29.71481487847268</v>
      </c>
      <c r="AC482" s="69">
        <v>29.71481487847268</v>
      </c>
      <c r="AD482" s="69">
        <v>29.71481487847268</v>
      </c>
      <c r="AE482" s="69">
        <v>29.71481487847268</v>
      </c>
      <c r="AF482" s="69">
        <v>29.71481487847268</v>
      </c>
      <c r="AG482" s="69">
        <v>29.71481487847268</v>
      </c>
    </row>
    <row r="483" spans="1:33" ht="12.75" customHeight="1">
      <c r="A483" s="231" t="s">
        <v>2375</v>
      </c>
      <c r="B483" s="69" t="s">
        <v>611</v>
      </c>
      <c r="C483" s="69" t="s">
        <v>186</v>
      </c>
      <c r="D483" s="69" t="s">
        <v>334</v>
      </c>
      <c r="E483" s="69" t="s">
        <v>242</v>
      </c>
      <c r="F483" s="69" t="s">
        <v>159</v>
      </c>
      <c r="G483" s="69" t="s">
        <v>192</v>
      </c>
      <c r="H483" s="69" t="s">
        <v>2130</v>
      </c>
      <c r="I483" s="69">
        <v>2</v>
      </c>
      <c r="J483" s="238">
        <v>0.21172086720867209</v>
      </c>
      <c r="K483" s="238">
        <v>0</v>
      </c>
      <c r="L483" s="69">
        <v>283.70472328767124</v>
      </c>
      <c r="M483" s="69">
        <v>-24.263013698630136</v>
      </c>
      <c r="N483" s="69">
        <v>0</v>
      </c>
      <c r="O483" s="69">
        <v>0</v>
      </c>
      <c r="P483" s="69">
        <v>0</v>
      </c>
      <c r="Q483" s="69">
        <v>0</v>
      </c>
      <c r="R483" s="69">
        <v>29.71481487847268</v>
      </c>
      <c r="S483" s="69">
        <v>29.71481487847268</v>
      </c>
      <c r="T483" s="69">
        <v>29.71481487847268</v>
      </c>
      <c r="U483" s="69">
        <v>29.71481487847268</v>
      </c>
      <c r="V483" s="69">
        <v>29.71481487847268</v>
      </c>
      <c r="W483" s="69">
        <v>29.71481487847268</v>
      </c>
      <c r="X483" s="69">
        <v>29.71481487847268</v>
      </c>
      <c r="Y483" s="69">
        <v>29.71481487847268</v>
      </c>
      <c r="Z483" s="69">
        <v>29.71481487847268</v>
      </c>
      <c r="AA483" s="69">
        <v>29.71481487847268</v>
      </c>
      <c r="AB483" s="69">
        <v>29.71481487847268</v>
      </c>
      <c r="AC483" s="69">
        <v>29.71481487847268</v>
      </c>
      <c r="AD483" s="69">
        <v>29.71481487847268</v>
      </c>
      <c r="AE483" s="69">
        <v>29.71481487847268</v>
      </c>
      <c r="AF483" s="69">
        <v>29.71481487847268</v>
      </c>
      <c r="AG483" s="69">
        <v>29.71481487847268</v>
      </c>
    </row>
    <row r="484" spans="1:33" ht="12.75" customHeight="1">
      <c r="A484" s="231" t="s">
        <v>2375</v>
      </c>
      <c r="B484" s="69" t="s">
        <v>612</v>
      </c>
      <c r="C484" s="69" t="s">
        <v>186</v>
      </c>
      <c r="D484" s="69" t="s">
        <v>334</v>
      </c>
      <c r="E484" s="69" t="s">
        <v>242</v>
      </c>
      <c r="F484" s="69" t="s">
        <v>159</v>
      </c>
      <c r="G484" s="69" t="s">
        <v>192</v>
      </c>
      <c r="H484" s="69" t="s">
        <v>2130</v>
      </c>
      <c r="I484" s="69">
        <v>2</v>
      </c>
      <c r="J484" s="238">
        <v>0.21172086720867209</v>
      </c>
      <c r="K484" s="238">
        <v>0</v>
      </c>
      <c r="L484" s="69">
        <v>283.70472328767124</v>
      </c>
      <c r="M484" s="69">
        <v>-24.263013698630136</v>
      </c>
      <c r="N484" s="69">
        <v>0</v>
      </c>
      <c r="O484" s="69">
        <v>0</v>
      </c>
      <c r="P484" s="69">
        <v>0</v>
      </c>
      <c r="Q484" s="69">
        <v>0</v>
      </c>
      <c r="R484" s="69">
        <v>0</v>
      </c>
      <c r="S484" s="69">
        <v>39.201439896791271</v>
      </c>
      <c r="T484" s="69">
        <v>39.201439896791271</v>
      </c>
      <c r="U484" s="69">
        <v>39.201439896791271</v>
      </c>
      <c r="V484" s="69">
        <v>39.201439896791271</v>
      </c>
      <c r="W484" s="69">
        <v>39.201439896791271</v>
      </c>
      <c r="X484" s="69">
        <v>39.201439896791271</v>
      </c>
      <c r="Y484" s="69">
        <v>39.201439896791271</v>
      </c>
      <c r="Z484" s="69">
        <v>39.201439896791271</v>
      </c>
      <c r="AA484" s="69">
        <v>39.201439896791271</v>
      </c>
      <c r="AB484" s="69">
        <v>39.201439896791271</v>
      </c>
      <c r="AC484" s="69">
        <v>39.201439896791271</v>
      </c>
      <c r="AD484" s="69">
        <v>39.201439896791271</v>
      </c>
      <c r="AE484" s="69">
        <v>39.201439896791271</v>
      </c>
      <c r="AF484" s="69">
        <v>39.201439896791271</v>
      </c>
      <c r="AG484" s="69">
        <v>39.201439896791271</v>
      </c>
    </row>
    <row r="485" spans="1:33" ht="12.75" customHeight="1">
      <c r="A485" s="231" t="s">
        <v>2375</v>
      </c>
      <c r="B485" s="69" t="s">
        <v>613</v>
      </c>
      <c r="C485" s="69" t="s">
        <v>186</v>
      </c>
      <c r="D485" s="69" t="s">
        <v>334</v>
      </c>
      <c r="E485" s="69" t="s">
        <v>242</v>
      </c>
      <c r="F485" s="69" t="s">
        <v>159</v>
      </c>
      <c r="G485" s="69" t="s">
        <v>192</v>
      </c>
      <c r="H485" s="69" t="s">
        <v>2130</v>
      </c>
      <c r="I485" s="69">
        <v>2</v>
      </c>
      <c r="J485" s="238">
        <v>0.21172086720867209</v>
      </c>
      <c r="K485" s="238">
        <v>0</v>
      </c>
      <c r="L485" s="69">
        <v>283.70472328767124</v>
      </c>
      <c r="M485" s="69">
        <v>-24.263013698630136</v>
      </c>
      <c r="N485" s="69">
        <v>0</v>
      </c>
      <c r="O485" s="69">
        <v>0</v>
      </c>
      <c r="P485" s="69">
        <v>0</v>
      </c>
      <c r="Q485" s="69">
        <v>0</v>
      </c>
      <c r="R485" s="69">
        <v>0</v>
      </c>
      <c r="S485" s="69">
        <v>0</v>
      </c>
      <c r="T485" s="69">
        <v>39.201439896791271</v>
      </c>
      <c r="U485" s="69">
        <v>39.201439896791271</v>
      </c>
      <c r="V485" s="69">
        <v>39.201439896791271</v>
      </c>
      <c r="W485" s="69">
        <v>39.201439896791271</v>
      </c>
      <c r="X485" s="69">
        <v>39.201439896791271</v>
      </c>
      <c r="Y485" s="69">
        <v>39.201439896791271</v>
      </c>
      <c r="Z485" s="69">
        <v>39.201439896791271</v>
      </c>
      <c r="AA485" s="69">
        <v>39.201439896791271</v>
      </c>
      <c r="AB485" s="69">
        <v>39.201439896791271</v>
      </c>
      <c r="AC485" s="69">
        <v>39.201439896791271</v>
      </c>
      <c r="AD485" s="69">
        <v>39.201439896791271</v>
      </c>
      <c r="AE485" s="69">
        <v>39.201439896791271</v>
      </c>
      <c r="AF485" s="69">
        <v>39.201439896791271</v>
      </c>
      <c r="AG485" s="69">
        <v>39.201439896791271</v>
      </c>
    </row>
    <row r="486" spans="1:33" ht="12.75" customHeight="1">
      <c r="A486" s="231" t="s">
        <v>2375</v>
      </c>
      <c r="B486" s="69" t="s">
        <v>614</v>
      </c>
      <c r="C486" s="69" t="s">
        <v>186</v>
      </c>
      <c r="D486" s="69" t="s">
        <v>334</v>
      </c>
      <c r="E486" s="69" t="s">
        <v>242</v>
      </c>
      <c r="F486" s="69" t="s">
        <v>159</v>
      </c>
      <c r="G486" s="69" t="s">
        <v>192</v>
      </c>
      <c r="H486" s="69" t="s">
        <v>2130</v>
      </c>
      <c r="I486" s="69">
        <v>2</v>
      </c>
      <c r="J486" s="238">
        <v>0.21172086720867209</v>
      </c>
      <c r="K486" s="238">
        <v>0</v>
      </c>
      <c r="L486" s="69">
        <v>283.70472328767124</v>
      </c>
      <c r="M486" s="69">
        <v>-24.263013698630136</v>
      </c>
      <c r="N486" s="69">
        <v>0</v>
      </c>
      <c r="O486" s="69">
        <v>0</v>
      </c>
      <c r="P486" s="69">
        <v>0</v>
      </c>
      <c r="Q486" s="69">
        <v>0</v>
      </c>
      <c r="R486" s="69">
        <v>0</v>
      </c>
      <c r="S486" s="69">
        <v>0</v>
      </c>
      <c r="T486" s="69">
        <v>0</v>
      </c>
      <c r="U486" s="69">
        <v>39.201439896791271</v>
      </c>
      <c r="V486" s="69">
        <v>39.201439896791271</v>
      </c>
      <c r="W486" s="69">
        <v>39.201439896791271</v>
      </c>
      <c r="X486" s="69">
        <v>39.201439896791271</v>
      </c>
      <c r="Y486" s="69">
        <v>39.201439896791271</v>
      </c>
      <c r="Z486" s="69">
        <v>39.201439896791271</v>
      </c>
      <c r="AA486" s="69">
        <v>39.201439896791271</v>
      </c>
      <c r="AB486" s="69">
        <v>39.201439896791271</v>
      </c>
      <c r="AC486" s="69">
        <v>39.201439896791271</v>
      </c>
      <c r="AD486" s="69">
        <v>39.201439896791271</v>
      </c>
      <c r="AE486" s="69">
        <v>39.201439896791271</v>
      </c>
      <c r="AF486" s="69">
        <v>39.201439896791271</v>
      </c>
      <c r="AG486" s="69">
        <v>39.201439896791271</v>
      </c>
    </row>
    <row r="487" spans="1:33" ht="12.75" customHeight="1">
      <c r="A487" s="231" t="s">
        <v>2375</v>
      </c>
      <c r="B487" s="69" t="s">
        <v>615</v>
      </c>
      <c r="C487" s="69" t="s">
        <v>186</v>
      </c>
      <c r="D487" s="69" t="s">
        <v>334</v>
      </c>
      <c r="E487" s="69" t="s">
        <v>242</v>
      </c>
      <c r="F487" s="69" t="s">
        <v>159</v>
      </c>
      <c r="G487" s="69" t="s">
        <v>192</v>
      </c>
      <c r="H487" s="69" t="s">
        <v>2130</v>
      </c>
      <c r="I487" s="69">
        <v>2</v>
      </c>
      <c r="J487" s="238">
        <v>0.21172086720867209</v>
      </c>
      <c r="K487" s="238">
        <v>0</v>
      </c>
      <c r="L487" s="69">
        <v>283.70472328767124</v>
      </c>
      <c r="M487" s="69">
        <v>-24.263013698630136</v>
      </c>
      <c r="N487" s="69">
        <v>0</v>
      </c>
      <c r="O487" s="69">
        <v>0</v>
      </c>
      <c r="P487" s="69">
        <v>0</v>
      </c>
      <c r="Q487" s="69">
        <v>0</v>
      </c>
      <c r="R487" s="69">
        <v>0</v>
      </c>
      <c r="S487" s="69">
        <v>0</v>
      </c>
      <c r="T487" s="69">
        <v>0</v>
      </c>
      <c r="U487" s="69">
        <v>0</v>
      </c>
      <c r="V487" s="69">
        <v>39.201439896791271</v>
      </c>
      <c r="W487" s="69">
        <v>39.201439896791271</v>
      </c>
      <c r="X487" s="69">
        <v>39.201439896791271</v>
      </c>
      <c r="Y487" s="69">
        <v>39.201439896791271</v>
      </c>
      <c r="Z487" s="69">
        <v>39.201439896791271</v>
      </c>
      <c r="AA487" s="69">
        <v>39.201439896791271</v>
      </c>
      <c r="AB487" s="69">
        <v>39.201439896791271</v>
      </c>
      <c r="AC487" s="69">
        <v>39.201439896791271</v>
      </c>
      <c r="AD487" s="69">
        <v>39.201439896791271</v>
      </c>
      <c r="AE487" s="69">
        <v>39.201439896791271</v>
      </c>
      <c r="AF487" s="69">
        <v>39.201439896791271</v>
      </c>
      <c r="AG487" s="69">
        <v>39.201439896791271</v>
      </c>
    </row>
    <row r="488" spans="1:33" ht="12.75" customHeight="1">
      <c r="A488" s="231" t="s">
        <v>2375</v>
      </c>
      <c r="B488" s="69" t="s">
        <v>616</v>
      </c>
      <c r="C488" s="69" t="s">
        <v>186</v>
      </c>
      <c r="D488" s="69" t="s">
        <v>334</v>
      </c>
      <c r="E488" s="69" t="s">
        <v>242</v>
      </c>
      <c r="F488" s="69" t="s">
        <v>159</v>
      </c>
      <c r="G488" s="69" t="s">
        <v>192</v>
      </c>
      <c r="H488" s="69" t="s">
        <v>2130</v>
      </c>
      <c r="I488" s="69">
        <v>2</v>
      </c>
      <c r="J488" s="238">
        <v>0.21172086720867209</v>
      </c>
      <c r="K488" s="238">
        <v>0</v>
      </c>
      <c r="L488" s="69">
        <v>283.70472328767124</v>
      </c>
      <c r="M488" s="69">
        <v>-24.263013698630136</v>
      </c>
      <c r="N488" s="69">
        <v>0</v>
      </c>
      <c r="O488" s="69">
        <v>0</v>
      </c>
      <c r="P488" s="69">
        <v>0</v>
      </c>
      <c r="Q488" s="69">
        <v>0</v>
      </c>
      <c r="R488" s="69">
        <v>0</v>
      </c>
      <c r="S488" s="69">
        <v>0</v>
      </c>
      <c r="T488" s="69">
        <v>0</v>
      </c>
      <c r="U488" s="69">
        <v>0</v>
      </c>
      <c r="V488" s="69">
        <v>0</v>
      </c>
      <c r="W488" s="69">
        <v>39.201439896791271</v>
      </c>
      <c r="X488" s="69">
        <v>39.201439896791271</v>
      </c>
      <c r="Y488" s="69">
        <v>39.201439896791271</v>
      </c>
      <c r="Z488" s="69">
        <v>39.201439896791271</v>
      </c>
      <c r="AA488" s="69">
        <v>39.201439896791271</v>
      </c>
      <c r="AB488" s="69">
        <v>39.201439896791271</v>
      </c>
      <c r="AC488" s="69">
        <v>39.201439896791271</v>
      </c>
      <c r="AD488" s="69">
        <v>39.201439896791271</v>
      </c>
      <c r="AE488" s="69">
        <v>39.201439896791271</v>
      </c>
      <c r="AF488" s="69">
        <v>39.201439896791271</v>
      </c>
      <c r="AG488" s="69">
        <v>39.201439896791271</v>
      </c>
    </row>
    <row r="489" spans="1:33" ht="12.75" customHeight="1">
      <c r="A489" s="231" t="s">
        <v>2375</v>
      </c>
      <c r="B489" s="69" t="s">
        <v>617</v>
      </c>
      <c r="C489" s="69" t="s">
        <v>186</v>
      </c>
      <c r="D489" s="69" t="s">
        <v>491</v>
      </c>
      <c r="E489" s="69" t="s">
        <v>244</v>
      </c>
      <c r="F489" s="69" t="s">
        <v>159</v>
      </c>
      <c r="G489" s="69" t="s">
        <v>192</v>
      </c>
      <c r="H489" s="69" t="s">
        <v>2130</v>
      </c>
      <c r="I489" s="69">
        <v>2</v>
      </c>
      <c r="J489" s="238">
        <v>0.29362493967405423</v>
      </c>
      <c r="K489" s="238">
        <v>0</v>
      </c>
      <c r="L489" s="69">
        <v>195.89803239826159</v>
      </c>
      <c r="M489" s="69">
        <v>-17.495061240616362</v>
      </c>
      <c r="N489" s="69">
        <v>0</v>
      </c>
      <c r="O489" s="69">
        <v>0</v>
      </c>
      <c r="P489" s="69">
        <v>0</v>
      </c>
      <c r="Q489" s="69">
        <v>8.7501780184538816E-2</v>
      </c>
      <c r="R489" s="69">
        <v>8.7501780184538816E-2</v>
      </c>
      <c r="S489" s="69">
        <v>8.7501780184538816E-2</v>
      </c>
      <c r="T489" s="69">
        <v>8.7501780184538816E-2</v>
      </c>
      <c r="U489" s="69">
        <v>8.7501780184538816E-2</v>
      </c>
      <c r="V489" s="69">
        <v>8.7501780184538816E-2</v>
      </c>
      <c r="W489" s="69">
        <v>8.7501780184538816E-2</v>
      </c>
      <c r="X489" s="69">
        <v>8.7501780184538816E-2</v>
      </c>
      <c r="Y489" s="69">
        <v>8.7501780184538816E-2</v>
      </c>
      <c r="Z489" s="69">
        <v>8.7501780184538816E-2</v>
      </c>
      <c r="AA489" s="69">
        <v>8.7501780184538816E-2</v>
      </c>
      <c r="AB489" s="69">
        <v>8.7501780184538816E-2</v>
      </c>
      <c r="AC489" s="69">
        <v>8.7501780184538816E-2</v>
      </c>
      <c r="AD489" s="69">
        <v>8.7501780184538816E-2</v>
      </c>
      <c r="AE489" s="69">
        <v>8.7501780184538816E-2</v>
      </c>
      <c r="AF489" s="69">
        <v>8.7501780184538816E-2</v>
      </c>
      <c r="AG489" s="69">
        <v>8.7501780184538816E-2</v>
      </c>
    </row>
    <row r="490" spans="1:33" ht="12.75" customHeight="1">
      <c r="A490" s="231" t="s">
        <v>2375</v>
      </c>
      <c r="B490" s="69" t="s">
        <v>618</v>
      </c>
      <c r="C490" s="69" t="s">
        <v>186</v>
      </c>
      <c r="D490" s="69" t="s">
        <v>491</v>
      </c>
      <c r="E490" s="69" t="s">
        <v>244</v>
      </c>
      <c r="F490" s="69" t="s">
        <v>159</v>
      </c>
      <c r="G490" s="69" t="s">
        <v>192</v>
      </c>
      <c r="H490" s="69" t="s">
        <v>2130</v>
      </c>
      <c r="I490" s="69">
        <v>2</v>
      </c>
      <c r="J490" s="238">
        <v>0.29362493967405423</v>
      </c>
      <c r="K490" s="238">
        <v>0</v>
      </c>
      <c r="L490" s="69">
        <v>195.89803239826159</v>
      </c>
      <c r="M490" s="69">
        <v>-17.495061240616362</v>
      </c>
      <c r="N490" s="69">
        <v>0</v>
      </c>
      <c r="O490" s="69">
        <v>0</v>
      </c>
      <c r="P490" s="69">
        <v>0</v>
      </c>
      <c r="Q490" s="69">
        <v>0</v>
      </c>
      <c r="R490" s="69">
        <v>8.7501780184538816E-2</v>
      </c>
      <c r="S490" s="69">
        <v>8.7501780184538816E-2</v>
      </c>
      <c r="T490" s="69">
        <v>8.7501780184538816E-2</v>
      </c>
      <c r="U490" s="69">
        <v>8.7501780184538816E-2</v>
      </c>
      <c r="V490" s="69">
        <v>8.7501780184538816E-2</v>
      </c>
      <c r="W490" s="69">
        <v>8.7501780184538816E-2</v>
      </c>
      <c r="X490" s="69">
        <v>8.7501780184538816E-2</v>
      </c>
      <c r="Y490" s="69">
        <v>8.7501780184538816E-2</v>
      </c>
      <c r="Z490" s="69">
        <v>8.7501780184538816E-2</v>
      </c>
      <c r="AA490" s="69">
        <v>8.7501780184538816E-2</v>
      </c>
      <c r="AB490" s="69">
        <v>8.7501780184538816E-2</v>
      </c>
      <c r="AC490" s="69">
        <v>8.7501780184538816E-2</v>
      </c>
      <c r="AD490" s="69">
        <v>8.7501780184538816E-2</v>
      </c>
      <c r="AE490" s="69">
        <v>8.7501780184538816E-2</v>
      </c>
      <c r="AF490" s="69">
        <v>8.7501780184538816E-2</v>
      </c>
      <c r="AG490" s="69">
        <v>8.7501780184538816E-2</v>
      </c>
    </row>
    <row r="491" spans="1:33" ht="12.75" customHeight="1">
      <c r="A491" s="231" t="s">
        <v>2375</v>
      </c>
      <c r="B491" s="69" t="s">
        <v>619</v>
      </c>
      <c r="C491" s="69" t="s">
        <v>186</v>
      </c>
      <c r="D491" s="69" t="s">
        <v>491</v>
      </c>
      <c r="E491" s="69" t="s">
        <v>244</v>
      </c>
      <c r="F491" s="69" t="s">
        <v>159</v>
      </c>
      <c r="G491" s="69" t="s">
        <v>192</v>
      </c>
      <c r="H491" s="69" t="s">
        <v>2130</v>
      </c>
      <c r="I491" s="69">
        <v>2</v>
      </c>
      <c r="J491" s="238">
        <v>0.29362493967405423</v>
      </c>
      <c r="K491" s="238">
        <v>0</v>
      </c>
      <c r="L491" s="69">
        <v>195.89803239826159</v>
      </c>
      <c r="M491" s="69">
        <v>-17.495061240616362</v>
      </c>
      <c r="N491" s="69">
        <v>0</v>
      </c>
      <c r="O491" s="69">
        <v>0</v>
      </c>
      <c r="P491" s="69">
        <v>0</v>
      </c>
      <c r="Q491" s="69">
        <v>0</v>
      </c>
      <c r="R491" s="69">
        <v>0</v>
      </c>
      <c r="S491" s="69">
        <v>8.7501780184538816E-2</v>
      </c>
      <c r="T491" s="69">
        <v>8.7501780184538816E-2</v>
      </c>
      <c r="U491" s="69">
        <v>8.7501780184538816E-2</v>
      </c>
      <c r="V491" s="69">
        <v>8.7501780184538816E-2</v>
      </c>
      <c r="W491" s="69">
        <v>8.7501780184538816E-2</v>
      </c>
      <c r="X491" s="69">
        <v>8.7501780184538816E-2</v>
      </c>
      <c r="Y491" s="69">
        <v>8.7501780184538816E-2</v>
      </c>
      <c r="Z491" s="69">
        <v>8.7501780184538816E-2</v>
      </c>
      <c r="AA491" s="69">
        <v>8.7501780184538816E-2</v>
      </c>
      <c r="AB491" s="69">
        <v>8.7501780184538816E-2</v>
      </c>
      <c r="AC491" s="69">
        <v>8.7501780184538816E-2</v>
      </c>
      <c r="AD491" s="69">
        <v>8.7501780184538816E-2</v>
      </c>
      <c r="AE491" s="69">
        <v>8.7501780184538816E-2</v>
      </c>
      <c r="AF491" s="69">
        <v>8.7501780184538816E-2</v>
      </c>
      <c r="AG491" s="69">
        <v>8.7501780184538816E-2</v>
      </c>
    </row>
    <row r="492" spans="1:33" ht="12.75" customHeight="1">
      <c r="A492" s="231" t="s">
        <v>2375</v>
      </c>
      <c r="B492" s="69" t="s">
        <v>620</v>
      </c>
      <c r="C492" s="69" t="s">
        <v>186</v>
      </c>
      <c r="D492" s="69" t="s">
        <v>491</v>
      </c>
      <c r="E492" s="69" t="s">
        <v>244</v>
      </c>
      <c r="F492" s="69" t="s">
        <v>159</v>
      </c>
      <c r="G492" s="69" t="s">
        <v>192</v>
      </c>
      <c r="H492" s="69" t="s">
        <v>2130</v>
      </c>
      <c r="I492" s="69">
        <v>2</v>
      </c>
      <c r="J492" s="238">
        <v>0.29362493967405423</v>
      </c>
      <c r="K492" s="238">
        <v>0</v>
      </c>
      <c r="L492" s="69">
        <v>195.89803239826159</v>
      </c>
      <c r="M492" s="69">
        <v>-17.495061240616362</v>
      </c>
      <c r="N492" s="69">
        <v>0</v>
      </c>
      <c r="O492" s="69">
        <v>0</v>
      </c>
      <c r="P492" s="69">
        <v>0</v>
      </c>
      <c r="Q492" s="69">
        <v>0</v>
      </c>
      <c r="R492" s="69">
        <v>0</v>
      </c>
      <c r="S492" s="69">
        <v>0</v>
      </c>
      <c r="T492" s="69">
        <v>8.7501780184538816E-2</v>
      </c>
      <c r="U492" s="69">
        <v>8.7501780184538816E-2</v>
      </c>
      <c r="V492" s="69">
        <v>8.7501780184538816E-2</v>
      </c>
      <c r="W492" s="69">
        <v>8.7501780184538816E-2</v>
      </c>
      <c r="X492" s="69">
        <v>8.7501780184538816E-2</v>
      </c>
      <c r="Y492" s="69">
        <v>8.7501780184538816E-2</v>
      </c>
      <c r="Z492" s="69">
        <v>8.7501780184538816E-2</v>
      </c>
      <c r="AA492" s="69">
        <v>8.7501780184538816E-2</v>
      </c>
      <c r="AB492" s="69">
        <v>8.7501780184538816E-2</v>
      </c>
      <c r="AC492" s="69">
        <v>8.7501780184538816E-2</v>
      </c>
      <c r="AD492" s="69">
        <v>8.7501780184538816E-2</v>
      </c>
      <c r="AE492" s="69">
        <v>8.7501780184538816E-2</v>
      </c>
      <c r="AF492" s="69">
        <v>8.7501780184538816E-2</v>
      </c>
      <c r="AG492" s="69">
        <v>8.7501780184538816E-2</v>
      </c>
    </row>
    <row r="493" spans="1:33" ht="12.75" customHeight="1">
      <c r="A493" s="231" t="s">
        <v>2375</v>
      </c>
      <c r="B493" s="69" t="s">
        <v>621</v>
      </c>
      <c r="C493" s="69" t="s">
        <v>186</v>
      </c>
      <c r="D493" s="69" t="s">
        <v>491</v>
      </c>
      <c r="E493" s="69" t="s">
        <v>244</v>
      </c>
      <c r="F493" s="69" t="s">
        <v>159</v>
      </c>
      <c r="G493" s="69" t="s">
        <v>192</v>
      </c>
      <c r="H493" s="69" t="s">
        <v>2130</v>
      </c>
      <c r="I493" s="69">
        <v>2</v>
      </c>
      <c r="J493" s="238">
        <v>0.29362493967405423</v>
      </c>
      <c r="K493" s="238">
        <v>0</v>
      </c>
      <c r="L493" s="69">
        <v>195.89803239826159</v>
      </c>
      <c r="M493" s="69">
        <v>-17.495061240616362</v>
      </c>
      <c r="N493" s="69">
        <v>0</v>
      </c>
      <c r="O493" s="69">
        <v>0</v>
      </c>
      <c r="P493" s="69">
        <v>0</v>
      </c>
      <c r="Q493" s="69">
        <v>0</v>
      </c>
      <c r="R493" s="69">
        <v>0</v>
      </c>
      <c r="S493" s="69">
        <v>0</v>
      </c>
      <c r="T493" s="69">
        <v>0</v>
      </c>
      <c r="U493" s="69">
        <v>8.7501780184538816E-2</v>
      </c>
      <c r="V493" s="69">
        <v>8.7501780184538816E-2</v>
      </c>
      <c r="W493" s="69">
        <v>8.7501780184538816E-2</v>
      </c>
      <c r="X493" s="69">
        <v>8.7501780184538816E-2</v>
      </c>
      <c r="Y493" s="69">
        <v>8.7501780184538816E-2</v>
      </c>
      <c r="Z493" s="69">
        <v>8.7501780184538816E-2</v>
      </c>
      <c r="AA493" s="69">
        <v>8.7501780184538816E-2</v>
      </c>
      <c r="AB493" s="69">
        <v>8.7501780184538816E-2</v>
      </c>
      <c r="AC493" s="69">
        <v>8.7501780184538816E-2</v>
      </c>
      <c r="AD493" s="69">
        <v>8.7501780184538816E-2</v>
      </c>
      <c r="AE493" s="69">
        <v>8.7501780184538816E-2</v>
      </c>
      <c r="AF493" s="69">
        <v>8.7501780184538816E-2</v>
      </c>
      <c r="AG493" s="69">
        <v>8.7501780184538816E-2</v>
      </c>
    </row>
    <row r="494" spans="1:33" ht="12.75" customHeight="1">
      <c r="A494" s="231" t="s">
        <v>2375</v>
      </c>
      <c r="B494" s="69" t="s">
        <v>622</v>
      </c>
      <c r="C494" s="69" t="s">
        <v>186</v>
      </c>
      <c r="D494" s="69" t="s">
        <v>491</v>
      </c>
      <c r="E494" s="69" t="s">
        <v>244</v>
      </c>
      <c r="F494" s="69" t="s">
        <v>159</v>
      </c>
      <c r="G494" s="69" t="s">
        <v>192</v>
      </c>
      <c r="H494" s="69" t="s">
        <v>2130</v>
      </c>
      <c r="I494" s="69">
        <v>2</v>
      </c>
      <c r="J494" s="238">
        <v>0.29362493967405423</v>
      </c>
      <c r="K494" s="238">
        <v>0</v>
      </c>
      <c r="L494" s="69">
        <v>195.89803239826159</v>
      </c>
      <c r="M494" s="69">
        <v>-17.495061240616362</v>
      </c>
      <c r="N494" s="69">
        <v>0</v>
      </c>
      <c r="O494" s="69">
        <v>0</v>
      </c>
      <c r="P494" s="69">
        <v>0</v>
      </c>
      <c r="Q494" s="69">
        <v>0</v>
      </c>
      <c r="R494" s="69">
        <v>0</v>
      </c>
      <c r="S494" s="69">
        <v>0</v>
      </c>
      <c r="T494" s="69">
        <v>0</v>
      </c>
      <c r="U494" s="69">
        <v>0</v>
      </c>
      <c r="V494" s="69">
        <v>8.7501780184538816E-2</v>
      </c>
      <c r="W494" s="69">
        <v>8.7501780184538816E-2</v>
      </c>
      <c r="X494" s="69">
        <v>8.7501780184538816E-2</v>
      </c>
      <c r="Y494" s="69">
        <v>8.7501780184538816E-2</v>
      </c>
      <c r="Z494" s="69">
        <v>8.7501780184538816E-2</v>
      </c>
      <c r="AA494" s="69">
        <v>8.7501780184538816E-2</v>
      </c>
      <c r="AB494" s="69">
        <v>8.7501780184538816E-2</v>
      </c>
      <c r="AC494" s="69">
        <v>8.7501780184538816E-2</v>
      </c>
      <c r="AD494" s="69">
        <v>8.7501780184538816E-2</v>
      </c>
      <c r="AE494" s="69">
        <v>8.7501780184538816E-2</v>
      </c>
      <c r="AF494" s="69">
        <v>8.7501780184538816E-2</v>
      </c>
      <c r="AG494" s="69">
        <v>8.7501780184538816E-2</v>
      </c>
    </row>
    <row r="495" spans="1:33" ht="12.75" customHeight="1">
      <c r="A495" s="231" t="s">
        <v>2375</v>
      </c>
      <c r="B495" s="69" t="s">
        <v>623</v>
      </c>
      <c r="C495" s="69" t="s">
        <v>186</v>
      </c>
      <c r="D495" s="69" t="s">
        <v>491</v>
      </c>
      <c r="E495" s="69" t="s">
        <v>244</v>
      </c>
      <c r="F495" s="69" t="s">
        <v>159</v>
      </c>
      <c r="G495" s="69" t="s">
        <v>192</v>
      </c>
      <c r="H495" s="69" t="s">
        <v>2130</v>
      </c>
      <c r="I495" s="69">
        <v>2</v>
      </c>
      <c r="J495" s="238">
        <v>0.29362493967405423</v>
      </c>
      <c r="K495" s="238">
        <v>0</v>
      </c>
      <c r="L495" s="69">
        <v>195.89803239826159</v>
      </c>
      <c r="M495" s="69">
        <v>-17.495061240616362</v>
      </c>
      <c r="N495" s="69">
        <v>0</v>
      </c>
      <c r="O495" s="69">
        <v>0</v>
      </c>
      <c r="P495" s="69">
        <v>0</v>
      </c>
      <c r="Q495" s="69">
        <v>0</v>
      </c>
      <c r="R495" s="69">
        <v>0</v>
      </c>
      <c r="S495" s="69">
        <v>0</v>
      </c>
      <c r="T495" s="69">
        <v>0</v>
      </c>
      <c r="U495" s="69">
        <v>0</v>
      </c>
      <c r="V495" s="69">
        <v>0</v>
      </c>
      <c r="W495" s="69">
        <v>8.7501780184538816E-2</v>
      </c>
      <c r="X495" s="69">
        <v>8.7501780184538816E-2</v>
      </c>
      <c r="Y495" s="69">
        <v>8.7501780184538816E-2</v>
      </c>
      <c r="Z495" s="69">
        <v>8.7501780184538816E-2</v>
      </c>
      <c r="AA495" s="69">
        <v>8.7501780184538816E-2</v>
      </c>
      <c r="AB495" s="69">
        <v>8.7501780184538816E-2</v>
      </c>
      <c r="AC495" s="69">
        <v>8.7501780184538816E-2</v>
      </c>
      <c r="AD495" s="69">
        <v>8.7501780184538816E-2</v>
      </c>
      <c r="AE495" s="69">
        <v>8.7501780184538816E-2</v>
      </c>
      <c r="AF495" s="69">
        <v>8.7501780184538816E-2</v>
      </c>
      <c r="AG495" s="69">
        <v>8.7501780184538816E-2</v>
      </c>
    </row>
    <row r="496" spans="1:33" ht="12.75" customHeight="1">
      <c r="A496" s="231" t="s">
        <v>2375</v>
      </c>
      <c r="B496" s="69" t="s">
        <v>624</v>
      </c>
      <c r="C496" s="69" t="s">
        <v>186</v>
      </c>
      <c r="D496" s="69" t="s">
        <v>491</v>
      </c>
      <c r="E496" s="69" t="s">
        <v>242</v>
      </c>
      <c r="F496" s="69" t="s">
        <v>159</v>
      </c>
      <c r="G496" s="69" t="s">
        <v>192</v>
      </c>
      <c r="H496" s="69" t="s">
        <v>2130</v>
      </c>
      <c r="I496" s="69">
        <v>2</v>
      </c>
      <c r="J496" s="238">
        <v>0.26090971526153617</v>
      </c>
      <c r="K496" s="238">
        <v>0</v>
      </c>
      <c r="L496" s="69">
        <v>220.46150289017342</v>
      </c>
      <c r="M496" s="69">
        <v>-19.688750555802578</v>
      </c>
      <c r="N496" s="69">
        <v>0</v>
      </c>
      <c r="O496" s="69">
        <v>0</v>
      </c>
      <c r="P496" s="69">
        <v>0</v>
      </c>
      <c r="Q496" s="69">
        <v>0.14902556906235989</v>
      </c>
      <c r="R496" s="69">
        <v>0.14902556906235989</v>
      </c>
      <c r="S496" s="69">
        <v>0.14902556906235989</v>
      </c>
      <c r="T496" s="69">
        <v>0.14902556906235989</v>
      </c>
      <c r="U496" s="69">
        <v>0.14902556906235989</v>
      </c>
      <c r="V496" s="69">
        <v>0.14902556906235989</v>
      </c>
      <c r="W496" s="69">
        <v>0.14902556906235989</v>
      </c>
      <c r="X496" s="69">
        <v>0.14902556906235989</v>
      </c>
      <c r="Y496" s="69">
        <v>0.14902556906235989</v>
      </c>
      <c r="Z496" s="69">
        <v>0.14902556906235989</v>
      </c>
      <c r="AA496" s="69">
        <v>0.14902556906235989</v>
      </c>
      <c r="AB496" s="69">
        <v>0.14902556906235989</v>
      </c>
      <c r="AC496" s="69">
        <v>0.14902556906235989</v>
      </c>
      <c r="AD496" s="69">
        <v>0.14902556906235989</v>
      </c>
      <c r="AE496" s="69">
        <v>0.14902556906235989</v>
      </c>
      <c r="AF496" s="69">
        <v>0.14902556906235989</v>
      </c>
      <c r="AG496" s="69">
        <v>0.14902556906235989</v>
      </c>
    </row>
    <row r="497" spans="1:33" ht="12.75" customHeight="1">
      <c r="A497" s="231" t="s">
        <v>2375</v>
      </c>
      <c r="B497" s="69" t="s">
        <v>625</v>
      </c>
      <c r="C497" s="69" t="s">
        <v>186</v>
      </c>
      <c r="D497" s="69" t="s">
        <v>491</v>
      </c>
      <c r="E497" s="69" t="s">
        <v>242</v>
      </c>
      <c r="F497" s="69" t="s">
        <v>159</v>
      </c>
      <c r="G497" s="69" t="s">
        <v>192</v>
      </c>
      <c r="H497" s="69" t="s">
        <v>2130</v>
      </c>
      <c r="I497" s="69">
        <v>2</v>
      </c>
      <c r="J497" s="238">
        <v>0.26090971526153617</v>
      </c>
      <c r="K497" s="238">
        <v>0</v>
      </c>
      <c r="L497" s="69">
        <v>220.46150289017342</v>
      </c>
      <c r="M497" s="69">
        <v>-19.688750555802578</v>
      </c>
      <c r="N497" s="69">
        <v>0</v>
      </c>
      <c r="O497" s="69">
        <v>0</v>
      </c>
      <c r="P497" s="69">
        <v>0</v>
      </c>
      <c r="Q497" s="69">
        <v>0</v>
      </c>
      <c r="R497" s="69">
        <v>0.14902556906235989</v>
      </c>
      <c r="S497" s="69">
        <v>0.14902556906235989</v>
      </c>
      <c r="T497" s="69">
        <v>0.14902556906235989</v>
      </c>
      <c r="U497" s="69">
        <v>0.14902556906235989</v>
      </c>
      <c r="V497" s="69">
        <v>0.14902556906235989</v>
      </c>
      <c r="W497" s="69">
        <v>0.14902556906235989</v>
      </c>
      <c r="X497" s="69">
        <v>0.14902556906235989</v>
      </c>
      <c r="Y497" s="69">
        <v>0.14902556906235989</v>
      </c>
      <c r="Z497" s="69">
        <v>0.14902556906235989</v>
      </c>
      <c r="AA497" s="69">
        <v>0.14902556906235989</v>
      </c>
      <c r="AB497" s="69">
        <v>0.14902556906235989</v>
      </c>
      <c r="AC497" s="69">
        <v>0.14902556906235989</v>
      </c>
      <c r="AD497" s="69">
        <v>0.14902556906235989</v>
      </c>
      <c r="AE497" s="69">
        <v>0.14902556906235989</v>
      </c>
      <c r="AF497" s="69">
        <v>0.14902556906235989</v>
      </c>
      <c r="AG497" s="69">
        <v>0.14902556906235989</v>
      </c>
    </row>
    <row r="498" spans="1:33" ht="12.75" customHeight="1">
      <c r="A498" s="231" t="s">
        <v>2375</v>
      </c>
      <c r="B498" s="69" t="s">
        <v>626</v>
      </c>
      <c r="C498" s="69" t="s">
        <v>186</v>
      </c>
      <c r="D498" s="69" t="s">
        <v>491</v>
      </c>
      <c r="E498" s="69" t="s">
        <v>242</v>
      </c>
      <c r="F498" s="69" t="s">
        <v>159</v>
      </c>
      <c r="G498" s="69" t="s">
        <v>192</v>
      </c>
      <c r="H498" s="69" t="s">
        <v>2130</v>
      </c>
      <c r="I498" s="69">
        <v>2</v>
      </c>
      <c r="J498" s="238">
        <v>0.26090971526153617</v>
      </c>
      <c r="K498" s="238">
        <v>0</v>
      </c>
      <c r="L498" s="69">
        <v>220.46150289017342</v>
      </c>
      <c r="M498" s="69">
        <v>-19.688750555802578</v>
      </c>
      <c r="N498" s="69">
        <v>0</v>
      </c>
      <c r="O498" s="69">
        <v>0</v>
      </c>
      <c r="P498" s="69">
        <v>0</v>
      </c>
      <c r="Q498" s="69">
        <v>0</v>
      </c>
      <c r="R498" s="69">
        <v>0</v>
      </c>
      <c r="S498" s="69">
        <v>0.14902556906235989</v>
      </c>
      <c r="T498" s="69">
        <v>0.14902556906235989</v>
      </c>
      <c r="U498" s="69">
        <v>0.14902556906235989</v>
      </c>
      <c r="V498" s="69">
        <v>0.14902556906235989</v>
      </c>
      <c r="W498" s="69">
        <v>0.14902556906235989</v>
      </c>
      <c r="X498" s="69">
        <v>0.14902556906235989</v>
      </c>
      <c r="Y498" s="69">
        <v>0.14902556906235989</v>
      </c>
      <c r="Z498" s="69">
        <v>0.14902556906235989</v>
      </c>
      <c r="AA498" s="69">
        <v>0.14902556906235989</v>
      </c>
      <c r="AB498" s="69">
        <v>0.14902556906235989</v>
      </c>
      <c r="AC498" s="69">
        <v>0.14902556906235989</v>
      </c>
      <c r="AD498" s="69">
        <v>0.14902556906235989</v>
      </c>
      <c r="AE498" s="69">
        <v>0.14902556906235989</v>
      </c>
      <c r="AF498" s="69">
        <v>0.14902556906235989</v>
      </c>
      <c r="AG498" s="69">
        <v>0.14902556906235989</v>
      </c>
    </row>
    <row r="499" spans="1:33" ht="12.75" customHeight="1">
      <c r="A499" s="231" t="s">
        <v>2375</v>
      </c>
      <c r="B499" s="69" t="s">
        <v>627</v>
      </c>
      <c r="C499" s="69" t="s">
        <v>186</v>
      </c>
      <c r="D499" s="69" t="s">
        <v>491</v>
      </c>
      <c r="E499" s="69" t="s">
        <v>242</v>
      </c>
      <c r="F499" s="69" t="s">
        <v>159</v>
      </c>
      <c r="G499" s="69" t="s">
        <v>192</v>
      </c>
      <c r="H499" s="69" t="s">
        <v>2130</v>
      </c>
      <c r="I499" s="69">
        <v>2</v>
      </c>
      <c r="J499" s="238">
        <v>0.26090971526153617</v>
      </c>
      <c r="K499" s="238">
        <v>0</v>
      </c>
      <c r="L499" s="69">
        <v>220.46150289017342</v>
      </c>
      <c r="M499" s="69">
        <v>-19.688750555802578</v>
      </c>
      <c r="N499" s="69">
        <v>0</v>
      </c>
      <c r="O499" s="69">
        <v>0</v>
      </c>
      <c r="P499" s="69">
        <v>0</v>
      </c>
      <c r="Q499" s="69">
        <v>0</v>
      </c>
      <c r="R499" s="69">
        <v>0</v>
      </c>
      <c r="S499" s="69">
        <v>0</v>
      </c>
      <c r="T499" s="69">
        <v>0.14902556906235989</v>
      </c>
      <c r="U499" s="69">
        <v>0.14902556906235989</v>
      </c>
      <c r="V499" s="69">
        <v>0.14902556906235989</v>
      </c>
      <c r="W499" s="69">
        <v>0.14902556906235989</v>
      </c>
      <c r="X499" s="69">
        <v>0.14902556906235989</v>
      </c>
      <c r="Y499" s="69">
        <v>0.14902556906235989</v>
      </c>
      <c r="Z499" s="69">
        <v>0.14902556906235989</v>
      </c>
      <c r="AA499" s="69">
        <v>0.14902556906235989</v>
      </c>
      <c r="AB499" s="69">
        <v>0.14902556906235989</v>
      </c>
      <c r="AC499" s="69">
        <v>0.14902556906235989</v>
      </c>
      <c r="AD499" s="69">
        <v>0.14902556906235989</v>
      </c>
      <c r="AE499" s="69">
        <v>0.14902556906235989</v>
      </c>
      <c r="AF499" s="69">
        <v>0.14902556906235989</v>
      </c>
      <c r="AG499" s="69">
        <v>0.14902556906235989</v>
      </c>
    </row>
    <row r="500" spans="1:33" ht="12.75" customHeight="1">
      <c r="A500" s="231" t="s">
        <v>2375</v>
      </c>
      <c r="B500" s="69" t="s">
        <v>628</v>
      </c>
      <c r="C500" s="69" t="s">
        <v>186</v>
      </c>
      <c r="D500" s="69" t="s">
        <v>491</v>
      </c>
      <c r="E500" s="69" t="s">
        <v>242</v>
      </c>
      <c r="F500" s="69" t="s">
        <v>159</v>
      </c>
      <c r="G500" s="69" t="s">
        <v>192</v>
      </c>
      <c r="H500" s="69" t="s">
        <v>2130</v>
      </c>
      <c r="I500" s="69">
        <v>2</v>
      </c>
      <c r="J500" s="238">
        <v>0.26090971526153617</v>
      </c>
      <c r="K500" s="238">
        <v>0</v>
      </c>
      <c r="L500" s="69">
        <v>220.46150289017342</v>
      </c>
      <c r="M500" s="69">
        <v>-19.688750555802578</v>
      </c>
      <c r="N500" s="69">
        <v>0</v>
      </c>
      <c r="O500" s="69">
        <v>0</v>
      </c>
      <c r="P500" s="69">
        <v>0</v>
      </c>
      <c r="Q500" s="69">
        <v>0</v>
      </c>
      <c r="R500" s="69">
        <v>0</v>
      </c>
      <c r="S500" s="69">
        <v>0</v>
      </c>
      <c r="T500" s="69">
        <v>0</v>
      </c>
      <c r="U500" s="69">
        <v>0.14902556906235989</v>
      </c>
      <c r="V500" s="69">
        <v>0.14902556906235989</v>
      </c>
      <c r="W500" s="69">
        <v>0.14902556906235989</v>
      </c>
      <c r="X500" s="69">
        <v>0.14902556906235989</v>
      </c>
      <c r="Y500" s="69">
        <v>0.14902556906235989</v>
      </c>
      <c r="Z500" s="69">
        <v>0.14902556906235989</v>
      </c>
      <c r="AA500" s="69">
        <v>0.14902556906235989</v>
      </c>
      <c r="AB500" s="69">
        <v>0.14902556906235989</v>
      </c>
      <c r="AC500" s="69">
        <v>0.14902556906235989</v>
      </c>
      <c r="AD500" s="69">
        <v>0.14902556906235989</v>
      </c>
      <c r="AE500" s="69">
        <v>0.14902556906235989</v>
      </c>
      <c r="AF500" s="69">
        <v>0.14902556906235989</v>
      </c>
      <c r="AG500" s="69">
        <v>0.14902556906235989</v>
      </c>
    </row>
    <row r="501" spans="1:33" ht="12.75" customHeight="1">
      <c r="A501" s="231" t="s">
        <v>2375</v>
      </c>
      <c r="B501" s="69" t="s">
        <v>629</v>
      </c>
      <c r="C501" s="69" t="s">
        <v>186</v>
      </c>
      <c r="D501" s="69" t="s">
        <v>491</v>
      </c>
      <c r="E501" s="69" t="s">
        <v>242</v>
      </c>
      <c r="F501" s="69" t="s">
        <v>159</v>
      </c>
      <c r="G501" s="69" t="s">
        <v>192</v>
      </c>
      <c r="H501" s="69" t="s">
        <v>2130</v>
      </c>
      <c r="I501" s="69">
        <v>2</v>
      </c>
      <c r="J501" s="238">
        <v>0.26090971526153617</v>
      </c>
      <c r="K501" s="238">
        <v>0</v>
      </c>
      <c r="L501" s="69">
        <v>220.46150289017342</v>
      </c>
      <c r="M501" s="69">
        <v>-19.688750555802578</v>
      </c>
      <c r="N501" s="69">
        <v>0</v>
      </c>
      <c r="O501" s="69">
        <v>0</v>
      </c>
      <c r="P501" s="69">
        <v>0</v>
      </c>
      <c r="Q501" s="69">
        <v>0</v>
      </c>
      <c r="R501" s="69">
        <v>0</v>
      </c>
      <c r="S501" s="69">
        <v>0</v>
      </c>
      <c r="T501" s="69">
        <v>0</v>
      </c>
      <c r="U501" s="69">
        <v>0</v>
      </c>
      <c r="V501" s="69">
        <v>0.14902556906235989</v>
      </c>
      <c r="W501" s="69">
        <v>0.14902556906235989</v>
      </c>
      <c r="X501" s="69">
        <v>0.14902556906235989</v>
      </c>
      <c r="Y501" s="69">
        <v>0.14902556906235989</v>
      </c>
      <c r="Z501" s="69">
        <v>0.14902556906235989</v>
      </c>
      <c r="AA501" s="69">
        <v>0.14902556906235989</v>
      </c>
      <c r="AB501" s="69">
        <v>0.14902556906235989</v>
      </c>
      <c r="AC501" s="69">
        <v>0.14902556906235989</v>
      </c>
      <c r="AD501" s="69">
        <v>0.14902556906235989</v>
      </c>
      <c r="AE501" s="69">
        <v>0.14902556906235989</v>
      </c>
      <c r="AF501" s="69">
        <v>0.14902556906235989</v>
      </c>
      <c r="AG501" s="69">
        <v>0.14902556906235989</v>
      </c>
    </row>
    <row r="502" spans="1:33" ht="12.75" customHeight="1">
      <c r="A502" s="231" t="s">
        <v>2375</v>
      </c>
      <c r="B502" s="69" t="s">
        <v>630</v>
      </c>
      <c r="C502" s="69" t="s">
        <v>186</v>
      </c>
      <c r="D502" s="69" t="s">
        <v>491</v>
      </c>
      <c r="E502" s="69" t="s">
        <v>242</v>
      </c>
      <c r="F502" s="69" t="s">
        <v>159</v>
      </c>
      <c r="G502" s="69" t="s">
        <v>192</v>
      </c>
      <c r="H502" s="69" t="s">
        <v>2130</v>
      </c>
      <c r="I502" s="69">
        <v>2</v>
      </c>
      <c r="J502" s="238">
        <v>0.26090971526153617</v>
      </c>
      <c r="K502" s="238">
        <v>0</v>
      </c>
      <c r="L502" s="69">
        <v>220.46150289017342</v>
      </c>
      <c r="M502" s="69">
        <v>-19.688750555802578</v>
      </c>
      <c r="N502" s="69">
        <v>0</v>
      </c>
      <c r="O502" s="69">
        <v>0</v>
      </c>
      <c r="P502" s="69">
        <v>0</v>
      </c>
      <c r="Q502" s="69">
        <v>0</v>
      </c>
      <c r="R502" s="69">
        <v>0</v>
      </c>
      <c r="S502" s="69">
        <v>0</v>
      </c>
      <c r="T502" s="69">
        <v>0</v>
      </c>
      <c r="U502" s="69">
        <v>0</v>
      </c>
      <c r="V502" s="69">
        <v>0</v>
      </c>
      <c r="W502" s="69">
        <v>0.14902556906235989</v>
      </c>
      <c r="X502" s="69">
        <v>0.14902556906235989</v>
      </c>
      <c r="Y502" s="69">
        <v>0.14902556906235989</v>
      </c>
      <c r="Z502" s="69">
        <v>0.14902556906235989</v>
      </c>
      <c r="AA502" s="69">
        <v>0.14902556906235989</v>
      </c>
      <c r="AB502" s="69">
        <v>0.14902556906235989</v>
      </c>
      <c r="AC502" s="69">
        <v>0.14902556906235989</v>
      </c>
      <c r="AD502" s="69">
        <v>0.14902556906235989</v>
      </c>
      <c r="AE502" s="69">
        <v>0.14902556906235989</v>
      </c>
      <c r="AF502" s="69">
        <v>0.14902556906235989</v>
      </c>
      <c r="AG502" s="69">
        <v>0.14902556906235989</v>
      </c>
    </row>
    <row r="503" spans="1:33" ht="12.75" customHeight="1">
      <c r="A503" s="231" t="s">
        <v>2375</v>
      </c>
      <c r="B503" s="69" t="s">
        <v>631</v>
      </c>
      <c r="C503" s="69" t="s">
        <v>186</v>
      </c>
      <c r="D503" s="69" t="s">
        <v>259</v>
      </c>
      <c r="E503" s="69" t="s">
        <v>244</v>
      </c>
      <c r="F503" s="69" t="s">
        <v>159</v>
      </c>
      <c r="G503" s="69" t="s">
        <v>192</v>
      </c>
      <c r="H503" s="69" t="s">
        <v>2130</v>
      </c>
      <c r="I503" s="69">
        <v>2</v>
      </c>
      <c r="J503" s="238">
        <v>0.2668262983999703</v>
      </c>
      <c r="K503" s="238">
        <v>0</v>
      </c>
      <c r="L503" s="69">
        <v>184.20052173913044</v>
      </c>
      <c r="M503" s="69">
        <v>-4.2782608695652176</v>
      </c>
      <c r="N503" s="69">
        <v>0</v>
      </c>
      <c r="O503" s="69">
        <v>0</v>
      </c>
      <c r="P503" s="69">
        <v>0</v>
      </c>
      <c r="Q503" s="69">
        <v>0.42388262832901091</v>
      </c>
      <c r="R503" s="69">
        <v>0.42388262832901091</v>
      </c>
      <c r="S503" s="69">
        <v>0.42388262832901091</v>
      </c>
      <c r="T503" s="69">
        <v>0.42388262832901091</v>
      </c>
      <c r="U503" s="69">
        <v>0.42388262832901091</v>
      </c>
      <c r="V503" s="69">
        <v>0.42388262832901091</v>
      </c>
      <c r="W503" s="69">
        <v>0.42388262832901091</v>
      </c>
      <c r="X503" s="69">
        <v>0.42388262832901091</v>
      </c>
      <c r="Y503" s="69">
        <v>0.42388262832901091</v>
      </c>
      <c r="Z503" s="69">
        <v>0.42388262832901091</v>
      </c>
      <c r="AA503" s="69">
        <v>0.42388262832901091</v>
      </c>
      <c r="AB503" s="69">
        <v>0.42388262832901091</v>
      </c>
      <c r="AC503" s="69">
        <v>0.42388262832901091</v>
      </c>
      <c r="AD503" s="69">
        <v>0.42388262832901091</v>
      </c>
      <c r="AE503" s="69">
        <v>0.42388262832901091</v>
      </c>
      <c r="AF503" s="69">
        <v>0.42388262832901091</v>
      </c>
      <c r="AG503" s="69">
        <v>0.42388262832901091</v>
      </c>
    </row>
    <row r="504" spans="1:33" ht="12.75" customHeight="1">
      <c r="A504" s="231" t="s">
        <v>2375</v>
      </c>
      <c r="B504" s="69" t="s">
        <v>632</v>
      </c>
      <c r="C504" s="69" t="s">
        <v>186</v>
      </c>
      <c r="D504" s="69" t="s">
        <v>259</v>
      </c>
      <c r="E504" s="69" t="s">
        <v>244</v>
      </c>
      <c r="F504" s="69" t="s">
        <v>159</v>
      </c>
      <c r="G504" s="69" t="s">
        <v>192</v>
      </c>
      <c r="H504" s="69" t="s">
        <v>2130</v>
      </c>
      <c r="I504" s="69">
        <v>2</v>
      </c>
      <c r="J504" s="238">
        <v>0.2668262983999703</v>
      </c>
      <c r="K504" s="238">
        <v>0</v>
      </c>
      <c r="L504" s="69">
        <v>184.20052173913044</v>
      </c>
      <c r="M504" s="69">
        <v>-4.2782608695652176</v>
      </c>
      <c r="N504" s="69">
        <v>0</v>
      </c>
      <c r="O504" s="69">
        <v>0</v>
      </c>
      <c r="P504" s="69">
        <v>0</v>
      </c>
      <c r="Q504" s="69">
        <v>0</v>
      </c>
      <c r="R504" s="69">
        <v>0.42388262832901091</v>
      </c>
      <c r="S504" s="69">
        <v>0.42388262832901091</v>
      </c>
      <c r="T504" s="69">
        <v>0.42388262832901091</v>
      </c>
      <c r="U504" s="69">
        <v>0.42388262832901091</v>
      </c>
      <c r="V504" s="69">
        <v>0.42388262832901091</v>
      </c>
      <c r="W504" s="69">
        <v>0.42388262832901091</v>
      </c>
      <c r="X504" s="69">
        <v>0.42388262832901091</v>
      </c>
      <c r="Y504" s="69">
        <v>0.42388262832901091</v>
      </c>
      <c r="Z504" s="69">
        <v>0.42388262832901091</v>
      </c>
      <c r="AA504" s="69">
        <v>0.42388262832901091</v>
      </c>
      <c r="AB504" s="69">
        <v>0.42388262832901091</v>
      </c>
      <c r="AC504" s="69">
        <v>0.42388262832901091</v>
      </c>
      <c r="AD504" s="69">
        <v>0.42388262832901091</v>
      </c>
      <c r="AE504" s="69">
        <v>0.42388262832901091</v>
      </c>
      <c r="AF504" s="69">
        <v>0.42388262832901091</v>
      </c>
      <c r="AG504" s="69">
        <v>0.42388262832901091</v>
      </c>
    </row>
    <row r="505" spans="1:33" ht="12.75" customHeight="1">
      <c r="A505" s="231" t="s">
        <v>2375</v>
      </c>
      <c r="B505" s="69" t="s">
        <v>633</v>
      </c>
      <c r="C505" s="69" t="s">
        <v>186</v>
      </c>
      <c r="D505" s="69" t="s">
        <v>259</v>
      </c>
      <c r="E505" s="69" t="s">
        <v>244</v>
      </c>
      <c r="F505" s="69" t="s">
        <v>159</v>
      </c>
      <c r="G505" s="69" t="s">
        <v>192</v>
      </c>
      <c r="H505" s="69" t="s">
        <v>2130</v>
      </c>
      <c r="I505" s="69">
        <v>2</v>
      </c>
      <c r="J505" s="238">
        <v>0.2668262983999703</v>
      </c>
      <c r="K505" s="238">
        <v>0</v>
      </c>
      <c r="L505" s="69">
        <v>184.20052173913044</v>
      </c>
      <c r="M505" s="69">
        <v>-4.2782608695652176</v>
      </c>
      <c r="N505" s="69">
        <v>0</v>
      </c>
      <c r="O505" s="69">
        <v>0</v>
      </c>
      <c r="P505" s="69">
        <v>0</v>
      </c>
      <c r="Q505" s="69">
        <v>0</v>
      </c>
      <c r="R505" s="69">
        <v>0</v>
      </c>
      <c r="S505" s="69">
        <v>0.42388262832901091</v>
      </c>
      <c r="T505" s="69">
        <v>0.42388262832901091</v>
      </c>
      <c r="U505" s="69">
        <v>0.42388262832901091</v>
      </c>
      <c r="V505" s="69">
        <v>0.42388262832901091</v>
      </c>
      <c r="W505" s="69">
        <v>0.42388262832901091</v>
      </c>
      <c r="X505" s="69">
        <v>0.42388262832901091</v>
      </c>
      <c r="Y505" s="69">
        <v>0.42388262832901091</v>
      </c>
      <c r="Z505" s="69">
        <v>0.42388262832901091</v>
      </c>
      <c r="AA505" s="69">
        <v>0.42388262832901091</v>
      </c>
      <c r="AB505" s="69">
        <v>0.42388262832901091</v>
      </c>
      <c r="AC505" s="69">
        <v>0.42388262832901091</v>
      </c>
      <c r="AD505" s="69">
        <v>0.42388262832901091</v>
      </c>
      <c r="AE505" s="69">
        <v>0.42388262832901091</v>
      </c>
      <c r="AF505" s="69">
        <v>0.42388262832901091</v>
      </c>
      <c r="AG505" s="69">
        <v>0.42388262832901091</v>
      </c>
    </row>
    <row r="506" spans="1:33" ht="12.75" customHeight="1">
      <c r="A506" s="231" t="s">
        <v>2375</v>
      </c>
      <c r="B506" s="69" t="s">
        <v>634</v>
      </c>
      <c r="C506" s="69" t="s">
        <v>186</v>
      </c>
      <c r="D506" s="69" t="s">
        <v>259</v>
      </c>
      <c r="E506" s="69" t="s">
        <v>244</v>
      </c>
      <c r="F506" s="69" t="s">
        <v>159</v>
      </c>
      <c r="G506" s="69" t="s">
        <v>192</v>
      </c>
      <c r="H506" s="69" t="s">
        <v>2130</v>
      </c>
      <c r="I506" s="69">
        <v>2</v>
      </c>
      <c r="J506" s="238">
        <v>0.2668262983999703</v>
      </c>
      <c r="K506" s="238">
        <v>0</v>
      </c>
      <c r="L506" s="69">
        <v>184.20052173913044</v>
      </c>
      <c r="M506" s="69">
        <v>-4.2782608695652176</v>
      </c>
      <c r="N506" s="69">
        <v>0</v>
      </c>
      <c r="O506" s="69">
        <v>0</v>
      </c>
      <c r="P506" s="69">
        <v>0</v>
      </c>
      <c r="Q506" s="69">
        <v>0</v>
      </c>
      <c r="R506" s="69">
        <v>0</v>
      </c>
      <c r="S506" s="69">
        <v>0</v>
      </c>
      <c r="T506" s="69">
        <v>0.42388262832901091</v>
      </c>
      <c r="U506" s="69">
        <v>0.42388262832901091</v>
      </c>
      <c r="V506" s="69">
        <v>0.42388262832901091</v>
      </c>
      <c r="W506" s="69">
        <v>0.42388262832901091</v>
      </c>
      <c r="X506" s="69">
        <v>0.42388262832901091</v>
      </c>
      <c r="Y506" s="69">
        <v>0.42388262832901091</v>
      </c>
      <c r="Z506" s="69">
        <v>0.42388262832901091</v>
      </c>
      <c r="AA506" s="69">
        <v>0.42388262832901091</v>
      </c>
      <c r="AB506" s="69">
        <v>0.42388262832901091</v>
      </c>
      <c r="AC506" s="69">
        <v>0.42388262832901091</v>
      </c>
      <c r="AD506" s="69">
        <v>0.42388262832901091</v>
      </c>
      <c r="AE506" s="69">
        <v>0.42388262832901091</v>
      </c>
      <c r="AF506" s="69">
        <v>0.42388262832901091</v>
      </c>
      <c r="AG506" s="69">
        <v>0.42388262832901091</v>
      </c>
    </row>
    <row r="507" spans="1:33" ht="12.75" customHeight="1">
      <c r="A507" s="231" t="s">
        <v>2375</v>
      </c>
      <c r="B507" s="69" t="s">
        <v>635</v>
      </c>
      <c r="C507" s="69" t="s">
        <v>186</v>
      </c>
      <c r="D507" s="69" t="s">
        <v>259</v>
      </c>
      <c r="E507" s="69" t="s">
        <v>244</v>
      </c>
      <c r="F507" s="69" t="s">
        <v>159</v>
      </c>
      <c r="G507" s="69" t="s">
        <v>192</v>
      </c>
      <c r="H507" s="69" t="s">
        <v>2130</v>
      </c>
      <c r="I507" s="69">
        <v>2</v>
      </c>
      <c r="J507" s="238">
        <v>0.2668262983999703</v>
      </c>
      <c r="K507" s="238">
        <v>0</v>
      </c>
      <c r="L507" s="69">
        <v>184.20052173913044</v>
      </c>
      <c r="M507" s="69">
        <v>-4.2782608695652176</v>
      </c>
      <c r="N507" s="69">
        <v>0</v>
      </c>
      <c r="O507" s="69">
        <v>0</v>
      </c>
      <c r="P507" s="69">
        <v>0</v>
      </c>
      <c r="Q507" s="69">
        <v>0</v>
      </c>
      <c r="R507" s="69">
        <v>0</v>
      </c>
      <c r="S507" s="69">
        <v>0</v>
      </c>
      <c r="T507" s="69">
        <v>0</v>
      </c>
      <c r="U507" s="69">
        <v>0.42388262832901091</v>
      </c>
      <c r="V507" s="69">
        <v>0.42388262832901091</v>
      </c>
      <c r="W507" s="69">
        <v>0.42388262832901091</v>
      </c>
      <c r="X507" s="69">
        <v>0.42388262832901091</v>
      </c>
      <c r="Y507" s="69">
        <v>0.42388262832901091</v>
      </c>
      <c r="Z507" s="69">
        <v>0.42388262832901091</v>
      </c>
      <c r="AA507" s="69">
        <v>0.42388262832901091</v>
      </c>
      <c r="AB507" s="69">
        <v>0.42388262832901091</v>
      </c>
      <c r="AC507" s="69">
        <v>0.42388262832901091</v>
      </c>
      <c r="AD507" s="69">
        <v>0.42388262832901091</v>
      </c>
      <c r="AE507" s="69">
        <v>0.42388262832901091</v>
      </c>
      <c r="AF507" s="69">
        <v>0.42388262832901091</v>
      </c>
      <c r="AG507" s="69">
        <v>0.42388262832901091</v>
      </c>
    </row>
    <row r="508" spans="1:33" ht="12.75" customHeight="1">
      <c r="A508" s="231" t="s">
        <v>2375</v>
      </c>
      <c r="B508" s="69" t="s">
        <v>636</v>
      </c>
      <c r="C508" s="69" t="s">
        <v>186</v>
      </c>
      <c r="D508" s="69" t="s">
        <v>259</v>
      </c>
      <c r="E508" s="69" t="s">
        <v>244</v>
      </c>
      <c r="F508" s="69" t="s">
        <v>159</v>
      </c>
      <c r="G508" s="69" t="s">
        <v>192</v>
      </c>
      <c r="H508" s="69" t="s">
        <v>2130</v>
      </c>
      <c r="I508" s="69">
        <v>2</v>
      </c>
      <c r="J508" s="238">
        <v>0.2668262983999703</v>
      </c>
      <c r="K508" s="238">
        <v>0</v>
      </c>
      <c r="L508" s="69">
        <v>184.20052173913044</v>
      </c>
      <c r="M508" s="69">
        <v>-4.2782608695652176</v>
      </c>
      <c r="N508" s="69">
        <v>0</v>
      </c>
      <c r="O508" s="69">
        <v>0</v>
      </c>
      <c r="P508" s="69">
        <v>0</v>
      </c>
      <c r="Q508" s="69">
        <v>0</v>
      </c>
      <c r="R508" s="69">
        <v>0</v>
      </c>
      <c r="S508" s="69">
        <v>0</v>
      </c>
      <c r="T508" s="69">
        <v>0</v>
      </c>
      <c r="U508" s="69">
        <v>0</v>
      </c>
      <c r="V508" s="69">
        <v>0.42388262832901091</v>
      </c>
      <c r="W508" s="69">
        <v>0.42388262832901091</v>
      </c>
      <c r="X508" s="69">
        <v>0.42388262832901091</v>
      </c>
      <c r="Y508" s="69">
        <v>0.42388262832901091</v>
      </c>
      <c r="Z508" s="69">
        <v>0.42388262832901091</v>
      </c>
      <c r="AA508" s="69">
        <v>0.42388262832901091</v>
      </c>
      <c r="AB508" s="69">
        <v>0.42388262832901091</v>
      </c>
      <c r="AC508" s="69">
        <v>0.42388262832901091</v>
      </c>
      <c r="AD508" s="69">
        <v>0.42388262832901091</v>
      </c>
      <c r="AE508" s="69">
        <v>0.42388262832901091</v>
      </c>
      <c r="AF508" s="69">
        <v>0.42388262832901091</v>
      </c>
      <c r="AG508" s="69">
        <v>0.42388262832901091</v>
      </c>
    </row>
    <row r="509" spans="1:33" ht="12.75" customHeight="1">
      <c r="A509" s="231" t="s">
        <v>2375</v>
      </c>
      <c r="B509" s="69" t="s">
        <v>637</v>
      </c>
      <c r="C509" s="69" t="s">
        <v>186</v>
      </c>
      <c r="D509" s="69" t="s">
        <v>259</v>
      </c>
      <c r="E509" s="69" t="s">
        <v>244</v>
      </c>
      <c r="F509" s="69" t="s">
        <v>159</v>
      </c>
      <c r="G509" s="69" t="s">
        <v>192</v>
      </c>
      <c r="H509" s="69" t="s">
        <v>2130</v>
      </c>
      <c r="I509" s="69">
        <v>2</v>
      </c>
      <c r="J509" s="238">
        <v>0.2668262983999703</v>
      </c>
      <c r="K509" s="238">
        <v>0</v>
      </c>
      <c r="L509" s="69">
        <v>184.20052173913044</v>
      </c>
      <c r="M509" s="69">
        <v>-4.2782608695652176</v>
      </c>
      <c r="N509" s="69">
        <v>0</v>
      </c>
      <c r="O509" s="69">
        <v>0</v>
      </c>
      <c r="P509" s="69">
        <v>0</v>
      </c>
      <c r="Q509" s="69">
        <v>0</v>
      </c>
      <c r="R509" s="69">
        <v>0</v>
      </c>
      <c r="S509" s="69">
        <v>0</v>
      </c>
      <c r="T509" s="69">
        <v>0</v>
      </c>
      <c r="U509" s="69">
        <v>0</v>
      </c>
      <c r="V509" s="69">
        <v>0</v>
      </c>
      <c r="W509" s="69">
        <v>0.42388262832901091</v>
      </c>
      <c r="X509" s="69">
        <v>0.42388262832901091</v>
      </c>
      <c r="Y509" s="69">
        <v>0.42388262832901091</v>
      </c>
      <c r="Z509" s="69">
        <v>0.42388262832901091</v>
      </c>
      <c r="AA509" s="69">
        <v>0.42388262832901091</v>
      </c>
      <c r="AB509" s="69">
        <v>0.42388262832901091</v>
      </c>
      <c r="AC509" s="69">
        <v>0.42388262832901091</v>
      </c>
      <c r="AD509" s="69">
        <v>0.42388262832901091</v>
      </c>
      <c r="AE509" s="69">
        <v>0.42388262832901091</v>
      </c>
      <c r="AF509" s="69">
        <v>0.42388262832901091</v>
      </c>
      <c r="AG509" s="69">
        <v>0.42388262832901091</v>
      </c>
    </row>
    <row r="510" spans="1:33" ht="12.75" customHeight="1">
      <c r="A510" s="231" t="s">
        <v>2375</v>
      </c>
      <c r="B510" s="69" t="s">
        <v>638</v>
      </c>
      <c r="C510" s="69" t="s">
        <v>186</v>
      </c>
      <c r="D510" s="69" t="s">
        <v>259</v>
      </c>
      <c r="E510" s="69" t="s">
        <v>242</v>
      </c>
      <c r="F510" s="69" t="s">
        <v>159</v>
      </c>
      <c r="G510" s="69" t="s">
        <v>192</v>
      </c>
      <c r="H510" s="69" t="s">
        <v>2130</v>
      </c>
      <c r="I510" s="69">
        <v>2</v>
      </c>
      <c r="J510" s="238">
        <v>0.2433919887144077</v>
      </c>
      <c r="K510" s="238">
        <v>0</v>
      </c>
      <c r="L510" s="69">
        <v>201.93574833174449</v>
      </c>
      <c r="M510" s="69">
        <v>-4.6901811248808389</v>
      </c>
      <c r="N510" s="69">
        <v>0</v>
      </c>
      <c r="O510" s="69">
        <v>0</v>
      </c>
      <c r="P510" s="69">
        <v>0</v>
      </c>
      <c r="Q510" s="69">
        <v>0.74108812853228301</v>
      </c>
      <c r="R510" s="69">
        <v>0.74108812853228301</v>
      </c>
      <c r="S510" s="69">
        <v>0.74108812853228301</v>
      </c>
      <c r="T510" s="69">
        <v>0.74108812853228301</v>
      </c>
      <c r="U510" s="69">
        <v>0.74108812853228301</v>
      </c>
      <c r="V510" s="69">
        <v>0.74108812853228301</v>
      </c>
      <c r="W510" s="69">
        <v>0.74108812853228301</v>
      </c>
      <c r="X510" s="69">
        <v>0.74108812853228301</v>
      </c>
      <c r="Y510" s="69">
        <v>0.74108812853228301</v>
      </c>
      <c r="Z510" s="69">
        <v>0.74108812853228301</v>
      </c>
      <c r="AA510" s="69">
        <v>0.74108812853228301</v>
      </c>
      <c r="AB510" s="69">
        <v>0.74108812853228301</v>
      </c>
      <c r="AC510" s="69">
        <v>0.74108812853228301</v>
      </c>
      <c r="AD510" s="69">
        <v>0.74108812853228301</v>
      </c>
      <c r="AE510" s="69">
        <v>0.74108812853228301</v>
      </c>
      <c r="AF510" s="69">
        <v>0.74108812853228301</v>
      </c>
      <c r="AG510" s="69">
        <v>0.74108812853228301</v>
      </c>
    </row>
    <row r="511" spans="1:33" ht="12.75" customHeight="1">
      <c r="A511" s="231" t="s">
        <v>2375</v>
      </c>
      <c r="B511" s="69" t="s">
        <v>639</v>
      </c>
      <c r="C511" s="69" t="s">
        <v>186</v>
      </c>
      <c r="D511" s="69" t="s">
        <v>259</v>
      </c>
      <c r="E511" s="69" t="s">
        <v>242</v>
      </c>
      <c r="F511" s="69" t="s">
        <v>159</v>
      </c>
      <c r="G511" s="69" t="s">
        <v>192</v>
      </c>
      <c r="H511" s="69" t="s">
        <v>2130</v>
      </c>
      <c r="I511" s="69">
        <v>2</v>
      </c>
      <c r="J511" s="238">
        <v>0.2433919887144077</v>
      </c>
      <c r="K511" s="238">
        <v>0</v>
      </c>
      <c r="L511" s="69">
        <v>201.93574833174449</v>
      </c>
      <c r="M511" s="69">
        <v>-4.6901811248808389</v>
      </c>
      <c r="N511" s="69">
        <v>0</v>
      </c>
      <c r="O511" s="69">
        <v>0</v>
      </c>
      <c r="P511" s="69">
        <v>0</v>
      </c>
      <c r="Q511" s="69">
        <v>0</v>
      </c>
      <c r="R511" s="69">
        <v>0.74108812853228301</v>
      </c>
      <c r="S511" s="69">
        <v>0.74108812853228301</v>
      </c>
      <c r="T511" s="69">
        <v>0.74108812853228301</v>
      </c>
      <c r="U511" s="69">
        <v>0.74108812853228301</v>
      </c>
      <c r="V511" s="69">
        <v>0.74108812853228301</v>
      </c>
      <c r="W511" s="69">
        <v>0.74108812853228301</v>
      </c>
      <c r="X511" s="69">
        <v>0.74108812853228301</v>
      </c>
      <c r="Y511" s="69">
        <v>0.74108812853228301</v>
      </c>
      <c r="Z511" s="69">
        <v>0.74108812853228301</v>
      </c>
      <c r="AA511" s="69">
        <v>0.74108812853228301</v>
      </c>
      <c r="AB511" s="69">
        <v>0.74108812853228301</v>
      </c>
      <c r="AC511" s="69">
        <v>0.74108812853228301</v>
      </c>
      <c r="AD511" s="69">
        <v>0.74108812853228301</v>
      </c>
      <c r="AE511" s="69">
        <v>0.74108812853228301</v>
      </c>
      <c r="AF511" s="69">
        <v>0.74108812853228301</v>
      </c>
      <c r="AG511" s="69">
        <v>0.74108812853228301</v>
      </c>
    </row>
    <row r="512" spans="1:33" ht="12.75" customHeight="1">
      <c r="A512" s="231" t="s">
        <v>2375</v>
      </c>
      <c r="B512" s="69" t="s">
        <v>640</v>
      </c>
      <c r="C512" s="69" t="s">
        <v>186</v>
      </c>
      <c r="D512" s="69" t="s">
        <v>259</v>
      </c>
      <c r="E512" s="69" t="s">
        <v>242</v>
      </c>
      <c r="F512" s="69" t="s">
        <v>159</v>
      </c>
      <c r="G512" s="69" t="s">
        <v>192</v>
      </c>
      <c r="H512" s="69" t="s">
        <v>2130</v>
      </c>
      <c r="I512" s="69">
        <v>2</v>
      </c>
      <c r="J512" s="238">
        <v>0.2433919887144077</v>
      </c>
      <c r="K512" s="238">
        <v>0</v>
      </c>
      <c r="L512" s="69">
        <v>201.93574833174449</v>
      </c>
      <c r="M512" s="69">
        <v>-4.6901811248808389</v>
      </c>
      <c r="N512" s="69">
        <v>0</v>
      </c>
      <c r="O512" s="69">
        <v>0</v>
      </c>
      <c r="P512" s="69">
        <v>0</v>
      </c>
      <c r="Q512" s="69">
        <v>0</v>
      </c>
      <c r="R512" s="69">
        <v>0</v>
      </c>
      <c r="S512" s="69">
        <v>0.74108812853228301</v>
      </c>
      <c r="T512" s="69">
        <v>0.74108812853228301</v>
      </c>
      <c r="U512" s="69">
        <v>0.74108812853228301</v>
      </c>
      <c r="V512" s="69">
        <v>0.74108812853228301</v>
      </c>
      <c r="W512" s="69">
        <v>0.74108812853228301</v>
      </c>
      <c r="X512" s="69">
        <v>0.74108812853228301</v>
      </c>
      <c r="Y512" s="69">
        <v>0.74108812853228301</v>
      </c>
      <c r="Z512" s="69">
        <v>0.74108812853228301</v>
      </c>
      <c r="AA512" s="69">
        <v>0.74108812853228301</v>
      </c>
      <c r="AB512" s="69">
        <v>0.74108812853228301</v>
      </c>
      <c r="AC512" s="69">
        <v>0.74108812853228301</v>
      </c>
      <c r="AD512" s="69">
        <v>0.74108812853228301</v>
      </c>
      <c r="AE512" s="69">
        <v>0.74108812853228301</v>
      </c>
      <c r="AF512" s="69">
        <v>0.74108812853228301</v>
      </c>
      <c r="AG512" s="69">
        <v>0.74108812853228301</v>
      </c>
    </row>
    <row r="513" spans="1:33" ht="12.75" customHeight="1">
      <c r="A513" s="231" t="s">
        <v>2375</v>
      </c>
      <c r="B513" s="69" t="s">
        <v>641</v>
      </c>
      <c r="C513" s="69" t="s">
        <v>186</v>
      </c>
      <c r="D513" s="69" t="s">
        <v>259</v>
      </c>
      <c r="E513" s="69" t="s">
        <v>242</v>
      </c>
      <c r="F513" s="69" t="s">
        <v>159</v>
      </c>
      <c r="G513" s="69" t="s">
        <v>192</v>
      </c>
      <c r="H513" s="69" t="s">
        <v>2130</v>
      </c>
      <c r="I513" s="69">
        <v>2</v>
      </c>
      <c r="J513" s="238">
        <v>0.2433919887144077</v>
      </c>
      <c r="K513" s="238">
        <v>0</v>
      </c>
      <c r="L513" s="69">
        <v>201.93574833174449</v>
      </c>
      <c r="M513" s="69">
        <v>-4.6901811248808389</v>
      </c>
      <c r="N513" s="69">
        <v>0</v>
      </c>
      <c r="O513" s="69">
        <v>0</v>
      </c>
      <c r="P513" s="69">
        <v>0</v>
      </c>
      <c r="Q513" s="69">
        <v>0</v>
      </c>
      <c r="R513" s="69">
        <v>0</v>
      </c>
      <c r="S513" s="69">
        <v>0</v>
      </c>
      <c r="T513" s="69">
        <v>0.74108812853228301</v>
      </c>
      <c r="U513" s="69">
        <v>0.74108812853228301</v>
      </c>
      <c r="V513" s="69">
        <v>0.74108812853228301</v>
      </c>
      <c r="W513" s="69">
        <v>0.74108812853228301</v>
      </c>
      <c r="X513" s="69">
        <v>0.74108812853228301</v>
      </c>
      <c r="Y513" s="69">
        <v>0.74108812853228301</v>
      </c>
      <c r="Z513" s="69">
        <v>0.74108812853228301</v>
      </c>
      <c r="AA513" s="69">
        <v>0.74108812853228301</v>
      </c>
      <c r="AB513" s="69">
        <v>0.74108812853228301</v>
      </c>
      <c r="AC513" s="69">
        <v>0.74108812853228301</v>
      </c>
      <c r="AD513" s="69">
        <v>0.74108812853228301</v>
      </c>
      <c r="AE513" s="69">
        <v>0.74108812853228301</v>
      </c>
      <c r="AF513" s="69">
        <v>0.74108812853228301</v>
      </c>
      <c r="AG513" s="69">
        <v>0.74108812853228301</v>
      </c>
    </row>
    <row r="514" spans="1:33" ht="12.75" customHeight="1">
      <c r="A514" s="231" t="s">
        <v>2375</v>
      </c>
      <c r="B514" s="69" t="s">
        <v>642</v>
      </c>
      <c r="C514" s="69" t="s">
        <v>186</v>
      </c>
      <c r="D514" s="69" t="s">
        <v>259</v>
      </c>
      <c r="E514" s="69" t="s">
        <v>242</v>
      </c>
      <c r="F514" s="69" t="s">
        <v>159</v>
      </c>
      <c r="G514" s="69" t="s">
        <v>192</v>
      </c>
      <c r="H514" s="69" t="s">
        <v>2130</v>
      </c>
      <c r="I514" s="69">
        <v>2</v>
      </c>
      <c r="J514" s="238">
        <v>0.2433919887144077</v>
      </c>
      <c r="K514" s="238">
        <v>0</v>
      </c>
      <c r="L514" s="69">
        <v>201.93574833174449</v>
      </c>
      <c r="M514" s="69">
        <v>-4.6901811248808389</v>
      </c>
      <c r="N514" s="69">
        <v>0</v>
      </c>
      <c r="O514" s="69">
        <v>0</v>
      </c>
      <c r="P514" s="69">
        <v>0</v>
      </c>
      <c r="Q514" s="69">
        <v>0</v>
      </c>
      <c r="R514" s="69">
        <v>0</v>
      </c>
      <c r="S514" s="69">
        <v>0</v>
      </c>
      <c r="T514" s="69">
        <v>0</v>
      </c>
      <c r="U514" s="69">
        <v>0.74108812853228301</v>
      </c>
      <c r="V514" s="69">
        <v>0.74108812853228301</v>
      </c>
      <c r="W514" s="69">
        <v>0.74108812853228301</v>
      </c>
      <c r="X514" s="69">
        <v>0.74108812853228301</v>
      </c>
      <c r="Y514" s="69">
        <v>0.74108812853228301</v>
      </c>
      <c r="Z514" s="69">
        <v>0.74108812853228301</v>
      </c>
      <c r="AA514" s="69">
        <v>0.74108812853228301</v>
      </c>
      <c r="AB514" s="69">
        <v>0.74108812853228301</v>
      </c>
      <c r="AC514" s="69">
        <v>0.74108812853228301</v>
      </c>
      <c r="AD514" s="69">
        <v>0.74108812853228301</v>
      </c>
      <c r="AE514" s="69">
        <v>0.74108812853228301</v>
      </c>
      <c r="AF514" s="69">
        <v>0.74108812853228301</v>
      </c>
      <c r="AG514" s="69">
        <v>0.74108812853228301</v>
      </c>
    </row>
    <row r="515" spans="1:33" ht="12.75" customHeight="1">
      <c r="A515" s="231" t="s">
        <v>2375</v>
      </c>
      <c r="B515" s="69" t="s">
        <v>643</v>
      </c>
      <c r="C515" s="69" t="s">
        <v>186</v>
      </c>
      <c r="D515" s="69" t="s">
        <v>259</v>
      </c>
      <c r="E515" s="69" t="s">
        <v>242</v>
      </c>
      <c r="F515" s="69" t="s">
        <v>159</v>
      </c>
      <c r="G515" s="69" t="s">
        <v>192</v>
      </c>
      <c r="H515" s="69" t="s">
        <v>2130</v>
      </c>
      <c r="I515" s="69">
        <v>2</v>
      </c>
      <c r="J515" s="238">
        <v>0.2433919887144077</v>
      </c>
      <c r="K515" s="238">
        <v>0</v>
      </c>
      <c r="L515" s="69">
        <v>201.93574833174449</v>
      </c>
      <c r="M515" s="69">
        <v>-4.6901811248808389</v>
      </c>
      <c r="N515" s="69">
        <v>0</v>
      </c>
      <c r="O515" s="69">
        <v>0</v>
      </c>
      <c r="P515" s="69">
        <v>0</v>
      </c>
      <c r="Q515" s="69">
        <v>0</v>
      </c>
      <c r="R515" s="69">
        <v>0</v>
      </c>
      <c r="S515" s="69">
        <v>0</v>
      </c>
      <c r="T515" s="69">
        <v>0</v>
      </c>
      <c r="U515" s="69">
        <v>0</v>
      </c>
      <c r="V515" s="69">
        <v>0.74108812853228301</v>
      </c>
      <c r="W515" s="69">
        <v>0.74108812853228301</v>
      </c>
      <c r="X515" s="69">
        <v>0.74108812853228301</v>
      </c>
      <c r="Y515" s="69">
        <v>0.74108812853228301</v>
      </c>
      <c r="Z515" s="69">
        <v>0.74108812853228301</v>
      </c>
      <c r="AA515" s="69">
        <v>0.74108812853228301</v>
      </c>
      <c r="AB515" s="69">
        <v>0.74108812853228301</v>
      </c>
      <c r="AC515" s="69">
        <v>0.74108812853228301</v>
      </c>
      <c r="AD515" s="69">
        <v>0.74108812853228301</v>
      </c>
      <c r="AE515" s="69">
        <v>0.74108812853228301</v>
      </c>
      <c r="AF515" s="69">
        <v>0.74108812853228301</v>
      </c>
      <c r="AG515" s="69">
        <v>0.74108812853228301</v>
      </c>
    </row>
    <row r="516" spans="1:33" ht="12.75" customHeight="1">
      <c r="A516" s="231" t="s">
        <v>2375</v>
      </c>
      <c r="B516" s="69" t="s">
        <v>644</v>
      </c>
      <c r="C516" s="69" t="s">
        <v>186</v>
      </c>
      <c r="D516" s="69" t="s">
        <v>259</v>
      </c>
      <c r="E516" s="69" t="s">
        <v>242</v>
      </c>
      <c r="F516" s="69" t="s">
        <v>159</v>
      </c>
      <c r="G516" s="69" t="s">
        <v>192</v>
      </c>
      <c r="H516" s="69" t="s">
        <v>2130</v>
      </c>
      <c r="I516" s="69">
        <v>2</v>
      </c>
      <c r="J516" s="238">
        <v>0.2433919887144077</v>
      </c>
      <c r="K516" s="238">
        <v>0</v>
      </c>
      <c r="L516" s="69">
        <v>201.93574833174449</v>
      </c>
      <c r="M516" s="69">
        <v>-4.6901811248808389</v>
      </c>
      <c r="N516" s="69">
        <v>0</v>
      </c>
      <c r="O516" s="69">
        <v>0</v>
      </c>
      <c r="P516" s="69">
        <v>0</v>
      </c>
      <c r="Q516" s="69">
        <v>0</v>
      </c>
      <c r="R516" s="69">
        <v>0</v>
      </c>
      <c r="S516" s="69">
        <v>0</v>
      </c>
      <c r="T516" s="69">
        <v>0</v>
      </c>
      <c r="U516" s="69">
        <v>0</v>
      </c>
      <c r="V516" s="69">
        <v>0</v>
      </c>
      <c r="W516" s="69">
        <v>0.74108812853228301</v>
      </c>
      <c r="X516" s="69">
        <v>0.74108812853228301</v>
      </c>
      <c r="Y516" s="69">
        <v>0.74108812853228301</v>
      </c>
      <c r="Z516" s="69">
        <v>0.74108812853228301</v>
      </c>
      <c r="AA516" s="69">
        <v>0.74108812853228301</v>
      </c>
      <c r="AB516" s="69">
        <v>0.74108812853228301</v>
      </c>
      <c r="AC516" s="69">
        <v>0.74108812853228301</v>
      </c>
      <c r="AD516" s="69">
        <v>0.74108812853228301</v>
      </c>
      <c r="AE516" s="69">
        <v>0.74108812853228301</v>
      </c>
      <c r="AF516" s="69">
        <v>0.74108812853228301</v>
      </c>
      <c r="AG516" s="69">
        <v>0.74108812853228301</v>
      </c>
    </row>
    <row r="517" spans="1:33" ht="12.75" customHeight="1">
      <c r="A517" s="231" t="s">
        <v>2375</v>
      </c>
      <c r="B517" s="69" t="s">
        <v>645</v>
      </c>
      <c r="C517" s="69" t="s">
        <v>186</v>
      </c>
      <c r="D517" s="69" t="s">
        <v>218</v>
      </c>
      <c r="E517" s="69" t="s">
        <v>244</v>
      </c>
      <c r="F517" s="69" t="s">
        <v>159</v>
      </c>
      <c r="G517" s="69" t="s">
        <v>192</v>
      </c>
      <c r="H517" s="69" t="s">
        <v>2130</v>
      </c>
      <c r="I517" s="69">
        <v>2</v>
      </c>
      <c r="J517" s="238">
        <v>0.2668262983999703</v>
      </c>
      <c r="K517" s="238">
        <v>0</v>
      </c>
      <c r="L517" s="69">
        <v>176.76062608695656</v>
      </c>
      <c r="M517" s="69">
        <v>-4.2782608695652176</v>
      </c>
      <c r="N517" s="69">
        <v>0</v>
      </c>
      <c r="O517" s="69">
        <v>0</v>
      </c>
      <c r="P517" s="69">
        <v>0</v>
      </c>
      <c r="Q517" s="69">
        <v>9.9393453580123605</v>
      </c>
      <c r="R517" s="69">
        <v>9.9393453580123605</v>
      </c>
      <c r="S517" s="69">
        <v>9.9393453580123605</v>
      </c>
      <c r="T517" s="69">
        <v>9.9393453580123605</v>
      </c>
      <c r="U517" s="69">
        <v>9.9393453580123605</v>
      </c>
      <c r="V517" s="69">
        <v>9.9393453580123605</v>
      </c>
      <c r="W517" s="69">
        <v>9.9393453580123605</v>
      </c>
      <c r="X517" s="69">
        <v>9.9393453580123605</v>
      </c>
      <c r="Y517" s="69">
        <v>9.9393453580123605</v>
      </c>
      <c r="Z517" s="69">
        <v>9.9393453580123605</v>
      </c>
      <c r="AA517" s="69">
        <v>9.9393453580123605</v>
      </c>
      <c r="AB517" s="69">
        <v>9.9393453580123605</v>
      </c>
      <c r="AC517" s="69">
        <v>9.9393453580123605</v>
      </c>
      <c r="AD517" s="69">
        <v>9.9393453580123605</v>
      </c>
      <c r="AE517" s="69">
        <v>9.9393453580123605</v>
      </c>
      <c r="AF517" s="69">
        <v>9.9393453580123605</v>
      </c>
      <c r="AG517" s="69">
        <v>9.9393453580123605</v>
      </c>
    </row>
    <row r="518" spans="1:33" ht="12.75" customHeight="1">
      <c r="A518" s="231" t="s">
        <v>2375</v>
      </c>
      <c r="B518" s="69" t="s">
        <v>646</v>
      </c>
      <c r="C518" s="69" t="s">
        <v>186</v>
      </c>
      <c r="D518" s="69" t="s">
        <v>218</v>
      </c>
      <c r="E518" s="69" t="s">
        <v>244</v>
      </c>
      <c r="F518" s="69" t="s">
        <v>159</v>
      </c>
      <c r="G518" s="69" t="s">
        <v>192</v>
      </c>
      <c r="H518" s="69" t="s">
        <v>2130</v>
      </c>
      <c r="I518" s="69">
        <v>2</v>
      </c>
      <c r="J518" s="238">
        <v>0.2668262983999703</v>
      </c>
      <c r="K518" s="238">
        <v>0</v>
      </c>
      <c r="L518" s="69">
        <v>176.76062608695656</v>
      </c>
      <c r="M518" s="69">
        <v>-4.2782608695652176</v>
      </c>
      <c r="N518" s="69">
        <v>0</v>
      </c>
      <c r="O518" s="69">
        <v>0</v>
      </c>
      <c r="P518" s="69">
        <v>0</v>
      </c>
      <c r="Q518" s="69">
        <v>0</v>
      </c>
      <c r="R518" s="69">
        <v>9.9393453580123605</v>
      </c>
      <c r="S518" s="69">
        <v>9.9393453580123605</v>
      </c>
      <c r="T518" s="69">
        <v>9.9393453580123605</v>
      </c>
      <c r="U518" s="69">
        <v>9.9393453580123605</v>
      </c>
      <c r="V518" s="69">
        <v>9.9393453580123605</v>
      </c>
      <c r="W518" s="69">
        <v>9.9393453580123605</v>
      </c>
      <c r="X518" s="69">
        <v>9.9393453580123605</v>
      </c>
      <c r="Y518" s="69">
        <v>9.9393453580123605</v>
      </c>
      <c r="Z518" s="69">
        <v>9.9393453580123605</v>
      </c>
      <c r="AA518" s="69">
        <v>9.9393453580123605</v>
      </c>
      <c r="AB518" s="69">
        <v>9.9393453580123605</v>
      </c>
      <c r="AC518" s="69">
        <v>9.9393453580123605</v>
      </c>
      <c r="AD518" s="69">
        <v>9.9393453580123605</v>
      </c>
      <c r="AE518" s="69">
        <v>9.9393453580123605</v>
      </c>
      <c r="AF518" s="69">
        <v>9.9393453580123605</v>
      </c>
      <c r="AG518" s="69">
        <v>9.9393453580123605</v>
      </c>
    </row>
    <row r="519" spans="1:33" ht="12.75" customHeight="1">
      <c r="A519" s="231" t="s">
        <v>2375</v>
      </c>
      <c r="B519" s="69" t="s">
        <v>647</v>
      </c>
      <c r="C519" s="69" t="s">
        <v>186</v>
      </c>
      <c r="D519" s="69" t="s">
        <v>218</v>
      </c>
      <c r="E519" s="69" t="s">
        <v>244</v>
      </c>
      <c r="F519" s="69" t="s">
        <v>159</v>
      </c>
      <c r="G519" s="69" t="s">
        <v>192</v>
      </c>
      <c r="H519" s="69" t="s">
        <v>2130</v>
      </c>
      <c r="I519" s="69">
        <v>2</v>
      </c>
      <c r="J519" s="238">
        <v>0.2668262983999703</v>
      </c>
      <c r="K519" s="238">
        <v>0</v>
      </c>
      <c r="L519" s="69">
        <v>176.76062608695656</v>
      </c>
      <c r="M519" s="69">
        <v>-4.2782608695652176</v>
      </c>
      <c r="N519" s="69">
        <v>0</v>
      </c>
      <c r="O519" s="69">
        <v>0</v>
      </c>
      <c r="P519" s="69">
        <v>0</v>
      </c>
      <c r="Q519" s="69">
        <v>0</v>
      </c>
      <c r="R519" s="69">
        <v>0</v>
      </c>
      <c r="S519" s="69">
        <v>17.066583248877578</v>
      </c>
      <c r="T519" s="69">
        <v>17.066583248877578</v>
      </c>
      <c r="U519" s="69">
        <v>17.066583248877578</v>
      </c>
      <c r="V519" s="69">
        <v>17.066583248877578</v>
      </c>
      <c r="W519" s="69">
        <v>17.066583248877578</v>
      </c>
      <c r="X519" s="69">
        <v>17.066583248877578</v>
      </c>
      <c r="Y519" s="69">
        <v>17.066583248877578</v>
      </c>
      <c r="Z519" s="69">
        <v>17.066583248877578</v>
      </c>
      <c r="AA519" s="69">
        <v>17.066583248877578</v>
      </c>
      <c r="AB519" s="69">
        <v>17.066583248877578</v>
      </c>
      <c r="AC519" s="69">
        <v>17.066583248877578</v>
      </c>
      <c r="AD519" s="69">
        <v>17.066583248877578</v>
      </c>
      <c r="AE519" s="69">
        <v>17.066583248877578</v>
      </c>
      <c r="AF519" s="69">
        <v>17.066583248877578</v>
      </c>
      <c r="AG519" s="69">
        <v>17.066583248877578</v>
      </c>
    </row>
    <row r="520" spans="1:33" ht="12.75" customHeight="1">
      <c r="A520" s="231" t="s">
        <v>2375</v>
      </c>
      <c r="B520" s="69" t="s">
        <v>648</v>
      </c>
      <c r="C520" s="69" t="s">
        <v>186</v>
      </c>
      <c r="D520" s="69" t="s">
        <v>218</v>
      </c>
      <c r="E520" s="69" t="s">
        <v>244</v>
      </c>
      <c r="F520" s="69" t="s">
        <v>159</v>
      </c>
      <c r="G520" s="69" t="s">
        <v>192</v>
      </c>
      <c r="H520" s="69" t="s">
        <v>2130</v>
      </c>
      <c r="I520" s="69">
        <v>2</v>
      </c>
      <c r="J520" s="238">
        <v>0.2668262983999703</v>
      </c>
      <c r="K520" s="238">
        <v>0</v>
      </c>
      <c r="L520" s="69">
        <v>176.76062608695656</v>
      </c>
      <c r="M520" s="69">
        <v>-4.2782608695652176</v>
      </c>
      <c r="N520" s="69">
        <v>0</v>
      </c>
      <c r="O520" s="69">
        <v>0</v>
      </c>
      <c r="P520" s="69">
        <v>0</v>
      </c>
      <c r="Q520" s="69">
        <v>0</v>
      </c>
      <c r="R520" s="69">
        <v>0</v>
      </c>
      <c r="S520" s="69">
        <v>0</v>
      </c>
      <c r="T520" s="69">
        <v>17.066583248877578</v>
      </c>
      <c r="U520" s="69">
        <v>17.066583248877578</v>
      </c>
      <c r="V520" s="69">
        <v>17.066583248877578</v>
      </c>
      <c r="W520" s="69">
        <v>17.066583248877578</v>
      </c>
      <c r="X520" s="69">
        <v>17.066583248877578</v>
      </c>
      <c r="Y520" s="69">
        <v>17.066583248877578</v>
      </c>
      <c r="Z520" s="69">
        <v>17.066583248877578</v>
      </c>
      <c r="AA520" s="69">
        <v>17.066583248877578</v>
      </c>
      <c r="AB520" s="69">
        <v>17.066583248877578</v>
      </c>
      <c r="AC520" s="69">
        <v>17.066583248877578</v>
      </c>
      <c r="AD520" s="69">
        <v>17.066583248877578</v>
      </c>
      <c r="AE520" s="69">
        <v>17.066583248877578</v>
      </c>
      <c r="AF520" s="69">
        <v>17.066583248877578</v>
      </c>
      <c r="AG520" s="69">
        <v>17.066583248877578</v>
      </c>
    </row>
    <row r="521" spans="1:33" ht="12.75" customHeight="1">
      <c r="A521" s="231" t="s">
        <v>2375</v>
      </c>
      <c r="B521" s="69" t="s">
        <v>649</v>
      </c>
      <c r="C521" s="69" t="s">
        <v>186</v>
      </c>
      <c r="D521" s="69" t="s">
        <v>218</v>
      </c>
      <c r="E521" s="69" t="s">
        <v>244</v>
      </c>
      <c r="F521" s="69" t="s">
        <v>159</v>
      </c>
      <c r="G521" s="69" t="s">
        <v>192</v>
      </c>
      <c r="H521" s="69" t="s">
        <v>2130</v>
      </c>
      <c r="I521" s="69">
        <v>2</v>
      </c>
      <c r="J521" s="238">
        <v>0.2668262983999703</v>
      </c>
      <c r="K521" s="238">
        <v>0</v>
      </c>
      <c r="L521" s="69">
        <v>176.76062608695656</v>
      </c>
      <c r="M521" s="69">
        <v>-4.2782608695652176</v>
      </c>
      <c r="N521" s="69">
        <v>0</v>
      </c>
      <c r="O521" s="69">
        <v>0</v>
      </c>
      <c r="P521" s="69">
        <v>0</v>
      </c>
      <c r="Q521" s="69">
        <v>0</v>
      </c>
      <c r="R521" s="69">
        <v>0</v>
      </c>
      <c r="S521" s="69">
        <v>0</v>
      </c>
      <c r="T521" s="69">
        <v>0</v>
      </c>
      <c r="U521" s="69">
        <v>17.066583248877578</v>
      </c>
      <c r="V521" s="69">
        <v>17.066583248877578</v>
      </c>
      <c r="W521" s="69">
        <v>17.066583248877578</v>
      </c>
      <c r="X521" s="69">
        <v>17.066583248877578</v>
      </c>
      <c r="Y521" s="69">
        <v>17.066583248877578</v>
      </c>
      <c r="Z521" s="69">
        <v>17.066583248877578</v>
      </c>
      <c r="AA521" s="69">
        <v>17.066583248877578</v>
      </c>
      <c r="AB521" s="69">
        <v>17.066583248877578</v>
      </c>
      <c r="AC521" s="69">
        <v>17.066583248877578</v>
      </c>
      <c r="AD521" s="69">
        <v>17.066583248877578</v>
      </c>
      <c r="AE521" s="69">
        <v>17.066583248877578</v>
      </c>
      <c r="AF521" s="69">
        <v>17.066583248877578</v>
      </c>
      <c r="AG521" s="69">
        <v>17.066583248877578</v>
      </c>
    </row>
    <row r="522" spans="1:33" ht="12.75" customHeight="1">
      <c r="A522" s="231" t="s">
        <v>2375</v>
      </c>
      <c r="B522" s="69" t="s">
        <v>650</v>
      </c>
      <c r="C522" s="69" t="s">
        <v>186</v>
      </c>
      <c r="D522" s="69" t="s">
        <v>218</v>
      </c>
      <c r="E522" s="69" t="s">
        <v>244</v>
      </c>
      <c r="F522" s="69" t="s">
        <v>159</v>
      </c>
      <c r="G522" s="69" t="s">
        <v>192</v>
      </c>
      <c r="H522" s="69" t="s">
        <v>2130</v>
      </c>
      <c r="I522" s="69">
        <v>2</v>
      </c>
      <c r="J522" s="238">
        <v>0.2668262983999703</v>
      </c>
      <c r="K522" s="238">
        <v>0</v>
      </c>
      <c r="L522" s="69">
        <v>176.76062608695656</v>
      </c>
      <c r="M522" s="69">
        <v>-4.2782608695652176</v>
      </c>
      <c r="N522" s="69">
        <v>0</v>
      </c>
      <c r="O522" s="69">
        <v>0</v>
      </c>
      <c r="P522" s="69">
        <v>0</v>
      </c>
      <c r="Q522" s="69">
        <v>0</v>
      </c>
      <c r="R522" s="69">
        <v>0</v>
      </c>
      <c r="S522" s="69">
        <v>0</v>
      </c>
      <c r="T522" s="69">
        <v>0</v>
      </c>
      <c r="U522" s="69">
        <v>0</v>
      </c>
      <c r="V522" s="69">
        <v>17.066583248877578</v>
      </c>
      <c r="W522" s="69">
        <v>17.066583248877578</v>
      </c>
      <c r="X522" s="69">
        <v>17.066583248877578</v>
      </c>
      <c r="Y522" s="69">
        <v>17.066583248877578</v>
      </c>
      <c r="Z522" s="69">
        <v>17.066583248877578</v>
      </c>
      <c r="AA522" s="69">
        <v>17.066583248877578</v>
      </c>
      <c r="AB522" s="69">
        <v>17.066583248877578</v>
      </c>
      <c r="AC522" s="69">
        <v>17.066583248877578</v>
      </c>
      <c r="AD522" s="69">
        <v>17.066583248877578</v>
      </c>
      <c r="AE522" s="69">
        <v>17.066583248877578</v>
      </c>
      <c r="AF522" s="69">
        <v>17.066583248877578</v>
      </c>
      <c r="AG522" s="69">
        <v>17.066583248877578</v>
      </c>
    </row>
    <row r="523" spans="1:33" ht="12.75" customHeight="1">
      <c r="A523" s="231" t="s">
        <v>2375</v>
      </c>
      <c r="B523" s="69" t="s">
        <v>651</v>
      </c>
      <c r="C523" s="69" t="s">
        <v>186</v>
      </c>
      <c r="D523" s="69" t="s">
        <v>218</v>
      </c>
      <c r="E523" s="69" t="s">
        <v>244</v>
      </c>
      <c r="F523" s="69" t="s">
        <v>159</v>
      </c>
      <c r="G523" s="69" t="s">
        <v>192</v>
      </c>
      <c r="H523" s="69" t="s">
        <v>2130</v>
      </c>
      <c r="I523" s="69">
        <v>2</v>
      </c>
      <c r="J523" s="238">
        <v>0.2668262983999703</v>
      </c>
      <c r="K523" s="238">
        <v>0</v>
      </c>
      <c r="L523" s="69">
        <v>176.76062608695656</v>
      </c>
      <c r="M523" s="69">
        <v>-4.2782608695652176</v>
      </c>
      <c r="N523" s="69">
        <v>0</v>
      </c>
      <c r="O523" s="69">
        <v>0</v>
      </c>
      <c r="P523" s="69">
        <v>0</v>
      </c>
      <c r="Q523" s="69">
        <v>0</v>
      </c>
      <c r="R523" s="69">
        <v>0</v>
      </c>
      <c r="S523" s="69">
        <v>0</v>
      </c>
      <c r="T523" s="69">
        <v>0</v>
      </c>
      <c r="U523" s="69">
        <v>0</v>
      </c>
      <c r="V523" s="69">
        <v>0</v>
      </c>
      <c r="W523" s="69">
        <v>17.066583248877578</v>
      </c>
      <c r="X523" s="69">
        <v>17.066583248877578</v>
      </c>
      <c r="Y523" s="69">
        <v>17.066583248877578</v>
      </c>
      <c r="Z523" s="69">
        <v>17.066583248877578</v>
      </c>
      <c r="AA523" s="69">
        <v>17.066583248877578</v>
      </c>
      <c r="AB523" s="69">
        <v>17.066583248877578</v>
      </c>
      <c r="AC523" s="69">
        <v>17.066583248877578</v>
      </c>
      <c r="AD523" s="69">
        <v>17.066583248877578</v>
      </c>
      <c r="AE523" s="69">
        <v>17.066583248877578</v>
      </c>
      <c r="AF523" s="69">
        <v>17.066583248877578</v>
      </c>
      <c r="AG523" s="69">
        <v>17.066583248877578</v>
      </c>
    </row>
    <row r="524" spans="1:33" ht="12.75" customHeight="1">
      <c r="A524" s="231" t="s">
        <v>2375</v>
      </c>
      <c r="B524" s="69" t="s">
        <v>652</v>
      </c>
      <c r="C524" s="69" t="s">
        <v>186</v>
      </c>
      <c r="D524" s="69" t="s">
        <v>218</v>
      </c>
      <c r="E524" s="69" t="s">
        <v>242</v>
      </c>
      <c r="F524" s="69" t="s">
        <v>159</v>
      </c>
      <c r="G524" s="69" t="s">
        <v>192</v>
      </c>
      <c r="H524" s="69" t="s">
        <v>2130</v>
      </c>
      <c r="I524" s="69">
        <v>2</v>
      </c>
      <c r="J524" s="238">
        <v>0.24339198871440765</v>
      </c>
      <c r="K524" s="238">
        <v>0</v>
      </c>
      <c r="L524" s="69">
        <v>193.77952335557677</v>
      </c>
      <c r="M524" s="69">
        <v>-4.6901811248808389</v>
      </c>
      <c r="N524" s="69">
        <v>0</v>
      </c>
      <c r="O524" s="69">
        <v>0</v>
      </c>
      <c r="P524" s="69">
        <v>0</v>
      </c>
      <c r="Q524" s="69">
        <v>17.377288800922543</v>
      </c>
      <c r="R524" s="69">
        <v>17.377288800922543</v>
      </c>
      <c r="S524" s="69">
        <v>17.377288800922543</v>
      </c>
      <c r="T524" s="69">
        <v>17.377288800922543</v>
      </c>
      <c r="U524" s="69">
        <v>17.377288800922543</v>
      </c>
      <c r="V524" s="69">
        <v>17.377288800922543</v>
      </c>
      <c r="W524" s="69">
        <v>17.377288800922543</v>
      </c>
      <c r="X524" s="69">
        <v>17.377288800922543</v>
      </c>
      <c r="Y524" s="69">
        <v>17.377288800922543</v>
      </c>
      <c r="Z524" s="69">
        <v>17.377288800922543</v>
      </c>
      <c r="AA524" s="69">
        <v>17.377288800922543</v>
      </c>
      <c r="AB524" s="69">
        <v>17.377288800922543</v>
      </c>
      <c r="AC524" s="69">
        <v>17.377288800922543</v>
      </c>
      <c r="AD524" s="69">
        <v>17.377288800922543</v>
      </c>
      <c r="AE524" s="69">
        <v>17.377288800922543</v>
      </c>
      <c r="AF524" s="69">
        <v>17.377288800922543</v>
      </c>
      <c r="AG524" s="69">
        <v>17.377288800922543</v>
      </c>
    </row>
    <row r="525" spans="1:33" ht="12.75" customHeight="1">
      <c r="A525" s="231" t="s">
        <v>2375</v>
      </c>
      <c r="B525" s="69" t="s">
        <v>653</v>
      </c>
      <c r="C525" s="69" t="s">
        <v>186</v>
      </c>
      <c r="D525" s="69" t="s">
        <v>218</v>
      </c>
      <c r="E525" s="69" t="s">
        <v>242</v>
      </c>
      <c r="F525" s="69" t="s">
        <v>159</v>
      </c>
      <c r="G525" s="69" t="s">
        <v>192</v>
      </c>
      <c r="H525" s="69" t="s">
        <v>2130</v>
      </c>
      <c r="I525" s="69">
        <v>2</v>
      </c>
      <c r="J525" s="238">
        <v>0.24339198871440765</v>
      </c>
      <c r="K525" s="238">
        <v>0</v>
      </c>
      <c r="L525" s="69">
        <v>193.77952335557677</v>
      </c>
      <c r="M525" s="69">
        <v>-4.6901811248808389</v>
      </c>
      <c r="N525" s="69">
        <v>0</v>
      </c>
      <c r="O525" s="69">
        <v>0</v>
      </c>
      <c r="P525" s="69">
        <v>0</v>
      </c>
      <c r="Q525" s="69">
        <v>0</v>
      </c>
      <c r="R525" s="69">
        <v>17.377288800922543</v>
      </c>
      <c r="S525" s="69">
        <v>17.377288800922543</v>
      </c>
      <c r="T525" s="69">
        <v>17.377288800922543</v>
      </c>
      <c r="U525" s="69">
        <v>17.377288800922543</v>
      </c>
      <c r="V525" s="69">
        <v>17.377288800922543</v>
      </c>
      <c r="W525" s="69">
        <v>17.377288800922543</v>
      </c>
      <c r="X525" s="69">
        <v>17.377288800922543</v>
      </c>
      <c r="Y525" s="69">
        <v>17.377288800922543</v>
      </c>
      <c r="Z525" s="69">
        <v>17.377288800922543</v>
      </c>
      <c r="AA525" s="69">
        <v>17.377288800922543</v>
      </c>
      <c r="AB525" s="69">
        <v>17.377288800922543</v>
      </c>
      <c r="AC525" s="69">
        <v>17.377288800922543</v>
      </c>
      <c r="AD525" s="69">
        <v>17.377288800922543</v>
      </c>
      <c r="AE525" s="69">
        <v>17.377288800922543</v>
      </c>
      <c r="AF525" s="69">
        <v>17.377288800922543</v>
      </c>
      <c r="AG525" s="69">
        <v>17.377288800922543</v>
      </c>
    </row>
    <row r="526" spans="1:33" ht="12.75" customHeight="1">
      <c r="A526" s="231" t="s">
        <v>2375</v>
      </c>
      <c r="B526" s="69" t="s">
        <v>654</v>
      </c>
      <c r="C526" s="69" t="s">
        <v>186</v>
      </c>
      <c r="D526" s="69" t="s">
        <v>218</v>
      </c>
      <c r="E526" s="69" t="s">
        <v>242</v>
      </c>
      <c r="F526" s="69" t="s">
        <v>159</v>
      </c>
      <c r="G526" s="69" t="s">
        <v>192</v>
      </c>
      <c r="H526" s="69" t="s">
        <v>2130</v>
      </c>
      <c r="I526" s="69">
        <v>2</v>
      </c>
      <c r="J526" s="238">
        <v>0.24339198871440768</v>
      </c>
      <c r="K526" s="238">
        <v>0</v>
      </c>
      <c r="L526" s="69">
        <v>193.77952335557674</v>
      </c>
      <c r="M526" s="69">
        <v>-4.6901811248808389</v>
      </c>
      <c r="N526" s="69">
        <v>0</v>
      </c>
      <c r="O526" s="69">
        <v>0</v>
      </c>
      <c r="P526" s="69">
        <v>0</v>
      </c>
      <c r="Q526" s="69">
        <v>0</v>
      </c>
      <c r="R526" s="69">
        <v>0</v>
      </c>
      <c r="S526" s="69">
        <v>29.838076380121493</v>
      </c>
      <c r="T526" s="69">
        <v>29.838076380121493</v>
      </c>
      <c r="U526" s="69">
        <v>29.838076380121493</v>
      </c>
      <c r="V526" s="69">
        <v>29.838076380121493</v>
      </c>
      <c r="W526" s="69">
        <v>29.838076380121493</v>
      </c>
      <c r="X526" s="69">
        <v>29.838076380121493</v>
      </c>
      <c r="Y526" s="69">
        <v>29.838076380121493</v>
      </c>
      <c r="Z526" s="69">
        <v>29.838076380121493</v>
      </c>
      <c r="AA526" s="69">
        <v>29.838076380121493</v>
      </c>
      <c r="AB526" s="69">
        <v>29.838076380121493</v>
      </c>
      <c r="AC526" s="69">
        <v>29.838076380121493</v>
      </c>
      <c r="AD526" s="69">
        <v>29.838076380121493</v>
      </c>
      <c r="AE526" s="69">
        <v>29.838076380121493</v>
      </c>
      <c r="AF526" s="69">
        <v>29.838076380121493</v>
      </c>
      <c r="AG526" s="69">
        <v>29.838076380121493</v>
      </c>
    </row>
    <row r="527" spans="1:33" ht="12.75" customHeight="1">
      <c r="A527" s="231" t="s">
        <v>2375</v>
      </c>
      <c r="B527" s="69" t="s">
        <v>655</v>
      </c>
      <c r="C527" s="69" t="s">
        <v>186</v>
      </c>
      <c r="D527" s="69" t="s">
        <v>218</v>
      </c>
      <c r="E527" s="69" t="s">
        <v>242</v>
      </c>
      <c r="F527" s="69" t="s">
        <v>159</v>
      </c>
      <c r="G527" s="69" t="s">
        <v>192</v>
      </c>
      <c r="H527" s="69" t="s">
        <v>2130</v>
      </c>
      <c r="I527" s="69">
        <v>2</v>
      </c>
      <c r="J527" s="238">
        <v>0.24339198871440768</v>
      </c>
      <c r="K527" s="238">
        <v>0</v>
      </c>
      <c r="L527" s="69">
        <v>193.77952335557674</v>
      </c>
      <c r="M527" s="69">
        <v>-4.6901811248808389</v>
      </c>
      <c r="N527" s="69">
        <v>0</v>
      </c>
      <c r="O527" s="69">
        <v>0</v>
      </c>
      <c r="P527" s="69">
        <v>0</v>
      </c>
      <c r="Q527" s="69">
        <v>0</v>
      </c>
      <c r="R527" s="69">
        <v>0</v>
      </c>
      <c r="S527" s="69">
        <v>0</v>
      </c>
      <c r="T527" s="69">
        <v>29.838076380121493</v>
      </c>
      <c r="U527" s="69">
        <v>29.838076380121493</v>
      </c>
      <c r="V527" s="69">
        <v>29.838076380121493</v>
      </c>
      <c r="W527" s="69">
        <v>29.838076380121493</v>
      </c>
      <c r="X527" s="69">
        <v>29.838076380121493</v>
      </c>
      <c r="Y527" s="69">
        <v>29.838076380121493</v>
      </c>
      <c r="Z527" s="69">
        <v>29.838076380121493</v>
      </c>
      <c r="AA527" s="69">
        <v>29.838076380121493</v>
      </c>
      <c r="AB527" s="69">
        <v>29.838076380121493</v>
      </c>
      <c r="AC527" s="69">
        <v>29.838076380121493</v>
      </c>
      <c r="AD527" s="69">
        <v>29.838076380121493</v>
      </c>
      <c r="AE527" s="69">
        <v>29.838076380121493</v>
      </c>
      <c r="AF527" s="69">
        <v>29.838076380121493</v>
      </c>
      <c r="AG527" s="69">
        <v>29.838076380121493</v>
      </c>
    </row>
    <row r="528" spans="1:33" ht="12.75" customHeight="1">
      <c r="A528" s="231" t="s">
        <v>2375</v>
      </c>
      <c r="B528" s="69" t="s">
        <v>656</v>
      </c>
      <c r="C528" s="69" t="s">
        <v>186</v>
      </c>
      <c r="D528" s="69" t="s">
        <v>218</v>
      </c>
      <c r="E528" s="69" t="s">
        <v>242</v>
      </c>
      <c r="F528" s="69" t="s">
        <v>159</v>
      </c>
      <c r="G528" s="69" t="s">
        <v>192</v>
      </c>
      <c r="H528" s="69" t="s">
        <v>2130</v>
      </c>
      <c r="I528" s="69">
        <v>2</v>
      </c>
      <c r="J528" s="238">
        <v>0.24339198871440768</v>
      </c>
      <c r="K528" s="238">
        <v>0</v>
      </c>
      <c r="L528" s="69">
        <v>193.77952335557674</v>
      </c>
      <c r="M528" s="69">
        <v>-4.6901811248808389</v>
      </c>
      <c r="N528" s="69">
        <v>0</v>
      </c>
      <c r="O528" s="69">
        <v>0</v>
      </c>
      <c r="P528" s="69">
        <v>0</v>
      </c>
      <c r="Q528" s="69">
        <v>0</v>
      </c>
      <c r="R528" s="69">
        <v>0</v>
      </c>
      <c r="S528" s="69">
        <v>0</v>
      </c>
      <c r="T528" s="69">
        <v>0</v>
      </c>
      <c r="U528" s="69">
        <v>29.838076380121493</v>
      </c>
      <c r="V528" s="69">
        <v>29.838076380121493</v>
      </c>
      <c r="W528" s="69">
        <v>29.838076380121493</v>
      </c>
      <c r="X528" s="69">
        <v>29.838076380121493</v>
      </c>
      <c r="Y528" s="69">
        <v>29.838076380121493</v>
      </c>
      <c r="Z528" s="69">
        <v>29.838076380121493</v>
      </c>
      <c r="AA528" s="69">
        <v>29.838076380121493</v>
      </c>
      <c r="AB528" s="69">
        <v>29.838076380121493</v>
      </c>
      <c r="AC528" s="69">
        <v>29.838076380121493</v>
      </c>
      <c r="AD528" s="69">
        <v>29.838076380121493</v>
      </c>
      <c r="AE528" s="69">
        <v>29.838076380121493</v>
      </c>
      <c r="AF528" s="69">
        <v>29.838076380121493</v>
      </c>
      <c r="AG528" s="69">
        <v>29.838076380121493</v>
      </c>
    </row>
    <row r="529" spans="1:33" ht="12.75" customHeight="1">
      <c r="A529" s="231" t="s">
        <v>2375</v>
      </c>
      <c r="B529" s="69" t="s">
        <v>657</v>
      </c>
      <c r="C529" s="69" t="s">
        <v>186</v>
      </c>
      <c r="D529" s="69" t="s">
        <v>218</v>
      </c>
      <c r="E529" s="69" t="s">
        <v>242</v>
      </c>
      <c r="F529" s="69" t="s">
        <v>159</v>
      </c>
      <c r="G529" s="69" t="s">
        <v>192</v>
      </c>
      <c r="H529" s="69" t="s">
        <v>2130</v>
      </c>
      <c r="I529" s="69">
        <v>2</v>
      </c>
      <c r="J529" s="238">
        <v>0.24339198871440768</v>
      </c>
      <c r="K529" s="238">
        <v>0</v>
      </c>
      <c r="L529" s="69">
        <v>193.77952335557674</v>
      </c>
      <c r="M529" s="69">
        <v>-4.6901811248808389</v>
      </c>
      <c r="N529" s="69">
        <v>0</v>
      </c>
      <c r="O529" s="69">
        <v>0</v>
      </c>
      <c r="P529" s="69">
        <v>0</v>
      </c>
      <c r="Q529" s="69">
        <v>0</v>
      </c>
      <c r="R529" s="69">
        <v>0</v>
      </c>
      <c r="S529" s="69">
        <v>0</v>
      </c>
      <c r="T529" s="69">
        <v>0</v>
      </c>
      <c r="U529" s="69">
        <v>0</v>
      </c>
      <c r="V529" s="69">
        <v>29.838076380121493</v>
      </c>
      <c r="W529" s="69">
        <v>29.838076380121493</v>
      </c>
      <c r="X529" s="69">
        <v>29.838076380121493</v>
      </c>
      <c r="Y529" s="69">
        <v>29.838076380121493</v>
      </c>
      <c r="Z529" s="69">
        <v>29.838076380121493</v>
      </c>
      <c r="AA529" s="69">
        <v>29.838076380121493</v>
      </c>
      <c r="AB529" s="69">
        <v>29.838076380121493</v>
      </c>
      <c r="AC529" s="69">
        <v>29.838076380121493</v>
      </c>
      <c r="AD529" s="69">
        <v>29.838076380121493</v>
      </c>
      <c r="AE529" s="69">
        <v>29.838076380121493</v>
      </c>
      <c r="AF529" s="69">
        <v>29.838076380121493</v>
      </c>
      <c r="AG529" s="69">
        <v>29.838076380121493</v>
      </c>
    </row>
    <row r="530" spans="1:33" ht="12.75" customHeight="1">
      <c r="A530" s="231" t="s">
        <v>2375</v>
      </c>
      <c r="B530" s="69" t="s">
        <v>658</v>
      </c>
      <c r="C530" s="69" t="s">
        <v>186</v>
      </c>
      <c r="D530" s="69" t="s">
        <v>218</v>
      </c>
      <c r="E530" s="69" t="s">
        <v>242</v>
      </c>
      <c r="F530" s="69" t="s">
        <v>159</v>
      </c>
      <c r="G530" s="69" t="s">
        <v>192</v>
      </c>
      <c r="H530" s="69" t="s">
        <v>2130</v>
      </c>
      <c r="I530" s="69">
        <v>2</v>
      </c>
      <c r="J530" s="238">
        <v>0.24339198871440768</v>
      </c>
      <c r="K530" s="238">
        <v>0</v>
      </c>
      <c r="L530" s="69">
        <v>193.77952335557674</v>
      </c>
      <c r="M530" s="69">
        <v>-4.6901811248808389</v>
      </c>
      <c r="N530" s="69">
        <v>0</v>
      </c>
      <c r="O530" s="69">
        <v>0</v>
      </c>
      <c r="P530" s="69">
        <v>0</v>
      </c>
      <c r="Q530" s="69">
        <v>0</v>
      </c>
      <c r="R530" s="69">
        <v>0</v>
      </c>
      <c r="S530" s="69">
        <v>0</v>
      </c>
      <c r="T530" s="69">
        <v>0</v>
      </c>
      <c r="U530" s="69">
        <v>0</v>
      </c>
      <c r="V530" s="69">
        <v>0</v>
      </c>
      <c r="W530" s="69">
        <v>29.838076380121493</v>
      </c>
      <c r="X530" s="69">
        <v>29.838076380121493</v>
      </c>
      <c r="Y530" s="69">
        <v>29.838076380121493</v>
      </c>
      <c r="Z530" s="69">
        <v>29.838076380121493</v>
      </c>
      <c r="AA530" s="69">
        <v>29.838076380121493</v>
      </c>
      <c r="AB530" s="69">
        <v>29.838076380121493</v>
      </c>
      <c r="AC530" s="69">
        <v>29.838076380121493</v>
      </c>
      <c r="AD530" s="69">
        <v>29.838076380121493</v>
      </c>
      <c r="AE530" s="69">
        <v>29.838076380121493</v>
      </c>
      <c r="AF530" s="69">
        <v>29.838076380121493</v>
      </c>
      <c r="AG530" s="69">
        <v>29.838076380121493</v>
      </c>
    </row>
    <row r="531" spans="1:33" ht="12.75" customHeight="1">
      <c r="A531" s="231" t="s">
        <v>2375</v>
      </c>
      <c r="B531" s="69" t="s">
        <v>659</v>
      </c>
      <c r="C531" s="69" t="s">
        <v>186</v>
      </c>
      <c r="D531" s="69" t="s">
        <v>334</v>
      </c>
      <c r="E531" s="69" t="s">
        <v>244</v>
      </c>
      <c r="F531" s="69" t="s">
        <v>160</v>
      </c>
      <c r="G531" s="69" t="s">
        <v>192</v>
      </c>
      <c r="H531" s="69" t="s">
        <v>148</v>
      </c>
      <c r="I531" s="69">
        <v>4</v>
      </c>
      <c r="J531" s="238">
        <v>0.22877454801945279</v>
      </c>
      <c r="K531" s="238">
        <v>0</v>
      </c>
      <c r="L531" s="69">
        <v>262.55634888438135</v>
      </c>
      <c r="M531" s="69">
        <v>-22.454361054766736</v>
      </c>
      <c r="N531" s="69">
        <v>0</v>
      </c>
      <c r="O531" s="69">
        <v>0</v>
      </c>
      <c r="P531" s="69">
        <v>0</v>
      </c>
      <c r="Q531" s="69">
        <v>98.859578933323064</v>
      </c>
      <c r="R531" s="69">
        <v>98.859578933323064</v>
      </c>
      <c r="S531" s="69">
        <v>98.859578933323064</v>
      </c>
      <c r="T531" s="69">
        <v>98.859578933323064</v>
      </c>
      <c r="U531" s="69">
        <v>98.859578933323064</v>
      </c>
      <c r="V531" s="69">
        <v>98.859578933323064</v>
      </c>
      <c r="W531" s="69">
        <v>98.859578933323064</v>
      </c>
      <c r="X531" s="69">
        <v>98.859578933323064</v>
      </c>
      <c r="Y531" s="69">
        <v>98.859578933323064</v>
      </c>
      <c r="Z531" s="69">
        <v>98.859578933323064</v>
      </c>
      <c r="AA531" s="69">
        <v>98.859578933323064</v>
      </c>
      <c r="AB531" s="69">
        <v>98.859578933323064</v>
      </c>
      <c r="AC531" s="69">
        <v>98.859578933323064</v>
      </c>
      <c r="AD531" s="69">
        <v>98.859578933323064</v>
      </c>
      <c r="AE531" s="69">
        <v>98.859578933323064</v>
      </c>
      <c r="AF531" s="69">
        <v>98.859578933323064</v>
      </c>
      <c r="AG531" s="69">
        <v>98.859578933323064</v>
      </c>
    </row>
    <row r="532" spans="1:33" ht="12.75" customHeight="1">
      <c r="A532" s="231" t="s">
        <v>2375</v>
      </c>
      <c r="B532" s="69" t="s">
        <v>660</v>
      </c>
      <c r="C532" s="69" t="s">
        <v>186</v>
      </c>
      <c r="D532" s="69" t="s">
        <v>334</v>
      </c>
      <c r="E532" s="69" t="s">
        <v>244</v>
      </c>
      <c r="F532" s="69" t="s">
        <v>160</v>
      </c>
      <c r="G532" s="69" t="s">
        <v>192</v>
      </c>
      <c r="H532" s="69" t="s">
        <v>148</v>
      </c>
      <c r="I532" s="69">
        <v>4</v>
      </c>
      <c r="J532" s="238">
        <v>0.22877454801945279</v>
      </c>
      <c r="K532" s="238">
        <v>0</v>
      </c>
      <c r="L532" s="69">
        <v>262.55634888438135</v>
      </c>
      <c r="M532" s="69">
        <v>-22.454361054766736</v>
      </c>
      <c r="N532" s="69">
        <v>0</v>
      </c>
      <c r="O532" s="69">
        <v>0</v>
      </c>
      <c r="P532" s="69">
        <v>0</v>
      </c>
      <c r="Q532" s="69">
        <v>0</v>
      </c>
      <c r="R532" s="69">
        <v>98.859578933323064</v>
      </c>
      <c r="S532" s="69">
        <v>98.859578933323064</v>
      </c>
      <c r="T532" s="69">
        <v>98.859578933323064</v>
      </c>
      <c r="U532" s="69">
        <v>98.859578933323064</v>
      </c>
      <c r="V532" s="69">
        <v>98.859578933323064</v>
      </c>
      <c r="W532" s="69">
        <v>98.859578933323064</v>
      </c>
      <c r="X532" s="69">
        <v>98.859578933323064</v>
      </c>
      <c r="Y532" s="69">
        <v>98.859578933323064</v>
      </c>
      <c r="Z532" s="69">
        <v>98.859578933323064</v>
      </c>
      <c r="AA532" s="69">
        <v>98.859578933323064</v>
      </c>
      <c r="AB532" s="69">
        <v>98.859578933323064</v>
      </c>
      <c r="AC532" s="69">
        <v>98.859578933323064</v>
      </c>
      <c r="AD532" s="69">
        <v>98.859578933323064</v>
      </c>
      <c r="AE532" s="69">
        <v>98.859578933323064</v>
      </c>
      <c r="AF532" s="69">
        <v>98.859578933323064</v>
      </c>
      <c r="AG532" s="69">
        <v>98.859578933323064</v>
      </c>
    </row>
    <row r="533" spans="1:33" ht="12.75" customHeight="1">
      <c r="A533" s="231" t="s">
        <v>2375</v>
      </c>
      <c r="B533" s="69" t="s">
        <v>661</v>
      </c>
      <c r="C533" s="69" t="s">
        <v>186</v>
      </c>
      <c r="D533" s="69" t="s">
        <v>334</v>
      </c>
      <c r="E533" s="69" t="s">
        <v>244</v>
      </c>
      <c r="F533" s="69" t="s">
        <v>160</v>
      </c>
      <c r="G533" s="69" t="s">
        <v>192</v>
      </c>
      <c r="H533" s="69" t="s">
        <v>148</v>
      </c>
      <c r="I533" s="69">
        <v>4</v>
      </c>
      <c r="J533" s="238">
        <v>0.22877454801945279</v>
      </c>
      <c r="K533" s="238">
        <v>0</v>
      </c>
      <c r="L533" s="69">
        <v>262.55634888438129</v>
      </c>
      <c r="M533" s="69">
        <v>-22.454361054766736</v>
      </c>
      <c r="N533" s="69">
        <v>0</v>
      </c>
      <c r="O533" s="69">
        <v>0</v>
      </c>
      <c r="P533" s="69">
        <v>0</v>
      </c>
      <c r="Q533" s="69">
        <v>0</v>
      </c>
      <c r="R533" s="69">
        <v>0</v>
      </c>
      <c r="S533" s="69">
        <v>130.42106631411298</v>
      </c>
      <c r="T533" s="69">
        <v>130.42106631411298</v>
      </c>
      <c r="U533" s="69">
        <v>130.42106631411298</v>
      </c>
      <c r="V533" s="69">
        <v>130.42106631411298</v>
      </c>
      <c r="W533" s="69">
        <v>130.42106631411298</v>
      </c>
      <c r="X533" s="69">
        <v>130.42106631411298</v>
      </c>
      <c r="Y533" s="69">
        <v>130.42106631411298</v>
      </c>
      <c r="Z533" s="69">
        <v>130.42106631411298</v>
      </c>
      <c r="AA533" s="69">
        <v>130.42106631411298</v>
      </c>
      <c r="AB533" s="69">
        <v>130.42106631411298</v>
      </c>
      <c r="AC533" s="69">
        <v>130.42106631411298</v>
      </c>
      <c r="AD533" s="69">
        <v>130.42106631411298</v>
      </c>
      <c r="AE533" s="69">
        <v>130.42106631411298</v>
      </c>
      <c r="AF533" s="69">
        <v>130.42106631411298</v>
      </c>
      <c r="AG533" s="69">
        <v>130.42106631411298</v>
      </c>
    </row>
    <row r="534" spans="1:33" ht="12.75" customHeight="1">
      <c r="A534" s="231" t="s">
        <v>2375</v>
      </c>
      <c r="B534" s="69" t="s">
        <v>662</v>
      </c>
      <c r="C534" s="69" t="s">
        <v>186</v>
      </c>
      <c r="D534" s="69" t="s">
        <v>334</v>
      </c>
      <c r="E534" s="69" t="s">
        <v>244</v>
      </c>
      <c r="F534" s="69" t="s">
        <v>160</v>
      </c>
      <c r="G534" s="69" t="s">
        <v>192</v>
      </c>
      <c r="H534" s="69" t="s">
        <v>148</v>
      </c>
      <c r="I534" s="69">
        <v>4</v>
      </c>
      <c r="J534" s="238">
        <v>0.22877454801945279</v>
      </c>
      <c r="K534" s="238">
        <v>0</v>
      </c>
      <c r="L534" s="69">
        <v>262.55634888438129</v>
      </c>
      <c r="M534" s="69">
        <v>-22.454361054766736</v>
      </c>
      <c r="N534" s="69">
        <v>0</v>
      </c>
      <c r="O534" s="69">
        <v>0</v>
      </c>
      <c r="P534" s="69">
        <v>0</v>
      </c>
      <c r="Q534" s="69">
        <v>0</v>
      </c>
      <c r="R534" s="69">
        <v>0</v>
      </c>
      <c r="S534" s="69">
        <v>0</v>
      </c>
      <c r="T534" s="69">
        <v>130.42106631411298</v>
      </c>
      <c r="U534" s="69">
        <v>130.42106631411298</v>
      </c>
      <c r="V534" s="69">
        <v>130.42106631411298</v>
      </c>
      <c r="W534" s="69">
        <v>130.42106631411298</v>
      </c>
      <c r="X534" s="69">
        <v>130.42106631411298</v>
      </c>
      <c r="Y534" s="69">
        <v>130.42106631411298</v>
      </c>
      <c r="Z534" s="69">
        <v>130.42106631411298</v>
      </c>
      <c r="AA534" s="69">
        <v>130.42106631411298</v>
      </c>
      <c r="AB534" s="69">
        <v>130.42106631411298</v>
      </c>
      <c r="AC534" s="69">
        <v>130.42106631411298</v>
      </c>
      <c r="AD534" s="69">
        <v>130.42106631411298</v>
      </c>
      <c r="AE534" s="69">
        <v>130.42106631411298</v>
      </c>
      <c r="AF534" s="69">
        <v>130.42106631411298</v>
      </c>
      <c r="AG534" s="69">
        <v>130.42106631411298</v>
      </c>
    </row>
    <row r="535" spans="1:33" ht="12.75" customHeight="1">
      <c r="A535" s="231" t="s">
        <v>2375</v>
      </c>
      <c r="B535" s="69" t="s">
        <v>663</v>
      </c>
      <c r="C535" s="69" t="s">
        <v>186</v>
      </c>
      <c r="D535" s="69" t="s">
        <v>334</v>
      </c>
      <c r="E535" s="69" t="s">
        <v>244</v>
      </c>
      <c r="F535" s="69" t="s">
        <v>160</v>
      </c>
      <c r="G535" s="69" t="s">
        <v>192</v>
      </c>
      <c r="H535" s="69" t="s">
        <v>148</v>
      </c>
      <c r="I535" s="69">
        <v>4</v>
      </c>
      <c r="J535" s="238">
        <v>0.22877454801945279</v>
      </c>
      <c r="K535" s="238">
        <v>0</v>
      </c>
      <c r="L535" s="69">
        <v>262.55634888438129</v>
      </c>
      <c r="M535" s="69">
        <v>-22.454361054766736</v>
      </c>
      <c r="N535" s="69">
        <v>0</v>
      </c>
      <c r="O535" s="69">
        <v>0</v>
      </c>
      <c r="P535" s="69">
        <v>0</v>
      </c>
      <c r="Q535" s="69">
        <v>0</v>
      </c>
      <c r="R535" s="69">
        <v>0</v>
      </c>
      <c r="S535" s="69">
        <v>0</v>
      </c>
      <c r="T535" s="69">
        <v>0</v>
      </c>
      <c r="U535" s="69">
        <v>130.42106631411298</v>
      </c>
      <c r="V535" s="69">
        <v>130.42106631411298</v>
      </c>
      <c r="W535" s="69">
        <v>130.42106631411298</v>
      </c>
      <c r="X535" s="69">
        <v>130.42106631411298</v>
      </c>
      <c r="Y535" s="69">
        <v>130.42106631411298</v>
      </c>
      <c r="Z535" s="69">
        <v>130.42106631411298</v>
      </c>
      <c r="AA535" s="69">
        <v>130.42106631411298</v>
      </c>
      <c r="AB535" s="69">
        <v>130.42106631411298</v>
      </c>
      <c r="AC535" s="69">
        <v>130.42106631411298</v>
      </c>
      <c r="AD535" s="69">
        <v>130.42106631411298</v>
      </c>
      <c r="AE535" s="69">
        <v>130.42106631411298</v>
      </c>
      <c r="AF535" s="69">
        <v>130.42106631411298</v>
      </c>
      <c r="AG535" s="69">
        <v>130.42106631411298</v>
      </c>
    </row>
    <row r="536" spans="1:33" ht="12.75" customHeight="1">
      <c r="A536" s="231" t="s">
        <v>2375</v>
      </c>
      <c r="B536" s="69" t="s">
        <v>664</v>
      </c>
      <c r="C536" s="69" t="s">
        <v>186</v>
      </c>
      <c r="D536" s="69" t="s">
        <v>334</v>
      </c>
      <c r="E536" s="69" t="s">
        <v>244</v>
      </c>
      <c r="F536" s="69" t="s">
        <v>160</v>
      </c>
      <c r="G536" s="69" t="s">
        <v>192</v>
      </c>
      <c r="H536" s="69" t="s">
        <v>148</v>
      </c>
      <c r="I536" s="69">
        <v>4</v>
      </c>
      <c r="J536" s="238">
        <v>0.22877454801945279</v>
      </c>
      <c r="K536" s="238">
        <v>0</v>
      </c>
      <c r="L536" s="69">
        <v>262.55634888438129</v>
      </c>
      <c r="M536" s="69">
        <v>-22.454361054766736</v>
      </c>
      <c r="N536" s="69">
        <v>0</v>
      </c>
      <c r="O536" s="69">
        <v>0</v>
      </c>
      <c r="P536" s="69">
        <v>0</v>
      </c>
      <c r="Q536" s="69">
        <v>0</v>
      </c>
      <c r="R536" s="69">
        <v>0</v>
      </c>
      <c r="S536" s="69">
        <v>0</v>
      </c>
      <c r="T536" s="69">
        <v>0</v>
      </c>
      <c r="U536" s="69">
        <v>0</v>
      </c>
      <c r="V536" s="69">
        <v>130.42106631411298</v>
      </c>
      <c r="W536" s="69">
        <v>130.42106631411298</v>
      </c>
      <c r="X536" s="69">
        <v>130.42106631411298</v>
      </c>
      <c r="Y536" s="69">
        <v>130.42106631411298</v>
      </c>
      <c r="Z536" s="69">
        <v>130.42106631411298</v>
      </c>
      <c r="AA536" s="69">
        <v>130.42106631411298</v>
      </c>
      <c r="AB536" s="69">
        <v>130.42106631411298</v>
      </c>
      <c r="AC536" s="69">
        <v>130.42106631411298</v>
      </c>
      <c r="AD536" s="69">
        <v>130.42106631411298</v>
      </c>
      <c r="AE536" s="69">
        <v>130.42106631411298</v>
      </c>
      <c r="AF536" s="69">
        <v>130.42106631411298</v>
      </c>
      <c r="AG536" s="69">
        <v>130.42106631411298</v>
      </c>
    </row>
    <row r="537" spans="1:33" ht="12.75" customHeight="1">
      <c r="A537" s="231" t="s">
        <v>2375</v>
      </c>
      <c r="B537" s="69" t="s">
        <v>665</v>
      </c>
      <c r="C537" s="69" t="s">
        <v>186</v>
      </c>
      <c r="D537" s="69" t="s">
        <v>334</v>
      </c>
      <c r="E537" s="69" t="s">
        <v>244</v>
      </c>
      <c r="F537" s="69" t="s">
        <v>160</v>
      </c>
      <c r="G537" s="69" t="s">
        <v>192</v>
      </c>
      <c r="H537" s="69" t="s">
        <v>148</v>
      </c>
      <c r="I537" s="69">
        <v>4</v>
      </c>
      <c r="J537" s="238">
        <v>0.22877454801945279</v>
      </c>
      <c r="K537" s="238">
        <v>0</v>
      </c>
      <c r="L537" s="69">
        <v>262.55634888438129</v>
      </c>
      <c r="M537" s="69">
        <v>-22.454361054766736</v>
      </c>
      <c r="N537" s="69">
        <v>0</v>
      </c>
      <c r="O537" s="69">
        <v>0</v>
      </c>
      <c r="P537" s="69">
        <v>0</v>
      </c>
      <c r="Q537" s="69">
        <v>0</v>
      </c>
      <c r="R537" s="69">
        <v>0</v>
      </c>
      <c r="S537" s="69">
        <v>0</v>
      </c>
      <c r="T537" s="69">
        <v>0</v>
      </c>
      <c r="U537" s="69">
        <v>0</v>
      </c>
      <c r="V537" s="69">
        <v>0</v>
      </c>
      <c r="W537" s="69">
        <v>130.42106631411298</v>
      </c>
      <c r="X537" s="69">
        <v>130.42106631411298</v>
      </c>
      <c r="Y537" s="69">
        <v>130.42106631411298</v>
      </c>
      <c r="Z537" s="69">
        <v>130.42106631411298</v>
      </c>
      <c r="AA537" s="69">
        <v>130.42106631411298</v>
      </c>
      <c r="AB537" s="69">
        <v>130.42106631411298</v>
      </c>
      <c r="AC537" s="69">
        <v>130.42106631411298</v>
      </c>
      <c r="AD537" s="69">
        <v>130.42106631411298</v>
      </c>
      <c r="AE537" s="69">
        <v>130.42106631411298</v>
      </c>
      <c r="AF537" s="69">
        <v>130.42106631411298</v>
      </c>
      <c r="AG537" s="69">
        <v>130.42106631411298</v>
      </c>
    </row>
    <row r="538" spans="1:33" ht="12.75" customHeight="1">
      <c r="A538" s="231" t="s">
        <v>2375</v>
      </c>
      <c r="B538" s="69" t="s">
        <v>666</v>
      </c>
      <c r="C538" s="69" t="s">
        <v>186</v>
      </c>
      <c r="D538" s="69" t="s">
        <v>334</v>
      </c>
      <c r="E538" s="69" t="s">
        <v>203</v>
      </c>
      <c r="F538" s="69" t="s">
        <v>160</v>
      </c>
      <c r="G538" s="69" t="s">
        <v>192</v>
      </c>
      <c r="H538" s="69" t="s">
        <v>148</v>
      </c>
      <c r="I538" s="69">
        <v>4</v>
      </c>
      <c r="J538" s="238">
        <v>0.20371607825667298</v>
      </c>
      <c r="K538" s="238">
        <v>0</v>
      </c>
      <c r="L538" s="69">
        <v>294.85257403189064</v>
      </c>
      <c r="M538" s="69">
        <v>-25.216400911161731</v>
      </c>
      <c r="N538" s="69">
        <v>0</v>
      </c>
      <c r="O538" s="69">
        <v>0</v>
      </c>
      <c r="P538" s="69">
        <v>0</v>
      </c>
      <c r="Q538" s="69">
        <v>147.40098924121412</v>
      </c>
      <c r="R538" s="69">
        <v>147.40098924121412</v>
      </c>
      <c r="S538" s="69">
        <v>147.40098924121412</v>
      </c>
      <c r="T538" s="69">
        <v>147.40098924121412</v>
      </c>
      <c r="U538" s="69">
        <v>147.40098924121412</v>
      </c>
      <c r="V538" s="69">
        <v>147.40098924121412</v>
      </c>
      <c r="W538" s="69">
        <v>147.40098924121412</v>
      </c>
      <c r="X538" s="69">
        <v>147.40098924121412</v>
      </c>
      <c r="Y538" s="69">
        <v>147.40098924121412</v>
      </c>
      <c r="Z538" s="69">
        <v>147.40098924121412</v>
      </c>
      <c r="AA538" s="69">
        <v>147.40098924121412</v>
      </c>
      <c r="AB538" s="69">
        <v>147.40098924121412</v>
      </c>
      <c r="AC538" s="69">
        <v>147.40098924121412</v>
      </c>
      <c r="AD538" s="69">
        <v>147.40098924121412</v>
      </c>
      <c r="AE538" s="69">
        <v>147.40098924121412</v>
      </c>
      <c r="AF538" s="69">
        <v>147.40098924121412</v>
      </c>
      <c r="AG538" s="69">
        <v>147.40098924121412</v>
      </c>
    </row>
    <row r="539" spans="1:33" ht="12.75" customHeight="1">
      <c r="A539" s="231" t="s">
        <v>2375</v>
      </c>
      <c r="B539" s="69" t="s">
        <v>667</v>
      </c>
      <c r="C539" s="69" t="s">
        <v>186</v>
      </c>
      <c r="D539" s="69" t="s">
        <v>334</v>
      </c>
      <c r="E539" s="69" t="s">
        <v>203</v>
      </c>
      <c r="F539" s="69" t="s">
        <v>160</v>
      </c>
      <c r="G539" s="69" t="s">
        <v>192</v>
      </c>
      <c r="H539" s="69" t="s">
        <v>148</v>
      </c>
      <c r="I539" s="69">
        <v>4</v>
      </c>
      <c r="J539" s="238">
        <v>0.20371607825667298</v>
      </c>
      <c r="K539" s="238">
        <v>0</v>
      </c>
      <c r="L539" s="69">
        <v>294.85257403189064</v>
      </c>
      <c r="M539" s="69">
        <v>-25.216400911161731</v>
      </c>
      <c r="N539" s="69">
        <v>0</v>
      </c>
      <c r="O539" s="69">
        <v>0</v>
      </c>
      <c r="P539" s="69">
        <v>0</v>
      </c>
      <c r="Q539" s="69">
        <v>0</v>
      </c>
      <c r="R539" s="69">
        <v>147.40098924121412</v>
      </c>
      <c r="S539" s="69">
        <v>147.40098924121412</v>
      </c>
      <c r="T539" s="69">
        <v>147.40098924121412</v>
      </c>
      <c r="U539" s="69">
        <v>147.40098924121412</v>
      </c>
      <c r="V539" s="69">
        <v>147.40098924121412</v>
      </c>
      <c r="W539" s="69">
        <v>147.40098924121412</v>
      </c>
      <c r="X539" s="69">
        <v>147.40098924121412</v>
      </c>
      <c r="Y539" s="69">
        <v>147.40098924121412</v>
      </c>
      <c r="Z539" s="69">
        <v>147.40098924121412</v>
      </c>
      <c r="AA539" s="69">
        <v>147.40098924121412</v>
      </c>
      <c r="AB539" s="69">
        <v>147.40098924121412</v>
      </c>
      <c r="AC539" s="69">
        <v>147.40098924121412</v>
      </c>
      <c r="AD539" s="69">
        <v>147.40098924121412</v>
      </c>
      <c r="AE539" s="69">
        <v>147.40098924121412</v>
      </c>
      <c r="AF539" s="69">
        <v>147.40098924121412</v>
      </c>
      <c r="AG539" s="69">
        <v>147.40098924121412</v>
      </c>
    </row>
    <row r="540" spans="1:33" ht="12.75" customHeight="1">
      <c r="A540" s="231" t="s">
        <v>2375</v>
      </c>
      <c r="B540" s="69" t="s">
        <v>668</v>
      </c>
      <c r="C540" s="69" t="s">
        <v>186</v>
      </c>
      <c r="D540" s="69" t="s">
        <v>334</v>
      </c>
      <c r="E540" s="69" t="s">
        <v>203</v>
      </c>
      <c r="F540" s="69" t="s">
        <v>160</v>
      </c>
      <c r="G540" s="69" t="s">
        <v>192</v>
      </c>
      <c r="H540" s="69" t="s">
        <v>148</v>
      </c>
      <c r="I540" s="69">
        <v>4</v>
      </c>
      <c r="J540" s="238">
        <v>0.20371607825667298</v>
      </c>
      <c r="K540" s="238">
        <v>0</v>
      </c>
      <c r="L540" s="69">
        <v>294.8525740318907</v>
      </c>
      <c r="M540" s="69">
        <v>-25.216400911161731</v>
      </c>
      <c r="N540" s="69">
        <v>0</v>
      </c>
      <c r="O540" s="69">
        <v>0</v>
      </c>
      <c r="P540" s="69">
        <v>0</v>
      </c>
      <c r="Q540" s="69">
        <v>0</v>
      </c>
      <c r="R540" s="69">
        <v>0</v>
      </c>
      <c r="S540" s="69">
        <v>194.45960017248581</v>
      </c>
      <c r="T540" s="69">
        <v>194.45960017248581</v>
      </c>
      <c r="U540" s="69">
        <v>194.45960017248581</v>
      </c>
      <c r="V540" s="69">
        <v>194.45960017248581</v>
      </c>
      <c r="W540" s="69">
        <v>194.45960017248581</v>
      </c>
      <c r="X540" s="69">
        <v>194.45960017248581</v>
      </c>
      <c r="Y540" s="69">
        <v>194.45960017248581</v>
      </c>
      <c r="Z540" s="69">
        <v>194.45960017248581</v>
      </c>
      <c r="AA540" s="69">
        <v>194.45960017248581</v>
      </c>
      <c r="AB540" s="69">
        <v>194.45960017248581</v>
      </c>
      <c r="AC540" s="69">
        <v>194.45960017248581</v>
      </c>
      <c r="AD540" s="69">
        <v>194.45960017248581</v>
      </c>
      <c r="AE540" s="69">
        <v>194.45960017248581</v>
      </c>
      <c r="AF540" s="69">
        <v>194.45960017248581</v>
      </c>
      <c r="AG540" s="69">
        <v>194.45960017248581</v>
      </c>
    </row>
    <row r="541" spans="1:33" ht="12.75" customHeight="1">
      <c r="A541" s="231" t="s">
        <v>2375</v>
      </c>
      <c r="B541" s="69" t="s">
        <v>669</v>
      </c>
      <c r="C541" s="69" t="s">
        <v>186</v>
      </c>
      <c r="D541" s="69" t="s">
        <v>334</v>
      </c>
      <c r="E541" s="69" t="s">
        <v>203</v>
      </c>
      <c r="F541" s="69" t="s">
        <v>160</v>
      </c>
      <c r="G541" s="69" t="s">
        <v>192</v>
      </c>
      <c r="H541" s="69" t="s">
        <v>148</v>
      </c>
      <c r="I541" s="69">
        <v>4</v>
      </c>
      <c r="J541" s="238">
        <v>0.20371607825667298</v>
      </c>
      <c r="K541" s="238">
        <v>0</v>
      </c>
      <c r="L541" s="69">
        <v>294.8525740318907</v>
      </c>
      <c r="M541" s="69">
        <v>-25.216400911161731</v>
      </c>
      <c r="N541" s="69">
        <v>0</v>
      </c>
      <c r="O541" s="69">
        <v>0</v>
      </c>
      <c r="P541" s="69">
        <v>0</v>
      </c>
      <c r="Q541" s="69">
        <v>0</v>
      </c>
      <c r="R541" s="69">
        <v>0</v>
      </c>
      <c r="S541" s="69">
        <v>0</v>
      </c>
      <c r="T541" s="69">
        <v>194.45960017248581</v>
      </c>
      <c r="U541" s="69">
        <v>194.45960017248581</v>
      </c>
      <c r="V541" s="69">
        <v>194.45960017248581</v>
      </c>
      <c r="W541" s="69">
        <v>194.45960017248581</v>
      </c>
      <c r="X541" s="69">
        <v>194.45960017248581</v>
      </c>
      <c r="Y541" s="69">
        <v>194.45960017248581</v>
      </c>
      <c r="Z541" s="69">
        <v>194.45960017248581</v>
      </c>
      <c r="AA541" s="69">
        <v>194.45960017248581</v>
      </c>
      <c r="AB541" s="69">
        <v>194.45960017248581</v>
      </c>
      <c r="AC541" s="69">
        <v>194.45960017248581</v>
      </c>
      <c r="AD541" s="69">
        <v>194.45960017248581</v>
      </c>
      <c r="AE541" s="69">
        <v>194.45960017248581</v>
      </c>
      <c r="AF541" s="69">
        <v>194.45960017248581</v>
      </c>
      <c r="AG541" s="69">
        <v>194.45960017248581</v>
      </c>
    </row>
    <row r="542" spans="1:33" ht="12.75" customHeight="1">
      <c r="A542" s="231" t="s">
        <v>2375</v>
      </c>
      <c r="B542" s="69" t="s">
        <v>670</v>
      </c>
      <c r="C542" s="69" t="s">
        <v>186</v>
      </c>
      <c r="D542" s="69" t="s">
        <v>334</v>
      </c>
      <c r="E542" s="69" t="s">
        <v>203</v>
      </c>
      <c r="F542" s="69" t="s">
        <v>160</v>
      </c>
      <c r="G542" s="69" t="s">
        <v>192</v>
      </c>
      <c r="H542" s="69" t="s">
        <v>148</v>
      </c>
      <c r="I542" s="69">
        <v>4</v>
      </c>
      <c r="J542" s="238">
        <v>0.20371607825667298</v>
      </c>
      <c r="K542" s="238">
        <v>0</v>
      </c>
      <c r="L542" s="69">
        <v>294.8525740318907</v>
      </c>
      <c r="M542" s="69">
        <v>-25.216400911161731</v>
      </c>
      <c r="N542" s="69">
        <v>0</v>
      </c>
      <c r="O542" s="69">
        <v>0</v>
      </c>
      <c r="P542" s="69">
        <v>0</v>
      </c>
      <c r="Q542" s="69">
        <v>0</v>
      </c>
      <c r="R542" s="69">
        <v>0</v>
      </c>
      <c r="S542" s="69">
        <v>0</v>
      </c>
      <c r="T542" s="69">
        <v>0</v>
      </c>
      <c r="U542" s="69">
        <v>194.45960017248581</v>
      </c>
      <c r="V542" s="69">
        <v>194.45960017248581</v>
      </c>
      <c r="W542" s="69">
        <v>194.45960017248581</v>
      </c>
      <c r="X542" s="69">
        <v>194.45960017248581</v>
      </c>
      <c r="Y542" s="69">
        <v>194.45960017248581</v>
      </c>
      <c r="Z542" s="69">
        <v>194.45960017248581</v>
      </c>
      <c r="AA542" s="69">
        <v>194.45960017248581</v>
      </c>
      <c r="AB542" s="69">
        <v>194.45960017248581</v>
      </c>
      <c r="AC542" s="69">
        <v>194.45960017248581</v>
      </c>
      <c r="AD542" s="69">
        <v>194.45960017248581</v>
      </c>
      <c r="AE542" s="69">
        <v>194.45960017248581</v>
      </c>
      <c r="AF542" s="69">
        <v>194.45960017248581</v>
      </c>
      <c r="AG542" s="69">
        <v>194.45960017248581</v>
      </c>
    </row>
    <row r="543" spans="1:33" ht="12.75" customHeight="1">
      <c r="A543" s="231" t="s">
        <v>2375</v>
      </c>
      <c r="B543" s="69" t="s">
        <v>671</v>
      </c>
      <c r="C543" s="69" t="s">
        <v>186</v>
      </c>
      <c r="D543" s="69" t="s">
        <v>334</v>
      </c>
      <c r="E543" s="69" t="s">
        <v>203</v>
      </c>
      <c r="F543" s="69" t="s">
        <v>160</v>
      </c>
      <c r="G543" s="69" t="s">
        <v>192</v>
      </c>
      <c r="H543" s="69" t="s">
        <v>148</v>
      </c>
      <c r="I543" s="69">
        <v>4</v>
      </c>
      <c r="J543" s="238">
        <v>0.20371607825667298</v>
      </c>
      <c r="K543" s="238">
        <v>0</v>
      </c>
      <c r="L543" s="69">
        <v>294.8525740318907</v>
      </c>
      <c r="M543" s="69">
        <v>-25.216400911161731</v>
      </c>
      <c r="N543" s="69">
        <v>0</v>
      </c>
      <c r="O543" s="69">
        <v>0</v>
      </c>
      <c r="P543" s="69">
        <v>0</v>
      </c>
      <c r="Q543" s="69">
        <v>0</v>
      </c>
      <c r="R543" s="69">
        <v>0</v>
      </c>
      <c r="S543" s="69">
        <v>0</v>
      </c>
      <c r="T543" s="69">
        <v>0</v>
      </c>
      <c r="U543" s="69">
        <v>0</v>
      </c>
      <c r="V543" s="69">
        <v>194.45960017248581</v>
      </c>
      <c r="W543" s="69">
        <v>194.45960017248581</v>
      </c>
      <c r="X543" s="69">
        <v>194.45960017248581</v>
      </c>
      <c r="Y543" s="69">
        <v>194.45960017248581</v>
      </c>
      <c r="Z543" s="69">
        <v>194.45960017248581</v>
      </c>
      <c r="AA543" s="69">
        <v>194.45960017248581</v>
      </c>
      <c r="AB543" s="69">
        <v>194.45960017248581</v>
      </c>
      <c r="AC543" s="69">
        <v>194.45960017248581</v>
      </c>
      <c r="AD543" s="69">
        <v>194.45960017248581</v>
      </c>
      <c r="AE543" s="69">
        <v>194.45960017248581</v>
      </c>
      <c r="AF543" s="69">
        <v>194.45960017248581</v>
      </c>
      <c r="AG543" s="69">
        <v>194.45960017248581</v>
      </c>
    </row>
    <row r="544" spans="1:33" ht="12.75" customHeight="1">
      <c r="A544" s="231" t="s">
        <v>2375</v>
      </c>
      <c r="B544" s="69" t="s">
        <v>672</v>
      </c>
      <c r="C544" s="69" t="s">
        <v>186</v>
      </c>
      <c r="D544" s="69" t="s">
        <v>334</v>
      </c>
      <c r="E544" s="69" t="s">
        <v>203</v>
      </c>
      <c r="F544" s="69" t="s">
        <v>160</v>
      </c>
      <c r="G544" s="69" t="s">
        <v>192</v>
      </c>
      <c r="H544" s="69" t="s">
        <v>148</v>
      </c>
      <c r="I544" s="69">
        <v>4</v>
      </c>
      <c r="J544" s="238">
        <v>0.20371607825667298</v>
      </c>
      <c r="K544" s="238">
        <v>0</v>
      </c>
      <c r="L544" s="69">
        <v>294.8525740318907</v>
      </c>
      <c r="M544" s="69">
        <v>-25.216400911161731</v>
      </c>
      <c r="N544" s="69">
        <v>0</v>
      </c>
      <c r="O544" s="69">
        <v>0</v>
      </c>
      <c r="P544" s="69">
        <v>0</v>
      </c>
      <c r="Q544" s="69">
        <v>0</v>
      </c>
      <c r="R544" s="69">
        <v>0</v>
      </c>
      <c r="S544" s="69">
        <v>0</v>
      </c>
      <c r="T544" s="69">
        <v>0</v>
      </c>
      <c r="U544" s="69">
        <v>0</v>
      </c>
      <c r="V544" s="69">
        <v>0</v>
      </c>
      <c r="W544" s="69">
        <v>194.45960017248581</v>
      </c>
      <c r="X544" s="69">
        <v>194.45960017248581</v>
      </c>
      <c r="Y544" s="69">
        <v>194.45960017248581</v>
      </c>
      <c r="Z544" s="69">
        <v>194.45960017248581</v>
      </c>
      <c r="AA544" s="69">
        <v>194.45960017248581</v>
      </c>
      <c r="AB544" s="69">
        <v>194.45960017248581</v>
      </c>
      <c r="AC544" s="69">
        <v>194.45960017248581</v>
      </c>
      <c r="AD544" s="69">
        <v>194.45960017248581</v>
      </c>
      <c r="AE544" s="69">
        <v>194.45960017248581</v>
      </c>
      <c r="AF544" s="69">
        <v>194.45960017248581</v>
      </c>
      <c r="AG544" s="69">
        <v>194.45960017248581</v>
      </c>
    </row>
    <row r="545" spans="1:33" ht="12.75" customHeight="1">
      <c r="A545" s="231" t="s">
        <v>2375</v>
      </c>
      <c r="B545" s="69" t="s">
        <v>673</v>
      </c>
      <c r="C545" s="69" t="s">
        <v>186</v>
      </c>
      <c r="D545" s="69" t="s">
        <v>334</v>
      </c>
      <c r="E545" s="69" t="s">
        <v>260</v>
      </c>
      <c r="F545" s="69" t="s">
        <v>160</v>
      </c>
      <c r="G545" s="69" t="s">
        <v>192</v>
      </c>
      <c r="H545" s="69" t="s">
        <v>148</v>
      </c>
      <c r="I545" s="69">
        <v>4</v>
      </c>
      <c r="J545" s="238">
        <v>0.19559527787058692</v>
      </c>
      <c r="K545" s="238">
        <v>0</v>
      </c>
      <c r="L545" s="69">
        <v>307.09437722419932</v>
      </c>
      <c r="M545" s="69">
        <v>-26.263345195729539</v>
      </c>
      <c r="N545" s="69">
        <v>0</v>
      </c>
      <c r="O545" s="69">
        <v>0</v>
      </c>
      <c r="P545" s="69">
        <v>0</v>
      </c>
      <c r="Q545" s="69">
        <v>26.53595542362018</v>
      </c>
      <c r="R545" s="69">
        <v>26.53595542362018</v>
      </c>
      <c r="S545" s="69">
        <v>26.53595542362018</v>
      </c>
      <c r="T545" s="69">
        <v>26.53595542362018</v>
      </c>
      <c r="U545" s="69">
        <v>26.53595542362018</v>
      </c>
      <c r="V545" s="69">
        <v>26.53595542362018</v>
      </c>
      <c r="W545" s="69">
        <v>26.53595542362018</v>
      </c>
      <c r="X545" s="69">
        <v>26.53595542362018</v>
      </c>
      <c r="Y545" s="69">
        <v>26.53595542362018</v>
      </c>
      <c r="Z545" s="69">
        <v>26.53595542362018</v>
      </c>
      <c r="AA545" s="69">
        <v>26.53595542362018</v>
      </c>
      <c r="AB545" s="69">
        <v>26.53595542362018</v>
      </c>
      <c r="AC545" s="69">
        <v>26.53595542362018</v>
      </c>
      <c r="AD545" s="69">
        <v>26.53595542362018</v>
      </c>
      <c r="AE545" s="69">
        <v>26.53595542362018</v>
      </c>
      <c r="AF545" s="69">
        <v>26.53595542362018</v>
      </c>
      <c r="AG545" s="69">
        <v>26.53595542362018</v>
      </c>
    </row>
    <row r="546" spans="1:33" ht="12.75" customHeight="1">
      <c r="A546" s="231" t="s">
        <v>2375</v>
      </c>
      <c r="B546" s="69" t="s">
        <v>674</v>
      </c>
      <c r="C546" s="69" t="s">
        <v>186</v>
      </c>
      <c r="D546" s="69" t="s">
        <v>334</v>
      </c>
      <c r="E546" s="69" t="s">
        <v>260</v>
      </c>
      <c r="F546" s="69" t="s">
        <v>160</v>
      </c>
      <c r="G546" s="69" t="s">
        <v>192</v>
      </c>
      <c r="H546" s="69" t="s">
        <v>148</v>
      </c>
      <c r="I546" s="69">
        <v>4</v>
      </c>
      <c r="J546" s="238">
        <v>0.19559527787058692</v>
      </c>
      <c r="K546" s="238">
        <v>0</v>
      </c>
      <c r="L546" s="69">
        <v>307.09437722419932</v>
      </c>
      <c r="M546" s="69">
        <v>-26.263345195729539</v>
      </c>
      <c r="N546" s="69">
        <v>0</v>
      </c>
      <c r="O546" s="69">
        <v>0</v>
      </c>
      <c r="P546" s="69">
        <v>0</v>
      </c>
      <c r="Q546" s="69">
        <v>0</v>
      </c>
      <c r="R546" s="69">
        <v>26.53595542362018</v>
      </c>
      <c r="S546" s="69">
        <v>26.53595542362018</v>
      </c>
      <c r="T546" s="69">
        <v>26.53595542362018</v>
      </c>
      <c r="U546" s="69">
        <v>26.53595542362018</v>
      </c>
      <c r="V546" s="69">
        <v>26.53595542362018</v>
      </c>
      <c r="W546" s="69">
        <v>26.53595542362018</v>
      </c>
      <c r="X546" s="69">
        <v>26.53595542362018</v>
      </c>
      <c r="Y546" s="69">
        <v>26.53595542362018</v>
      </c>
      <c r="Z546" s="69">
        <v>26.53595542362018</v>
      </c>
      <c r="AA546" s="69">
        <v>26.53595542362018</v>
      </c>
      <c r="AB546" s="69">
        <v>26.53595542362018</v>
      </c>
      <c r="AC546" s="69">
        <v>26.53595542362018</v>
      </c>
      <c r="AD546" s="69">
        <v>26.53595542362018</v>
      </c>
      <c r="AE546" s="69">
        <v>26.53595542362018</v>
      </c>
      <c r="AF546" s="69">
        <v>26.53595542362018</v>
      </c>
      <c r="AG546" s="69">
        <v>26.53595542362018</v>
      </c>
    </row>
    <row r="547" spans="1:33" ht="12.75" customHeight="1">
      <c r="A547" s="231" t="s">
        <v>2375</v>
      </c>
      <c r="B547" s="69" t="s">
        <v>675</v>
      </c>
      <c r="C547" s="69" t="s">
        <v>186</v>
      </c>
      <c r="D547" s="69" t="s">
        <v>334</v>
      </c>
      <c r="E547" s="69" t="s">
        <v>260</v>
      </c>
      <c r="F547" s="69" t="s">
        <v>160</v>
      </c>
      <c r="G547" s="69" t="s">
        <v>192</v>
      </c>
      <c r="H547" s="69" t="s">
        <v>148</v>
      </c>
      <c r="I547" s="69">
        <v>4</v>
      </c>
      <c r="J547" s="238">
        <v>0.19559527787058692</v>
      </c>
      <c r="K547" s="238">
        <v>0</v>
      </c>
      <c r="L547" s="69">
        <v>307.09437722419932</v>
      </c>
      <c r="M547" s="69">
        <v>-26.263345195729539</v>
      </c>
      <c r="N547" s="69">
        <v>0</v>
      </c>
      <c r="O547" s="69">
        <v>0</v>
      </c>
      <c r="P547" s="69">
        <v>0</v>
      </c>
      <c r="Q547" s="69">
        <v>0</v>
      </c>
      <c r="R547" s="69">
        <v>0</v>
      </c>
      <c r="S547" s="69">
        <v>35.007711335150816</v>
      </c>
      <c r="T547" s="69">
        <v>35.007711335150816</v>
      </c>
      <c r="U547" s="69">
        <v>35.007711335150816</v>
      </c>
      <c r="V547" s="69">
        <v>35.007711335150816</v>
      </c>
      <c r="W547" s="69">
        <v>35.007711335150816</v>
      </c>
      <c r="X547" s="69">
        <v>35.007711335150816</v>
      </c>
      <c r="Y547" s="69">
        <v>35.007711335150816</v>
      </c>
      <c r="Z547" s="69">
        <v>35.007711335150816</v>
      </c>
      <c r="AA547" s="69">
        <v>35.007711335150816</v>
      </c>
      <c r="AB547" s="69">
        <v>35.007711335150816</v>
      </c>
      <c r="AC547" s="69">
        <v>35.007711335150816</v>
      </c>
      <c r="AD547" s="69">
        <v>35.007711335150816</v>
      </c>
      <c r="AE547" s="69">
        <v>35.007711335150816</v>
      </c>
      <c r="AF547" s="69">
        <v>35.007711335150816</v>
      </c>
      <c r="AG547" s="69">
        <v>35.007711335150816</v>
      </c>
    </row>
    <row r="548" spans="1:33" ht="12.75" customHeight="1">
      <c r="A548" s="231" t="s">
        <v>2375</v>
      </c>
      <c r="B548" s="69" t="s">
        <v>676</v>
      </c>
      <c r="C548" s="69" t="s">
        <v>186</v>
      </c>
      <c r="D548" s="69" t="s">
        <v>334</v>
      </c>
      <c r="E548" s="69" t="s">
        <v>260</v>
      </c>
      <c r="F548" s="69" t="s">
        <v>160</v>
      </c>
      <c r="G548" s="69" t="s">
        <v>192</v>
      </c>
      <c r="H548" s="69" t="s">
        <v>148</v>
      </c>
      <c r="I548" s="69">
        <v>4</v>
      </c>
      <c r="J548" s="238">
        <v>0.19559527787058692</v>
      </c>
      <c r="K548" s="238">
        <v>0</v>
      </c>
      <c r="L548" s="69">
        <v>307.09437722419932</v>
      </c>
      <c r="M548" s="69">
        <v>-26.263345195729539</v>
      </c>
      <c r="N548" s="69">
        <v>0</v>
      </c>
      <c r="O548" s="69">
        <v>0</v>
      </c>
      <c r="P548" s="69">
        <v>0</v>
      </c>
      <c r="Q548" s="69">
        <v>0</v>
      </c>
      <c r="R548" s="69">
        <v>0</v>
      </c>
      <c r="S548" s="69">
        <v>0</v>
      </c>
      <c r="T548" s="69">
        <v>35.007711335150816</v>
      </c>
      <c r="U548" s="69">
        <v>35.007711335150816</v>
      </c>
      <c r="V548" s="69">
        <v>35.007711335150816</v>
      </c>
      <c r="W548" s="69">
        <v>35.007711335150816</v>
      </c>
      <c r="X548" s="69">
        <v>35.007711335150816</v>
      </c>
      <c r="Y548" s="69">
        <v>35.007711335150816</v>
      </c>
      <c r="Z548" s="69">
        <v>35.007711335150816</v>
      </c>
      <c r="AA548" s="69">
        <v>35.007711335150816</v>
      </c>
      <c r="AB548" s="69">
        <v>35.007711335150816</v>
      </c>
      <c r="AC548" s="69">
        <v>35.007711335150816</v>
      </c>
      <c r="AD548" s="69">
        <v>35.007711335150816</v>
      </c>
      <c r="AE548" s="69">
        <v>35.007711335150816</v>
      </c>
      <c r="AF548" s="69">
        <v>35.007711335150816</v>
      </c>
      <c r="AG548" s="69">
        <v>35.007711335150816</v>
      </c>
    </row>
    <row r="549" spans="1:33" ht="12.75" customHeight="1">
      <c r="A549" s="231" t="s">
        <v>2375</v>
      </c>
      <c r="B549" s="69" t="s">
        <v>677</v>
      </c>
      <c r="C549" s="69" t="s">
        <v>186</v>
      </c>
      <c r="D549" s="69" t="s">
        <v>334</v>
      </c>
      <c r="E549" s="69" t="s">
        <v>260</v>
      </c>
      <c r="F549" s="69" t="s">
        <v>160</v>
      </c>
      <c r="G549" s="69" t="s">
        <v>192</v>
      </c>
      <c r="H549" s="69" t="s">
        <v>148</v>
      </c>
      <c r="I549" s="69">
        <v>4</v>
      </c>
      <c r="J549" s="238">
        <v>0.19559527787058692</v>
      </c>
      <c r="K549" s="238">
        <v>0</v>
      </c>
      <c r="L549" s="69">
        <v>307.09437722419932</v>
      </c>
      <c r="M549" s="69">
        <v>-26.263345195729539</v>
      </c>
      <c r="N549" s="69">
        <v>0</v>
      </c>
      <c r="O549" s="69">
        <v>0</v>
      </c>
      <c r="P549" s="69">
        <v>0</v>
      </c>
      <c r="Q549" s="69">
        <v>0</v>
      </c>
      <c r="R549" s="69">
        <v>0</v>
      </c>
      <c r="S549" s="69">
        <v>0</v>
      </c>
      <c r="T549" s="69">
        <v>0</v>
      </c>
      <c r="U549" s="69">
        <v>35.007711335150816</v>
      </c>
      <c r="V549" s="69">
        <v>35.007711335150816</v>
      </c>
      <c r="W549" s="69">
        <v>35.007711335150816</v>
      </c>
      <c r="X549" s="69">
        <v>35.007711335150816</v>
      </c>
      <c r="Y549" s="69">
        <v>35.007711335150816</v>
      </c>
      <c r="Z549" s="69">
        <v>35.007711335150816</v>
      </c>
      <c r="AA549" s="69">
        <v>35.007711335150816</v>
      </c>
      <c r="AB549" s="69">
        <v>35.007711335150816</v>
      </c>
      <c r="AC549" s="69">
        <v>35.007711335150816</v>
      </c>
      <c r="AD549" s="69">
        <v>35.007711335150816</v>
      </c>
      <c r="AE549" s="69">
        <v>35.007711335150816</v>
      </c>
      <c r="AF549" s="69">
        <v>35.007711335150816</v>
      </c>
      <c r="AG549" s="69">
        <v>35.007711335150816</v>
      </c>
    </row>
    <row r="550" spans="1:33" ht="12.75" customHeight="1">
      <c r="A550" s="231" t="s">
        <v>2375</v>
      </c>
      <c r="B550" s="69" t="s">
        <v>678</v>
      </c>
      <c r="C550" s="69" t="s">
        <v>186</v>
      </c>
      <c r="D550" s="69" t="s">
        <v>334</v>
      </c>
      <c r="E550" s="69" t="s">
        <v>260</v>
      </c>
      <c r="F550" s="69" t="s">
        <v>160</v>
      </c>
      <c r="G550" s="69" t="s">
        <v>192</v>
      </c>
      <c r="H550" s="69" t="s">
        <v>148</v>
      </c>
      <c r="I550" s="69">
        <v>4</v>
      </c>
      <c r="J550" s="238">
        <v>0.19559527787058692</v>
      </c>
      <c r="K550" s="238">
        <v>0</v>
      </c>
      <c r="L550" s="69">
        <v>307.09437722419932</v>
      </c>
      <c r="M550" s="69">
        <v>-26.263345195729539</v>
      </c>
      <c r="N550" s="69">
        <v>0</v>
      </c>
      <c r="O550" s="69">
        <v>0</v>
      </c>
      <c r="P550" s="69">
        <v>0</v>
      </c>
      <c r="Q550" s="69">
        <v>0</v>
      </c>
      <c r="R550" s="69">
        <v>0</v>
      </c>
      <c r="S550" s="69">
        <v>0</v>
      </c>
      <c r="T550" s="69">
        <v>0</v>
      </c>
      <c r="U550" s="69">
        <v>0</v>
      </c>
      <c r="V550" s="69">
        <v>35.007711335150816</v>
      </c>
      <c r="W550" s="69">
        <v>35.007711335150816</v>
      </c>
      <c r="X550" s="69">
        <v>35.007711335150816</v>
      </c>
      <c r="Y550" s="69">
        <v>35.007711335150816</v>
      </c>
      <c r="Z550" s="69">
        <v>35.007711335150816</v>
      </c>
      <c r="AA550" s="69">
        <v>35.007711335150816</v>
      </c>
      <c r="AB550" s="69">
        <v>35.007711335150816</v>
      </c>
      <c r="AC550" s="69">
        <v>35.007711335150816</v>
      </c>
      <c r="AD550" s="69">
        <v>35.007711335150816</v>
      </c>
      <c r="AE550" s="69">
        <v>35.007711335150816</v>
      </c>
      <c r="AF550" s="69">
        <v>35.007711335150816</v>
      </c>
      <c r="AG550" s="69">
        <v>35.007711335150816</v>
      </c>
    </row>
    <row r="551" spans="1:33" ht="12.75" customHeight="1">
      <c r="A551" s="231" t="s">
        <v>2375</v>
      </c>
      <c r="B551" s="69" t="s">
        <v>679</v>
      </c>
      <c r="C551" s="69" t="s">
        <v>186</v>
      </c>
      <c r="D551" s="69" t="s">
        <v>334</v>
      </c>
      <c r="E551" s="69" t="s">
        <v>260</v>
      </c>
      <c r="F551" s="69" t="s">
        <v>160</v>
      </c>
      <c r="G551" s="69" t="s">
        <v>192</v>
      </c>
      <c r="H551" s="69" t="s">
        <v>148</v>
      </c>
      <c r="I551" s="69">
        <v>4</v>
      </c>
      <c r="J551" s="238">
        <v>0.19559527787058692</v>
      </c>
      <c r="K551" s="238">
        <v>0</v>
      </c>
      <c r="L551" s="69">
        <v>307.09437722419932</v>
      </c>
      <c r="M551" s="69">
        <v>-26.263345195729539</v>
      </c>
      <c r="N551" s="69">
        <v>0</v>
      </c>
      <c r="O551" s="69">
        <v>0</v>
      </c>
      <c r="P551" s="69">
        <v>0</v>
      </c>
      <c r="Q551" s="69">
        <v>0</v>
      </c>
      <c r="R551" s="69">
        <v>0</v>
      </c>
      <c r="S551" s="69">
        <v>0</v>
      </c>
      <c r="T551" s="69">
        <v>0</v>
      </c>
      <c r="U551" s="69">
        <v>0</v>
      </c>
      <c r="V551" s="69">
        <v>0</v>
      </c>
      <c r="W551" s="69">
        <v>35.007711335150816</v>
      </c>
      <c r="X551" s="69">
        <v>35.007711335150816</v>
      </c>
      <c r="Y551" s="69">
        <v>35.007711335150816</v>
      </c>
      <c r="Z551" s="69">
        <v>35.007711335150816</v>
      </c>
      <c r="AA551" s="69">
        <v>35.007711335150816</v>
      </c>
      <c r="AB551" s="69">
        <v>35.007711335150816</v>
      </c>
      <c r="AC551" s="69">
        <v>35.007711335150816</v>
      </c>
      <c r="AD551" s="69">
        <v>35.007711335150816</v>
      </c>
      <c r="AE551" s="69">
        <v>35.007711335150816</v>
      </c>
      <c r="AF551" s="69">
        <v>35.007711335150816</v>
      </c>
      <c r="AG551" s="69">
        <v>35.007711335150816</v>
      </c>
    </row>
    <row r="552" spans="1:33" ht="12.75" customHeight="1">
      <c r="A552" s="231" t="s">
        <v>2375</v>
      </c>
      <c r="B552" s="69" t="s">
        <v>680</v>
      </c>
      <c r="C552" s="69" t="s">
        <v>186</v>
      </c>
      <c r="D552" s="69" t="s">
        <v>491</v>
      </c>
      <c r="E552" s="69" t="s">
        <v>244</v>
      </c>
      <c r="F552" s="69" t="s">
        <v>160</v>
      </c>
      <c r="G552" s="69" t="s">
        <v>192</v>
      </c>
      <c r="H552" s="69" t="s">
        <v>148</v>
      </c>
      <c r="I552" s="69">
        <v>4</v>
      </c>
      <c r="J552" s="238">
        <v>0.29362493967405423</v>
      </c>
      <c r="K552" s="238">
        <v>0</v>
      </c>
      <c r="L552" s="69">
        <v>195.89803239826156</v>
      </c>
      <c r="M552" s="69">
        <v>-17.495061240616362</v>
      </c>
      <c r="N552" s="69">
        <v>0</v>
      </c>
      <c r="O552" s="69">
        <v>0</v>
      </c>
      <c r="P552" s="69">
        <v>0</v>
      </c>
      <c r="Q552" s="69">
        <v>0.1602611391354003</v>
      </c>
      <c r="R552" s="69">
        <v>0.1602611391354003</v>
      </c>
      <c r="S552" s="69">
        <v>0.1602611391354003</v>
      </c>
      <c r="T552" s="69">
        <v>0.1602611391354003</v>
      </c>
      <c r="U552" s="69">
        <v>0.1602611391354003</v>
      </c>
      <c r="V552" s="69">
        <v>0.1602611391354003</v>
      </c>
      <c r="W552" s="69">
        <v>0.1602611391354003</v>
      </c>
      <c r="X552" s="69">
        <v>0.1602611391354003</v>
      </c>
      <c r="Y552" s="69">
        <v>0.1602611391354003</v>
      </c>
      <c r="Z552" s="69">
        <v>0.1602611391354003</v>
      </c>
      <c r="AA552" s="69">
        <v>0.1602611391354003</v>
      </c>
      <c r="AB552" s="69">
        <v>0.1602611391354003</v>
      </c>
      <c r="AC552" s="69">
        <v>0.1602611391354003</v>
      </c>
      <c r="AD552" s="69">
        <v>0.1602611391354003</v>
      </c>
      <c r="AE552" s="69">
        <v>0.1602611391354003</v>
      </c>
      <c r="AF552" s="69">
        <v>0.1602611391354003</v>
      </c>
      <c r="AG552" s="69">
        <v>0.1602611391354003</v>
      </c>
    </row>
    <row r="553" spans="1:33" ht="12.75" customHeight="1">
      <c r="A553" s="231" t="s">
        <v>2375</v>
      </c>
      <c r="B553" s="69" t="s">
        <v>681</v>
      </c>
      <c r="C553" s="69" t="s">
        <v>186</v>
      </c>
      <c r="D553" s="69" t="s">
        <v>491</v>
      </c>
      <c r="E553" s="69" t="s">
        <v>244</v>
      </c>
      <c r="F553" s="69" t="s">
        <v>160</v>
      </c>
      <c r="G553" s="69" t="s">
        <v>192</v>
      </c>
      <c r="H553" s="69" t="s">
        <v>148</v>
      </c>
      <c r="I553" s="69">
        <v>4</v>
      </c>
      <c r="J553" s="238">
        <v>0.29362493967405423</v>
      </c>
      <c r="K553" s="238">
        <v>0</v>
      </c>
      <c r="L553" s="69">
        <v>195.89803239826156</v>
      </c>
      <c r="M553" s="69">
        <v>-17.495061240616362</v>
      </c>
      <c r="N553" s="69">
        <v>0</v>
      </c>
      <c r="O553" s="69">
        <v>0</v>
      </c>
      <c r="P553" s="69">
        <v>0</v>
      </c>
      <c r="Q553" s="69">
        <v>0</v>
      </c>
      <c r="R553" s="69">
        <v>0.1602611391354003</v>
      </c>
      <c r="S553" s="69">
        <v>0.1602611391354003</v>
      </c>
      <c r="T553" s="69">
        <v>0.1602611391354003</v>
      </c>
      <c r="U553" s="69">
        <v>0.1602611391354003</v>
      </c>
      <c r="V553" s="69">
        <v>0.1602611391354003</v>
      </c>
      <c r="W553" s="69">
        <v>0.1602611391354003</v>
      </c>
      <c r="X553" s="69">
        <v>0.1602611391354003</v>
      </c>
      <c r="Y553" s="69">
        <v>0.1602611391354003</v>
      </c>
      <c r="Z553" s="69">
        <v>0.1602611391354003</v>
      </c>
      <c r="AA553" s="69">
        <v>0.1602611391354003</v>
      </c>
      <c r="AB553" s="69">
        <v>0.1602611391354003</v>
      </c>
      <c r="AC553" s="69">
        <v>0.1602611391354003</v>
      </c>
      <c r="AD553" s="69">
        <v>0.1602611391354003</v>
      </c>
      <c r="AE553" s="69">
        <v>0.1602611391354003</v>
      </c>
      <c r="AF553" s="69">
        <v>0.1602611391354003</v>
      </c>
      <c r="AG553" s="69">
        <v>0.1602611391354003</v>
      </c>
    </row>
    <row r="554" spans="1:33" ht="12.75" customHeight="1">
      <c r="A554" s="231" t="s">
        <v>2375</v>
      </c>
      <c r="B554" s="69" t="s">
        <v>682</v>
      </c>
      <c r="C554" s="69" t="s">
        <v>186</v>
      </c>
      <c r="D554" s="69" t="s">
        <v>491</v>
      </c>
      <c r="E554" s="69" t="s">
        <v>244</v>
      </c>
      <c r="F554" s="69" t="s">
        <v>160</v>
      </c>
      <c r="G554" s="69" t="s">
        <v>192</v>
      </c>
      <c r="H554" s="69" t="s">
        <v>148</v>
      </c>
      <c r="I554" s="69">
        <v>4</v>
      </c>
      <c r="J554" s="238">
        <v>0.29362493967405423</v>
      </c>
      <c r="K554" s="238">
        <v>0</v>
      </c>
      <c r="L554" s="69">
        <v>195.89803239826156</v>
      </c>
      <c r="M554" s="69">
        <v>-17.495061240616362</v>
      </c>
      <c r="N554" s="69">
        <v>0</v>
      </c>
      <c r="O554" s="69">
        <v>0</v>
      </c>
      <c r="P554" s="69">
        <v>0</v>
      </c>
      <c r="Q554" s="69">
        <v>0</v>
      </c>
      <c r="R554" s="69">
        <v>0</v>
      </c>
      <c r="S554" s="69">
        <v>0.1602611391354003</v>
      </c>
      <c r="T554" s="69">
        <v>0.1602611391354003</v>
      </c>
      <c r="U554" s="69">
        <v>0.1602611391354003</v>
      </c>
      <c r="V554" s="69">
        <v>0.1602611391354003</v>
      </c>
      <c r="W554" s="69">
        <v>0.1602611391354003</v>
      </c>
      <c r="X554" s="69">
        <v>0.1602611391354003</v>
      </c>
      <c r="Y554" s="69">
        <v>0.1602611391354003</v>
      </c>
      <c r="Z554" s="69">
        <v>0.1602611391354003</v>
      </c>
      <c r="AA554" s="69">
        <v>0.1602611391354003</v>
      </c>
      <c r="AB554" s="69">
        <v>0.1602611391354003</v>
      </c>
      <c r="AC554" s="69">
        <v>0.1602611391354003</v>
      </c>
      <c r="AD554" s="69">
        <v>0.1602611391354003</v>
      </c>
      <c r="AE554" s="69">
        <v>0.1602611391354003</v>
      </c>
      <c r="AF554" s="69">
        <v>0.1602611391354003</v>
      </c>
      <c r="AG554" s="69">
        <v>0.1602611391354003</v>
      </c>
    </row>
    <row r="555" spans="1:33" ht="12.75" customHeight="1">
      <c r="A555" s="231" t="s">
        <v>2375</v>
      </c>
      <c r="B555" s="69" t="s">
        <v>683</v>
      </c>
      <c r="C555" s="69" t="s">
        <v>186</v>
      </c>
      <c r="D555" s="69" t="s">
        <v>491</v>
      </c>
      <c r="E555" s="69" t="s">
        <v>244</v>
      </c>
      <c r="F555" s="69" t="s">
        <v>160</v>
      </c>
      <c r="G555" s="69" t="s">
        <v>192</v>
      </c>
      <c r="H555" s="69" t="s">
        <v>148</v>
      </c>
      <c r="I555" s="69">
        <v>4</v>
      </c>
      <c r="J555" s="238">
        <v>0.29362493967405423</v>
      </c>
      <c r="K555" s="238">
        <v>0</v>
      </c>
      <c r="L555" s="69">
        <v>195.89803239826156</v>
      </c>
      <c r="M555" s="69">
        <v>-17.495061240616362</v>
      </c>
      <c r="N555" s="69">
        <v>0</v>
      </c>
      <c r="O555" s="69">
        <v>0</v>
      </c>
      <c r="P555" s="69">
        <v>0</v>
      </c>
      <c r="Q555" s="69">
        <v>0</v>
      </c>
      <c r="R555" s="69">
        <v>0</v>
      </c>
      <c r="S555" s="69">
        <v>0</v>
      </c>
      <c r="T555" s="69">
        <v>0.1602611391354003</v>
      </c>
      <c r="U555" s="69">
        <v>0.1602611391354003</v>
      </c>
      <c r="V555" s="69">
        <v>0.1602611391354003</v>
      </c>
      <c r="W555" s="69">
        <v>0.1602611391354003</v>
      </c>
      <c r="X555" s="69">
        <v>0.1602611391354003</v>
      </c>
      <c r="Y555" s="69">
        <v>0.1602611391354003</v>
      </c>
      <c r="Z555" s="69">
        <v>0.1602611391354003</v>
      </c>
      <c r="AA555" s="69">
        <v>0.1602611391354003</v>
      </c>
      <c r="AB555" s="69">
        <v>0.1602611391354003</v>
      </c>
      <c r="AC555" s="69">
        <v>0.1602611391354003</v>
      </c>
      <c r="AD555" s="69">
        <v>0.1602611391354003</v>
      </c>
      <c r="AE555" s="69">
        <v>0.1602611391354003</v>
      </c>
      <c r="AF555" s="69">
        <v>0.1602611391354003</v>
      </c>
      <c r="AG555" s="69">
        <v>0.1602611391354003</v>
      </c>
    </row>
    <row r="556" spans="1:33" ht="12.75" customHeight="1">
      <c r="A556" s="231" t="s">
        <v>2375</v>
      </c>
      <c r="B556" s="69" t="s">
        <v>684</v>
      </c>
      <c r="C556" s="69" t="s">
        <v>186</v>
      </c>
      <c r="D556" s="69" t="s">
        <v>491</v>
      </c>
      <c r="E556" s="69" t="s">
        <v>244</v>
      </c>
      <c r="F556" s="69" t="s">
        <v>160</v>
      </c>
      <c r="G556" s="69" t="s">
        <v>192</v>
      </c>
      <c r="H556" s="69" t="s">
        <v>148</v>
      </c>
      <c r="I556" s="69">
        <v>4</v>
      </c>
      <c r="J556" s="238">
        <v>0.29362493967405423</v>
      </c>
      <c r="K556" s="238">
        <v>0</v>
      </c>
      <c r="L556" s="69">
        <v>195.89803239826156</v>
      </c>
      <c r="M556" s="69">
        <v>-17.495061240616362</v>
      </c>
      <c r="N556" s="69">
        <v>0</v>
      </c>
      <c r="O556" s="69">
        <v>0</v>
      </c>
      <c r="P556" s="69">
        <v>0</v>
      </c>
      <c r="Q556" s="69">
        <v>0</v>
      </c>
      <c r="R556" s="69">
        <v>0</v>
      </c>
      <c r="S556" s="69">
        <v>0</v>
      </c>
      <c r="T556" s="69">
        <v>0</v>
      </c>
      <c r="U556" s="69">
        <v>0.1602611391354003</v>
      </c>
      <c r="V556" s="69">
        <v>0.1602611391354003</v>
      </c>
      <c r="W556" s="69">
        <v>0.1602611391354003</v>
      </c>
      <c r="X556" s="69">
        <v>0.1602611391354003</v>
      </c>
      <c r="Y556" s="69">
        <v>0.1602611391354003</v>
      </c>
      <c r="Z556" s="69">
        <v>0.1602611391354003</v>
      </c>
      <c r="AA556" s="69">
        <v>0.1602611391354003</v>
      </c>
      <c r="AB556" s="69">
        <v>0.1602611391354003</v>
      </c>
      <c r="AC556" s="69">
        <v>0.1602611391354003</v>
      </c>
      <c r="AD556" s="69">
        <v>0.1602611391354003</v>
      </c>
      <c r="AE556" s="69">
        <v>0.1602611391354003</v>
      </c>
      <c r="AF556" s="69">
        <v>0.1602611391354003</v>
      </c>
      <c r="AG556" s="69">
        <v>0.1602611391354003</v>
      </c>
    </row>
    <row r="557" spans="1:33" ht="12.75" customHeight="1">
      <c r="A557" s="231" t="s">
        <v>2375</v>
      </c>
      <c r="B557" s="69" t="s">
        <v>685</v>
      </c>
      <c r="C557" s="69" t="s">
        <v>186</v>
      </c>
      <c r="D557" s="69" t="s">
        <v>491</v>
      </c>
      <c r="E557" s="69" t="s">
        <v>244</v>
      </c>
      <c r="F557" s="69" t="s">
        <v>160</v>
      </c>
      <c r="G557" s="69" t="s">
        <v>192</v>
      </c>
      <c r="H557" s="69" t="s">
        <v>148</v>
      </c>
      <c r="I557" s="69">
        <v>4</v>
      </c>
      <c r="J557" s="238">
        <v>0.29362493967405423</v>
      </c>
      <c r="K557" s="238">
        <v>0</v>
      </c>
      <c r="L557" s="69">
        <v>195.89803239826156</v>
      </c>
      <c r="M557" s="69">
        <v>-17.495061240616362</v>
      </c>
      <c r="N557" s="69">
        <v>0</v>
      </c>
      <c r="O557" s="69">
        <v>0</v>
      </c>
      <c r="P557" s="69">
        <v>0</v>
      </c>
      <c r="Q557" s="69">
        <v>0</v>
      </c>
      <c r="R557" s="69">
        <v>0</v>
      </c>
      <c r="S557" s="69">
        <v>0</v>
      </c>
      <c r="T557" s="69">
        <v>0</v>
      </c>
      <c r="U557" s="69">
        <v>0</v>
      </c>
      <c r="V557" s="69">
        <v>0.1602611391354003</v>
      </c>
      <c r="W557" s="69">
        <v>0.1602611391354003</v>
      </c>
      <c r="X557" s="69">
        <v>0.1602611391354003</v>
      </c>
      <c r="Y557" s="69">
        <v>0.1602611391354003</v>
      </c>
      <c r="Z557" s="69">
        <v>0.1602611391354003</v>
      </c>
      <c r="AA557" s="69">
        <v>0.1602611391354003</v>
      </c>
      <c r="AB557" s="69">
        <v>0.1602611391354003</v>
      </c>
      <c r="AC557" s="69">
        <v>0.1602611391354003</v>
      </c>
      <c r="AD557" s="69">
        <v>0.1602611391354003</v>
      </c>
      <c r="AE557" s="69">
        <v>0.1602611391354003</v>
      </c>
      <c r="AF557" s="69">
        <v>0.1602611391354003</v>
      </c>
      <c r="AG557" s="69">
        <v>0.1602611391354003</v>
      </c>
    </row>
    <row r="558" spans="1:33" ht="12.75" customHeight="1">
      <c r="A558" s="231" t="s">
        <v>2375</v>
      </c>
      <c r="B558" s="69" t="s">
        <v>686</v>
      </c>
      <c r="C558" s="69" t="s">
        <v>186</v>
      </c>
      <c r="D558" s="69" t="s">
        <v>491</v>
      </c>
      <c r="E558" s="69" t="s">
        <v>244</v>
      </c>
      <c r="F558" s="69" t="s">
        <v>160</v>
      </c>
      <c r="G558" s="69" t="s">
        <v>192</v>
      </c>
      <c r="H558" s="69" t="s">
        <v>148</v>
      </c>
      <c r="I558" s="69">
        <v>4</v>
      </c>
      <c r="J558" s="238">
        <v>0.29362493967405423</v>
      </c>
      <c r="K558" s="238">
        <v>0</v>
      </c>
      <c r="L558" s="69">
        <v>195.89803239826156</v>
      </c>
      <c r="M558" s="69">
        <v>-17.495061240616362</v>
      </c>
      <c r="N558" s="69">
        <v>0</v>
      </c>
      <c r="O558" s="69">
        <v>0</v>
      </c>
      <c r="P558" s="69">
        <v>0</v>
      </c>
      <c r="Q558" s="69">
        <v>0</v>
      </c>
      <c r="R558" s="69">
        <v>0</v>
      </c>
      <c r="S558" s="69">
        <v>0</v>
      </c>
      <c r="T558" s="69">
        <v>0</v>
      </c>
      <c r="U558" s="69">
        <v>0</v>
      </c>
      <c r="V558" s="69">
        <v>0</v>
      </c>
      <c r="W558" s="69">
        <v>0.1602611391354003</v>
      </c>
      <c r="X558" s="69">
        <v>0.1602611391354003</v>
      </c>
      <c r="Y558" s="69">
        <v>0.1602611391354003</v>
      </c>
      <c r="Z558" s="69">
        <v>0.1602611391354003</v>
      </c>
      <c r="AA558" s="69">
        <v>0.1602611391354003</v>
      </c>
      <c r="AB558" s="69">
        <v>0.1602611391354003</v>
      </c>
      <c r="AC558" s="69">
        <v>0.1602611391354003</v>
      </c>
      <c r="AD558" s="69">
        <v>0.1602611391354003</v>
      </c>
      <c r="AE558" s="69">
        <v>0.1602611391354003</v>
      </c>
      <c r="AF558" s="69">
        <v>0.1602611391354003</v>
      </c>
      <c r="AG558" s="69">
        <v>0.1602611391354003</v>
      </c>
    </row>
    <row r="559" spans="1:33" ht="12.75" customHeight="1">
      <c r="A559" s="231" t="s">
        <v>2375</v>
      </c>
      <c r="B559" s="69" t="s">
        <v>687</v>
      </c>
      <c r="C559" s="69" t="s">
        <v>186</v>
      </c>
      <c r="D559" s="69" t="s">
        <v>491</v>
      </c>
      <c r="E559" s="69" t="s">
        <v>203</v>
      </c>
      <c r="F559" s="69" t="s">
        <v>160</v>
      </c>
      <c r="G559" s="69" t="s">
        <v>192</v>
      </c>
      <c r="H559" s="69" t="s">
        <v>148</v>
      </c>
      <c r="I559" s="69">
        <v>4</v>
      </c>
      <c r="J559" s="238">
        <v>0.25568920072762369</v>
      </c>
      <c r="K559" s="238">
        <v>0</v>
      </c>
      <c r="L559" s="69">
        <v>224.9627586206897</v>
      </c>
      <c r="M559" s="69">
        <v>-20.090744101633398</v>
      </c>
      <c r="N559" s="69">
        <v>0</v>
      </c>
      <c r="O559" s="69">
        <v>0</v>
      </c>
      <c r="P559" s="69">
        <v>0</v>
      </c>
      <c r="Q559" s="69">
        <v>0.23367470939410853</v>
      </c>
      <c r="R559" s="69">
        <v>0.23367470939410853</v>
      </c>
      <c r="S559" s="69">
        <v>0.23367470939410853</v>
      </c>
      <c r="T559" s="69">
        <v>0.23367470939410853</v>
      </c>
      <c r="U559" s="69">
        <v>0.23367470939410853</v>
      </c>
      <c r="V559" s="69">
        <v>0.23367470939410853</v>
      </c>
      <c r="W559" s="69">
        <v>0.23367470939410853</v>
      </c>
      <c r="X559" s="69">
        <v>0.23367470939410853</v>
      </c>
      <c r="Y559" s="69">
        <v>0.23367470939410853</v>
      </c>
      <c r="Z559" s="69">
        <v>0.23367470939410853</v>
      </c>
      <c r="AA559" s="69">
        <v>0.23367470939410853</v>
      </c>
      <c r="AB559" s="69">
        <v>0.23367470939410853</v>
      </c>
      <c r="AC559" s="69">
        <v>0.23367470939410853</v>
      </c>
      <c r="AD559" s="69">
        <v>0.23367470939410853</v>
      </c>
      <c r="AE559" s="69">
        <v>0.23367470939410853</v>
      </c>
      <c r="AF559" s="69">
        <v>0.23367470939410853</v>
      </c>
      <c r="AG559" s="69">
        <v>0.23367470939410853</v>
      </c>
    </row>
    <row r="560" spans="1:33" ht="12.75" customHeight="1">
      <c r="A560" s="231" t="s">
        <v>2375</v>
      </c>
      <c r="B560" s="69" t="s">
        <v>688</v>
      </c>
      <c r="C560" s="69" t="s">
        <v>186</v>
      </c>
      <c r="D560" s="69" t="s">
        <v>491</v>
      </c>
      <c r="E560" s="69" t="s">
        <v>203</v>
      </c>
      <c r="F560" s="69" t="s">
        <v>160</v>
      </c>
      <c r="G560" s="69" t="s">
        <v>192</v>
      </c>
      <c r="H560" s="69" t="s">
        <v>148</v>
      </c>
      <c r="I560" s="69">
        <v>4</v>
      </c>
      <c r="J560" s="238">
        <v>0.25568920072762369</v>
      </c>
      <c r="K560" s="238">
        <v>0</v>
      </c>
      <c r="L560" s="69">
        <v>224.9627586206897</v>
      </c>
      <c r="M560" s="69">
        <v>-20.090744101633398</v>
      </c>
      <c r="N560" s="69">
        <v>0</v>
      </c>
      <c r="O560" s="69">
        <v>0</v>
      </c>
      <c r="P560" s="69">
        <v>0</v>
      </c>
      <c r="Q560" s="69">
        <v>0</v>
      </c>
      <c r="R560" s="69">
        <v>0.23367470939410853</v>
      </c>
      <c r="S560" s="69">
        <v>0.23367470939410853</v>
      </c>
      <c r="T560" s="69">
        <v>0.23367470939410853</v>
      </c>
      <c r="U560" s="69">
        <v>0.23367470939410853</v>
      </c>
      <c r="V560" s="69">
        <v>0.23367470939410853</v>
      </c>
      <c r="W560" s="69">
        <v>0.23367470939410853</v>
      </c>
      <c r="X560" s="69">
        <v>0.23367470939410853</v>
      </c>
      <c r="Y560" s="69">
        <v>0.23367470939410853</v>
      </c>
      <c r="Z560" s="69">
        <v>0.23367470939410853</v>
      </c>
      <c r="AA560" s="69">
        <v>0.23367470939410853</v>
      </c>
      <c r="AB560" s="69">
        <v>0.23367470939410853</v>
      </c>
      <c r="AC560" s="69">
        <v>0.23367470939410853</v>
      </c>
      <c r="AD560" s="69">
        <v>0.23367470939410853</v>
      </c>
      <c r="AE560" s="69">
        <v>0.23367470939410853</v>
      </c>
      <c r="AF560" s="69">
        <v>0.23367470939410853</v>
      </c>
      <c r="AG560" s="69">
        <v>0.23367470939410853</v>
      </c>
    </row>
    <row r="561" spans="1:33" ht="12.75" customHeight="1">
      <c r="A561" s="231" t="s">
        <v>2375</v>
      </c>
      <c r="B561" s="69" t="s">
        <v>689</v>
      </c>
      <c r="C561" s="69" t="s">
        <v>186</v>
      </c>
      <c r="D561" s="69" t="s">
        <v>491</v>
      </c>
      <c r="E561" s="69" t="s">
        <v>203</v>
      </c>
      <c r="F561" s="69" t="s">
        <v>160</v>
      </c>
      <c r="G561" s="69" t="s">
        <v>192</v>
      </c>
      <c r="H561" s="69" t="s">
        <v>148</v>
      </c>
      <c r="I561" s="69">
        <v>4</v>
      </c>
      <c r="J561" s="238">
        <v>0.25568920072762369</v>
      </c>
      <c r="K561" s="238">
        <v>0</v>
      </c>
      <c r="L561" s="69">
        <v>224.9627586206897</v>
      </c>
      <c r="M561" s="69">
        <v>-20.090744101633398</v>
      </c>
      <c r="N561" s="69">
        <v>0</v>
      </c>
      <c r="O561" s="69">
        <v>0</v>
      </c>
      <c r="P561" s="69">
        <v>0</v>
      </c>
      <c r="Q561" s="69">
        <v>0</v>
      </c>
      <c r="R561" s="69">
        <v>0</v>
      </c>
      <c r="S561" s="69">
        <v>0.23367470939410853</v>
      </c>
      <c r="T561" s="69">
        <v>0.23367470939410853</v>
      </c>
      <c r="U561" s="69">
        <v>0.23367470939410853</v>
      </c>
      <c r="V561" s="69">
        <v>0.23367470939410853</v>
      </c>
      <c r="W561" s="69">
        <v>0.23367470939410853</v>
      </c>
      <c r="X561" s="69">
        <v>0.23367470939410853</v>
      </c>
      <c r="Y561" s="69">
        <v>0.23367470939410853</v>
      </c>
      <c r="Z561" s="69">
        <v>0.23367470939410853</v>
      </c>
      <c r="AA561" s="69">
        <v>0.23367470939410853</v>
      </c>
      <c r="AB561" s="69">
        <v>0.23367470939410853</v>
      </c>
      <c r="AC561" s="69">
        <v>0.23367470939410853</v>
      </c>
      <c r="AD561" s="69">
        <v>0.23367470939410853</v>
      </c>
      <c r="AE561" s="69">
        <v>0.23367470939410853</v>
      </c>
      <c r="AF561" s="69">
        <v>0.23367470939410853</v>
      </c>
      <c r="AG561" s="69">
        <v>0.23367470939410853</v>
      </c>
    </row>
    <row r="562" spans="1:33" ht="12.75" customHeight="1">
      <c r="A562" s="231" t="s">
        <v>2375</v>
      </c>
      <c r="B562" s="69" t="s">
        <v>690</v>
      </c>
      <c r="C562" s="69" t="s">
        <v>186</v>
      </c>
      <c r="D562" s="69" t="s">
        <v>491</v>
      </c>
      <c r="E562" s="69" t="s">
        <v>203</v>
      </c>
      <c r="F562" s="69" t="s">
        <v>160</v>
      </c>
      <c r="G562" s="69" t="s">
        <v>192</v>
      </c>
      <c r="H562" s="69" t="s">
        <v>148</v>
      </c>
      <c r="I562" s="69">
        <v>4</v>
      </c>
      <c r="J562" s="238">
        <v>0.25568920072762369</v>
      </c>
      <c r="K562" s="238">
        <v>0</v>
      </c>
      <c r="L562" s="69">
        <v>224.9627586206897</v>
      </c>
      <c r="M562" s="69">
        <v>-20.090744101633398</v>
      </c>
      <c r="N562" s="69">
        <v>0</v>
      </c>
      <c r="O562" s="69">
        <v>0</v>
      </c>
      <c r="P562" s="69">
        <v>0</v>
      </c>
      <c r="Q562" s="69">
        <v>0</v>
      </c>
      <c r="R562" s="69">
        <v>0</v>
      </c>
      <c r="S562" s="69">
        <v>0</v>
      </c>
      <c r="T562" s="69">
        <v>0.23367470939410853</v>
      </c>
      <c r="U562" s="69">
        <v>0.23367470939410853</v>
      </c>
      <c r="V562" s="69">
        <v>0.23367470939410853</v>
      </c>
      <c r="W562" s="69">
        <v>0.23367470939410853</v>
      </c>
      <c r="X562" s="69">
        <v>0.23367470939410853</v>
      </c>
      <c r="Y562" s="69">
        <v>0.23367470939410853</v>
      </c>
      <c r="Z562" s="69">
        <v>0.23367470939410853</v>
      </c>
      <c r="AA562" s="69">
        <v>0.23367470939410853</v>
      </c>
      <c r="AB562" s="69">
        <v>0.23367470939410853</v>
      </c>
      <c r="AC562" s="69">
        <v>0.23367470939410853</v>
      </c>
      <c r="AD562" s="69">
        <v>0.23367470939410853</v>
      </c>
      <c r="AE562" s="69">
        <v>0.23367470939410853</v>
      </c>
      <c r="AF562" s="69">
        <v>0.23367470939410853</v>
      </c>
      <c r="AG562" s="69">
        <v>0.23367470939410853</v>
      </c>
    </row>
    <row r="563" spans="1:33" ht="12.75" customHeight="1">
      <c r="A563" s="231" t="s">
        <v>2375</v>
      </c>
      <c r="B563" s="69" t="s">
        <v>691</v>
      </c>
      <c r="C563" s="69" t="s">
        <v>186</v>
      </c>
      <c r="D563" s="69" t="s">
        <v>491</v>
      </c>
      <c r="E563" s="69" t="s">
        <v>203</v>
      </c>
      <c r="F563" s="69" t="s">
        <v>160</v>
      </c>
      <c r="G563" s="69" t="s">
        <v>192</v>
      </c>
      <c r="H563" s="69" t="s">
        <v>148</v>
      </c>
      <c r="I563" s="69">
        <v>4</v>
      </c>
      <c r="J563" s="238">
        <v>0.25568920072762369</v>
      </c>
      <c r="K563" s="238">
        <v>0</v>
      </c>
      <c r="L563" s="69">
        <v>224.9627586206897</v>
      </c>
      <c r="M563" s="69">
        <v>-20.090744101633398</v>
      </c>
      <c r="N563" s="69">
        <v>0</v>
      </c>
      <c r="O563" s="69">
        <v>0</v>
      </c>
      <c r="P563" s="69">
        <v>0</v>
      </c>
      <c r="Q563" s="69">
        <v>0</v>
      </c>
      <c r="R563" s="69">
        <v>0</v>
      </c>
      <c r="S563" s="69">
        <v>0</v>
      </c>
      <c r="T563" s="69">
        <v>0</v>
      </c>
      <c r="U563" s="69">
        <v>0.23367470939410853</v>
      </c>
      <c r="V563" s="69">
        <v>0.23367470939410853</v>
      </c>
      <c r="W563" s="69">
        <v>0.23367470939410853</v>
      </c>
      <c r="X563" s="69">
        <v>0.23367470939410853</v>
      </c>
      <c r="Y563" s="69">
        <v>0.23367470939410853</v>
      </c>
      <c r="Z563" s="69">
        <v>0.23367470939410853</v>
      </c>
      <c r="AA563" s="69">
        <v>0.23367470939410853</v>
      </c>
      <c r="AB563" s="69">
        <v>0.23367470939410853</v>
      </c>
      <c r="AC563" s="69">
        <v>0.23367470939410853</v>
      </c>
      <c r="AD563" s="69">
        <v>0.23367470939410853</v>
      </c>
      <c r="AE563" s="69">
        <v>0.23367470939410853</v>
      </c>
      <c r="AF563" s="69">
        <v>0.23367470939410853</v>
      </c>
      <c r="AG563" s="69">
        <v>0.23367470939410853</v>
      </c>
    </row>
    <row r="564" spans="1:33" ht="12.75" customHeight="1">
      <c r="A564" s="231" t="s">
        <v>2375</v>
      </c>
      <c r="B564" s="69" t="s">
        <v>692</v>
      </c>
      <c r="C564" s="69" t="s">
        <v>186</v>
      </c>
      <c r="D564" s="69" t="s">
        <v>491</v>
      </c>
      <c r="E564" s="69" t="s">
        <v>203</v>
      </c>
      <c r="F564" s="69" t="s">
        <v>160</v>
      </c>
      <c r="G564" s="69" t="s">
        <v>192</v>
      </c>
      <c r="H564" s="69" t="s">
        <v>148</v>
      </c>
      <c r="I564" s="69">
        <v>4</v>
      </c>
      <c r="J564" s="238">
        <v>0.25568920072762369</v>
      </c>
      <c r="K564" s="238">
        <v>0</v>
      </c>
      <c r="L564" s="69">
        <v>224.9627586206897</v>
      </c>
      <c r="M564" s="69">
        <v>-20.090744101633398</v>
      </c>
      <c r="N564" s="69">
        <v>0</v>
      </c>
      <c r="O564" s="69">
        <v>0</v>
      </c>
      <c r="P564" s="69">
        <v>0</v>
      </c>
      <c r="Q564" s="69">
        <v>0</v>
      </c>
      <c r="R564" s="69">
        <v>0</v>
      </c>
      <c r="S564" s="69">
        <v>0</v>
      </c>
      <c r="T564" s="69">
        <v>0</v>
      </c>
      <c r="U564" s="69">
        <v>0</v>
      </c>
      <c r="V564" s="69">
        <v>0.23367470939410853</v>
      </c>
      <c r="W564" s="69">
        <v>0.23367470939410853</v>
      </c>
      <c r="X564" s="69">
        <v>0.23367470939410853</v>
      </c>
      <c r="Y564" s="69">
        <v>0.23367470939410853</v>
      </c>
      <c r="Z564" s="69">
        <v>0.23367470939410853</v>
      </c>
      <c r="AA564" s="69">
        <v>0.23367470939410853</v>
      </c>
      <c r="AB564" s="69">
        <v>0.23367470939410853</v>
      </c>
      <c r="AC564" s="69">
        <v>0.23367470939410853</v>
      </c>
      <c r="AD564" s="69">
        <v>0.23367470939410853</v>
      </c>
      <c r="AE564" s="69">
        <v>0.23367470939410853</v>
      </c>
      <c r="AF564" s="69">
        <v>0.23367470939410853</v>
      </c>
      <c r="AG564" s="69">
        <v>0.23367470939410853</v>
      </c>
    </row>
    <row r="565" spans="1:33" ht="12.75" customHeight="1">
      <c r="A565" s="231" t="s">
        <v>2375</v>
      </c>
      <c r="B565" s="69" t="s">
        <v>693</v>
      </c>
      <c r="C565" s="69" t="s">
        <v>186</v>
      </c>
      <c r="D565" s="69" t="s">
        <v>491</v>
      </c>
      <c r="E565" s="69" t="s">
        <v>203</v>
      </c>
      <c r="F565" s="69" t="s">
        <v>160</v>
      </c>
      <c r="G565" s="69" t="s">
        <v>192</v>
      </c>
      <c r="H565" s="69" t="s">
        <v>148</v>
      </c>
      <c r="I565" s="69">
        <v>4</v>
      </c>
      <c r="J565" s="238">
        <v>0.25568920072762369</v>
      </c>
      <c r="K565" s="238">
        <v>0</v>
      </c>
      <c r="L565" s="69">
        <v>224.9627586206897</v>
      </c>
      <c r="M565" s="69">
        <v>-20.090744101633398</v>
      </c>
      <c r="N565" s="69">
        <v>0</v>
      </c>
      <c r="O565" s="69">
        <v>0</v>
      </c>
      <c r="P565" s="69">
        <v>0</v>
      </c>
      <c r="Q565" s="69">
        <v>0</v>
      </c>
      <c r="R565" s="69">
        <v>0</v>
      </c>
      <c r="S565" s="69">
        <v>0</v>
      </c>
      <c r="T565" s="69">
        <v>0</v>
      </c>
      <c r="U565" s="69">
        <v>0</v>
      </c>
      <c r="V565" s="69">
        <v>0</v>
      </c>
      <c r="W565" s="69">
        <v>0.23367470939410853</v>
      </c>
      <c r="X565" s="69">
        <v>0.23367470939410853</v>
      </c>
      <c r="Y565" s="69">
        <v>0.23367470939410853</v>
      </c>
      <c r="Z565" s="69">
        <v>0.23367470939410853</v>
      </c>
      <c r="AA565" s="69">
        <v>0.23367470939410853</v>
      </c>
      <c r="AB565" s="69">
        <v>0.23367470939410853</v>
      </c>
      <c r="AC565" s="69">
        <v>0.23367470939410853</v>
      </c>
      <c r="AD565" s="69">
        <v>0.23367470939410853</v>
      </c>
      <c r="AE565" s="69">
        <v>0.23367470939410853</v>
      </c>
      <c r="AF565" s="69">
        <v>0.23367470939410853</v>
      </c>
      <c r="AG565" s="69">
        <v>0.23367470939410853</v>
      </c>
    </row>
    <row r="566" spans="1:33" ht="12.75" customHeight="1">
      <c r="A566" s="231" t="s">
        <v>2375</v>
      </c>
      <c r="B566" s="69" t="s">
        <v>694</v>
      </c>
      <c r="C566" s="69" t="s">
        <v>186</v>
      </c>
      <c r="D566" s="69" t="s">
        <v>491</v>
      </c>
      <c r="E566" s="69" t="s">
        <v>260</v>
      </c>
      <c r="F566" s="69" t="s">
        <v>160</v>
      </c>
      <c r="G566" s="69" t="s">
        <v>192</v>
      </c>
      <c r="H566" s="69" t="s">
        <v>148</v>
      </c>
      <c r="I566" s="69">
        <v>4</v>
      </c>
      <c r="J566" s="238">
        <v>0.23712737127371272</v>
      </c>
      <c r="K566" s="238">
        <v>0</v>
      </c>
      <c r="L566" s="69">
        <v>242.57236790606655</v>
      </c>
      <c r="M566" s="69">
        <v>-21.663405088062625</v>
      </c>
      <c r="N566" s="69">
        <v>0</v>
      </c>
      <c r="O566" s="69">
        <v>0</v>
      </c>
      <c r="P566" s="69">
        <v>0</v>
      </c>
      <c r="Q566" s="69">
        <v>4.0633317774336319E-2</v>
      </c>
      <c r="R566" s="69">
        <v>4.0633317774336319E-2</v>
      </c>
      <c r="S566" s="69">
        <v>4.0633317774336319E-2</v>
      </c>
      <c r="T566" s="69">
        <v>4.0633317774336319E-2</v>
      </c>
      <c r="U566" s="69">
        <v>4.0633317774336319E-2</v>
      </c>
      <c r="V566" s="69">
        <v>4.0633317774336319E-2</v>
      </c>
      <c r="W566" s="69">
        <v>4.0633317774336319E-2</v>
      </c>
      <c r="X566" s="69">
        <v>4.0633317774336319E-2</v>
      </c>
      <c r="Y566" s="69">
        <v>4.0633317774336319E-2</v>
      </c>
      <c r="Z566" s="69">
        <v>4.0633317774336319E-2</v>
      </c>
      <c r="AA566" s="69">
        <v>4.0633317774336319E-2</v>
      </c>
      <c r="AB566" s="69">
        <v>4.0633317774336319E-2</v>
      </c>
      <c r="AC566" s="69">
        <v>4.0633317774336319E-2</v>
      </c>
      <c r="AD566" s="69">
        <v>4.0633317774336319E-2</v>
      </c>
      <c r="AE566" s="69">
        <v>4.0633317774336319E-2</v>
      </c>
      <c r="AF566" s="69">
        <v>4.0633317774336319E-2</v>
      </c>
      <c r="AG566" s="69">
        <v>4.0633317774336319E-2</v>
      </c>
    </row>
    <row r="567" spans="1:33" ht="12.75" customHeight="1">
      <c r="A567" s="231" t="s">
        <v>2375</v>
      </c>
      <c r="B567" s="69" t="s">
        <v>695</v>
      </c>
      <c r="C567" s="69" t="s">
        <v>186</v>
      </c>
      <c r="D567" s="69" t="s">
        <v>491</v>
      </c>
      <c r="E567" s="69" t="s">
        <v>260</v>
      </c>
      <c r="F567" s="69" t="s">
        <v>160</v>
      </c>
      <c r="G567" s="69" t="s">
        <v>192</v>
      </c>
      <c r="H567" s="69" t="s">
        <v>148</v>
      </c>
      <c r="I567" s="69">
        <v>4</v>
      </c>
      <c r="J567" s="238">
        <v>0.23712737127371272</v>
      </c>
      <c r="K567" s="238">
        <v>0</v>
      </c>
      <c r="L567" s="69">
        <v>242.57236790606655</v>
      </c>
      <c r="M567" s="69">
        <v>-21.663405088062625</v>
      </c>
      <c r="N567" s="69">
        <v>0</v>
      </c>
      <c r="O567" s="69">
        <v>0</v>
      </c>
      <c r="P567" s="69">
        <v>0</v>
      </c>
      <c r="Q567" s="69">
        <v>0</v>
      </c>
      <c r="R567" s="69">
        <v>4.0633317774336319E-2</v>
      </c>
      <c r="S567" s="69">
        <v>4.0633317774336319E-2</v>
      </c>
      <c r="T567" s="69">
        <v>4.0633317774336319E-2</v>
      </c>
      <c r="U567" s="69">
        <v>4.0633317774336319E-2</v>
      </c>
      <c r="V567" s="69">
        <v>4.0633317774336319E-2</v>
      </c>
      <c r="W567" s="69">
        <v>4.0633317774336319E-2</v>
      </c>
      <c r="X567" s="69">
        <v>4.0633317774336319E-2</v>
      </c>
      <c r="Y567" s="69">
        <v>4.0633317774336319E-2</v>
      </c>
      <c r="Z567" s="69">
        <v>4.0633317774336319E-2</v>
      </c>
      <c r="AA567" s="69">
        <v>4.0633317774336319E-2</v>
      </c>
      <c r="AB567" s="69">
        <v>4.0633317774336319E-2</v>
      </c>
      <c r="AC567" s="69">
        <v>4.0633317774336319E-2</v>
      </c>
      <c r="AD567" s="69">
        <v>4.0633317774336319E-2</v>
      </c>
      <c r="AE567" s="69">
        <v>4.0633317774336319E-2</v>
      </c>
      <c r="AF567" s="69">
        <v>4.0633317774336319E-2</v>
      </c>
      <c r="AG567" s="69">
        <v>4.0633317774336319E-2</v>
      </c>
    </row>
    <row r="568" spans="1:33" ht="12.75" customHeight="1">
      <c r="A568" s="231" t="s">
        <v>2375</v>
      </c>
      <c r="B568" s="69" t="s">
        <v>696</v>
      </c>
      <c r="C568" s="69" t="s">
        <v>186</v>
      </c>
      <c r="D568" s="69" t="s">
        <v>491</v>
      </c>
      <c r="E568" s="69" t="s">
        <v>260</v>
      </c>
      <c r="F568" s="69" t="s">
        <v>160</v>
      </c>
      <c r="G568" s="69" t="s">
        <v>192</v>
      </c>
      <c r="H568" s="69" t="s">
        <v>148</v>
      </c>
      <c r="I568" s="69">
        <v>4</v>
      </c>
      <c r="J568" s="238">
        <v>0.23712737127371272</v>
      </c>
      <c r="K568" s="238">
        <v>0</v>
      </c>
      <c r="L568" s="69">
        <v>242.57236790606655</v>
      </c>
      <c r="M568" s="69">
        <v>-21.663405088062625</v>
      </c>
      <c r="N568" s="69">
        <v>0</v>
      </c>
      <c r="O568" s="69">
        <v>0</v>
      </c>
      <c r="P568" s="69">
        <v>0</v>
      </c>
      <c r="Q568" s="69">
        <v>0</v>
      </c>
      <c r="R568" s="69">
        <v>0</v>
      </c>
      <c r="S568" s="69">
        <v>4.0633317774336319E-2</v>
      </c>
      <c r="T568" s="69">
        <v>4.0633317774336319E-2</v>
      </c>
      <c r="U568" s="69">
        <v>4.0633317774336319E-2</v>
      </c>
      <c r="V568" s="69">
        <v>4.0633317774336319E-2</v>
      </c>
      <c r="W568" s="69">
        <v>4.0633317774336319E-2</v>
      </c>
      <c r="X568" s="69">
        <v>4.0633317774336319E-2</v>
      </c>
      <c r="Y568" s="69">
        <v>4.0633317774336319E-2</v>
      </c>
      <c r="Z568" s="69">
        <v>4.0633317774336319E-2</v>
      </c>
      <c r="AA568" s="69">
        <v>4.0633317774336319E-2</v>
      </c>
      <c r="AB568" s="69">
        <v>4.0633317774336319E-2</v>
      </c>
      <c r="AC568" s="69">
        <v>4.0633317774336319E-2</v>
      </c>
      <c r="AD568" s="69">
        <v>4.0633317774336319E-2</v>
      </c>
      <c r="AE568" s="69">
        <v>4.0633317774336319E-2</v>
      </c>
      <c r="AF568" s="69">
        <v>4.0633317774336319E-2</v>
      </c>
      <c r="AG568" s="69">
        <v>4.0633317774336319E-2</v>
      </c>
    </row>
    <row r="569" spans="1:33" ht="12.75" customHeight="1">
      <c r="A569" s="231" t="s">
        <v>2375</v>
      </c>
      <c r="B569" s="69" t="s">
        <v>697</v>
      </c>
      <c r="C569" s="69" t="s">
        <v>186</v>
      </c>
      <c r="D569" s="69" t="s">
        <v>491</v>
      </c>
      <c r="E569" s="69" t="s">
        <v>260</v>
      </c>
      <c r="F569" s="69" t="s">
        <v>160</v>
      </c>
      <c r="G569" s="69" t="s">
        <v>192</v>
      </c>
      <c r="H569" s="69" t="s">
        <v>148</v>
      </c>
      <c r="I569" s="69">
        <v>4</v>
      </c>
      <c r="J569" s="238">
        <v>0.23712737127371272</v>
      </c>
      <c r="K569" s="238">
        <v>0</v>
      </c>
      <c r="L569" s="69">
        <v>242.57236790606655</v>
      </c>
      <c r="M569" s="69">
        <v>-21.663405088062625</v>
      </c>
      <c r="N569" s="69">
        <v>0</v>
      </c>
      <c r="O569" s="69">
        <v>0</v>
      </c>
      <c r="P569" s="69">
        <v>0</v>
      </c>
      <c r="Q569" s="69">
        <v>0</v>
      </c>
      <c r="R569" s="69">
        <v>0</v>
      </c>
      <c r="S569" s="69">
        <v>0</v>
      </c>
      <c r="T569" s="69">
        <v>4.0633317774336319E-2</v>
      </c>
      <c r="U569" s="69">
        <v>4.0633317774336319E-2</v>
      </c>
      <c r="V569" s="69">
        <v>4.0633317774336319E-2</v>
      </c>
      <c r="W569" s="69">
        <v>4.0633317774336319E-2</v>
      </c>
      <c r="X569" s="69">
        <v>4.0633317774336319E-2</v>
      </c>
      <c r="Y569" s="69">
        <v>4.0633317774336319E-2</v>
      </c>
      <c r="Z569" s="69">
        <v>4.0633317774336319E-2</v>
      </c>
      <c r="AA569" s="69">
        <v>4.0633317774336319E-2</v>
      </c>
      <c r="AB569" s="69">
        <v>4.0633317774336319E-2</v>
      </c>
      <c r="AC569" s="69">
        <v>4.0633317774336319E-2</v>
      </c>
      <c r="AD569" s="69">
        <v>4.0633317774336319E-2</v>
      </c>
      <c r="AE569" s="69">
        <v>4.0633317774336319E-2</v>
      </c>
      <c r="AF569" s="69">
        <v>4.0633317774336319E-2</v>
      </c>
      <c r="AG569" s="69">
        <v>4.0633317774336319E-2</v>
      </c>
    </row>
    <row r="570" spans="1:33" ht="12.75" customHeight="1">
      <c r="A570" s="231" t="s">
        <v>2375</v>
      </c>
      <c r="B570" s="69" t="s">
        <v>698</v>
      </c>
      <c r="C570" s="69" t="s">
        <v>186</v>
      </c>
      <c r="D570" s="69" t="s">
        <v>491</v>
      </c>
      <c r="E570" s="69" t="s">
        <v>260</v>
      </c>
      <c r="F570" s="69" t="s">
        <v>160</v>
      </c>
      <c r="G570" s="69" t="s">
        <v>192</v>
      </c>
      <c r="H570" s="69" t="s">
        <v>148</v>
      </c>
      <c r="I570" s="69">
        <v>4</v>
      </c>
      <c r="J570" s="238">
        <v>0.23712737127371272</v>
      </c>
      <c r="K570" s="238">
        <v>0</v>
      </c>
      <c r="L570" s="69">
        <v>242.57236790606655</v>
      </c>
      <c r="M570" s="69">
        <v>-21.663405088062625</v>
      </c>
      <c r="N570" s="69">
        <v>0</v>
      </c>
      <c r="O570" s="69">
        <v>0</v>
      </c>
      <c r="P570" s="69">
        <v>0</v>
      </c>
      <c r="Q570" s="69">
        <v>0</v>
      </c>
      <c r="R570" s="69">
        <v>0</v>
      </c>
      <c r="S570" s="69">
        <v>0</v>
      </c>
      <c r="T570" s="69">
        <v>0</v>
      </c>
      <c r="U570" s="69">
        <v>4.0633317774336319E-2</v>
      </c>
      <c r="V570" s="69">
        <v>4.0633317774336319E-2</v>
      </c>
      <c r="W570" s="69">
        <v>4.0633317774336319E-2</v>
      </c>
      <c r="X570" s="69">
        <v>4.0633317774336319E-2</v>
      </c>
      <c r="Y570" s="69">
        <v>4.0633317774336319E-2</v>
      </c>
      <c r="Z570" s="69">
        <v>4.0633317774336319E-2</v>
      </c>
      <c r="AA570" s="69">
        <v>4.0633317774336319E-2</v>
      </c>
      <c r="AB570" s="69">
        <v>4.0633317774336319E-2</v>
      </c>
      <c r="AC570" s="69">
        <v>4.0633317774336319E-2</v>
      </c>
      <c r="AD570" s="69">
        <v>4.0633317774336319E-2</v>
      </c>
      <c r="AE570" s="69">
        <v>4.0633317774336319E-2</v>
      </c>
      <c r="AF570" s="69">
        <v>4.0633317774336319E-2</v>
      </c>
      <c r="AG570" s="69">
        <v>4.0633317774336319E-2</v>
      </c>
    </row>
    <row r="571" spans="1:33" ht="12.75" customHeight="1">
      <c r="A571" s="231" t="s">
        <v>2375</v>
      </c>
      <c r="B571" s="69" t="s">
        <v>699</v>
      </c>
      <c r="C571" s="69" t="s">
        <v>186</v>
      </c>
      <c r="D571" s="69" t="s">
        <v>491</v>
      </c>
      <c r="E571" s="69" t="s">
        <v>260</v>
      </c>
      <c r="F571" s="69" t="s">
        <v>160</v>
      </c>
      <c r="G571" s="69" t="s">
        <v>192</v>
      </c>
      <c r="H571" s="69" t="s">
        <v>148</v>
      </c>
      <c r="I571" s="69">
        <v>4</v>
      </c>
      <c r="J571" s="238">
        <v>0.23712737127371272</v>
      </c>
      <c r="K571" s="238">
        <v>0</v>
      </c>
      <c r="L571" s="69">
        <v>242.57236790606655</v>
      </c>
      <c r="M571" s="69">
        <v>-21.663405088062625</v>
      </c>
      <c r="N571" s="69">
        <v>0</v>
      </c>
      <c r="O571" s="69">
        <v>0</v>
      </c>
      <c r="P571" s="69">
        <v>0</v>
      </c>
      <c r="Q571" s="69">
        <v>0</v>
      </c>
      <c r="R571" s="69">
        <v>0</v>
      </c>
      <c r="S571" s="69">
        <v>0</v>
      </c>
      <c r="T571" s="69">
        <v>0</v>
      </c>
      <c r="U571" s="69">
        <v>0</v>
      </c>
      <c r="V571" s="69">
        <v>4.0633317774336319E-2</v>
      </c>
      <c r="W571" s="69">
        <v>4.0633317774336319E-2</v>
      </c>
      <c r="X571" s="69">
        <v>4.0633317774336319E-2</v>
      </c>
      <c r="Y571" s="69">
        <v>4.0633317774336319E-2</v>
      </c>
      <c r="Z571" s="69">
        <v>4.0633317774336319E-2</v>
      </c>
      <c r="AA571" s="69">
        <v>4.0633317774336319E-2</v>
      </c>
      <c r="AB571" s="69">
        <v>4.0633317774336319E-2</v>
      </c>
      <c r="AC571" s="69">
        <v>4.0633317774336319E-2</v>
      </c>
      <c r="AD571" s="69">
        <v>4.0633317774336319E-2</v>
      </c>
      <c r="AE571" s="69">
        <v>4.0633317774336319E-2</v>
      </c>
      <c r="AF571" s="69">
        <v>4.0633317774336319E-2</v>
      </c>
      <c r="AG571" s="69">
        <v>4.0633317774336319E-2</v>
      </c>
    </row>
    <row r="572" spans="1:33" ht="12.75" customHeight="1">
      <c r="A572" s="231" t="s">
        <v>2375</v>
      </c>
      <c r="B572" s="69" t="s">
        <v>700</v>
      </c>
      <c r="C572" s="69" t="s">
        <v>186</v>
      </c>
      <c r="D572" s="69" t="s">
        <v>491</v>
      </c>
      <c r="E572" s="69" t="s">
        <v>260</v>
      </c>
      <c r="F572" s="69" t="s">
        <v>160</v>
      </c>
      <c r="G572" s="69" t="s">
        <v>192</v>
      </c>
      <c r="H572" s="69" t="s">
        <v>148</v>
      </c>
      <c r="I572" s="69">
        <v>4</v>
      </c>
      <c r="J572" s="238">
        <v>0.23712737127371272</v>
      </c>
      <c r="K572" s="238">
        <v>0</v>
      </c>
      <c r="L572" s="69">
        <v>242.57236790606655</v>
      </c>
      <c r="M572" s="69">
        <v>-21.663405088062625</v>
      </c>
      <c r="N572" s="69">
        <v>0</v>
      </c>
      <c r="O572" s="69">
        <v>0</v>
      </c>
      <c r="P572" s="69">
        <v>0</v>
      </c>
      <c r="Q572" s="69">
        <v>0</v>
      </c>
      <c r="R572" s="69">
        <v>0</v>
      </c>
      <c r="S572" s="69">
        <v>0</v>
      </c>
      <c r="T572" s="69">
        <v>0</v>
      </c>
      <c r="U572" s="69">
        <v>0</v>
      </c>
      <c r="V572" s="69">
        <v>0</v>
      </c>
      <c r="W572" s="69">
        <v>4.0633317774336319E-2</v>
      </c>
      <c r="X572" s="69">
        <v>4.0633317774336319E-2</v>
      </c>
      <c r="Y572" s="69">
        <v>4.0633317774336319E-2</v>
      </c>
      <c r="Z572" s="69">
        <v>4.0633317774336319E-2</v>
      </c>
      <c r="AA572" s="69">
        <v>4.0633317774336319E-2</v>
      </c>
      <c r="AB572" s="69">
        <v>4.0633317774336319E-2</v>
      </c>
      <c r="AC572" s="69">
        <v>4.0633317774336319E-2</v>
      </c>
      <c r="AD572" s="69">
        <v>4.0633317774336319E-2</v>
      </c>
      <c r="AE572" s="69">
        <v>4.0633317774336319E-2</v>
      </c>
      <c r="AF572" s="69">
        <v>4.0633317774336319E-2</v>
      </c>
      <c r="AG572" s="69">
        <v>4.0633317774336319E-2</v>
      </c>
    </row>
    <row r="573" spans="1:33" ht="12.75" customHeight="1">
      <c r="A573" s="231" t="s">
        <v>2375</v>
      </c>
      <c r="B573" s="69" t="s">
        <v>701</v>
      </c>
      <c r="C573" s="69" t="s">
        <v>186</v>
      </c>
      <c r="D573" s="69" t="s">
        <v>259</v>
      </c>
      <c r="E573" s="69" t="s">
        <v>244</v>
      </c>
      <c r="F573" s="69" t="s">
        <v>160</v>
      </c>
      <c r="G573" s="69" t="s">
        <v>192</v>
      </c>
      <c r="H573" s="69" t="s">
        <v>148</v>
      </c>
      <c r="I573" s="69">
        <v>4</v>
      </c>
      <c r="J573" s="238">
        <v>0.2668262983999703</v>
      </c>
      <c r="K573" s="238">
        <v>0</v>
      </c>
      <c r="L573" s="69">
        <v>184.20052173913047</v>
      </c>
      <c r="M573" s="69">
        <v>-4.2782608695652176</v>
      </c>
      <c r="N573" s="69">
        <v>0</v>
      </c>
      <c r="O573" s="69">
        <v>0</v>
      </c>
      <c r="P573" s="69">
        <v>0</v>
      </c>
      <c r="Q573" s="69">
        <v>0.77634892380956444</v>
      </c>
      <c r="R573" s="69">
        <v>0.77634892380956444</v>
      </c>
      <c r="S573" s="69">
        <v>0.77634892380956444</v>
      </c>
      <c r="T573" s="69">
        <v>0.77634892380956444</v>
      </c>
      <c r="U573" s="69">
        <v>0.77634892380956444</v>
      </c>
      <c r="V573" s="69">
        <v>0.77634892380956444</v>
      </c>
      <c r="W573" s="69">
        <v>0.77634892380956444</v>
      </c>
      <c r="X573" s="69">
        <v>0.77634892380956444</v>
      </c>
      <c r="Y573" s="69">
        <v>0.77634892380956444</v>
      </c>
      <c r="Z573" s="69">
        <v>0.77634892380956444</v>
      </c>
      <c r="AA573" s="69">
        <v>0.77634892380956444</v>
      </c>
      <c r="AB573" s="69">
        <v>0.77634892380956444</v>
      </c>
      <c r="AC573" s="69">
        <v>0.77634892380956444</v>
      </c>
      <c r="AD573" s="69">
        <v>0.77634892380956444</v>
      </c>
      <c r="AE573" s="69">
        <v>0.77634892380956444</v>
      </c>
      <c r="AF573" s="69">
        <v>0.77634892380956444</v>
      </c>
      <c r="AG573" s="69">
        <v>0.77634892380956444</v>
      </c>
    </row>
    <row r="574" spans="1:33" ht="12.75" customHeight="1">
      <c r="A574" s="231" t="s">
        <v>2375</v>
      </c>
      <c r="B574" s="69" t="s">
        <v>702</v>
      </c>
      <c r="C574" s="69" t="s">
        <v>186</v>
      </c>
      <c r="D574" s="69" t="s">
        <v>259</v>
      </c>
      <c r="E574" s="69" t="s">
        <v>244</v>
      </c>
      <c r="F574" s="69" t="s">
        <v>160</v>
      </c>
      <c r="G574" s="69" t="s">
        <v>192</v>
      </c>
      <c r="H574" s="69" t="s">
        <v>148</v>
      </c>
      <c r="I574" s="69">
        <v>4</v>
      </c>
      <c r="J574" s="238">
        <v>0.2668262983999703</v>
      </c>
      <c r="K574" s="238">
        <v>0</v>
      </c>
      <c r="L574" s="69">
        <v>184.20052173913047</v>
      </c>
      <c r="M574" s="69">
        <v>-4.2782608695652176</v>
      </c>
      <c r="N574" s="69">
        <v>0</v>
      </c>
      <c r="O574" s="69">
        <v>0</v>
      </c>
      <c r="P574" s="69">
        <v>0</v>
      </c>
      <c r="Q574" s="69">
        <v>0</v>
      </c>
      <c r="R574" s="69">
        <v>0.77634892380956444</v>
      </c>
      <c r="S574" s="69">
        <v>0.77634892380956444</v>
      </c>
      <c r="T574" s="69">
        <v>0.77634892380956444</v>
      </c>
      <c r="U574" s="69">
        <v>0.77634892380956444</v>
      </c>
      <c r="V574" s="69">
        <v>0.77634892380956444</v>
      </c>
      <c r="W574" s="69">
        <v>0.77634892380956444</v>
      </c>
      <c r="X574" s="69">
        <v>0.77634892380956444</v>
      </c>
      <c r="Y574" s="69">
        <v>0.77634892380956444</v>
      </c>
      <c r="Z574" s="69">
        <v>0.77634892380956444</v>
      </c>
      <c r="AA574" s="69">
        <v>0.77634892380956444</v>
      </c>
      <c r="AB574" s="69">
        <v>0.77634892380956444</v>
      </c>
      <c r="AC574" s="69">
        <v>0.77634892380956444</v>
      </c>
      <c r="AD574" s="69">
        <v>0.77634892380956444</v>
      </c>
      <c r="AE574" s="69">
        <v>0.77634892380956444</v>
      </c>
      <c r="AF574" s="69">
        <v>0.77634892380956444</v>
      </c>
      <c r="AG574" s="69">
        <v>0.77634892380956444</v>
      </c>
    </row>
    <row r="575" spans="1:33" ht="12.75" customHeight="1">
      <c r="A575" s="231" t="s">
        <v>2375</v>
      </c>
      <c r="B575" s="69" t="s">
        <v>703</v>
      </c>
      <c r="C575" s="69" t="s">
        <v>186</v>
      </c>
      <c r="D575" s="69" t="s">
        <v>259</v>
      </c>
      <c r="E575" s="69" t="s">
        <v>244</v>
      </c>
      <c r="F575" s="69" t="s">
        <v>160</v>
      </c>
      <c r="G575" s="69" t="s">
        <v>192</v>
      </c>
      <c r="H575" s="69" t="s">
        <v>148</v>
      </c>
      <c r="I575" s="69">
        <v>4</v>
      </c>
      <c r="J575" s="238">
        <v>0.2668262983999703</v>
      </c>
      <c r="K575" s="238">
        <v>0</v>
      </c>
      <c r="L575" s="69">
        <v>184.20052173913047</v>
      </c>
      <c r="M575" s="69">
        <v>-4.2782608695652176</v>
      </c>
      <c r="N575" s="69">
        <v>0</v>
      </c>
      <c r="O575" s="69">
        <v>0</v>
      </c>
      <c r="P575" s="69">
        <v>0</v>
      </c>
      <c r="Q575" s="69">
        <v>0</v>
      </c>
      <c r="R575" s="69">
        <v>0</v>
      </c>
      <c r="S575" s="69">
        <v>0.77634892380956444</v>
      </c>
      <c r="T575" s="69">
        <v>0.77634892380956444</v>
      </c>
      <c r="U575" s="69">
        <v>0.77634892380956444</v>
      </c>
      <c r="V575" s="69">
        <v>0.77634892380956444</v>
      </c>
      <c r="W575" s="69">
        <v>0.77634892380956444</v>
      </c>
      <c r="X575" s="69">
        <v>0.77634892380956444</v>
      </c>
      <c r="Y575" s="69">
        <v>0.77634892380956444</v>
      </c>
      <c r="Z575" s="69">
        <v>0.77634892380956444</v>
      </c>
      <c r="AA575" s="69">
        <v>0.77634892380956444</v>
      </c>
      <c r="AB575" s="69">
        <v>0.77634892380956444</v>
      </c>
      <c r="AC575" s="69">
        <v>0.77634892380956444</v>
      </c>
      <c r="AD575" s="69">
        <v>0.77634892380956444</v>
      </c>
      <c r="AE575" s="69">
        <v>0.77634892380956444</v>
      </c>
      <c r="AF575" s="69">
        <v>0.77634892380956444</v>
      </c>
      <c r="AG575" s="69">
        <v>0.77634892380956444</v>
      </c>
    </row>
    <row r="576" spans="1:33" ht="12.75" customHeight="1">
      <c r="A576" s="231" t="s">
        <v>2375</v>
      </c>
      <c r="B576" s="69" t="s">
        <v>704</v>
      </c>
      <c r="C576" s="69" t="s">
        <v>186</v>
      </c>
      <c r="D576" s="69" t="s">
        <v>259</v>
      </c>
      <c r="E576" s="69" t="s">
        <v>244</v>
      </c>
      <c r="F576" s="69" t="s">
        <v>160</v>
      </c>
      <c r="G576" s="69" t="s">
        <v>192</v>
      </c>
      <c r="H576" s="69" t="s">
        <v>148</v>
      </c>
      <c r="I576" s="69">
        <v>4</v>
      </c>
      <c r="J576" s="238">
        <v>0.2668262983999703</v>
      </c>
      <c r="K576" s="238">
        <v>0</v>
      </c>
      <c r="L576" s="69">
        <v>184.20052173913047</v>
      </c>
      <c r="M576" s="69">
        <v>-4.2782608695652176</v>
      </c>
      <c r="N576" s="69">
        <v>0</v>
      </c>
      <c r="O576" s="69">
        <v>0</v>
      </c>
      <c r="P576" s="69">
        <v>0</v>
      </c>
      <c r="Q576" s="69">
        <v>0</v>
      </c>
      <c r="R576" s="69">
        <v>0</v>
      </c>
      <c r="S576" s="69">
        <v>0</v>
      </c>
      <c r="T576" s="69">
        <v>0.77634892380956444</v>
      </c>
      <c r="U576" s="69">
        <v>0.77634892380956444</v>
      </c>
      <c r="V576" s="69">
        <v>0.77634892380956444</v>
      </c>
      <c r="W576" s="69">
        <v>0.77634892380956444</v>
      </c>
      <c r="X576" s="69">
        <v>0.77634892380956444</v>
      </c>
      <c r="Y576" s="69">
        <v>0.77634892380956444</v>
      </c>
      <c r="Z576" s="69">
        <v>0.77634892380956444</v>
      </c>
      <c r="AA576" s="69">
        <v>0.77634892380956444</v>
      </c>
      <c r="AB576" s="69">
        <v>0.77634892380956444</v>
      </c>
      <c r="AC576" s="69">
        <v>0.77634892380956444</v>
      </c>
      <c r="AD576" s="69">
        <v>0.77634892380956444</v>
      </c>
      <c r="AE576" s="69">
        <v>0.77634892380956444</v>
      </c>
      <c r="AF576" s="69">
        <v>0.77634892380956444</v>
      </c>
      <c r="AG576" s="69">
        <v>0.77634892380956444</v>
      </c>
    </row>
    <row r="577" spans="1:33" ht="12.75" customHeight="1">
      <c r="A577" s="231" t="s">
        <v>2375</v>
      </c>
      <c r="B577" s="69" t="s">
        <v>705</v>
      </c>
      <c r="C577" s="69" t="s">
        <v>186</v>
      </c>
      <c r="D577" s="69" t="s">
        <v>259</v>
      </c>
      <c r="E577" s="69" t="s">
        <v>244</v>
      </c>
      <c r="F577" s="69" t="s">
        <v>160</v>
      </c>
      <c r="G577" s="69" t="s">
        <v>192</v>
      </c>
      <c r="H577" s="69" t="s">
        <v>148</v>
      </c>
      <c r="I577" s="69">
        <v>4</v>
      </c>
      <c r="J577" s="238">
        <v>0.2668262983999703</v>
      </c>
      <c r="K577" s="238">
        <v>0</v>
      </c>
      <c r="L577" s="69">
        <v>184.20052173913047</v>
      </c>
      <c r="M577" s="69">
        <v>-4.2782608695652176</v>
      </c>
      <c r="N577" s="69">
        <v>0</v>
      </c>
      <c r="O577" s="69">
        <v>0</v>
      </c>
      <c r="P577" s="69">
        <v>0</v>
      </c>
      <c r="Q577" s="69">
        <v>0</v>
      </c>
      <c r="R577" s="69">
        <v>0</v>
      </c>
      <c r="S577" s="69">
        <v>0</v>
      </c>
      <c r="T577" s="69">
        <v>0</v>
      </c>
      <c r="U577" s="69">
        <v>0.77634892380956444</v>
      </c>
      <c r="V577" s="69">
        <v>0.77634892380956444</v>
      </c>
      <c r="W577" s="69">
        <v>0.77634892380956444</v>
      </c>
      <c r="X577" s="69">
        <v>0.77634892380956444</v>
      </c>
      <c r="Y577" s="69">
        <v>0.77634892380956444</v>
      </c>
      <c r="Z577" s="69">
        <v>0.77634892380956444</v>
      </c>
      <c r="AA577" s="69">
        <v>0.77634892380956444</v>
      </c>
      <c r="AB577" s="69">
        <v>0.77634892380956444</v>
      </c>
      <c r="AC577" s="69">
        <v>0.77634892380956444</v>
      </c>
      <c r="AD577" s="69">
        <v>0.77634892380956444</v>
      </c>
      <c r="AE577" s="69">
        <v>0.77634892380956444</v>
      </c>
      <c r="AF577" s="69">
        <v>0.77634892380956444</v>
      </c>
      <c r="AG577" s="69">
        <v>0.77634892380956444</v>
      </c>
    </row>
    <row r="578" spans="1:33" ht="12.75" customHeight="1">
      <c r="A578" s="231" t="s">
        <v>2375</v>
      </c>
      <c r="B578" s="69" t="s">
        <v>706</v>
      </c>
      <c r="C578" s="69" t="s">
        <v>186</v>
      </c>
      <c r="D578" s="69" t="s">
        <v>259</v>
      </c>
      <c r="E578" s="69" t="s">
        <v>244</v>
      </c>
      <c r="F578" s="69" t="s">
        <v>160</v>
      </c>
      <c r="G578" s="69" t="s">
        <v>192</v>
      </c>
      <c r="H578" s="69" t="s">
        <v>148</v>
      </c>
      <c r="I578" s="69">
        <v>4</v>
      </c>
      <c r="J578" s="238">
        <v>0.2668262983999703</v>
      </c>
      <c r="K578" s="238">
        <v>0</v>
      </c>
      <c r="L578" s="69">
        <v>184.20052173913047</v>
      </c>
      <c r="M578" s="69">
        <v>-4.2782608695652176</v>
      </c>
      <c r="N578" s="69">
        <v>0</v>
      </c>
      <c r="O578" s="69">
        <v>0</v>
      </c>
      <c r="P578" s="69">
        <v>0</v>
      </c>
      <c r="Q578" s="69">
        <v>0</v>
      </c>
      <c r="R578" s="69">
        <v>0</v>
      </c>
      <c r="S578" s="69">
        <v>0</v>
      </c>
      <c r="T578" s="69">
        <v>0</v>
      </c>
      <c r="U578" s="69">
        <v>0</v>
      </c>
      <c r="V578" s="69">
        <v>0.77634892380956444</v>
      </c>
      <c r="W578" s="69">
        <v>0.77634892380956444</v>
      </c>
      <c r="X578" s="69">
        <v>0.77634892380956444</v>
      </c>
      <c r="Y578" s="69">
        <v>0.77634892380956444</v>
      </c>
      <c r="Z578" s="69">
        <v>0.77634892380956444</v>
      </c>
      <c r="AA578" s="69">
        <v>0.77634892380956444</v>
      </c>
      <c r="AB578" s="69">
        <v>0.77634892380956444</v>
      </c>
      <c r="AC578" s="69">
        <v>0.77634892380956444</v>
      </c>
      <c r="AD578" s="69">
        <v>0.77634892380956444</v>
      </c>
      <c r="AE578" s="69">
        <v>0.77634892380956444</v>
      </c>
      <c r="AF578" s="69">
        <v>0.77634892380956444</v>
      </c>
      <c r="AG578" s="69">
        <v>0.77634892380956444</v>
      </c>
    </row>
    <row r="579" spans="1:33" ht="12.75" customHeight="1">
      <c r="A579" s="231" t="s">
        <v>2375</v>
      </c>
      <c r="B579" s="69" t="s">
        <v>707</v>
      </c>
      <c r="C579" s="69" t="s">
        <v>186</v>
      </c>
      <c r="D579" s="69" t="s">
        <v>259</v>
      </c>
      <c r="E579" s="69" t="s">
        <v>244</v>
      </c>
      <c r="F579" s="69" t="s">
        <v>160</v>
      </c>
      <c r="G579" s="69" t="s">
        <v>192</v>
      </c>
      <c r="H579" s="69" t="s">
        <v>148</v>
      </c>
      <c r="I579" s="69">
        <v>4</v>
      </c>
      <c r="J579" s="238">
        <v>0.2668262983999703</v>
      </c>
      <c r="K579" s="238">
        <v>0</v>
      </c>
      <c r="L579" s="69">
        <v>184.20052173913047</v>
      </c>
      <c r="M579" s="69">
        <v>-4.2782608695652176</v>
      </c>
      <c r="N579" s="69">
        <v>0</v>
      </c>
      <c r="O579" s="69">
        <v>0</v>
      </c>
      <c r="P579" s="69">
        <v>0</v>
      </c>
      <c r="Q579" s="69">
        <v>0</v>
      </c>
      <c r="R579" s="69">
        <v>0</v>
      </c>
      <c r="S579" s="69">
        <v>0</v>
      </c>
      <c r="T579" s="69">
        <v>0</v>
      </c>
      <c r="U579" s="69">
        <v>0</v>
      </c>
      <c r="V579" s="69">
        <v>0</v>
      </c>
      <c r="W579" s="69">
        <v>0.77634892380956444</v>
      </c>
      <c r="X579" s="69">
        <v>0.77634892380956444</v>
      </c>
      <c r="Y579" s="69">
        <v>0.77634892380956444</v>
      </c>
      <c r="Z579" s="69">
        <v>0.77634892380956444</v>
      </c>
      <c r="AA579" s="69">
        <v>0.77634892380956444</v>
      </c>
      <c r="AB579" s="69">
        <v>0.77634892380956444</v>
      </c>
      <c r="AC579" s="69">
        <v>0.77634892380956444</v>
      </c>
      <c r="AD579" s="69">
        <v>0.77634892380956444</v>
      </c>
      <c r="AE579" s="69">
        <v>0.77634892380956444</v>
      </c>
      <c r="AF579" s="69">
        <v>0.77634892380956444</v>
      </c>
      <c r="AG579" s="69">
        <v>0.77634892380956444</v>
      </c>
    </row>
    <row r="580" spans="1:33" ht="12.75" customHeight="1">
      <c r="A580" s="231" t="s">
        <v>2375</v>
      </c>
      <c r="B580" s="69" t="s">
        <v>708</v>
      </c>
      <c r="C580" s="69" t="s">
        <v>186</v>
      </c>
      <c r="D580" s="69" t="s">
        <v>259</v>
      </c>
      <c r="E580" s="69" t="s">
        <v>203</v>
      </c>
      <c r="F580" s="69" t="s">
        <v>160</v>
      </c>
      <c r="G580" s="69" t="s">
        <v>192</v>
      </c>
      <c r="H580" s="69" t="s">
        <v>148</v>
      </c>
      <c r="I580" s="69">
        <v>4</v>
      </c>
      <c r="J580" s="238">
        <v>0.23561922263058246</v>
      </c>
      <c r="K580" s="238">
        <v>0</v>
      </c>
      <c r="L580" s="69">
        <v>208.59734121122602</v>
      </c>
      <c r="M580" s="69">
        <v>-4.8449039881831615</v>
      </c>
      <c r="N580" s="69">
        <v>0</v>
      </c>
      <c r="O580" s="69">
        <v>0</v>
      </c>
      <c r="P580" s="69">
        <v>0</v>
      </c>
      <c r="Q580" s="69">
        <v>1.1478974299934634</v>
      </c>
      <c r="R580" s="69">
        <v>1.1478974299934634</v>
      </c>
      <c r="S580" s="69">
        <v>1.1478974299934634</v>
      </c>
      <c r="T580" s="69">
        <v>1.1478974299934634</v>
      </c>
      <c r="U580" s="69">
        <v>1.1478974299934634</v>
      </c>
      <c r="V580" s="69">
        <v>1.1478974299934634</v>
      </c>
      <c r="W580" s="69">
        <v>1.1478974299934634</v>
      </c>
      <c r="X580" s="69">
        <v>1.1478974299934634</v>
      </c>
      <c r="Y580" s="69">
        <v>1.1478974299934634</v>
      </c>
      <c r="Z580" s="69">
        <v>1.1478974299934634</v>
      </c>
      <c r="AA580" s="69">
        <v>1.1478974299934634</v>
      </c>
      <c r="AB580" s="69">
        <v>1.1478974299934634</v>
      </c>
      <c r="AC580" s="69">
        <v>1.1478974299934634</v>
      </c>
      <c r="AD580" s="69">
        <v>1.1478974299934634</v>
      </c>
      <c r="AE580" s="69">
        <v>1.1478974299934634</v>
      </c>
      <c r="AF580" s="69">
        <v>1.1478974299934634</v>
      </c>
      <c r="AG580" s="69">
        <v>1.1478974299934634</v>
      </c>
    </row>
    <row r="581" spans="1:33" ht="12.75" customHeight="1">
      <c r="A581" s="231" t="s">
        <v>2375</v>
      </c>
      <c r="B581" s="69" t="s">
        <v>709</v>
      </c>
      <c r="C581" s="69" t="s">
        <v>186</v>
      </c>
      <c r="D581" s="69" t="s">
        <v>259</v>
      </c>
      <c r="E581" s="69" t="s">
        <v>203</v>
      </c>
      <c r="F581" s="69" t="s">
        <v>160</v>
      </c>
      <c r="G581" s="69" t="s">
        <v>192</v>
      </c>
      <c r="H581" s="69" t="s">
        <v>148</v>
      </c>
      <c r="I581" s="69">
        <v>4</v>
      </c>
      <c r="J581" s="238">
        <v>0.23561922263058246</v>
      </c>
      <c r="K581" s="238">
        <v>0</v>
      </c>
      <c r="L581" s="69">
        <v>208.59734121122602</v>
      </c>
      <c r="M581" s="69">
        <v>-4.8449039881831615</v>
      </c>
      <c r="N581" s="69">
        <v>0</v>
      </c>
      <c r="O581" s="69">
        <v>0</v>
      </c>
      <c r="P581" s="69">
        <v>0</v>
      </c>
      <c r="Q581" s="69">
        <v>0</v>
      </c>
      <c r="R581" s="69">
        <v>1.1478974299934634</v>
      </c>
      <c r="S581" s="69">
        <v>1.1478974299934634</v>
      </c>
      <c r="T581" s="69">
        <v>1.1478974299934634</v>
      </c>
      <c r="U581" s="69">
        <v>1.1478974299934634</v>
      </c>
      <c r="V581" s="69">
        <v>1.1478974299934634</v>
      </c>
      <c r="W581" s="69">
        <v>1.1478974299934634</v>
      </c>
      <c r="X581" s="69">
        <v>1.1478974299934634</v>
      </c>
      <c r="Y581" s="69">
        <v>1.1478974299934634</v>
      </c>
      <c r="Z581" s="69">
        <v>1.1478974299934634</v>
      </c>
      <c r="AA581" s="69">
        <v>1.1478974299934634</v>
      </c>
      <c r="AB581" s="69">
        <v>1.1478974299934634</v>
      </c>
      <c r="AC581" s="69">
        <v>1.1478974299934634</v>
      </c>
      <c r="AD581" s="69">
        <v>1.1478974299934634</v>
      </c>
      <c r="AE581" s="69">
        <v>1.1478974299934634</v>
      </c>
      <c r="AF581" s="69">
        <v>1.1478974299934634</v>
      </c>
      <c r="AG581" s="69">
        <v>1.1478974299934634</v>
      </c>
    </row>
    <row r="582" spans="1:33" ht="12.75" customHeight="1">
      <c r="A582" s="231" t="s">
        <v>2375</v>
      </c>
      <c r="B582" s="69" t="s">
        <v>710</v>
      </c>
      <c r="C582" s="69" t="s">
        <v>186</v>
      </c>
      <c r="D582" s="69" t="s">
        <v>259</v>
      </c>
      <c r="E582" s="69" t="s">
        <v>203</v>
      </c>
      <c r="F582" s="69" t="s">
        <v>160</v>
      </c>
      <c r="G582" s="69" t="s">
        <v>192</v>
      </c>
      <c r="H582" s="69" t="s">
        <v>148</v>
      </c>
      <c r="I582" s="69">
        <v>4</v>
      </c>
      <c r="J582" s="238">
        <v>0.23561922263058246</v>
      </c>
      <c r="K582" s="238">
        <v>0</v>
      </c>
      <c r="L582" s="69">
        <v>208.59734121122602</v>
      </c>
      <c r="M582" s="69">
        <v>-4.8449039881831615</v>
      </c>
      <c r="N582" s="69">
        <v>0</v>
      </c>
      <c r="O582" s="69">
        <v>0</v>
      </c>
      <c r="P582" s="69">
        <v>0</v>
      </c>
      <c r="Q582" s="69">
        <v>0</v>
      </c>
      <c r="R582" s="69">
        <v>0</v>
      </c>
      <c r="S582" s="69">
        <v>1.1478974299934634</v>
      </c>
      <c r="T582" s="69">
        <v>1.1478974299934634</v>
      </c>
      <c r="U582" s="69">
        <v>1.1478974299934634</v>
      </c>
      <c r="V582" s="69">
        <v>1.1478974299934634</v>
      </c>
      <c r="W582" s="69">
        <v>1.1478974299934634</v>
      </c>
      <c r="X582" s="69">
        <v>1.1478974299934634</v>
      </c>
      <c r="Y582" s="69">
        <v>1.1478974299934634</v>
      </c>
      <c r="Z582" s="69">
        <v>1.1478974299934634</v>
      </c>
      <c r="AA582" s="69">
        <v>1.1478974299934634</v>
      </c>
      <c r="AB582" s="69">
        <v>1.1478974299934634</v>
      </c>
      <c r="AC582" s="69">
        <v>1.1478974299934634</v>
      </c>
      <c r="AD582" s="69">
        <v>1.1478974299934634</v>
      </c>
      <c r="AE582" s="69">
        <v>1.1478974299934634</v>
      </c>
      <c r="AF582" s="69">
        <v>1.1478974299934634</v>
      </c>
      <c r="AG582" s="69">
        <v>1.1478974299934634</v>
      </c>
    </row>
    <row r="583" spans="1:33" ht="12.75" customHeight="1">
      <c r="A583" s="231" t="s">
        <v>2375</v>
      </c>
      <c r="B583" s="69" t="s">
        <v>711</v>
      </c>
      <c r="C583" s="69" t="s">
        <v>186</v>
      </c>
      <c r="D583" s="69" t="s">
        <v>259</v>
      </c>
      <c r="E583" s="69" t="s">
        <v>203</v>
      </c>
      <c r="F583" s="69" t="s">
        <v>160</v>
      </c>
      <c r="G583" s="69" t="s">
        <v>192</v>
      </c>
      <c r="H583" s="69" t="s">
        <v>148</v>
      </c>
      <c r="I583" s="69">
        <v>4</v>
      </c>
      <c r="J583" s="238">
        <v>0.23561922263058246</v>
      </c>
      <c r="K583" s="238">
        <v>0</v>
      </c>
      <c r="L583" s="69">
        <v>208.59734121122602</v>
      </c>
      <c r="M583" s="69">
        <v>-4.8449039881831615</v>
      </c>
      <c r="N583" s="69">
        <v>0</v>
      </c>
      <c r="O583" s="69">
        <v>0</v>
      </c>
      <c r="P583" s="69">
        <v>0</v>
      </c>
      <c r="Q583" s="69">
        <v>0</v>
      </c>
      <c r="R583" s="69">
        <v>0</v>
      </c>
      <c r="S583" s="69">
        <v>0</v>
      </c>
      <c r="T583" s="69">
        <v>1.1478974299934634</v>
      </c>
      <c r="U583" s="69">
        <v>1.1478974299934634</v>
      </c>
      <c r="V583" s="69">
        <v>1.1478974299934634</v>
      </c>
      <c r="W583" s="69">
        <v>1.1478974299934634</v>
      </c>
      <c r="X583" s="69">
        <v>1.1478974299934634</v>
      </c>
      <c r="Y583" s="69">
        <v>1.1478974299934634</v>
      </c>
      <c r="Z583" s="69">
        <v>1.1478974299934634</v>
      </c>
      <c r="AA583" s="69">
        <v>1.1478974299934634</v>
      </c>
      <c r="AB583" s="69">
        <v>1.1478974299934634</v>
      </c>
      <c r="AC583" s="69">
        <v>1.1478974299934634</v>
      </c>
      <c r="AD583" s="69">
        <v>1.1478974299934634</v>
      </c>
      <c r="AE583" s="69">
        <v>1.1478974299934634</v>
      </c>
      <c r="AF583" s="69">
        <v>1.1478974299934634</v>
      </c>
      <c r="AG583" s="69">
        <v>1.1478974299934634</v>
      </c>
    </row>
    <row r="584" spans="1:33" ht="12.75" customHeight="1">
      <c r="A584" s="231" t="s">
        <v>2375</v>
      </c>
      <c r="B584" s="69" t="s">
        <v>712</v>
      </c>
      <c r="C584" s="69" t="s">
        <v>186</v>
      </c>
      <c r="D584" s="69" t="s">
        <v>259</v>
      </c>
      <c r="E584" s="69" t="s">
        <v>203</v>
      </c>
      <c r="F584" s="69" t="s">
        <v>160</v>
      </c>
      <c r="G584" s="69" t="s">
        <v>192</v>
      </c>
      <c r="H584" s="69" t="s">
        <v>148</v>
      </c>
      <c r="I584" s="69">
        <v>4</v>
      </c>
      <c r="J584" s="238">
        <v>0.23561922263058246</v>
      </c>
      <c r="K584" s="238">
        <v>0</v>
      </c>
      <c r="L584" s="69">
        <v>208.59734121122602</v>
      </c>
      <c r="M584" s="69">
        <v>-4.8449039881831615</v>
      </c>
      <c r="N584" s="69">
        <v>0</v>
      </c>
      <c r="O584" s="69">
        <v>0</v>
      </c>
      <c r="P584" s="69">
        <v>0</v>
      </c>
      <c r="Q584" s="69">
        <v>0</v>
      </c>
      <c r="R584" s="69">
        <v>0</v>
      </c>
      <c r="S584" s="69">
        <v>0</v>
      </c>
      <c r="T584" s="69">
        <v>0</v>
      </c>
      <c r="U584" s="69">
        <v>1.1478974299934634</v>
      </c>
      <c r="V584" s="69">
        <v>1.1478974299934634</v>
      </c>
      <c r="W584" s="69">
        <v>1.1478974299934634</v>
      </c>
      <c r="X584" s="69">
        <v>1.1478974299934634</v>
      </c>
      <c r="Y584" s="69">
        <v>1.1478974299934634</v>
      </c>
      <c r="Z584" s="69">
        <v>1.1478974299934634</v>
      </c>
      <c r="AA584" s="69">
        <v>1.1478974299934634</v>
      </c>
      <c r="AB584" s="69">
        <v>1.1478974299934634</v>
      </c>
      <c r="AC584" s="69">
        <v>1.1478974299934634</v>
      </c>
      <c r="AD584" s="69">
        <v>1.1478974299934634</v>
      </c>
      <c r="AE584" s="69">
        <v>1.1478974299934634</v>
      </c>
      <c r="AF584" s="69">
        <v>1.1478974299934634</v>
      </c>
      <c r="AG584" s="69">
        <v>1.1478974299934634</v>
      </c>
    </row>
    <row r="585" spans="1:33" ht="12.75" customHeight="1">
      <c r="A585" s="231" t="s">
        <v>2375</v>
      </c>
      <c r="B585" s="69" t="s">
        <v>713</v>
      </c>
      <c r="C585" s="69" t="s">
        <v>186</v>
      </c>
      <c r="D585" s="69" t="s">
        <v>259</v>
      </c>
      <c r="E585" s="69" t="s">
        <v>203</v>
      </c>
      <c r="F585" s="69" t="s">
        <v>160</v>
      </c>
      <c r="G585" s="69" t="s">
        <v>192</v>
      </c>
      <c r="H585" s="69" t="s">
        <v>148</v>
      </c>
      <c r="I585" s="69">
        <v>4</v>
      </c>
      <c r="J585" s="238">
        <v>0.23561922263058246</v>
      </c>
      <c r="K585" s="238">
        <v>0</v>
      </c>
      <c r="L585" s="69">
        <v>208.59734121122602</v>
      </c>
      <c r="M585" s="69">
        <v>-4.8449039881831615</v>
      </c>
      <c r="N585" s="69">
        <v>0</v>
      </c>
      <c r="O585" s="69">
        <v>0</v>
      </c>
      <c r="P585" s="69">
        <v>0</v>
      </c>
      <c r="Q585" s="69">
        <v>0</v>
      </c>
      <c r="R585" s="69">
        <v>0</v>
      </c>
      <c r="S585" s="69">
        <v>0</v>
      </c>
      <c r="T585" s="69">
        <v>0</v>
      </c>
      <c r="U585" s="69">
        <v>0</v>
      </c>
      <c r="V585" s="69">
        <v>1.1478974299934634</v>
      </c>
      <c r="W585" s="69">
        <v>1.1478974299934634</v>
      </c>
      <c r="X585" s="69">
        <v>1.1478974299934634</v>
      </c>
      <c r="Y585" s="69">
        <v>1.1478974299934634</v>
      </c>
      <c r="Z585" s="69">
        <v>1.1478974299934634</v>
      </c>
      <c r="AA585" s="69">
        <v>1.1478974299934634</v>
      </c>
      <c r="AB585" s="69">
        <v>1.1478974299934634</v>
      </c>
      <c r="AC585" s="69">
        <v>1.1478974299934634</v>
      </c>
      <c r="AD585" s="69">
        <v>1.1478974299934634</v>
      </c>
      <c r="AE585" s="69">
        <v>1.1478974299934634</v>
      </c>
      <c r="AF585" s="69">
        <v>1.1478974299934634</v>
      </c>
      <c r="AG585" s="69">
        <v>1.1478974299934634</v>
      </c>
    </row>
    <row r="586" spans="1:33" ht="12.75" customHeight="1">
      <c r="A586" s="231" t="s">
        <v>2375</v>
      </c>
      <c r="B586" s="69" t="s">
        <v>714</v>
      </c>
      <c r="C586" s="69" t="s">
        <v>186</v>
      </c>
      <c r="D586" s="69" t="s">
        <v>259</v>
      </c>
      <c r="E586" s="69" t="s">
        <v>203</v>
      </c>
      <c r="F586" s="69" t="s">
        <v>160</v>
      </c>
      <c r="G586" s="69" t="s">
        <v>192</v>
      </c>
      <c r="H586" s="69" t="s">
        <v>148</v>
      </c>
      <c r="I586" s="69">
        <v>4</v>
      </c>
      <c r="J586" s="238">
        <v>0.23561922263058246</v>
      </c>
      <c r="K586" s="238">
        <v>0</v>
      </c>
      <c r="L586" s="69">
        <v>208.59734121122602</v>
      </c>
      <c r="M586" s="69">
        <v>-4.8449039881831615</v>
      </c>
      <c r="N586" s="69">
        <v>0</v>
      </c>
      <c r="O586" s="69">
        <v>0</v>
      </c>
      <c r="P586" s="69">
        <v>0</v>
      </c>
      <c r="Q586" s="69">
        <v>0</v>
      </c>
      <c r="R586" s="69">
        <v>0</v>
      </c>
      <c r="S586" s="69">
        <v>0</v>
      </c>
      <c r="T586" s="69">
        <v>0</v>
      </c>
      <c r="U586" s="69">
        <v>0</v>
      </c>
      <c r="V586" s="69">
        <v>0</v>
      </c>
      <c r="W586" s="69">
        <v>1.1478974299934634</v>
      </c>
      <c r="X586" s="69">
        <v>1.1478974299934634</v>
      </c>
      <c r="Y586" s="69">
        <v>1.1478974299934634</v>
      </c>
      <c r="Z586" s="69">
        <v>1.1478974299934634</v>
      </c>
      <c r="AA586" s="69">
        <v>1.1478974299934634</v>
      </c>
      <c r="AB586" s="69">
        <v>1.1478974299934634</v>
      </c>
      <c r="AC586" s="69">
        <v>1.1478974299934634</v>
      </c>
      <c r="AD586" s="69">
        <v>1.1478974299934634</v>
      </c>
      <c r="AE586" s="69">
        <v>1.1478974299934634</v>
      </c>
      <c r="AF586" s="69">
        <v>1.1478974299934634</v>
      </c>
      <c r="AG586" s="69">
        <v>1.1478974299934634</v>
      </c>
    </row>
    <row r="587" spans="1:33" ht="12.75" customHeight="1">
      <c r="A587" s="231" t="s">
        <v>2375</v>
      </c>
      <c r="B587" s="69" t="s">
        <v>715</v>
      </c>
      <c r="C587" s="69" t="s">
        <v>186</v>
      </c>
      <c r="D587" s="69" t="s">
        <v>259</v>
      </c>
      <c r="E587" s="69" t="s">
        <v>260</v>
      </c>
      <c r="F587" s="69" t="s">
        <v>160</v>
      </c>
      <c r="G587" s="69" t="s">
        <v>192</v>
      </c>
      <c r="H587" s="69" t="s">
        <v>148</v>
      </c>
      <c r="I587" s="69">
        <v>4</v>
      </c>
      <c r="J587" s="238">
        <v>0.21868155325388869</v>
      </c>
      <c r="K587" s="238">
        <v>0</v>
      </c>
      <c r="L587" s="69">
        <v>224.75395225464189</v>
      </c>
      <c r="M587" s="69">
        <v>-5.2201591511936343</v>
      </c>
      <c r="N587" s="69">
        <v>0</v>
      </c>
      <c r="O587" s="69">
        <v>0</v>
      </c>
      <c r="P587" s="69">
        <v>0</v>
      </c>
      <c r="Q587" s="69">
        <v>0.19975873850853532</v>
      </c>
      <c r="R587" s="69">
        <v>0.19975873850853532</v>
      </c>
      <c r="S587" s="69">
        <v>0.19975873850853532</v>
      </c>
      <c r="T587" s="69">
        <v>0.19975873850853532</v>
      </c>
      <c r="U587" s="69">
        <v>0.19975873850853532</v>
      </c>
      <c r="V587" s="69">
        <v>0.19975873850853532</v>
      </c>
      <c r="W587" s="69">
        <v>0.19975873850853532</v>
      </c>
      <c r="X587" s="69">
        <v>0.19975873850853532</v>
      </c>
      <c r="Y587" s="69">
        <v>0.19975873850853532</v>
      </c>
      <c r="Z587" s="69">
        <v>0.19975873850853532</v>
      </c>
      <c r="AA587" s="69">
        <v>0.19975873850853532</v>
      </c>
      <c r="AB587" s="69">
        <v>0.19975873850853532</v>
      </c>
      <c r="AC587" s="69">
        <v>0.19975873850853532</v>
      </c>
      <c r="AD587" s="69">
        <v>0.19975873850853532</v>
      </c>
      <c r="AE587" s="69">
        <v>0.19975873850853532</v>
      </c>
      <c r="AF587" s="69">
        <v>0.19975873850853532</v>
      </c>
      <c r="AG587" s="69">
        <v>0.19975873850853532</v>
      </c>
    </row>
    <row r="588" spans="1:33" ht="12.75" customHeight="1">
      <c r="A588" s="231" t="s">
        <v>2375</v>
      </c>
      <c r="B588" s="69" t="s">
        <v>716</v>
      </c>
      <c r="C588" s="69" t="s">
        <v>186</v>
      </c>
      <c r="D588" s="69" t="s">
        <v>259</v>
      </c>
      <c r="E588" s="69" t="s">
        <v>260</v>
      </c>
      <c r="F588" s="69" t="s">
        <v>160</v>
      </c>
      <c r="G588" s="69" t="s">
        <v>192</v>
      </c>
      <c r="H588" s="69" t="s">
        <v>148</v>
      </c>
      <c r="I588" s="69">
        <v>4</v>
      </c>
      <c r="J588" s="238">
        <v>0.21868155325388869</v>
      </c>
      <c r="K588" s="238">
        <v>0</v>
      </c>
      <c r="L588" s="69">
        <v>224.75395225464189</v>
      </c>
      <c r="M588" s="69">
        <v>-5.2201591511936343</v>
      </c>
      <c r="N588" s="69">
        <v>0</v>
      </c>
      <c r="O588" s="69">
        <v>0</v>
      </c>
      <c r="P588" s="69">
        <v>0</v>
      </c>
      <c r="Q588" s="69">
        <v>0</v>
      </c>
      <c r="R588" s="69">
        <v>0.19975873850853532</v>
      </c>
      <c r="S588" s="69">
        <v>0.19975873850853532</v>
      </c>
      <c r="T588" s="69">
        <v>0.19975873850853532</v>
      </c>
      <c r="U588" s="69">
        <v>0.19975873850853532</v>
      </c>
      <c r="V588" s="69">
        <v>0.19975873850853532</v>
      </c>
      <c r="W588" s="69">
        <v>0.19975873850853532</v>
      </c>
      <c r="X588" s="69">
        <v>0.19975873850853532</v>
      </c>
      <c r="Y588" s="69">
        <v>0.19975873850853532</v>
      </c>
      <c r="Z588" s="69">
        <v>0.19975873850853532</v>
      </c>
      <c r="AA588" s="69">
        <v>0.19975873850853532</v>
      </c>
      <c r="AB588" s="69">
        <v>0.19975873850853532</v>
      </c>
      <c r="AC588" s="69">
        <v>0.19975873850853532</v>
      </c>
      <c r="AD588" s="69">
        <v>0.19975873850853532</v>
      </c>
      <c r="AE588" s="69">
        <v>0.19975873850853532</v>
      </c>
      <c r="AF588" s="69">
        <v>0.19975873850853532</v>
      </c>
      <c r="AG588" s="69">
        <v>0.19975873850853532</v>
      </c>
    </row>
    <row r="589" spans="1:33" ht="12.75" customHeight="1">
      <c r="A589" s="231" t="s">
        <v>2375</v>
      </c>
      <c r="B589" s="69" t="s">
        <v>717</v>
      </c>
      <c r="C589" s="69" t="s">
        <v>186</v>
      </c>
      <c r="D589" s="69" t="s">
        <v>259</v>
      </c>
      <c r="E589" s="69" t="s">
        <v>260</v>
      </c>
      <c r="F589" s="69" t="s">
        <v>160</v>
      </c>
      <c r="G589" s="69" t="s">
        <v>192</v>
      </c>
      <c r="H589" s="69" t="s">
        <v>148</v>
      </c>
      <c r="I589" s="69">
        <v>4</v>
      </c>
      <c r="J589" s="238">
        <v>0.21868155325388869</v>
      </c>
      <c r="K589" s="238">
        <v>0</v>
      </c>
      <c r="L589" s="69">
        <v>224.75395225464189</v>
      </c>
      <c r="M589" s="69">
        <v>-5.2201591511936343</v>
      </c>
      <c r="N589" s="69">
        <v>0</v>
      </c>
      <c r="O589" s="69">
        <v>0</v>
      </c>
      <c r="P589" s="69">
        <v>0</v>
      </c>
      <c r="Q589" s="69">
        <v>0</v>
      </c>
      <c r="R589" s="69">
        <v>0</v>
      </c>
      <c r="S589" s="69">
        <v>0.19975873850853532</v>
      </c>
      <c r="T589" s="69">
        <v>0.19975873850853532</v>
      </c>
      <c r="U589" s="69">
        <v>0.19975873850853532</v>
      </c>
      <c r="V589" s="69">
        <v>0.19975873850853532</v>
      </c>
      <c r="W589" s="69">
        <v>0.19975873850853532</v>
      </c>
      <c r="X589" s="69">
        <v>0.19975873850853532</v>
      </c>
      <c r="Y589" s="69">
        <v>0.19975873850853532</v>
      </c>
      <c r="Z589" s="69">
        <v>0.19975873850853532</v>
      </c>
      <c r="AA589" s="69">
        <v>0.19975873850853532</v>
      </c>
      <c r="AB589" s="69">
        <v>0.19975873850853532</v>
      </c>
      <c r="AC589" s="69">
        <v>0.19975873850853532</v>
      </c>
      <c r="AD589" s="69">
        <v>0.19975873850853532</v>
      </c>
      <c r="AE589" s="69">
        <v>0.19975873850853532</v>
      </c>
      <c r="AF589" s="69">
        <v>0.19975873850853532</v>
      </c>
      <c r="AG589" s="69">
        <v>0.19975873850853532</v>
      </c>
    </row>
    <row r="590" spans="1:33" ht="12.75" customHeight="1">
      <c r="A590" s="231" t="s">
        <v>2375</v>
      </c>
      <c r="B590" s="69" t="s">
        <v>718</v>
      </c>
      <c r="C590" s="69" t="s">
        <v>186</v>
      </c>
      <c r="D590" s="69" t="s">
        <v>259</v>
      </c>
      <c r="E590" s="69" t="s">
        <v>260</v>
      </c>
      <c r="F590" s="69" t="s">
        <v>160</v>
      </c>
      <c r="G590" s="69" t="s">
        <v>192</v>
      </c>
      <c r="H590" s="69" t="s">
        <v>148</v>
      </c>
      <c r="I590" s="69">
        <v>4</v>
      </c>
      <c r="J590" s="238">
        <v>0.21868155325388869</v>
      </c>
      <c r="K590" s="238">
        <v>0</v>
      </c>
      <c r="L590" s="69">
        <v>224.75395225464189</v>
      </c>
      <c r="M590" s="69">
        <v>-5.2201591511936343</v>
      </c>
      <c r="N590" s="69">
        <v>0</v>
      </c>
      <c r="O590" s="69">
        <v>0</v>
      </c>
      <c r="P590" s="69">
        <v>0</v>
      </c>
      <c r="Q590" s="69">
        <v>0</v>
      </c>
      <c r="R590" s="69">
        <v>0</v>
      </c>
      <c r="S590" s="69">
        <v>0</v>
      </c>
      <c r="T590" s="69">
        <v>0.19975873850853532</v>
      </c>
      <c r="U590" s="69">
        <v>0.19975873850853532</v>
      </c>
      <c r="V590" s="69">
        <v>0.19975873850853532</v>
      </c>
      <c r="W590" s="69">
        <v>0.19975873850853532</v>
      </c>
      <c r="X590" s="69">
        <v>0.19975873850853532</v>
      </c>
      <c r="Y590" s="69">
        <v>0.19975873850853532</v>
      </c>
      <c r="Z590" s="69">
        <v>0.19975873850853532</v>
      </c>
      <c r="AA590" s="69">
        <v>0.19975873850853532</v>
      </c>
      <c r="AB590" s="69">
        <v>0.19975873850853532</v>
      </c>
      <c r="AC590" s="69">
        <v>0.19975873850853532</v>
      </c>
      <c r="AD590" s="69">
        <v>0.19975873850853532</v>
      </c>
      <c r="AE590" s="69">
        <v>0.19975873850853532</v>
      </c>
      <c r="AF590" s="69">
        <v>0.19975873850853532</v>
      </c>
      <c r="AG590" s="69">
        <v>0.19975873850853532</v>
      </c>
    </row>
    <row r="591" spans="1:33" ht="12.75" customHeight="1">
      <c r="A591" s="231" t="s">
        <v>2375</v>
      </c>
      <c r="B591" s="69" t="s">
        <v>719</v>
      </c>
      <c r="C591" s="69" t="s">
        <v>186</v>
      </c>
      <c r="D591" s="69" t="s">
        <v>259</v>
      </c>
      <c r="E591" s="69" t="s">
        <v>260</v>
      </c>
      <c r="F591" s="69" t="s">
        <v>160</v>
      </c>
      <c r="G591" s="69" t="s">
        <v>192</v>
      </c>
      <c r="H591" s="69" t="s">
        <v>148</v>
      </c>
      <c r="I591" s="69">
        <v>4</v>
      </c>
      <c r="J591" s="238">
        <v>0.21868155325388869</v>
      </c>
      <c r="K591" s="238">
        <v>0</v>
      </c>
      <c r="L591" s="69">
        <v>224.75395225464189</v>
      </c>
      <c r="M591" s="69">
        <v>-5.2201591511936343</v>
      </c>
      <c r="N591" s="69">
        <v>0</v>
      </c>
      <c r="O591" s="69">
        <v>0</v>
      </c>
      <c r="P591" s="69">
        <v>0</v>
      </c>
      <c r="Q591" s="69">
        <v>0</v>
      </c>
      <c r="R591" s="69">
        <v>0</v>
      </c>
      <c r="S591" s="69">
        <v>0</v>
      </c>
      <c r="T591" s="69">
        <v>0</v>
      </c>
      <c r="U591" s="69">
        <v>0.19975873850853532</v>
      </c>
      <c r="V591" s="69">
        <v>0.19975873850853532</v>
      </c>
      <c r="W591" s="69">
        <v>0.19975873850853532</v>
      </c>
      <c r="X591" s="69">
        <v>0.19975873850853532</v>
      </c>
      <c r="Y591" s="69">
        <v>0.19975873850853532</v>
      </c>
      <c r="Z591" s="69">
        <v>0.19975873850853532</v>
      </c>
      <c r="AA591" s="69">
        <v>0.19975873850853532</v>
      </c>
      <c r="AB591" s="69">
        <v>0.19975873850853532</v>
      </c>
      <c r="AC591" s="69">
        <v>0.19975873850853532</v>
      </c>
      <c r="AD591" s="69">
        <v>0.19975873850853532</v>
      </c>
      <c r="AE591" s="69">
        <v>0.19975873850853532</v>
      </c>
      <c r="AF591" s="69">
        <v>0.19975873850853532</v>
      </c>
      <c r="AG591" s="69">
        <v>0.19975873850853532</v>
      </c>
    </row>
    <row r="592" spans="1:33" ht="12.75" customHeight="1">
      <c r="A592" s="231" t="s">
        <v>2375</v>
      </c>
      <c r="B592" s="69" t="s">
        <v>720</v>
      </c>
      <c r="C592" s="69" t="s">
        <v>186</v>
      </c>
      <c r="D592" s="69" t="s">
        <v>259</v>
      </c>
      <c r="E592" s="69" t="s">
        <v>260</v>
      </c>
      <c r="F592" s="69" t="s">
        <v>160</v>
      </c>
      <c r="G592" s="69" t="s">
        <v>192</v>
      </c>
      <c r="H592" s="69" t="s">
        <v>148</v>
      </c>
      <c r="I592" s="69">
        <v>4</v>
      </c>
      <c r="J592" s="238">
        <v>0.21868155325388869</v>
      </c>
      <c r="K592" s="238">
        <v>0</v>
      </c>
      <c r="L592" s="69">
        <v>224.75395225464189</v>
      </c>
      <c r="M592" s="69">
        <v>-5.2201591511936343</v>
      </c>
      <c r="N592" s="69">
        <v>0</v>
      </c>
      <c r="O592" s="69">
        <v>0</v>
      </c>
      <c r="P592" s="69">
        <v>0</v>
      </c>
      <c r="Q592" s="69">
        <v>0</v>
      </c>
      <c r="R592" s="69">
        <v>0</v>
      </c>
      <c r="S592" s="69">
        <v>0</v>
      </c>
      <c r="T592" s="69">
        <v>0</v>
      </c>
      <c r="U592" s="69">
        <v>0</v>
      </c>
      <c r="V592" s="69">
        <v>0.19975873850853532</v>
      </c>
      <c r="W592" s="69">
        <v>0.19975873850853532</v>
      </c>
      <c r="X592" s="69">
        <v>0.19975873850853532</v>
      </c>
      <c r="Y592" s="69">
        <v>0.19975873850853532</v>
      </c>
      <c r="Z592" s="69">
        <v>0.19975873850853532</v>
      </c>
      <c r="AA592" s="69">
        <v>0.19975873850853532</v>
      </c>
      <c r="AB592" s="69">
        <v>0.19975873850853532</v>
      </c>
      <c r="AC592" s="69">
        <v>0.19975873850853532</v>
      </c>
      <c r="AD592" s="69">
        <v>0.19975873850853532</v>
      </c>
      <c r="AE592" s="69">
        <v>0.19975873850853532</v>
      </c>
      <c r="AF592" s="69">
        <v>0.19975873850853532</v>
      </c>
      <c r="AG592" s="69">
        <v>0.19975873850853532</v>
      </c>
    </row>
    <row r="593" spans="1:33" ht="12.75" customHeight="1">
      <c r="A593" s="231" t="s">
        <v>2375</v>
      </c>
      <c r="B593" s="69" t="s">
        <v>721</v>
      </c>
      <c r="C593" s="69" t="s">
        <v>186</v>
      </c>
      <c r="D593" s="69" t="s">
        <v>259</v>
      </c>
      <c r="E593" s="69" t="s">
        <v>260</v>
      </c>
      <c r="F593" s="69" t="s">
        <v>160</v>
      </c>
      <c r="G593" s="69" t="s">
        <v>192</v>
      </c>
      <c r="H593" s="69" t="s">
        <v>148</v>
      </c>
      <c r="I593" s="69">
        <v>4</v>
      </c>
      <c r="J593" s="238">
        <v>0.21868155325388869</v>
      </c>
      <c r="K593" s="238">
        <v>0</v>
      </c>
      <c r="L593" s="69">
        <v>224.75395225464189</v>
      </c>
      <c r="M593" s="69">
        <v>-5.2201591511936343</v>
      </c>
      <c r="N593" s="69">
        <v>0</v>
      </c>
      <c r="O593" s="69">
        <v>0</v>
      </c>
      <c r="P593" s="69">
        <v>0</v>
      </c>
      <c r="Q593" s="69">
        <v>0</v>
      </c>
      <c r="R593" s="69">
        <v>0</v>
      </c>
      <c r="S593" s="69">
        <v>0</v>
      </c>
      <c r="T593" s="69">
        <v>0</v>
      </c>
      <c r="U593" s="69">
        <v>0</v>
      </c>
      <c r="V593" s="69">
        <v>0</v>
      </c>
      <c r="W593" s="69">
        <v>0.19975873850853532</v>
      </c>
      <c r="X593" s="69">
        <v>0.19975873850853532</v>
      </c>
      <c r="Y593" s="69">
        <v>0.19975873850853532</v>
      </c>
      <c r="Z593" s="69">
        <v>0.19975873850853532</v>
      </c>
      <c r="AA593" s="69">
        <v>0.19975873850853532</v>
      </c>
      <c r="AB593" s="69">
        <v>0.19975873850853532</v>
      </c>
      <c r="AC593" s="69">
        <v>0.19975873850853532</v>
      </c>
      <c r="AD593" s="69">
        <v>0.19975873850853532</v>
      </c>
      <c r="AE593" s="69">
        <v>0.19975873850853532</v>
      </c>
      <c r="AF593" s="69">
        <v>0.19975873850853532</v>
      </c>
      <c r="AG593" s="69">
        <v>0.19975873850853532</v>
      </c>
    </row>
    <row r="594" spans="1:33" ht="12.75" customHeight="1">
      <c r="A594" s="231" t="s">
        <v>2375</v>
      </c>
      <c r="B594" s="69" t="s">
        <v>722</v>
      </c>
      <c r="C594" s="69" t="s">
        <v>186</v>
      </c>
      <c r="D594" s="69" t="s">
        <v>218</v>
      </c>
      <c r="E594" s="69" t="s">
        <v>244</v>
      </c>
      <c r="F594" s="69" t="s">
        <v>160</v>
      </c>
      <c r="G594" s="69" t="s">
        <v>192</v>
      </c>
      <c r="H594" s="69" t="s">
        <v>148</v>
      </c>
      <c r="I594" s="69">
        <v>4</v>
      </c>
      <c r="J594" s="238">
        <v>0.2668262983999703</v>
      </c>
      <c r="K594" s="238">
        <v>0</v>
      </c>
      <c r="L594" s="69">
        <v>176.76062608695653</v>
      </c>
      <c r="M594" s="69">
        <v>-4.2782608695652176</v>
      </c>
      <c r="N594" s="69">
        <v>0</v>
      </c>
      <c r="O594" s="69">
        <v>0</v>
      </c>
      <c r="P594" s="69">
        <v>0</v>
      </c>
      <c r="Q594" s="69">
        <v>18.204096031135123</v>
      </c>
      <c r="R594" s="69">
        <v>18.204096031135123</v>
      </c>
      <c r="S594" s="69">
        <v>18.204096031135123</v>
      </c>
      <c r="T594" s="69">
        <v>18.204096031135123</v>
      </c>
      <c r="U594" s="69">
        <v>18.204096031135123</v>
      </c>
      <c r="V594" s="69">
        <v>18.204096031135123</v>
      </c>
      <c r="W594" s="69">
        <v>18.204096031135123</v>
      </c>
      <c r="X594" s="69">
        <v>18.204096031135123</v>
      </c>
      <c r="Y594" s="69">
        <v>18.204096031135123</v>
      </c>
      <c r="Z594" s="69">
        <v>18.204096031135123</v>
      </c>
      <c r="AA594" s="69">
        <v>18.204096031135123</v>
      </c>
      <c r="AB594" s="69">
        <v>18.204096031135123</v>
      </c>
      <c r="AC594" s="69">
        <v>18.204096031135123</v>
      </c>
      <c r="AD594" s="69">
        <v>18.204096031135123</v>
      </c>
      <c r="AE594" s="69">
        <v>18.204096031135123</v>
      </c>
      <c r="AF594" s="69">
        <v>18.204096031135123</v>
      </c>
      <c r="AG594" s="69">
        <v>18.204096031135123</v>
      </c>
    </row>
    <row r="595" spans="1:33" ht="12.75" customHeight="1">
      <c r="A595" s="231" t="s">
        <v>2375</v>
      </c>
      <c r="B595" s="69" t="s">
        <v>723</v>
      </c>
      <c r="C595" s="69" t="s">
        <v>186</v>
      </c>
      <c r="D595" s="69" t="s">
        <v>218</v>
      </c>
      <c r="E595" s="69" t="s">
        <v>244</v>
      </c>
      <c r="F595" s="69" t="s">
        <v>160</v>
      </c>
      <c r="G595" s="69" t="s">
        <v>192</v>
      </c>
      <c r="H595" s="69" t="s">
        <v>148</v>
      </c>
      <c r="I595" s="69">
        <v>4</v>
      </c>
      <c r="J595" s="238">
        <v>0.2668262983999703</v>
      </c>
      <c r="K595" s="238">
        <v>0</v>
      </c>
      <c r="L595" s="69">
        <v>176.76062608695653</v>
      </c>
      <c r="M595" s="69">
        <v>-4.2782608695652176</v>
      </c>
      <c r="N595" s="69">
        <v>0</v>
      </c>
      <c r="O595" s="69">
        <v>0</v>
      </c>
      <c r="P595" s="69">
        <v>0</v>
      </c>
      <c r="Q595" s="69">
        <v>0</v>
      </c>
      <c r="R595" s="69">
        <v>18.204096031135123</v>
      </c>
      <c r="S595" s="69">
        <v>18.204096031135123</v>
      </c>
      <c r="T595" s="69">
        <v>18.204096031135123</v>
      </c>
      <c r="U595" s="69">
        <v>18.204096031135123</v>
      </c>
      <c r="V595" s="69">
        <v>18.204096031135123</v>
      </c>
      <c r="W595" s="69">
        <v>18.204096031135123</v>
      </c>
      <c r="X595" s="69">
        <v>18.204096031135123</v>
      </c>
      <c r="Y595" s="69">
        <v>18.204096031135123</v>
      </c>
      <c r="Z595" s="69">
        <v>18.204096031135123</v>
      </c>
      <c r="AA595" s="69">
        <v>18.204096031135123</v>
      </c>
      <c r="AB595" s="69">
        <v>18.204096031135123</v>
      </c>
      <c r="AC595" s="69">
        <v>18.204096031135123</v>
      </c>
      <c r="AD595" s="69">
        <v>18.204096031135123</v>
      </c>
      <c r="AE595" s="69">
        <v>18.204096031135123</v>
      </c>
      <c r="AF595" s="69">
        <v>18.204096031135123</v>
      </c>
      <c r="AG595" s="69">
        <v>18.204096031135123</v>
      </c>
    </row>
    <row r="596" spans="1:33" ht="12.75" customHeight="1">
      <c r="A596" s="231" t="s">
        <v>2375</v>
      </c>
      <c r="B596" s="69" t="s">
        <v>724</v>
      </c>
      <c r="C596" s="69" t="s">
        <v>186</v>
      </c>
      <c r="D596" s="69" t="s">
        <v>218</v>
      </c>
      <c r="E596" s="69" t="s">
        <v>244</v>
      </c>
      <c r="F596" s="69" t="s">
        <v>160</v>
      </c>
      <c r="G596" s="69" t="s">
        <v>192</v>
      </c>
      <c r="H596" s="69" t="s">
        <v>148</v>
      </c>
      <c r="I596" s="69">
        <v>4</v>
      </c>
      <c r="J596" s="238">
        <v>0.2668262983999703</v>
      </c>
      <c r="K596" s="238">
        <v>0</v>
      </c>
      <c r="L596" s="69">
        <v>176.76062608695653</v>
      </c>
      <c r="M596" s="69">
        <v>-4.2782608695652176</v>
      </c>
      <c r="N596" s="69">
        <v>0</v>
      </c>
      <c r="O596" s="69">
        <v>0</v>
      </c>
      <c r="P596" s="69">
        <v>0</v>
      </c>
      <c r="Q596" s="69">
        <v>0</v>
      </c>
      <c r="R596" s="69">
        <v>0</v>
      </c>
      <c r="S596" s="69">
        <v>31.257764892488925</v>
      </c>
      <c r="T596" s="69">
        <v>31.257764892488925</v>
      </c>
      <c r="U596" s="69">
        <v>31.257764892488925</v>
      </c>
      <c r="V596" s="69">
        <v>31.257764892488925</v>
      </c>
      <c r="W596" s="69">
        <v>31.257764892488925</v>
      </c>
      <c r="X596" s="69">
        <v>31.257764892488925</v>
      </c>
      <c r="Y596" s="69">
        <v>31.257764892488925</v>
      </c>
      <c r="Z596" s="69">
        <v>31.257764892488925</v>
      </c>
      <c r="AA596" s="69">
        <v>31.257764892488925</v>
      </c>
      <c r="AB596" s="69">
        <v>31.257764892488925</v>
      </c>
      <c r="AC596" s="69">
        <v>31.257764892488925</v>
      </c>
      <c r="AD596" s="69">
        <v>31.257764892488925</v>
      </c>
      <c r="AE596" s="69">
        <v>31.257764892488925</v>
      </c>
      <c r="AF596" s="69">
        <v>31.257764892488925</v>
      </c>
      <c r="AG596" s="69">
        <v>31.257764892488925</v>
      </c>
    </row>
    <row r="597" spans="1:33" ht="12.75" customHeight="1">
      <c r="A597" s="231" t="s">
        <v>2375</v>
      </c>
      <c r="B597" s="69" t="s">
        <v>725</v>
      </c>
      <c r="C597" s="69" t="s">
        <v>186</v>
      </c>
      <c r="D597" s="69" t="s">
        <v>218</v>
      </c>
      <c r="E597" s="69" t="s">
        <v>244</v>
      </c>
      <c r="F597" s="69" t="s">
        <v>160</v>
      </c>
      <c r="G597" s="69" t="s">
        <v>192</v>
      </c>
      <c r="H597" s="69" t="s">
        <v>148</v>
      </c>
      <c r="I597" s="69">
        <v>4</v>
      </c>
      <c r="J597" s="238">
        <v>0.2668262983999703</v>
      </c>
      <c r="K597" s="238">
        <v>0</v>
      </c>
      <c r="L597" s="69">
        <v>176.76062608695653</v>
      </c>
      <c r="M597" s="69">
        <v>-4.2782608695652176</v>
      </c>
      <c r="N597" s="69">
        <v>0</v>
      </c>
      <c r="O597" s="69">
        <v>0</v>
      </c>
      <c r="P597" s="69">
        <v>0</v>
      </c>
      <c r="Q597" s="69">
        <v>0</v>
      </c>
      <c r="R597" s="69">
        <v>0</v>
      </c>
      <c r="S597" s="69">
        <v>0</v>
      </c>
      <c r="T597" s="69">
        <v>31.257764892488925</v>
      </c>
      <c r="U597" s="69">
        <v>31.257764892488925</v>
      </c>
      <c r="V597" s="69">
        <v>31.257764892488925</v>
      </c>
      <c r="W597" s="69">
        <v>31.257764892488925</v>
      </c>
      <c r="X597" s="69">
        <v>31.257764892488925</v>
      </c>
      <c r="Y597" s="69">
        <v>31.257764892488925</v>
      </c>
      <c r="Z597" s="69">
        <v>31.257764892488925</v>
      </c>
      <c r="AA597" s="69">
        <v>31.257764892488925</v>
      </c>
      <c r="AB597" s="69">
        <v>31.257764892488925</v>
      </c>
      <c r="AC597" s="69">
        <v>31.257764892488925</v>
      </c>
      <c r="AD597" s="69">
        <v>31.257764892488925</v>
      </c>
      <c r="AE597" s="69">
        <v>31.257764892488925</v>
      </c>
      <c r="AF597" s="69">
        <v>31.257764892488925</v>
      </c>
      <c r="AG597" s="69">
        <v>31.257764892488925</v>
      </c>
    </row>
    <row r="598" spans="1:33" ht="12.75" customHeight="1">
      <c r="A598" s="231" t="s">
        <v>2375</v>
      </c>
      <c r="B598" s="69" t="s">
        <v>726</v>
      </c>
      <c r="C598" s="69" t="s">
        <v>186</v>
      </c>
      <c r="D598" s="69" t="s">
        <v>218</v>
      </c>
      <c r="E598" s="69" t="s">
        <v>244</v>
      </c>
      <c r="F598" s="69" t="s">
        <v>160</v>
      </c>
      <c r="G598" s="69" t="s">
        <v>192</v>
      </c>
      <c r="H598" s="69" t="s">
        <v>148</v>
      </c>
      <c r="I598" s="69">
        <v>4</v>
      </c>
      <c r="J598" s="238">
        <v>0.2668262983999703</v>
      </c>
      <c r="K598" s="238">
        <v>0</v>
      </c>
      <c r="L598" s="69">
        <v>176.76062608695653</v>
      </c>
      <c r="M598" s="69">
        <v>-4.2782608695652176</v>
      </c>
      <c r="N598" s="69">
        <v>0</v>
      </c>
      <c r="O598" s="69">
        <v>0</v>
      </c>
      <c r="P598" s="69">
        <v>0</v>
      </c>
      <c r="Q598" s="69">
        <v>0</v>
      </c>
      <c r="R598" s="69">
        <v>0</v>
      </c>
      <c r="S598" s="69">
        <v>0</v>
      </c>
      <c r="T598" s="69">
        <v>0</v>
      </c>
      <c r="U598" s="69">
        <v>31.257764892488925</v>
      </c>
      <c r="V598" s="69">
        <v>31.257764892488925</v>
      </c>
      <c r="W598" s="69">
        <v>31.257764892488925</v>
      </c>
      <c r="X598" s="69">
        <v>31.257764892488925</v>
      </c>
      <c r="Y598" s="69">
        <v>31.257764892488925</v>
      </c>
      <c r="Z598" s="69">
        <v>31.257764892488925</v>
      </c>
      <c r="AA598" s="69">
        <v>31.257764892488925</v>
      </c>
      <c r="AB598" s="69">
        <v>31.257764892488925</v>
      </c>
      <c r="AC598" s="69">
        <v>31.257764892488925</v>
      </c>
      <c r="AD598" s="69">
        <v>31.257764892488925</v>
      </c>
      <c r="AE598" s="69">
        <v>31.257764892488925</v>
      </c>
      <c r="AF598" s="69">
        <v>31.257764892488925</v>
      </c>
      <c r="AG598" s="69">
        <v>31.257764892488925</v>
      </c>
    </row>
    <row r="599" spans="1:33" ht="12.75" customHeight="1">
      <c r="A599" s="231" t="s">
        <v>2375</v>
      </c>
      <c r="B599" s="69" t="s">
        <v>727</v>
      </c>
      <c r="C599" s="69" t="s">
        <v>186</v>
      </c>
      <c r="D599" s="69" t="s">
        <v>218</v>
      </c>
      <c r="E599" s="69" t="s">
        <v>244</v>
      </c>
      <c r="F599" s="69" t="s">
        <v>160</v>
      </c>
      <c r="G599" s="69" t="s">
        <v>192</v>
      </c>
      <c r="H599" s="69" t="s">
        <v>148</v>
      </c>
      <c r="I599" s="69">
        <v>4</v>
      </c>
      <c r="J599" s="238">
        <v>0.2668262983999703</v>
      </c>
      <c r="K599" s="238">
        <v>0</v>
      </c>
      <c r="L599" s="69">
        <v>176.76062608695653</v>
      </c>
      <c r="M599" s="69">
        <v>-4.2782608695652176</v>
      </c>
      <c r="N599" s="69">
        <v>0</v>
      </c>
      <c r="O599" s="69">
        <v>0</v>
      </c>
      <c r="P599" s="69">
        <v>0</v>
      </c>
      <c r="Q599" s="69">
        <v>0</v>
      </c>
      <c r="R599" s="69">
        <v>0</v>
      </c>
      <c r="S599" s="69">
        <v>0</v>
      </c>
      <c r="T599" s="69">
        <v>0</v>
      </c>
      <c r="U599" s="69">
        <v>0</v>
      </c>
      <c r="V599" s="69">
        <v>31.257764892488925</v>
      </c>
      <c r="W599" s="69">
        <v>31.257764892488925</v>
      </c>
      <c r="X599" s="69">
        <v>31.257764892488925</v>
      </c>
      <c r="Y599" s="69">
        <v>31.257764892488925</v>
      </c>
      <c r="Z599" s="69">
        <v>31.257764892488925</v>
      </c>
      <c r="AA599" s="69">
        <v>31.257764892488925</v>
      </c>
      <c r="AB599" s="69">
        <v>31.257764892488925</v>
      </c>
      <c r="AC599" s="69">
        <v>31.257764892488925</v>
      </c>
      <c r="AD599" s="69">
        <v>31.257764892488925</v>
      </c>
      <c r="AE599" s="69">
        <v>31.257764892488925</v>
      </c>
      <c r="AF599" s="69">
        <v>31.257764892488925</v>
      </c>
      <c r="AG599" s="69">
        <v>31.257764892488925</v>
      </c>
    </row>
    <row r="600" spans="1:33" ht="12.75" customHeight="1">
      <c r="A600" s="231" t="s">
        <v>2375</v>
      </c>
      <c r="B600" s="69" t="s">
        <v>728</v>
      </c>
      <c r="C600" s="69" t="s">
        <v>186</v>
      </c>
      <c r="D600" s="69" t="s">
        <v>218</v>
      </c>
      <c r="E600" s="69" t="s">
        <v>244</v>
      </c>
      <c r="F600" s="69" t="s">
        <v>160</v>
      </c>
      <c r="G600" s="69" t="s">
        <v>192</v>
      </c>
      <c r="H600" s="69" t="s">
        <v>148</v>
      </c>
      <c r="I600" s="69">
        <v>4</v>
      </c>
      <c r="J600" s="238">
        <v>0.2668262983999703</v>
      </c>
      <c r="K600" s="238">
        <v>0</v>
      </c>
      <c r="L600" s="69">
        <v>176.76062608695653</v>
      </c>
      <c r="M600" s="69">
        <v>-4.2782608695652176</v>
      </c>
      <c r="N600" s="69">
        <v>0</v>
      </c>
      <c r="O600" s="69">
        <v>0</v>
      </c>
      <c r="P600" s="69">
        <v>0</v>
      </c>
      <c r="Q600" s="69">
        <v>0</v>
      </c>
      <c r="R600" s="69">
        <v>0</v>
      </c>
      <c r="S600" s="69">
        <v>0</v>
      </c>
      <c r="T600" s="69">
        <v>0</v>
      </c>
      <c r="U600" s="69">
        <v>0</v>
      </c>
      <c r="V600" s="69">
        <v>0</v>
      </c>
      <c r="W600" s="69">
        <v>31.257764892488925</v>
      </c>
      <c r="X600" s="69">
        <v>31.257764892488925</v>
      </c>
      <c r="Y600" s="69">
        <v>31.257764892488925</v>
      </c>
      <c r="Z600" s="69">
        <v>31.257764892488925</v>
      </c>
      <c r="AA600" s="69">
        <v>31.257764892488925</v>
      </c>
      <c r="AB600" s="69">
        <v>31.257764892488925</v>
      </c>
      <c r="AC600" s="69">
        <v>31.257764892488925</v>
      </c>
      <c r="AD600" s="69">
        <v>31.257764892488925</v>
      </c>
      <c r="AE600" s="69">
        <v>31.257764892488925</v>
      </c>
      <c r="AF600" s="69">
        <v>31.257764892488925</v>
      </c>
      <c r="AG600" s="69">
        <v>31.257764892488925</v>
      </c>
    </row>
    <row r="601" spans="1:33" ht="12.75" customHeight="1">
      <c r="A601" s="231" t="s">
        <v>2375</v>
      </c>
      <c r="B601" s="69" t="s">
        <v>729</v>
      </c>
      <c r="C601" s="69" t="s">
        <v>186</v>
      </c>
      <c r="D601" s="69" t="s">
        <v>218</v>
      </c>
      <c r="E601" s="69" t="s">
        <v>203</v>
      </c>
      <c r="F601" s="69" t="s">
        <v>160</v>
      </c>
      <c r="G601" s="69" t="s">
        <v>192</v>
      </c>
      <c r="H601" s="69" t="s">
        <v>148</v>
      </c>
      <c r="I601" s="69">
        <v>4</v>
      </c>
      <c r="J601" s="238">
        <v>0.23561922263058246</v>
      </c>
      <c r="K601" s="238">
        <v>0</v>
      </c>
      <c r="L601" s="69">
        <v>200.17205317577552</v>
      </c>
      <c r="M601" s="69">
        <v>-4.8449039881831615</v>
      </c>
      <c r="N601" s="69">
        <v>0</v>
      </c>
      <c r="O601" s="69">
        <v>0</v>
      </c>
      <c r="P601" s="69">
        <v>0</v>
      </c>
      <c r="Q601" s="69">
        <v>26.916292930487543</v>
      </c>
      <c r="R601" s="69">
        <v>26.916292930487543</v>
      </c>
      <c r="S601" s="69">
        <v>26.916292930487543</v>
      </c>
      <c r="T601" s="69">
        <v>26.916292930487543</v>
      </c>
      <c r="U601" s="69">
        <v>26.916292930487543</v>
      </c>
      <c r="V601" s="69">
        <v>26.916292930487543</v>
      </c>
      <c r="W601" s="69">
        <v>26.916292930487543</v>
      </c>
      <c r="X601" s="69">
        <v>26.916292930487543</v>
      </c>
      <c r="Y601" s="69">
        <v>26.916292930487543</v>
      </c>
      <c r="Z601" s="69">
        <v>26.916292930487543</v>
      </c>
      <c r="AA601" s="69">
        <v>26.916292930487543</v>
      </c>
      <c r="AB601" s="69">
        <v>26.916292930487543</v>
      </c>
      <c r="AC601" s="69">
        <v>26.916292930487543</v>
      </c>
      <c r="AD601" s="69">
        <v>26.916292930487543</v>
      </c>
      <c r="AE601" s="69">
        <v>26.916292930487543</v>
      </c>
      <c r="AF601" s="69">
        <v>26.916292930487543</v>
      </c>
      <c r="AG601" s="69">
        <v>26.916292930487543</v>
      </c>
    </row>
    <row r="602" spans="1:33" ht="12.75" customHeight="1">
      <c r="A602" s="231" t="s">
        <v>2375</v>
      </c>
      <c r="B602" s="69" t="s">
        <v>730</v>
      </c>
      <c r="C602" s="69" t="s">
        <v>186</v>
      </c>
      <c r="D602" s="69" t="s">
        <v>218</v>
      </c>
      <c r="E602" s="69" t="s">
        <v>203</v>
      </c>
      <c r="F602" s="69" t="s">
        <v>160</v>
      </c>
      <c r="G602" s="69" t="s">
        <v>192</v>
      </c>
      <c r="H602" s="69" t="s">
        <v>148</v>
      </c>
      <c r="I602" s="69">
        <v>4</v>
      </c>
      <c r="J602" s="238">
        <v>0.23561922263058246</v>
      </c>
      <c r="K602" s="238">
        <v>0</v>
      </c>
      <c r="L602" s="69">
        <v>200.17205317577552</v>
      </c>
      <c r="M602" s="69">
        <v>-4.8449039881831615</v>
      </c>
      <c r="N602" s="69">
        <v>0</v>
      </c>
      <c r="O602" s="69">
        <v>0</v>
      </c>
      <c r="P602" s="69">
        <v>0</v>
      </c>
      <c r="Q602" s="69">
        <v>0</v>
      </c>
      <c r="R602" s="69">
        <v>26.916292930487543</v>
      </c>
      <c r="S602" s="69">
        <v>26.916292930487543</v>
      </c>
      <c r="T602" s="69">
        <v>26.916292930487543</v>
      </c>
      <c r="U602" s="69">
        <v>26.916292930487543</v>
      </c>
      <c r="V602" s="69">
        <v>26.916292930487543</v>
      </c>
      <c r="W602" s="69">
        <v>26.916292930487543</v>
      </c>
      <c r="X602" s="69">
        <v>26.916292930487543</v>
      </c>
      <c r="Y602" s="69">
        <v>26.916292930487543</v>
      </c>
      <c r="Z602" s="69">
        <v>26.916292930487543</v>
      </c>
      <c r="AA602" s="69">
        <v>26.916292930487543</v>
      </c>
      <c r="AB602" s="69">
        <v>26.916292930487543</v>
      </c>
      <c r="AC602" s="69">
        <v>26.916292930487543</v>
      </c>
      <c r="AD602" s="69">
        <v>26.916292930487543</v>
      </c>
      <c r="AE602" s="69">
        <v>26.916292930487543</v>
      </c>
      <c r="AF602" s="69">
        <v>26.916292930487543</v>
      </c>
      <c r="AG602" s="69">
        <v>26.916292930487543</v>
      </c>
    </row>
    <row r="603" spans="1:33" ht="12.75" customHeight="1">
      <c r="A603" s="231" t="s">
        <v>2375</v>
      </c>
      <c r="B603" s="69" t="s">
        <v>731</v>
      </c>
      <c r="C603" s="69" t="s">
        <v>186</v>
      </c>
      <c r="D603" s="69" t="s">
        <v>218</v>
      </c>
      <c r="E603" s="69" t="s">
        <v>203</v>
      </c>
      <c r="F603" s="69" t="s">
        <v>160</v>
      </c>
      <c r="G603" s="69" t="s">
        <v>192</v>
      </c>
      <c r="H603" s="69" t="s">
        <v>148</v>
      </c>
      <c r="I603" s="69">
        <v>4</v>
      </c>
      <c r="J603" s="238">
        <v>0.23561922263058249</v>
      </c>
      <c r="K603" s="238">
        <v>0</v>
      </c>
      <c r="L603" s="69">
        <v>200.17205317577549</v>
      </c>
      <c r="M603" s="69">
        <v>-4.8449039881831615</v>
      </c>
      <c r="N603" s="69">
        <v>0</v>
      </c>
      <c r="O603" s="69">
        <v>0</v>
      </c>
      <c r="P603" s="69">
        <v>0</v>
      </c>
      <c r="Q603" s="69">
        <v>0</v>
      </c>
      <c r="R603" s="69">
        <v>0</v>
      </c>
      <c r="S603" s="69">
        <v>46.217244446495897</v>
      </c>
      <c r="T603" s="69">
        <v>46.217244446495897</v>
      </c>
      <c r="U603" s="69">
        <v>46.217244446495897</v>
      </c>
      <c r="V603" s="69">
        <v>46.217244446495897</v>
      </c>
      <c r="W603" s="69">
        <v>46.217244446495897</v>
      </c>
      <c r="X603" s="69">
        <v>46.217244446495897</v>
      </c>
      <c r="Y603" s="69">
        <v>46.217244446495897</v>
      </c>
      <c r="Z603" s="69">
        <v>46.217244446495897</v>
      </c>
      <c r="AA603" s="69">
        <v>46.217244446495897</v>
      </c>
      <c r="AB603" s="69">
        <v>46.217244446495897</v>
      </c>
      <c r="AC603" s="69">
        <v>46.217244446495897</v>
      </c>
      <c r="AD603" s="69">
        <v>46.217244446495897</v>
      </c>
      <c r="AE603" s="69">
        <v>46.217244446495897</v>
      </c>
      <c r="AF603" s="69">
        <v>46.217244446495897</v>
      </c>
      <c r="AG603" s="69">
        <v>46.217244446495897</v>
      </c>
    </row>
    <row r="604" spans="1:33" ht="12.75" customHeight="1">
      <c r="A604" s="231" t="s">
        <v>2375</v>
      </c>
      <c r="B604" s="69" t="s">
        <v>732</v>
      </c>
      <c r="C604" s="69" t="s">
        <v>186</v>
      </c>
      <c r="D604" s="69" t="s">
        <v>218</v>
      </c>
      <c r="E604" s="69" t="s">
        <v>203</v>
      </c>
      <c r="F604" s="69" t="s">
        <v>160</v>
      </c>
      <c r="G604" s="69" t="s">
        <v>192</v>
      </c>
      <c r="H604" s="69" t="s">
        <v>148</v>
      </c>
      <c r="I604" s="69">
        <v>4</v>
      </c>
      <c r="J604" s="238">
        <v>0.23561922263058249</v>
      </c>
      <c r="K604" s="238">
        <v>0</v>
      </c>
      <c r="L604" s="69">
        <v>200.17205317577549</v>
      </c>
      <c r="M604" s="69">
        <v>-4.8449039881831615</v>
      </c>
      <c r="N604" s="69">
        <v>0</v>
      </c>
      <c r="O604" s="69">
        <v>0</v>
      </c>
      <c r="P604" s="69">
        <v>0</v>
      </c>
      <c r="Q604" s="69">
        <v>0</v>
      </c>
      <c r="R604" s="69">
        <v>0</v>
      </c>
      <c r="S604" s="69">
        <v>0</v>
      </c>
      <c r="T604" s="69">
        <v>46.217244446495897</v>
      </c>
      <c r="U604" s="69">
        <v>46.217244446495897</v>
      </c>
      <c r="V604" s="69">
        <v>46.217244446495897</v>
      </c>
      <c r="W604" s="69">
        <v>46.217244446495897</v>
      </c>
      <c r="X604" s="69">
        <v>46.217244446495897</v>
      </c>
      <c r="Y604" s="69">
        <v>46.217244446495897</v>
      </c>
      <c r="Z604" s="69">
        <v>46.217244446495897</v>
      </c>
      <c r="AA604" s="69">
        <v>46.217244446495897</v>
      </c>
      <c r="AB604" s="69">
        <v>46.217244446495897</v>
      </c>
      <c r="AC604" s="69">
        <v>46.217244446495897</v>
      </c>
      <c r="AD604" s="69">
        <v>46.217244446495897</v>
      </c>
      <c r="AE604" s="69">
        <v>46.217244446495897</v>
      </c>
      <c r="AF604" s="69">
        <v>46.217244446495897</v>
      </c>
      <c r="AG604" s="69">
        <v>46.217244446495897</v>
      </c>
    </row>
    <row r="605" spans="1:33" ht="12.75" customHeight="1">
      <c r="A605" s="231" t="s">
        <v>2375</v>
      </c>
      <c r="B605" s="69" t="s">
        <v>733</v>
      </c>
      <c r="C605" s="69" t="s">
        <v>186</v>
      </c>
      <c r="D605" s="69" t="s">
        <v>218</v>
      </c>
      <c r="E605" s="69" t="s">
        <v>203</v>
      </c>
      <c r="F605" s="69" t="s">
        <v>160</v>
      </c>
      <c r="G605" s="69" t="s">
        <v>192</v>
      </c>
      <c r="H605" s="69" t="s">
        <v>148</v>
      </c>
      <c r="I605" s="69">
        <v>4</v>
      </c>
      <c r="J605" s="238">
        <v>0.23561922263058249</v>
      </c>
      <c r="K605" s="238">
        <v>0</v>
      </c>
      <c r="L605" s="69">
        <v>200.17205317577549</v>
      </c>
      <c r="M605" s="69">
        <v>-4.8449039881831615</v>
      </c>
      <c r="N605" s="69">
        <v>0</v>
      </c>
      <c r="O605" s="69">
        <v>0</v>
      </c>
      <c r="P605" s="69">
        <v>0</v>
      </c>
      <c r="Q605" s="69">
        <v>0</v>
      </c>
      <c r="R605" s="69">
        <v>0</v>
      </c>
      <c r="S605" s="69">
        <v>0</v>
      </c>
      <c r="T605" s="69">
        <v>0</v>
      </c>
      <c r="U605" s="69">
        <v>46.217244446495897</v>
      </c>
      <c r="V605" s="69">
        <v>46.217244446495897</v>
      </c>
      <c r="W605" s="69">
        <v>46.217244446495897</v>
      </c>
      <c r="X605" s="69">
        <v>46.217244446495897</v>
      </c>
      <c r="Y605" s="69">
        <v>46.217244446495897</v>
      </c>
      <c r="Z605" s="69">
        <v>46.217244446495897</v>
      </c>
      <c r="AA605" s="69">
        <v>46.217244446495897</v>
      </c>
      <c r="AB605" s="69">
        <v>46.217244446495897</v>
      </c>
      <c r="AC605" s="69">
        <v>46.217244446495897</v>
      </c>
      <c r="AD605" s="69">
        <v>46.217244446495897</v>
      </c>
      <c r="AE605" s="69">
        <v>46.217244446495897</v>
      </c>
      <c r="AF605" s="69">
        <v>46.217244446495897</v>
      </c>
      <c r="AG605" s="69">
        <v>46.217244446495897</v>
      </c>
    </row>
    <row r="606" spans="1:33" ht="12.75" customHeight="1">
      <c r="A606" s="231" t="s">
        <v>2375</v>
      </c>
      <c r="B606" s="69" t="s">
        <v>734</v>
      </c>
      <c r="C606" s="69" t="s">
        <v>186</v>
      </c>
      <c r="D606" s="69" t="s">
        <v>218</v>
      </c>
      <c r="E606" s="69" t="s">
        <v>203</v>
      </c>
      <c r="F606" s="69" t="s">
        <v>160</v>
      </c>
      <c r="G606" s="69" t="s">
        <v>192</v>
      </c>
      <c r="H606" s="69" t="s">
        <v>148</v>
      </c>
      <c r="I606" s="69">
        <v>4</v>
      </c>
      <c r="J606" s="238">
        <v>0.23561922263058249</v>
      </c>
      <c r="K606" s="238">
        <v>0</v>
      </c>
      <c r="L606" s="69">
        <v>200.17205317577549</v>
      </c>
      <c r="M606" s="69">
        <v>-4.8449039881831615</v>
      </c>
      <c r="N606" s="69">
        <v>0</v>
      </c>
      <c r="O606" s="69">
        <v>0</v>
      </c>
      <c r="P606" s="69">
        <v>0</v>
      </c>
      <c r="Q606" s="69">
        <v>0</v>
      </c>
      <c r="R606" s="69">
        <v>0</v>
      </c>
      <c r="S606" s="69">
        <v>0</v>
      </c>
      <c r="T606" s="69">
        <v>0</v>
      </c>
      <c r="U606" s="69">
        <v>0</v>
      </c>
      <c r="V606" s="69">
        <v>46.217244446495897</v>
      </c>
      <c r="W606" s="69">
        <v>46.217244446495897</v>
      </c>
      <c r="X606" s="69">
        <v>46.217244446495897</v>
      </c>
      <c r="Y606" s="69">
        <v>46.217244446495897</v>
      </c>
      <c r="Z606" s="69">
        <v>46.217244446495897</v>
      </c>
      <c r="AA606" s="69">
        <v>46.217244446495897</v>
      </c>
      <c r="AB606" s="69">
        <v>46.217244446495897</v>
      </c>
      <c r="AC606" s="69">
        <v>46.217244446495897</v>
      </c>
      <c r="AD606" s="69">
        <v>46.217244446495897</v>
      </c>
      <c r="AE606" s="69">
        <v>46.217244446495897</v>
      </c>
      <c r="AF606" s="69">
        <v>46.217244446495897</v>
      </c>
      <c r="AG606" s="69">
        <v>46.217244446495897</v>
      </c>
    </row>
    <row r="607" spans="1:33" ht="12.75" customHeight="1">
      <c r="A607" s="231" t="s">
        <v>2375</v>
      </c>
      <c r="B607" s="69" t="s">
        <v>735</v>
      </c>
      <c r="C607" s="69" t="s">
        <v>186</v>
      </c>
      <c r="D607" s="69" t="s">
        <v>218</v>
      </c>
      <c r="E607" s="69" t="s">
        <v>203</v>
      </c>
      <c r="F607" s="69" t="s">
        <v>160</v>
      </c>
      <c r="G607" s="69" t="s">
        <v>192</v>
      </c>
      <c r="H607" s="69" t="s">
        <v>148</v>
      </c>
      <c r="I607" s="69">
        <v>4</v>
      </c>
      <c r="J607" s="238">
        <v>0.23561922263058249</v>
      </c>
      <c r="K607" s="238">
        <v>0</v>
      </c>
      <c r="L607" s="69">
        <v>200.17205317577549</v>
      </c>
      <c r="M607" s="69">
        <v>-4.8449039881831615</v>
      </c>
      <c r="N607" s="69">
        <v>0</v>
      </c>
      <c r="O607" s="69">
        <v>0</v>
      </c>
      <c r="P607" s="69">
        <v>0</v>
      </c>
      <c r="Q607" s="69">
        <v>0</v>
      </c>
      <c r="R607" s="69">
        <v>0</v>
      </c>
      <c r="S607" s="69">
        <v>0</v>
      </c>
      <c r="T607" s="69">
        <v>0</v>
      </c>
      <c r="U607" s="69">
        <v>0</v>
      </c>
      <c r="V607" s="69">
        <v>0</v>
      </c>
      <c r="W607" s="69">
        <v>46.217244446495897</v>
      </c>
      <c r="X607" s="69">
        <v>46.217244446495897</v>
      </c>
      <c r="Y607" s="69">
        <v>46.217244446495897</v>
      </c>
      <c r="Z607" s="69">
        <v>46.217244446495897</v>
      </c>
      <c r="AA607" s="69">
        <v>46.217244446495897</v>
      </c>
      <c r="AB607" s="69">
        <v>46.217244446495897</v>
      </c>
      <c r="AC607" s="69">
        <v>46.217244446495897</v>
      </c>
      <c r="AD607" s="69">
        <v>46.217244446495897</v>
      </c>
      <c r="AE607" s="69">
        <v>46.217244446495897</v>
      </c>
      <c r="AF607" s="69">
        <v>46.217244446495897</v>
      </c>
      <c r="AG607" s="69">
        <v>46.217244446495897</v>
      </c>
    </row>
    <row r="608" spans="1:33" ht="12.75" customHeight="1">
      <c r="A608" s="231" t="s">
        <v>2375</v>
      </c>
      <c r="B608" s="69" t="s">
        <v>736</v>
      </c>
      <c r="C608" s="69" t="s">
        <v>186</v>
      </c>
      <c r="D608" s="69" t="s">
        <v>218</v>
      </c>
      <c r="E608" s="69" t="s">
        <v>260</v>
      </c>
      <c r="F608" s="69" t="s">
        <v>160</v>
      </c>
      <c r="G608" s="69" t="s">
        <v>192</v>
      </c>
      <c r="H608" s="69" t="s">
        <v>148</v>
      </c>
      <c r="I608" s="69">
        <v>4</v>
      </c>
      <c r="J608" s="238">
        <v>0.21868155325388872</v>
      </c>
      <c r="K608" s="238">
        <v>0</v>
      </c>
      <c r="L608" s="69">
        <v>215.67609549071619</v>
      </c>
      <c r="M608" s="69">
        <v>-5.2201591511936343</v>
      </c>
      <c r="N608" s="69">
        <v>0</v>
      </c>
      <c r="O608" s="69">
        <v>0</v>
      </c>
      <c r="P608" s="69">
        <v>0</v>
      </c>
      <c r="Q608" s="69">
        <v>4.6840114636215731</v>
      </c>
      <c r="R608" s="69">
        <v>4.6840114636215731</v>
      </c>
      <c r="S608" s="69">
        <v>4.6840114636215731</v>
      </c>
      <c r="T608" s="69">
        <v>4.6840114636215731</v>
      </c>
      <c r="U608" s="69">
        <v>4.6840114636215731</v>
      </c>
      <c r="V608" s="69">
        <v>4.6840114636215731</v>
      </c>
      <c r="W608" s="69">
        <v>4.6840114636215731</v>
      </c>
      <c r="X608" s="69">
        <v>4.6840114636215731</v>
      </c>
      <c r="Y608" s="69">
        <v>4.6840114636215731</v>
      </c>
      <c r="Z608" s="69">
        <v>4.6840114636215731</v>
      </c>
      <c r="AA608" s="69">
        <v>4.6840114636215731</v>
      </c>
      <c r="AB608" s="69">
        <v>4.6840114636215731</v>
      </c>
      <c r="AC608" s="69">
        <v>4.6840114636215731</v>
      </c>
      <c r="AD608" s="69">
        <v>4.6840114636215731</v>
      </c>
      <c r="AE608" s="69">
        <v>4.6840114636215731</v>
      </c>
      <c r="AF608" s="69">
        <v>4.6840114636215731</v>
      </c>
      <c r="AG608" s="69">
        <v>4.6840114636215731</v>
      </c>
    </row>
    <row r="609" spans="1:33" ht="12.75" customHeight="1">
      <c r="A609" s="231" t="s">
        <v>2375</v>
      </c>
      <c r="B609" s="69" t="s">
        <v>737</v>
      </c>
      <c r="C609" s="69" t="s">
        <v>186</v>
      </c>
      <c r="D609" s="69" t="s">
        <v>218</v>
      </c>
      <c r="E609" s="69" t="s">
        <v>260</v>
      </c>
      <c r="F609" s="69" t="s">
        <v>160</v>
      </c>
      <c r="G609" s="69" t="s">
        <v>192</v>
      </c>
      <c r="H609" s="69" t="s">
        <v>148</v>
      </c>
      <c r="I609" s="69">
        <v>4</v>
      </c>
      <c r="J609" s="238">
        <v>0.21868155325388872</v>
      </c>
      <c r="K609" s="238">
        <v>0</v>
      </c>
      <c r="L609" s="69">
        <v>215.67609549071619</v>
      </c>
      <c r="M609" s="69">
        <v>-5.2201591511936343</v>
      </c>
      <c r="N609" s="69">
        <v>0</v>
      </c>
      <c r="O609" s="69">
        <v>0</v>
      </c>
      <c r="P609" s="69">
        <v>0</v>
      </c>
      <c r="Q609" s="69">
        <v>0</v>
      </c>
      <c r="R609" s="69">
        <v>4.6840114636215731</v>
      </c>
      <c r="S609" s="69">
        <v>4.6840114636215731</v>
      </c>
      <c r="T609" s="69">
        <v>4.6840114636215731</v>
      </c>
      <c r="U609" s="69">
        <v>4.6840114636215731</v>
      </c>
      <c r="V609" s="69">
        <v>4.6840114636215731</v>
      </c>
      <c r="W609" s="69">
        <v>4.6840114636215731</v>
      </c>
      <c r="X609" s="69">
        <v>4.6840114636215731</v>
      </c>
      <c r="Y609" s="69">
        <v>4.6840114636215731</v>
      </c>
      <c r="Z609" s="69">
        <v>4.6840114636215731</v>
      </c>
      <c r="AA609" s="69">
        <v>4.6840114636215731</v>
      </c>
      <c r="AB609" s="69">
        <v>4.6840114636215731</v>
      </c>
      <c r="AC609" s="69">
        <v>4.6840114636215731</v>
      </c>
      <c r="AD609" s="69">
        <v>4.6840114636215731</v>
      </c>
      <c r="AE609" s="69">
        <v>4.6840114636215731</v>
      </c>
      <c r="AF609" s="69">
        <v>4.6840114636215731</v>
      </c>
      <c r="AG609" s="69">
        <v>4.6840114636215731</v>
      </c>
    </row>
    <row r="610" spans="1:33" ht="12.75" customHeight="1">
      <c r="A610" s="231" t="s">
        <v>2375</v>
      </c>
      <c r="B610" s="69" t="s">
        <v>738</v>
      </c>
      <c r="C610" s="69" t="s">
        <v>186</v>
      </c>
      <c r="D610" s="69" t="s">
        <v>218</v>
      </c>
      <c r="E610" s="69" t="s">
        <v>260</v>
      </c>
      <c r="F610" s="69" t="s">
        <v>160</v>
      </c>
      <c r="G610" s="69" t="s">
        <v>192</v>
      </c>
      <c r="H610" s="69" t="s">
        <v>148</v>
      </c>
      <c r="I610" s="69">
        <v>4</v>
      </c>
      <c r="J610" s="238">
        <v>0.21868155325388869</v>
      </c>
      <c r="K610" s="238">
        <v>0</v>
      </c>
      <c r="L610" s="69">
        <v>215.67609549071616</v>
      </c>
      <c r="M610" s="69">
        <v>-5.2201591511936343</v>
      </c>
      <c r="N610" s="69">
        <v>0</v>
      </c>
      <c r="O610" s="69">
        <v>0</v>
      </c>
      <c r="P610" s="69">
        <v>0</v>
      </c>
      <c r="Q610" s="69">
        <v>0</v>
      </c>
      <c r="R610" s="69">
        <v>0</v>
      </c>
      <c r="S610" s="69">
        <v>8.0427904155876604</v>
      </c>
      <c r="T610" s="69">
        <v>8.0427904155876604</v>
      </c>
      <c r="U610" s="69">
        <v>8.0427904155876604</v>
      </c>
      <c r="V610" s="69">
        <v>8.0427904155876604</v>
      </c>
      <c r="W610" s="69">
        <v>8.0427904155876604</v>
      </c>
      <c r="X610" s="69">
        <v>8.0427904155876604</v>
      </c>
      <c r="Y610" s="69">
        <v>8.0427904155876604</v>
      </c>
      <c r="Z610" s="69">
        <v>8.0427904155876604</v>
      </c>
      <c r="AA610" s="69">
        <v>8.0427904155876604</v>
      </c>
      <c r="AB610" s="69">
        <v>8.0427904155876604</v>
      </c>
      <c r="AC610" s="69">
        <v>8.0427904155876604</v>
      </c>
      <c r="AD610" s="69">
        <v>8.0427904155876604</v>
      </c>
      <c r="AE610" s="69">
        <v>8.0427904155876604</v>
      </c>
      <c r="AF610" s="69">
        <v>8.0427904155876604</v>
      </c>
      <c r="AG610" s="69">
        <v>8.0427904155876604</v>
      </c>
    </row>
    <row r="611" spans="1:33" ht="12.75" customHeight="1">
      <c r="A611" s="231" t="s">
        <v>2375</v>
      </c>
      <c r="B611" s="69" t="s">
        <v>739</v>
      </c>
      <c r="C611" s="69" t="s">
        <v>186</v>
      </c>
      <c r="D611" s="69" t="s">
        <v>218</v>
      </c>
      <c r="E611" s="69" t="s">
        <v>260</v>
      </c>
      <c r="F611" s="69" t="s">
        <v>160</v>
      </c>
      <c r="G611" s="69" t="s">
        <v>192</v>
      </c>
      <c r="H611" s="69" t="s">
        <v>148</v>
      </c>
      <c r="I611" s="69">
        <v>4</v>
      </c>
      <c r="J611" s="238">
        <v>0.21868155325388869</v>
      </c>
      <c r="K611" s="238">
        <v>0</v>
      </c>
      <c r="L611" s="69">
        <v>215.67609549071616</v>
      </c>
      <c r="M611" s="69">
        <v>-5.2201591511936343</v>
      </c>
      <c r="N611" s="69">
        <v>0</v>
      </c>
      <c r="O611" s="69">
        <v>0</v>
      </c>
      <c r="P611" s="69">
        <v>0</v>
      </c>
      <c r="Q611" s="69">
        <v>0</v>
      </c>
      <c r="R611" s="69">
        <v>0</v>
      </c>
      <c r="S611" s="69">
        <v>0</v>
      </c>
      <c r="T611" s="69">
        <v>8.0427904155876604</v>
      </c>
      <c r="U611" s="69">
        <v>8.0427904155876604</v>
      </c>
      <c r="V611" s="69">
        <v>8.0427904155876604</v>
      </c>
      <c r="W611" s="69">
        <v>8.0427904155876604</v>
      </c>
      <c r="X611" s="69">
        <v>8.0427904155876604</v>
      </c>
      <c r="Y611" s="69">
        <v>8.0427904155876604</v>
      </c>
      <c r="Z611" s="69">
        <v>8.0427904155876604</v>
      </c>
      <c r="AA611" s="69">
        <v>8.0427904155876604</v>
      </c>
      <c r="AB611" s="69">
        <v>8.0427904155876604</v>
      </c>
      <c r="AC611" s="69">
        <v>8.0427904155876604</v>
      </c>
      <c r="AD611" s="69">
        <v>8.0427904155876604</v>
      </c>
      <c r="AE611" s="69">
        <v>8.0427904155876604</v>
      </c>
      <c r="AF611" s="69">
        <v>8.0427904155876604</v>
      </c>
      <c r="AG611" s="69">
        <v>8.0427904155876604</v>
      </c>
    </row>
    <row r="612" spans="1:33" ht="12.75" customHeight="1">
      <c r="A612" s="231" t="s">
        <v>2375</v>
      </c>
      <c r="B612" s="69" t="s">
        <v>740</v>
      </c>
      <c r="C612" s="69" t="s">
        <v>186</v>
      </c>
      <c r="D612" s="69" t="s">
        <v>218</v>
      </c>
      <c r="E612" s="69" t="s">
        <v>260</v>
      </c>
      <c r="F612" s="69" t="s">
        <v>160</v>
      </c>
      <c r="G612" s="69" t="s">
        <v>192</v>
      </c>
      <c r="H612" s="69" t="s">
        <v>148</v>
      </c>
      <c r="I612" s="69">
        <v>4</v>
      </c>
      <c r="J612" s="238">
        <v>0.21868155325388869</v>
      </c>
      <c r="K612" s="238">
        <v>0</v>
      </c>
      <c r="L612" s="69">
        <v>215.67609549071616</v>
      </c>
      <c r="M612" s="69">
        <v>-5.2201591511936343</v>
      </c>
      <c r="N612" s="69">
        <v>0</v>
      </c>
      <c r="O612" s="69">
        <v>0</v>
      </c>
      <c r="P612" s="69">
        <v>0</v>
      </c>
      <c r="Q612" s="69">
        <v>0</v>
      </c>
      <c r="R612" s="69">
        <v>0</v>
      </c>
      <c r="S612" s="69">
        <v>0</v>
      </c>
      <c r="T612" s="69">
        <v>0</v>
      </c>
      <c r="U612" s="69">
        <v>8.0427904155876604</v>
      </c>
      <c r="V612" s="69">
        <v>8.0427904155876604</v>
      </c>
      <c r="W612" s="69">
        <v>8.0427904155876604</v>
      </c>
      <c r="X612" s="69">
        <v>8.0427904155876604</v>
      </c>
      <c r="Y612" s="69">
        <v>8.0427904155876604</v>
      </c>
      <c r="Z612" s="69">
        <v>8.0427904155876604</v>
      </c>
      <c r="AA612" s="69">
        <v>8.0427904155876604</v>
      </c>
      <c r="AB612" s="69">
        <v>8.0427904155876604</v>
      </c>
      <c r="AC612" s="69">
        <v>8.0427904155876604</v>
      </c>
      <c r="AD612" s="69">
        <v>8.0427904155876604</v>
      </c>
      <c r="AE612" s="69">
        <v>8.0427904155876604</v>
      </c>
      <c r="AF612" s="69">
        <v>8.0427904155876604</v>
      </c>
      <c r="AG612" s="69">
        <v>8.0427904155876604</v>
      </c>
    </row>
    <row r="613" spans="1:33" ht="12.75" customHeight="1">
      <c r="A613" s="231" t="s">
        <v>2375</v>
      </c>
      <c r="B613" s="69" t="s">
        <v>741</v>
      </c>
      <c r="C613" s="69" t="s">
        <v>186</v>
      </c>
      <c r="D613" s="69" t="s">
        <v>218</v>
      </c>
      <c r="E613" s="69" t="s">
        <v>260</v>
      </c>
      <c r="F613" s="69" t="s">
        <v>160</v>
      </c>
      <c r="G613" s="69" t="s">
        <v>192</v>
      </c>
      <c r="H613" s="69" t="s">
        <v>148</v>
      </c>
      <c r="I613" s="69">
        <v>4</v>
      </c>
      <c r="J613" s="238">
        <v>0.21868155325388869</v>
      </c>
      <c r="K613" s="238">
        <v>0</v>
      </c>
      <c r="L613" s="69">
        <v>215.67609549071616</v>
      </c>
      <c r="M613" s="69">
        <v>-5.2201591511936343</v>
      </c>
      <c r="N613" s="69">
        <v>0</v>
      </c>
      <c r="O613" s="69">
        <v>0</v>
      </c>
      <c r="P613" s="69">
        <v>0</v>
      </c>
      <c r="Q613" s="69">
        <v>0</v>
      </c>
      <c r="R613" s="69">
        <v>0</v>
      </c>
      <c r="S613" s="69">
        <v>0</v>
      </c>
      <c r="T613" s="69">
        <v>0</v>
      </c>
      <c r="U613" s="69">
        <v>0</v>
      </c>
      <c r="V613" s="69">
        <v>8.0427904155876604</v>
      </c>
      <c r="W613" s="69">
        <v>8.0427904155876604</v>
      </c>
      <c r="X613" s="69">
        <v>8.0427904155876604</v>
      </c>
      <c r="Y613" s="69">
        <v>8.0427904155876604</v>
      </c>
      <c r="Z613" s="69">
        <v>8.0427904155876604</v>
      </c>
      <c r="AA613" s="69">
        <v>8.0427904155876604</v>
      </c>
      <c r="AB613" s="69">
        <v>8.0427904155876604</v>
      </c>
      <c r="AC613" s="69">
        <v>8.0427904155876604</v>
      </c>
      <c r="AD613" s="69">
        <v>8.0427904155876604</v>
      </c>
      <c r="AE613" s="69">
        <v>8.0427904155876604</v>
      </c>
      <c r="AF613" s="69">
        <v>8.0427904155876604</v>
      </c>
      <c r="AG613" s="69">
        <v>8.0427904155876604</v>
      </c>
    </row>
    <row r="614" spans="1:33" ht="12.75" customHeight="1">
      <c r="A614" s="231" t="s">
        <v>2375</v>
      </c>
      <c r="B614" s="69" t="s">
        <v>742</v>
      </c>
      <c r="C614" s="69" t="s">
        <v>186</v>
      </c>
      <c r="D614" s="69" t="s">
        <v>218</v>
      </c>
      <c r="E614" s="69" t="s">
        <v>260</v>
      </c>
      <c r="F614" s="69" t="s">
        <v>160</v>
      </c>
      <c r="G614" s="69" t="s">
        <v>192</v>
      </c>
      <c r="H614" s="69" t="s">
        <v>148</v>
      </c>
      <c r="I614" s="69">
        <v>4</v>
      </c>
      <c r="J614" s="238">
        <v>0.21868155325388869</v>
      </c>
      <c r="K614" s="238">
        <v>0</v>
      </c>
      <c r="L614" s="69">
        <v>215.67609549071616</v>
      </c>
      <c r="M614" s="69">
        <v>-5.2201591511936343</v>
      </c>
      <c r="N614" s="69">
        <v>0</v>
      </c>
      <c r="O614" s="69">
        <v>0</v>
      </c>
      <c r="P614" s="69">
        <v>0</v>
      </c>
      <c r="Q614" s="69">
        <v>0</v>
      </c>
      <c r="R614" s="69">
        <v>0</v>
      </c>
      <c r="S614" s="69">
        <v>0</v>
      </c>
      <c r="T614" s="69">
        <v>0</v>
      </c>
      <c r="U614" s="69">
        <v>0</v>
      </c>
      <c r="V614" s="69">
        <v>0</v>
      </c>
      <c r="W614" s="69">
        <v>8.0427904155876604</v>
      </c>
      <c r="X614" s="69">
        <v>8.0427904155876604</v>
      </c>
      <c r="Y614" s="69">
        <v>8.0427904155876604</v>
      </c>
      <c r="Z614" s="69">
        <v>8.0427904155876604</v>
      </c>
      <c r="AA614" s="69">
        <v>8.0427904155876604</v>
      </c>
      <c r="AB614" s="69">
        <v>8.0427904155876604</v>
      </c>
      <c r="AC614" s="69">
        <v>8.0427904155876604</v>
      </c>
      <c r="AD614" s="69">
        <v>8.0427904155876604</v>
      </c>
      <c r="AE614" s="69">
        <v>8.0427904155876604</v>
      </c>
      <c r="AF614" s="69">
        <v>8.0427904155876604</v>
      </c>
      <c r="AG614" s="69">
        <v>8.0427904155876604</v>
      </c>
    </row>
    <row r="615" spans="1:33" ht="12.75" customHeight="1">
      <c r="A615" s="231" t="s">
        <v>2375</v>
      </c>
      <c r="B615" s="69" t="s">
        <v>743</v>
      </c>
      <c r="C615" s="69" t="s">
        <v>186</v>
      </c>
      <c r="D615" s="69" t="s">
        <v>218</v>
      </c>
      <c r="E615" s="69" t="s">
        <v>203</v>
      </c>
      <c r="F615" s="69" t="s">
        <v>171</v>
      </c>
      <c r="G615" s="69" t="s">
        <v>192</v>
      </c>
      <c r="H615" s="69" t="s">
        <v>805</v>
      </c>
      <c r="I615" s="69">
        <v>2</v>
      </c>
      <c r="J615" s="238">
        <v>0.23561922263058246</v>
      </c>
      <c r="K615" s="238">
        <v>0</v>
      </c>
      <c r="L615" s="69">
        <v>200.17205317577552</v>
      </c>
      <c r="M615" s="69">
        <v>0</v>
      </c>
      <c r="N615" s="69">
        <v>0</v>
      </c>
      <c r="O615" s="69">
        <v>0</v>
      </c>
      <c r="P615" s="69">
        <v>0</v>
      </c>
      <c r="Q615" s="69">
        <v>0</v>
      </c>
      <c r="R615" s="69">
        <v>160.11243345770345</v>
      </c>
      <c r="S615" s="69">
        <v>160.11243345770345</v>
      </c>
      <c r="T615" s="69">
        <v>160.11243345770345</v>
      </c>
      <c r="U615" s="69">
        <v>160.11243345770345</v>
      </c>
      <c r="V615" s="69">
        <v>160.11243345770345</v>
      </c>
      <c r="W615" s="69">
        <v>160.11243345770345</v>
      </c>
      <c r="X615" s="69">
        <v>160.11243345770345</v>
      </c>
      <c r="Y615" s="69">
        <v>160.11243345770345</v>
      </c>
      <c r="Z615" s="69">
        <v>160.11243345770345</v>
      </c>
      <c r="AA615" s="69">
        <v>160.11243345770345</v>
      </c>
      <c r="AB615" s="69">
        <v>160.11243345770345</v>
      </c>
      <c r="AC615" s="69">
        <v>160.11243345770345</v>
      </c>
      <c r="AD615" s="69">
        <v>160.11243345770345</v>
      </c>
      <c r="AE615" s="69">
        <v>160.11243345770345</v>
      </c>
      <c r="AF615" s="69">
        <v>160.11243345770345</v>
      </c>
      <c r="AG615" s="69">
        <v>160.11243345770345</v>
      </c>
    </row>
    <row r="616" spans="1:33" ht="12.75" customHeight="1">
      <c r="A616" s="231" t="s">
        <v>2375</v>
      </c>
      <c r="B616" s="69" t="s">
        <v>744</v>
      </c>
      <c r="C616" s="69" t="s">
        <v>186</v>
      </c>
      <c r="D616" s="69" t="s">
        <v>218</v>
      </c>
      <c r="E616" s="69" t="s">
        <v>203</v>
      </c>
      <c r="F616" s="69" t="s">
        <v>171</v>
      </c>
      <c r="G616" s="69" t="s">
        <v>192</v>
      </c>
      <c r="H616" s="69" t="s">
        <v>805</v>
      </c>
      <c r="I616" s="69">
        <v>2</v>
      </c>
      <c r="J616" s="238">
        <v>0.23561922263058246</v>
      </c>
      <c r="K616" s="238">
        <v>0</v>
      </c>
      <c r="L616" s="69">
        <v>200.17205317577549</v>
      </c>
      <c r="M616" s="69">
        <v>0</v>
      </c>
      <c r="N616" s="69">
        <v>0</v>
      </c>
      <c r="O616" s="69">
        <v>0</v>
      </c>
      <c r="P616" s="69">
        <v>0</v>
      </c>
      <c r="Q616" s="69">
        <v>0</v>
      </c>
      <c r="R616" s="69">
        <v>0</v>
      </c>
      <c r="S616" s="69">
        <v>240.16865018655517</v>
      </c>
      <c r="T616" s="69">
        <v>240.16865018655517</v>
      </c>
      <c r="U616" s="69">
        <v>240.16865018655517</v>
      </c>
      <c r="V616" s="69">
        <v>240.16865018655517</v>
      </c>
      <c r="W616" s="69">
        <v>240.16865018655517</v>
      </c>
      <c r="X616" s="69">
        <v>240.16865018655517</v>
      </c>
      <c r="Y616" s="69">
        <v>240.16865018655517</v>
      </c>
      <c r="Z616" s="69">
        <v>240.16865018655517</v>
      </c>
      <c r="AA616" s="69">
        <v>240.16865018655517</v>
      </c>
      <c r="AB616" s="69">
        <v>240.16865018655517</v>
      </c>
      <c r="AC616" s="69">
        <v>240.16865018655517</v>
      </c>
      <c r="AD616" s="69">
        <v>240.16865018655517</v>
      </c>
      <c r="AE616" s="69">
        <v>240.16865018655517</v>
      </c>
      <c r="AF616" s="69">
        <v>240.16865018655517</v>
      </c>
      <c r="AG616" s="69">
        <v>240.16865018655517</v>
      </c>
    </row>
    <row r="617" spans="1:33" ht="12.75" customHeight="1">
      <c r="A617" s="231" t="s">
        <v>2375</v>
      </c>
      <c r="B617" s="69" t="s">
        <v>745</v>
      </c>
      <c r="C617" s="69" t="s">
        <v>186</v>
      </c>
      <c r="D617" s="69" t="s">
        <v>218</v>
      </c>
      <c r="E617" s="69" t="s">
        <v>203</v>
      </c>
      <c r="F617" s="69" t="s">
        <v>171</v>
      </c>
      <c r="G617" s="69" t="s">
        <v>192</v>
      </c>
      <c r="H617" s="69" t="s">
        <v>805</v>
      </c>
      <c r="I617" s="69">
        <v>2</v>
      </c>
      <c r="J617" s="238">
        <v>0.23561922263058246</v>
      </c>
      <c r="K617" s="238">
        <v>0</v>
      </c>
      <c r="L617" s="69">
        <v>200.17205317577552</v>
      </c>
      <c r="M617" s="69">
        <v>0</v>
      </c>
      <c r="N617" s="69">
        <v>0</v>
      </c>
      <c r="O617" s="69">
        <v>0</v>
      </c>
      <c r="P617" s="69">
        <v>0</v>
      </c>
      <c r="Q617" s="69">
        <v>0</v>
      </c>
      <c r="R617" s="69">
        <v>0</v>
      </c>
      <c r="S617" s="69">
        <v>0</v>
      </c>
      <c r="T617" s="69">
        <v>320.22486691540689</v>
      </c>
      <c r="U617" s="69">
        <v>320.22486691540689</v>
      </c>
      <c r="V617" s="69">
        <v>320.22486691540689</v>
      </c>
      <c r="W617" s="69">
        <v>320.22486691540689</v>
      </c>
      <c r="X617" s="69">
        <v>320.22486691540689</v>
      </c>
      <c r="Y617" s="69">
        <v>320.22486691540689</v>
      </c>
      <c r="Z617" s="69">
        <v>320.22486691540689</v>
      </c>
      <c r="AA617" s="69">
        <v>320.22486691540689</v>
      </c>
      <c r="AB617" s="69">
        <v>320.22486691540689</v>
      </c>
      <c r="AC617" s="69">
        <v>320.22486691540689</v>
      </c>
      <c r="AD617" s="69">
        <v>320.22486691540689</v>
      </c>
      <c r="AE617" s="69">
        <v>320.22486691540689</v>
      </c>
      <c r="AF617" s="69">
        <v>320.22486691540689</v>
      </c>
      <c r="AG617" s="69">
        <v>320.22486691540689</v>
      </c>
    </row>
    <row r="618" spans="1:33" ht="12.75" customHeight="1">
      <c r="A618" s="231" t="s">
        <v>2375</v>
      </c>
      <c r="B618" s="69" t="s">
        <v>746</v>
      </c>
      <c r="C618" s="69" t="s">
        <v>186</v>
      </c>
      <c r="D618" s="69" t="s">
        <v>218</v>
      </c>
      <c r="E618" s="69" t="s">
        <v>203</v>
      </c>
      <c r="F618" s="69" t="s">
        <v>171</v>
      </c>
      <c r="G618" s="69" t="s">
        <v>192</v>
      </c>
      <c r="H618" s="69" t="s">
        <v>805</v>
      </c>
      <c r="I618" s="69">
        <v>2</v>
      </c>
      <c r="J618" s="238">
        <v>0.23561922263058246</v>
      </c>
      <c r="K618" s="238">
        <v>0</v>
      </c>
      <c r="L618" s="69">
        <v>200.17205317577549</v>
      </c>
      <c r="M618" s="69">
        <v>0</v>
      </c>
      <c r="N618" s="69">
        <v>0</v>
      </c>
      <c r="O618" s="69">
        <v>0</v>
      </c>
      <c r="P618" s="69">
        <v>0</v>
      </c>
      <c r="Q618" s="69">
        <v>0</v>
      </c>
      <c r="R618" s="69">
        <v>0</v>
      </c>
      <c r="S618" s="69">
        <v>0</v>
      </c>
      <c r="T618" s="69">
        <v>0</v>
      </c>
      <c r="U618" s="69">
        <v>480.33730037311403</v>
      </c>
      <c r="V618" s="69">
        <v>480.33730037311403</v>
      </c>
      <c r="W618" s="69">
        <v>480.33730037311403</v>
      </c>
      <c r="X618" s="69">
        <v>480.33730037311403</v>
      </c>
      <c r="Y618" s="69">
        <v>480.33730037311403</v>
      </c>
      <c r="Z618" s="69">
        <v>480.33730037311403</v>
      </c>
      <c r="AA618" s="69">
        <v>480.33730037311403</v>
      </c>
      <c r="AB618" s="69">
        <v>480.33730037311403</v>
      </c>
      <c r="AC618" s="69">
        <v>480.33730037311403</v>
      </c>
      <c r="AD618" s="69">
        <v>480.33730037311403</v>
      </c>
      <c r="AE618" s="69">
        <v>480.33730037311403</v>
      </c>
      <c r="AF618" s="69">
        <v>480.33730037311403</v>
      </c>
      <c r="AG618" s="69">
        <v>480.33730037311403</v>
      </c>
    </row>
    <row r="619" spans="1:33" ht="12.75" customHeight="1">
      <c r="A619" s="231" t="s">
        <v>2375</v>
      </c>
      <c r="B619" s="69" t="s">
        <v>747</v>
      </c>
      <c r="C619" s="69" t="s">
        <v>186</v>
      </c>
      <c r="D619" s="69" t="s">
        <v>218</v>
      </c>
      <c r="E619" s="69" t="s">
        <v>203</v>
      </c>
      <c r="F619" s="69" t="s">
        <v>171</v>
      </c>
      <c r="G619" s="69" t="s">
        <v>192</v>
      </c>
      <c r="H619" s="69" t="s">
        <v>805</v>
      </c>
      <c r="I619" s="69">
        <v>2</v>
      </c>
      <c r="J619" s="238">
        <v>0.23561922263058246</v>
      </c>
      <c r="K619" s="238">
        <v>0</v>
      </c>
      <c r="L619" s="69">
        <v>200.17205317577552</v>
      </c>
      <c r="M619" s="69">
        <v>0</v>
      </c>
      <c r="N619" s="69">
        <v>0</v>
      </c>
      <c r="O619" s="69">
        <v>0</v>
      </c>
      <c r="P619" s="69">
        <v>0</v>
      </c>
      <c r="Q619" s="69">
        <v>0</v>
      </c>
      <c r="R619" s="69">
        <v>0</v>
      </c>
      <c r="S619" s="69">
        <v>0</v>
      </c>
      <c r="T619" s="69">
        <v>0</v>
      </c>
      <c r="U619" s="69">
        <v>0</v>
      </c>
      <c r="V619" s="69">
        <v>640.44973383081742</v>
      </c>
      <c r="W619" s="69">
        <v>640.44973383081742</v>
      </c>
      <c r="X619" s="69">
        <v>640.44973383081742</v>
      </c>
      <c r="Y619" s="69">
        <v>640.44973383081742</v>
      </c>
      <c r="Z619" s="69">
        <v>640.44973383081742</v>
      </c>
      <c r="AA619" s="69">
        <v>640.44973383081742</v>
      </c>
      <c r="AB619" s="69">
        <v>640.44973383081742</v>
      </c>
      <c r="AC619" s="69">
        <v>640.44973383081742</v>
      </c>
      <c r="AD619" s="69">
        <v>640.44973383081742</v>
      </c>
      <c r="AE619" s="69">
        <v>640.44973383081742</v>
      </c>
      <c r="AF619" s="69">
        <v>640.44973383081742</v>
      </c>
      <c r="AG619" s="69">
        <v>640.44973383081742</v>
      </c>
    </row>
    <row r="620" spans="1:33" ht="12.75" customHeight="1">
      <c r="A620" s="231" t="s">
        <v>2375</v>
      </c>
      <c r="B620" s="69" t="s">
        <v>748</v>
      </c>
      <c r="C620" s="69" t="s">
        <v>186</v>
      </c>
      <c r="D620" s="69" t="s">
        <v>218</v>
      </c>
      <c r="E620" s="69" t="s">
        <v>203</v>
      </c>
      <c r="F620" s="69" t="s">
        <v>171</v>
      </c>
      <c r="G620" s="69" t="s">
        <v>192</v>
      </c>
      <c r="H620" s="69" t="s">
        <v>805</v>
      </c>
      <c r="I620" s="69">
        <v>2</v>
      </c>
      <c r="J620" s="238">
        <v>0.23561922263058246</v>
      </c>
      <c r="K620" s="238">
        <v>0</v>
      </c>
      <c r="L620" s="69">
        <v>200.17205317577549</v>
      </c>
      <c r="M620" s="69">
        <v>0</v>
      </c>
      <c r="N620" s="69">
        <v>0</v>
      </c>
      <c r="O620" s="69">
        <v>0</v>
      </c>
      <c r="P620" s="69">
        <v>0</v>
      </c>
      <c r="Q620" s="69">
        <v>0</v>
      </c>
      <c r="R620" s="69">
        <v>0</v>
      </c>
      <c r="S620" s="69">
        <v>0</v>
      </c>
      <c r="T620" s="69">
        <v>0</v>
      </c>
      <c r="U620" s="69">
        <v>0</v>
      </c>
      <c r="V620" s="69">
        <v>0</v>
      </c>
      <c r="W620" s="69">
        <v>1094.2083702499476</v>
      </c>
      <c r="X620" s="69">
        <v>1094.2083702499476</v>
      </c>
      <c r="Y620" s="69">
        <v>1094.2083702499476</v>
      </c>
      <c r="Z620" s="69">
        <v>1094.2083702499476</v>
      </c>
      <c r="AA620" s="69">
        <v>1094.2083702499476</v>
      </c>
      <c r="AB620" s="69">
        <v>1094.2083702499476</v>
      </c>
      <c r="AC620" s="69">
        <v>1094.2083702499476</v>
      </c>
      <c r="AD620" s="69">
        <v>1094.2083702499476</v>
      </c>
      <c r="AE620" s="69">
        <v>1094.2083702499476</v>
      </c>
      <c r="AF620" s="69">
        <v>1094.2083702499476</v>
      </c>
      <c r="AG620" s="69">
        <v>1094.2083702499476</v>
      </c>
    </row>
    <row r="621" spans="1:33" ht="12.75" customHeight="1">
      <c r="A621" s="231" t="s">
        <v>2375</v>
      </c>
      <c r="B621" s="69" t="s">
        <v>749</v>
      </c>
      <c r="C621" s="69" t="s">
        <v>186</v>
      </c>
      <c r="D621" s="69" t="s">
        <v>218</v>
      </c>
      <c r="E621" s="69" t="s">
        <v>260</v>
      </c>
      <c r="F621" s="69" t="s">
        <v>171</v>
      </c>
      <c r="G621" s="69" t="s">
        <v>192</v>
      </c>
      <c r="H621" s="69" t="s">
        <v>805</v>
      </c>
      <c r="I621" s="69">
        <v>2</v>
      </c>
      <c r="J621" s="238">
        <v>0.21868155325388872</v>
      </c>
      <c r="K621" s="238">
        <v>0</v>
      </c>
      <c r="L621" s="69">
        <v>215.67609549071616</v>
      </c>
      <c r="M621" s="69">
        <v>0</v>
      </c>
      <c r="N621" s="69">
        <v>0</v>
      </c>
      <c r="O621" s="69">
        <v>0</v>
      </c>
      <c r="P621" s="69">
        <v>0</v>
      </c>
      <c r="Q621" s="69">
        <v>0</v>
      </c>
      <c r="R621" s="69">
        <v>43.884213523058861</v>
      </c>
      <c r="S621" s="69">
        <v>43.884213523058861</v>
      </c>
      <c r="T621" s="69">
        <v>43.884213523058861</v>
      </c>
      <c r="U621" s="69">
        <v>43.884213523058861</v>
      </c>
      <c r="V621" s="69">
        <v>43.884213523058861</v>
      </c>
      <c r="W621" s="69">
        <v>43.884213523058861</v>
      </c>
      <c r="X621" s="69">
        <v>43.884213523058861</v>
      </c>
      <c r="Y621" s="69">
        <v>43.884213523058861</v>
      </c>
      <c r="Z621" s="69">
        <v>43.884213523058861</v>
      </c>
      <c r="AA621" s="69">
        <v>43.884213523058861</v>
      </c>
      <c r="AB621" s="69">
        <v>43.884213523058861</v>
      </c>
      <c r="AC621" s="69">
        <v>43.884213523058861</v>
      </c>
      <c r="AD621" s="69">
        <v>43.884213523058861</v>
      </c>
      <c r="AE621" s="69">
        <v>43.884213523058861</v>
      </c>
      <c r="AF621" s="69">
        <v>43.884213523058861</v>
      </c>
      <c r="AG621" s="69">
        <v>43.884213523058861</v>
      </c>
    </row>
    <row r="622" spans="1:33" ht="12.75" customHeight="1">
      <c r="A622" s="231" t="s">
        <v>2375</v>
      </c>
      <c r="B622" s="69" t="s">
        <v>750</v>
      </c>
      <c r="C622" s="69" t="s">
        <v>186</v>
      </c>
      <c r="D622" s="69" t="s">
        <v>218</v>
      </c>
      <c r="E622" s="69" t="s">
        <v>260</v>
      </c>
      <c r="F622" s="69" t="s">
        <v>171</v>
      </c>
      <c r="G622" s="69" t="s">
        <v>192</v>
      </c>
      <c r="H622" s="69" t="s">
        <v>805</v>
      </c>
      <c r="I622" s="69">
        <v>2</v>
      </c>
      <c r="J622" s="238">
        <v>0.21868155325388872</v>
      </c>
      <c r="K622" s="238">
        <v>0</v>
      </c>
      <c r="L622" s="69">
        <v>215.67609549071619</v>
      </c>
      <c r="M622" s="69">
        <v>0</v>
      </c>
      <c r="N622" s="69">
        <v>0</v>
      </c>
      <c r="O622" s="69">
        <v>0</v>
      </c>
      <c r="P622" s="69">
        <v>0</v>
      </c>
      <c r="Q622" s="69">
        <v>0</v>
      </c>
      <c r="R622" s="69">
        <v>0</v>
      </c>
      <c r="S622" s="69">
        <v>65.826320284584654</v>
      </c>
      <c r="T622" s="69">
        <v>65.826320284584654</v>
      </c>
      <c r="U622" s="69">
        <v>65.826320284584654</v>
      </c>
      <c r="V622" s="69">
        <v>65.826320284584654</v>
      </c>
      <c r="W622" s="69">
        <v>65.826320284584654</v>
      </c>
      <c r="X622" s="69">
        <v>65.826320284584654</v>
      </c>
      <c r="Y622" s="69">
        <v>65.826320284584654</v>
      </c>
      <c r="Z622" s="69">
        <v>65.826320284584654</v>
      </c>
      <c r="AA622" s="69">
        <v>65.826320284584654</v>
      </c>
      <c r="AB622" s="69">
        <v>65.826320284584654</v>
      </c>
      <c r="AC622" s="69">
        <v>65.826320284584654</v>
      </c>
      <c r="AD622" s="69">
        <v>65.826320284584654</v>
      </c>
      <c r="AE622" s="69">
        <v>65.826320284584654</v>
      </c>
      <c r="AF622" s="69">
        <v>65.826320284584654</v>
      </c>
      <c r="AG622" s="69">
        <v>65.826320284584654</v>
      </c>
    </row>
    <row r="623" spans="1:33" ht="12.75" customHeight="1">
      <c r="A623" s="231" t="s">
        <v>2375</v>
      </c>
      <c r="B623" s="69" t="s">
        <v>751</v>
      </c>
      <c r="C623" s="69" t="s">
        <v>186</v>
      </c>
      <c r="D623" s="69" t="s">
        <v>218</v>
      </c>
      <c r="E623" s="69" t="s">
        <v>260</v>
      </c>
      <c r="F623" s="69" t="s">
        <v>171</v>
      </c>
      <c r="G623" s="69" t="s">
        <v>192</v>
      </c>
      <c r="H623" s="69" t="s">
        <v>805</v>
      </c>
      <c r="I623" s="69">
        <v>2</v>
      </c>
      <c r="J623" s="238">
        <v>0.21868155325388872</v>
      </c>
      <c r="K623" s="238">
        <v>0</v>
      </c>
      <c r="L623" s="69">
        <v>215.67609549071616</v>
      </c>
      <c r="M623" s="69">
        <v>0</v>
      </c>
      <c r="N623" s="69">
        <v>0</v>
      </c>
      <c r="O623" s="69">
        <v>0</v>
      </c>
      <c r="P623" s="69">
        <v>0</v>
      </c>
      <c r="Q623" s="69">
        <v>0</v>
      </c>
      <c r="R623" s="69">
        <v>0</v>
      </c>
      <c r="S623" s="69">
        <v>0</v>
      </c>
      <c r="T623" s="69">
        <v>87.768427046110446</v>
      </c>
      <c r="U623" s="69">
        <v>87.768427046110446</v>
      </c>
      <c r="V623" s="69">
        <v>87.768427046110446</v>
      </c>
      <c r="W623" s="69">
        <v>87.768427046110446</v>
      </c>
      <c r="X623" s="69">
        <v>87.768427046110446</v>
      </c>
      <c r="Y623" s="69">
        <v>87.768427046110446</v>
      </c>
      <c r="Z623" s="69">
        <v>87.768427046110446</v>
      </c>
      <c r="AA623" s="69">
        <v>87.768427046110446</v>
      </c>
      <c r="AB623" s="69">
        <v>87.768427046110446</v>
      </c>
      <c r="AC623" s="69">
        <v>87.768427046110446</v>
      </c>
      <c r="AD623" s="69">
        <v>87.768427046110446</v>
      </c>
      <c r="AE623" s="69">
        <v>87.768427046110446</v>
      </c>
      <c r="AF623" s="69">
        <v>87.768427046110446</v>
      </c>
      <c r="AG623" s="69">
        <v>87.768427046110446</v>
      </c>
    </row>
    <row r="624" spans="1:33" ht="12.75" customHeight="1">
      <c r="A624" s="231" t="s">
        <v>2375</v>
      </c>
      <c r="B624" s="69" t="s">
        <v>752</v>
      </c>
      <c r="C624" s="69" t="s">
        <v>186</v>
      </c>
      <c r="D624" s="69" t="s">
        <v>218</v>
      </c>
      <c r="E624" s="69" t="s">
        <v>260</v>
      </c>
      <c r="F624" s="69" t="s">
        <v>171</v>
      </c>
      <c r="G624" s="69" t="s">
        <v>192</v>
      </c>
      <c r="H624" s="69" t="s">
        <v>805</v>
      </c>
      <c r="I624" s="69">
        <v>2</v>
      </c>
      <c r="J624" s="238">
        <v>0.21868155325388872</v>
      </c>
      <c r="K624" s="238">
        <v>0</v>
      </c>
      <c r="L624" s="69">
        <v>215.67609549071619</v>
      </c>
      <c r="M624" s="69">
        <v>0</v>
      </c>
      <c r="N624" s="69">
        <v>0</v>
      </c>
      <c r="O624" s="69">
        <v>0</v>
      </c>
      <c r="P624" s="69">
        <v>0</v>
      </c>
      <c r="Q624" s="69">
        <v>0</v>
      </c>
      <c r="R624" s="69">
        <v>0</v>
      </c>
      <c r="S624" s="69">
        <v>0</v>
      </c>
      <c r="T624" s="69">
        <v>0</v>
      </c>
      <c r="U624" s="69">
        <v>131.65264056916931</v>
      </c>
      <c r="V624" s="69">
        <v>131.65264056916931</v>
      </c>
      <c r="W624" s="69">
        <v>131.65264056916931</v>
      </c>
      <c r="X624" s="69">
        <v>131.65264056916931</v>
      </c>
      <c r="Y624" s="69">
        <v>131.65264056916931</v>
      </c>
      <c r="Z624" s="69">
        <v>131.65264056916931</v>
      </c>
      <c r="AA624" s="69">
        <v>131.65264056916931</v>
      </c>
      <c r="AB624" s="69">
        <v>131.65264056916931</v>
      </c>
      <c r="AC624" s="69">
        <v>131.65264056916931</v>
      </c>
      <c r="AD624" s="69">
        <v>131.65264056916931</v>
      </c>
      <c r="AE624" s="69">
        <v>131.65264056916931</v>
      </c>
      <c r="AF624" s="69">
        <v>131.65264056916931</v>
      </c>
      <c r="AG624" s="69">
        <v>131.65264056916931</v>
      </c>
    </row>
    <row r="625" spans="1:33" ht="12.75" customHeight="1">
      <c r="A625" s="231" t="s">
        <v>2375</v>
      </c>
      <c r="B625" s="69" t="s">
        <v>753</v>
      </c>
      <c r="C625" s="69" t="s">
        <v>186</v>
      </c>
      <c r="D625" s="69" t="s">
        <v>218</v>
      </c>
      <c r="E625" s="69" t="s">
        <v>260</v>
      </c>
      <c r="F625" s="69" t="s">
        <v>171</v>
      </c>
      <c r="G625" s="69" t="s">
        <v>192</v>
      </c>
      <c r="H625" s="69" t="s">
        <v>805</v>
      </c>
      <c r="I625" s="69">
        <v>2</v>
      </c>
      <c r="J625" s="238">
        <v>0.21868155325388872</v>
      </c>
      <c r="K625" s="238">
        <v>0</v>
      </c>
      <c r="L625" s="69">
        <v>215.67609549071616</v>
      </c>
      <c r="M625" s="69">
        <v>0</v>
      </c>
      <c r="N625" s="69">
        <v>0</v>
      </c>
      <c r="O625" s="69">
        <v>0</v>
      </c>
      <c r="P625" s="69">
        <v>0</v>
      </c>
      <c r="Q625" s="69">
        <v>0</v>
      </c>
      <c r="R625" s="69">
        <v>0</v>
      </c>
      <c r="S625" s="69">
        <v>0</v>
      </c>
      <c r="T625" s="69">
        <v>0</v>
      </c>
      <c r="U625" s="69">
        <v>0</v>
      </c>
      <c r="V625" s="69">
        <v>175.53685409222089</v>
      </c>
      <c r="W625" s="69">
        <v>175.53685409222089</v>
      </c>
      <c r="X625" s="69">
        <v>175.53685409222089</v>
      </c>
      <c r="Y625" s="69">
        <v>175.53685409222089</v>
      </c>
      <c r="Z625" s="69">
        <v>175.53685409222089</v>
      </c>
      <c r="AA625" s="69">
        <v>175.53685409222089</v>
      </c>
      <c r="AB625" s="69">
        <v>175.53685409222089</v>
      </c>
      <c r="AC625" s="69">
        <v>175.53685409222089</v>
      </c>
      <c r="AD625" s="69">
        <v>175.53685409222089</v>
      </c>
      <c r="AE625" s="69">
        <v>175.53685409222089</v>
      </c>
      <c r="AF625" s="69">
        <v>175.53685409222089</v>
      </c>
      <c r="AG625" s="69">
        <v>175.53685409222089</v>
      </c>
    </row>
    <row r="626" spans="1:33" ht="12.75" customHeight="1">
      <c r="A626" s="231" t="s">
        <v>2375</v>
      </c>
      <c r="B626" s="69" t="s">
        <v>754</v>
      </c>
      <c r="C626" s="69" t="s">
        <v>186</v>
      </c>
      <c r="D626" s="69" t="s">
        <v>218</v>
      </c>
      <c r="E626" s="69" t="s">
        <v>260</v>
      </c>
      <c r="F626" s="69" t="s">
        <v>171</v>
      </c>
      <c r="G626" s="69" t="s">
        <v>192</v>
      </c>
      <c r="H626" s="69" t="s">
        <v>805</v>
      </c>
      <c r="I626" s="69">
        <v>2</v>
      </c>
      <c r="J626" s="238">
        <v>0.21868155325388869</v>
      </c>
      <c r="K626" s="238">
        <v>0</v>
      </c>
      <c r="L626" s="69">
        <v>215.67609549071619</v>
      </c>
      <c r="M626" s="69">
        <v>0</v>
      </c>
      <c r="N626" s="69">
        <v>0</v>
      </c>
      <c r="O626" s="69">
        <v>0</v>
      </c>
      <c r="P626" s="69">
        <v>0</v>
      </c>
      <c r="Q626" s="69">
        <v>0</v>
      </c>
      <c r="R626" s="69">
        <v>0</v>
      </c>
      <c r="S626" s="69">
        <v>0</v>
      </c>
      <c r="T626" s="69">
        <v>0</v>
      </c>
      <c r="U626" s="69">
        <v>0</v>
      </c>
      <c r="V626" s="69">
        <v>0</v>
      </c>
      <c r="W626" s="69">
        <v>299.90471521656576</v>
      </c>
      <c r="X626" s="69">
        <v>299.90471521656576</v>
      </c>
      <c r="Y626" s="69">
        <v>299.90471521656576</v>
      </c>
      <c r="Z626" s="69">
        <v>299.90471521656576</v>
      </c>
      <c r="AA626" s="69">
        <v>299.90471521656576</v>
      </c>
      <c r="AB626" s="69">
        <v>299.90471521656576</v>
      </c>
      <c r="AC626" s="69">
        <v>299.90471521656576</v>
      </c>
      <c r="AD626" s="69">
        <v>299.90471521656576</v>
      </c>
      <c r="AE626" s="69">
        <v>299.90471521656576</v>
      </c>
      <c r="AF626" s="69">
        <v>299.90471521656576</v>
      </c>
      <c r="AG626" s="69">
        <v>299.90471521656576</v>
      </c>
    </row>
    <row r="627" spans="1:33" ht="12.75" customHeight="1">
      <c r="A627" s="231" t="s">
        <v>2375</v>
      </c>
      <c r="B627" s="69" t="s">
        <v>755</v>
      </c>
      <c r="C627" s="69" t="s">
        <v>186</v>
      </c>
      <c r="D627" s="69" t="s">
        <v>218</v>
      </c>
      <c r="E627" s="69" t="s">
        <v>244</v>
      </c>
      <c r="F627" s="69" t="s">
        <v>172</v>
      </c>
      <c r="G627" s="69" t="s">
        <v>192</v>
      </c>
      <c r="H627" s="69" t="s">
        <v>804</v>
      </c>
      <c r="I627" s="69">
        <v>2</v>
      </c>
      <c r="J627" s="238">
        <v>0.2668262983999703</v>
      </c>
      <c r="K627" s="238">
        <v>0</v>
      </c>
      <c r="L627" s="69">
        <v>176.76062608695656</v>
      </c>
      <c r="M627" s="69">
        <v>0</v>
      </c>
      <c r="N627" s="69">
        <v>0</v>
      </c>
      <c r="O627" s="69">
        <v>0</v>
      </c>
      <c r="P627" s="69">
        <v>0</v>
      </c>
      <c r="Q627" s="69">
        <v>0</v>
      </c>
      <c r="R627" s="69">
        <v>40.230121220527501</v>
      </c>
      <c r="S627" s="69">
        <v>40.230121220527501</v>
      </c>
      <c r="T627" s="69">
        <v>40.230121220527501</v>
      </c>
      <c r="U627" s="69">
        <v>40.230121220527501</v>
      </c>
      <c r="V627" s="69">
        <v>40.230121220527501</v>
      </c>
      <c r="W627" s="69">
        <v>40.230121220527501</v>
      </c>
      <c r="X627" s="69">
        <v>40.230121220527501</v>
      </c>
      <c r="Y627" s="69">
        <v>40.230121220527501</v>
      </c>
      <c r="Z627" s="69">
        <v>40.230121220527501</v>
      </c>
      <c r="AA627" s="69">
        <v>40.230121220527501</v>
      </c>
      <c r="AB627" s="69">
        <v>40.230121220527501</v>
      </c>
      <c r="AC627" s="69">
        <v>40.230121220527501</v>
      </c>
      <c r="AD627" s="69">
        <v>40.230121220527501</v>
      </c>
      <c r="AE627" s="69">
        <v>40.230121220527501</v>
      </c>
      <c r="AF627" s="69">
        <v>40.230121220527501</v>
      </c>
      <c r="AG627" s="69">
        <v>40.230121220527501</v>
      </c>
    </row>
    <row r="628" spans="1:33" ht="12.75" customHeight="1">
      <c r="A628" s="231" t="s">
        <v>2375</v>
      </c>
      <c r="B628" s="69" t="s">
        <v>756</v>
      </c>
      <c r="C628" s="69" t="s">
        <v>186</v>
      </c>
      <c r="D628" s="69" t="s">
        <v>218</v>
      </c>
      <c r="E628" s="69" t="s">
        <v>244</v>
      </c>
      <c r="F628" s="69" t="s">
        <v>172</v>
      </c>
      <c r="G628" s="69" t="s">
        <v>192</v>
      </c>
      <c r="H628" s="69" t="s">
        <v>804</v>
      </c>
      <c r="I628" s="69">
        <v>2</v>
      </c>
      <c r="J628" s="238">
        <v>0.2668262983999703</v>
      </c>
      <c r="K628" s="238">
        <v>0</v>
      </c>
      <c r="L628" s="69">
        <v>176.76062608695656</v>
      </c>
      <c r="M628" s="69">
        <v>0</v>
      </c>
      <c r="N628" s="69">
        <v>0</v>
      </c>
      <c r="O628" s="69">
        <v>0</v>
      </c>
      <c r="P628" s="69">
        <v>0</v>
      </c>
      <c r="Q628" s="69">
        <v>0</v>
      </c>
      <c r="R628" s="69">
        <v>0</v>
      </c>
      <c r="S628" s="69">
        <v>60.345181830787617</v>
      </c>
      <c r="T628" s="69">
        <v>60.345181830787617</v>
      </c>
      <c r="U628" s="69">
        <v>60.345181830787617</v>
      </c>
      <c r="V628" s="69">
        <v>60.345181830787617</v>
      </c>
      <c r="W628" s="69">
        <v>60.345181830787617</v>
      </c>
      <c r="X628" s="69">
        <v>60.345181830787617</v>
      </c>
      <c r="Y628" s="69">
        <v>60.345181830787617</v>
      </c>
      <c r="Z628" s="69">
        <v>60.345181830787617</v>
      </c>
      <c r="AA628" s="69">
        <v>60.345181830787617</v>
      </c>
      <c r="AB628" s="69">
        <v>60.345181830787617</v>
      </c>
      <c r="AC628" s="69">
        <v>60.345181830787617</v>
      </c>
      <c r="AD628" s="69">
        <v>60.345181830787617</v>
      </c>
      <c r="AE628" s="69">
        <v>60.345181830787617</v>
      </c>
      <c r="AF628" s="69">
        <v>60.345181830787617</v>
      </c>
      <c r="AG628" s="69">
        <v>60.345181830787617</v>
      </c>
    </row>
    <row r="629" spans="1:33" ht="12.75" customHeight="1">
      <c r="A629" s="231" t="s">
        <v>2375</v>
      </c>
      <c r="B629" s="69" t="s">
        <v>757</v>
      </c>
      <c r="C629" s="69" t="s">
        <v>186</v>
      </c>
      <c r="D629" s="69" t="s">
        <v>218</v>
      </c>
      <c r="E629" s="69" t="s">
        <v>244</v>
      </c>
      <c r="F629" s="69" t="s">
        <v>172</v>
      </c>
      <c r="G629" s="69" t="s">
        <v>192</v>
      </c>
      <c r="H629" s="69" t="s">
        <v>804</v>
      </c>
      <c r="I629" s="69">
        <v>2</v>
      </c>
      <c r="J629" s="238">
        <v>0.2668262983999703</v>
      </c>
      <c r="K629" s="238">
        <v>0</v>
      </c>
      <c r="L629" s="69">
        <v>176.76062608695656</v>
      </c>
      <c r="M629" s="69">
        <v>0</v>
      </c>
      <c r="N629" s="69">
        <v>0</v>
      </c>
      <c r="O629" s="69">
        <v>0</v>
      </c>
      <c r="P629" s="69">
        <v>0</v>
      </c>
      <c r="Q629" s="69">
        <v>0</v>
      </c>
      <c r="R629" s="69">
        <v>0</v>
      </c>
      <c r="S629" s="69">
        <v>0</v>
      </c>
      <c r="T629" s="69">
        <v>80.46024244104774</v>
      </c>
      <c r="U629" s="69">
        <v>80.46024244104774</v>
      </c>
      <c r="V629" s="69">
        <v>80.46024244104774</v>
      </c>
      <c r="W629" s="69">
        <v>80.46024244104774</v>
      </c>
      <c r="X629" s="69">
        <v>80.46024244104774</v>
      </c>
      <c r="Y629" s="69">
        <v>80.46024244104774</v>
      </c>
      <c r="Z629" s="69">
        <v>80.46024244104774</v>
      </c>
      <c r="AA629" s="69">
        <v>80.46024244104774</v>
      </c>
      <c r="AB629" s="69">
        <v>80.46024244104774</v>
      </c>
      <c r="AC629" s="69">
        <v>80.46024244104774</v>
      </c>
      <c r="AD629" s="69">
        <v>80.46024244104774</v>
      </c>
      <c r="AE629" s="69">
        <v>80.46024244104774</v>
      </c>
      <c r="AF629" s="69">
        <v>80.46024244104774</v>
      </c>
      <c r="AG629" s="69">
        <v>80.46024244104774</v>
      </c>
    </row>
    <row r="630" spans="1:33" ht="12.75" customHeight="1">
      <c r="A630" s="231" t="s">
        <v>2375</v>
      </c>
      <c r="B630" s="69" t="s">
        <v>758</v>
      </c>
      <c r="C630" s="69" t="s">
        <v>186</v>
      </c>
      <c r="D630" s="69" t="s">
        <v>218</v>
      </c>
      <c r="E630" s="69" t="s">
        <v>244</v>
      </c>
      <c r="F630" s="69" t="s">
        <v>172</v>
      </c>
      <c r="G630" s="69" t="s">
        <v>192</v>
      </c>
      <c r="H630" s="69" t="s">
        <v>804</v>
      </c>
      <c r="I630" s="69">
        <v>2</v>
      </c>
      <c r="J630" s="238">
        <v>0.2668262983999703</v>
      </c>
      <c r="K630" s="238">
        <v>0</v>
      </c>
      <c r="L630" s="69">
        <v>176.76062608695656</v>
      </c>
      <c r="M630" s="69">
        <v>0</v>
      </c>
      <c r="N630" s="69">
        <v>0</v>
      </c>
      <c r="O630" s="69">
        <v>0</v>
      </c>
      <c r="P630" s="69">
        <v>0</v>
      </c>
      <c r="Q630" s="69">
        <v>0</v>
      </c>
      <c r="R630" s="69">
        <v>0</v>
      </c>
      <c r="S630" s="69">
        <v>0</v>
      </c>
      <c r="T630" s="69">
        <v>0</v>
      </c>
      <c r="U630" s="69">
        <v>120.69036366157523</v>
      </c>
      <c r="V630" s="69">
        <v>120.69036366157523</v>
      </c>
      <c r="W630" s="69">
        <v>120.69036366157523</v>
      </c>
      <c r="X630" s="69">
        <v>120.69036366157523</v>
      </c>
      <c r="Y630" s="69">
        <v>120.69036366157523</v>
      </c>
      <c r="Z630" s="69">
        <v>120.69036366157523</v>
      </c>
      <c r="AA630" s="69">
        <v>120.69036366157523</v>
      </c>
      <c r="AB630" s="69">
        <v>120.69036366157523</v>
      </c>
      <c r="AC630" s="69">
        <v>120.69036366157523</v>
      </c>
      <c r="AD630" s="69">
        <v>120.69036366157523</v>
      </c>
      <c r="AE630" s="69">
        <v>120.69036366157523</v>
      </c>
      <c r="AF630" s="69">
        <v>120.69036366157523</v>
      </c>
      <c r="AG630" s="69">
        <v>120.69036366157523</v>
      </c>
    </row>
    <row r="631" spans="1:33" ht="12.75" customHeight="1">
      <c r="A631" s="231" t="s">
        <v>2375</v>
      </c>
      <c r="B631" s="69" t="s">
        <v>759</v>
      </c>
      <c r="C631" s="69" t="s">
        <v>186</v>
      </c>
      <c r="D631" s="69" t="s">
        <v>218</v>
      </c>
      <c r="E631" s="69" t="s">
        <v>244</v>
      </c>
      <c r="F631" s="69" t="s">
        <v>172</v>
      </c>
      <c r="G631" s="69" t="s">
        <v>192</v>
      </c>
      <c r="H631" s="69" t="s">
        <v>804</v>
      </c>
      <c r="I631" s="69">
        <v>2</v>
      </c>
      <c r="J631" s="238">
        <v>0.2668262983999703</v>
      </c>
      <c r="K631" s="238">
        <v>0</v>
      </c>
      <c r="L631" s="69">
        <v>176.76062608695656</v>
      </c>
      <c r="M631" s="69">
        <v>0</v>
      </c>
      <c r="N631" s="69">
        <v>0</v>
      </c>
      <c r="O631" s="69">
        <v>0</v>
      </c>
      <c r="P631" s="69">
        <v>0</v>
      </c>
      <c r="Q631" s="69">
        <v>0</v>
      </c>
      <c r="R631" s="69">
        <v>0</v>
      </c>
      <c r="S631" s="69">
        <v>0</v>
      </c>
      <c r="T631" s="69">
        <v>0</v>
      </c>
      <c r="U631" s="69">
        <v>0</v>
      </c>
      <c r="V631" s="69">
        <v>160.92048488209548</v>
      </c>
      <c r="W631" s="69">
        <v>160.92048488209548</v>
      </c>
      <c r="X631" s="69">
        <v>160.92048488209548</v>
      </c>
      <c r="Y631" s="69">
        <v>160.92048488209548</v>
      </c>
      <c r="Z631" s="69">
        <v>160.92048488209548</v>
      </c>
      <c r="AA631" s="69">
        <v>160.92048488209548</v>
      </c>
      <c r="AB631" s="69">
        <v>160.92048488209548</v>
      </c>
      <c r="AC631" s="69">
        <v>160.92048488209548</v>
      </c>
      <c r="AD631" s="69">
        <v>160.92048488209548</v>
      </c>
      <c r="AE631" s="69">
        <v>160.92048488209548</v>
      </c>
      <c r="AF631" s="69">
        <v>160.92048488209548</v>
      </c>
      <c r="AG631" s="69">
        <v>160.92048488209548</v>
      </c>
    </row>
    <row r="632" spans="1:33" ht="12.75" customHeight="1">
      <c r="A632" s="231" t="s">
        <v>2375</v>
      </c>
      <c r="B632" s="69" t="s">
        <v>760</v>
      </c>
      <c r="C632" s="69" t="s">
        <v>186</v>
      </c>
      <c r="D632" s="69" t="s">
        <v>218</v>
      </c>
      <c r="E632" s="69" t="s">
        <v>244</v>
      </c>
      <c r="F632" s="69" t="s">
        <v>172</v>
      </c>
      <c r="G632" s="69" t="s">
        <v>192</v>
      </c>
      <c r="H632" s="69" t="s">
        <v>804</v>
      </c>
      <c r="I632" s="69">
        <v>2</v>
      </c>
      <c r="J632" s="238">
        <v>0.2668262983999703</v>
      </c>
      <c r="K632" s="238">
        <v>0</v>
      </c>
      <c r="L632" s="69">
        <v>176.76062608695656</v>
      </c>
      <c r="M632" s="69">
        <v>0</v>
      </c>
      <c r="N632" s="69">
        <v>0</v>
      </c>
      <c r="O632" s="69">
        <v>0</v>
      </c>
      <c r="P632" s="69">
        <v>0</v>
      </c>
      <c r="Q632" s="69">
        <v>0</v>
      </c>
      <c r="R632" s="69">
        <v>0</v>
      </c>
      <c r="S632" s="69">
        <v>0</v>
      </c>
      <c r="T632" s="69">
        <v>0</v>
      </c>
      <c r="U632" s="69">
        <v>0</v>
      </c>
      <c r="V632" s="69">
        <v>0</v>
      </c>
      <c r="W632" s="69">
        <v>274.93264842106146</v>
      </c>
      <c r="X632" s="69">
        <v>274.93264842106146</v>
      </c>
      <c r="Y632" s="69">
        <v>274.93264842106146</v>
      </c>
      <c r="Z632" s="69">
        <v>274.93264842106146</v>
      </c>
      <c r="AA632" s="69">
        <v>274.93264842106146</v>
      </c>
      <c r="AB632" s="69">
        <v>274.93264842106146</v>
      </c>
      <c r="AC632" s="69">
        <v>274.93264842106146</v>
      </c>
      <c r="AD632" s="69">
        <v>274.93264842106146</v>
      </c>
      <c r="AE632" s="69">
        <v>274.93264842106146</v>
      </c>
      <c r="AF632" s="69">
        <v>274.93264842106146</v>
      </c>
      <c r="AG632" s="69">
        <v>274.93264842106146</v>
      </c>
    </row>
    <row r="633" spans="1:33" ht="12.75" customHeight="1">
      <c r="A633" s="231" t="s">
        <v>2375</v>
      </c>
      <c r="B633" s="69" t="s">
        <v>761</v>
      </c>
      <c r="C633" s="69" t="s">
        <v>186</v>
      </c>
      <c r="D633" s="69" t="s">
        <v>218</v>
      </c>
      <c r="E633" s="69" t="s">
        <v>203</v>
      </c>
      <c r="F633" s="69" t="s">
        <v>172</v>
      </c>
      <c r="G633" s="69" t="s">
        <v>192</v>
      </c>
      <c r="H633" s="69" t="s">
        <v>804</v>
      </c>
      <c r="I633" s="69">
        <v>2</v>
      </c>
      <c r="J633" s="238">
        <v>0.23561922263058249</v>
      </c>
      <c r="K633" s="238">
        <v>0</v>
      </c>
      <c r="L633" s="69">
        <v>200.17205317577552</v>
      </c>
      <c r="M633" s="69">
        <v>0</v>
      </c>
      <c r="N633" s="69">
        <v>0</v>
      </c>
      <c r="O633" s="69">
        <v>0</v>
      </c>
      <c r="P633" s="69">
        <v>0</v>
      </c>
      <c r="Q633" s="69">
        <v>0</v>
      </c>
      <c r="R633" s="69">
        <v>17.512297409433813</v>
      </c>
      <c r="S633" s="69">
        <v>17.512297409433813</v>
      </c>
      <c r="T633" s="69">
        <v>17.512297409433813</v>
      </c>
      <c r="U633" s="69">
        <v>17.512297409433813</v>
      </c>
      <c r="V633" s="69">
        <v>17.512297409433813</v>
      </c>
      <c r="W633" s="69">
        <v>17.512297409433813</v>
      </c>
      <c r="X633" s="69">
        <v>17.512297409433813</v>
      </c>
      <c r="Y633" s="69">
        <v>17.512297409433813</v>
      </c>
      <c r="Z633" s="69">
        <v>17.512297409433813</v>
      </c>
      <c r="AA633" s="69">
        <v>17.512297409433813</v>
      </c>
      <c r="AB633" s="69">
        <v>17.512297409433813</v>
      </c>
      <c r="AC633" s="69">
        <v>17.512297409433813</v>
      </c>
      <c r="AD633" s="69">
        <v>17.512297409433813</v>
      </c>
      <c r="AE633" s="69">
        <v>17.512297409433813</v>
      </c>
      <c r="AF633" s="69">
        <v>17.512297409433813</v>
      </c>
      <c r="AG633" s="69">
        <v>17.512297409433813</v>
      </c>
    </row>
    <row r="634" spans="1:33" ht="12.75" customHeight="1">
      <c r="A634" s="231" t="s">
        <v>2375</v>
      </c>
      <c r="B634" s="69" t="s">
        <v>762</v>
      </c>
      <c r="C634" s="69" t="s">
        <v>186</v>
      </c>
      <c r="D634" s="69" t="s">
        <v>218</v>
      </c>
      <c r="E634" s="69" t="s">
        <v>203</v>
      </c>
      <c r="F634" s="69" t="s">
        <v>172</v>
      </c>
      <c r="G634" s="69" t="s">
        <v>192</v>
      </c>
      <c r="H634" s="69" t="s">
        <v>804</v>
      </c>
      <c r="I634" s="69">
        <v>2</v>
      </c>
      <c r="J634" s="238">
        <v>0.23561922263058249</v>
      </c>
      <c r="K634" s="238">
        <v>0</v>
      </c>
      <c r="L634" s="69">
        <v>200.17205317577546</v>
      </c>
      <c r="M634" s="69">
        <v>0</v>
      </c>
      <c r="N634" s="69">
        <v>0</v>
      </c>
      <c r="O634" s="69">
        <v>0</v>
      </c>
      <c r="P634" s="69">
        <v>0</v>
      </c>
      <c r="Q634" s="69">
        <v>0</v>
      </c>
      <c r="R634" s="69">
        <v>0</v>
      </c>
      <c r="S634" s="69">
        <v>26.268446114154358</v>
      </c>
      <c r="T634" s="69">
        <v>26.268446114154358</v>
      </c>
      <c r="U634" s="69">
        <v>26.268446114154358</v>
      </c>
      <c r="V634" s="69">
        <v>26.268446114154358</v>
      </c>
      <c r="W634" s="69">
        <v>26.268446114154358</v>
      </c>
      <c r="X634" s="69">
        <v>26.268446114154358</v>
      </c>
      <c r="Y634" s="69">
        <v>26.268446114154358</v>
      </c>
      <c r="Z634" s="69">
        <v>26.268446114154358</v>
      </c>
      <c r="AA634" s="69">
        <v>26.268446114154358</v>
      </c>
      <c r="AB634" s="69">
        <v>26.268446114154358</v>
      </c>
      <c r="AC634" s="69">
        <v>26.268446114154358</v>
      </c>
      <c r="AD634" s="69">
        <v>26.268446114154358</v>
      </c>
      <c r="AE634" s="69">
        <v>26.268446114154358</v>
      </c>
      <c r="AF634" s="69">
        <v>26.268446114154358</v>
      </c>
      <c r="AG634" s="69">
        <v>26.268446114154358</v>
      </c>
    </row>
    <row r="635" spans="1:33" ht="12.75" customHeight="1">
      <c r="A635" s="231" t="s">
        <v>2375</v>
      </c>
      <c r="B635" s="69" t="s">
        <v>763</v>
      </c>
      <c r="C635" s="69" t="s">
        <v>186</v>
      </c>
      <c r="D635" s="69" t="s">
        <v>218</v>
      </c>
      <c r="E635" s="69" t="s">
        <v>203</v>
      </c>
      <c r="F635" s="69" t="s">
        <v>172</v>
      </c>
      <c r="G635" s="69" t="s">
        <v>192</v>
      </c>
      <c r="H635" s="69" t="s">
        <v>804</v>
      </c>
      <c r="I635" s="69">
        <v>2</v>
      </c>
      <c r="J635" s="238">
        <v>0.23561922263058249</v>
      </c>
      <c r="K635" s="238">
        <v>0</v>
      </c>
      <c r="L635" s="69">
        <v>200.17205317577552</v>
      </c>
      <c r="M635" s="69">
        <v>0</v>
      </c>
      <c r="N635" s="69">
        <v>0</v>
      </c>
      <c r="O635" s="69">
        <v>0</v>
      </c>
      <c r="P635" s="69">
        <v>0</v>
      </c>
      <c r="Q635" s="69">
        <v>0</v>
      </c>
      <c r="R635" s="69">
        <v>0</v>
      </c>
      <c r="S635" s="69">
        <v>0</v>
      </c>
      <c r="T635" s="69">
        <v>35.024594818874903</v>
      </c>
      <c r="U635" s="69">
        <v>35.024594818874903</v>
      </c>
      <c r="V635" s="69">
        <v>35.024594818874903</v>
      </c>
      <c r="W635" s="69">
        <v>35.024594818874903</v>
      </c>
      <c r="X635" s="69">
        <v>35.024594818874903</v>
      </c>
      <c r="Y635" s="69">
        <v>35.024594818874903</v>
      </c>
      <c r="Z635" s="69">
        <v>35.024594818874903</v>
      </c>
      <c r="AA635" s="69">
        <v>35.024594818874903</v>
      </c>
      <c r="AB635" s="69">
        <v>35.024594818874903</v>
      </c>
      <c r="AC635" s="69">
        <v>35.024594818874903</v>
      </c>
      <c r="AD635" s="69">
        <v>35.024594818874903</v>
      </c>
      <c r="AE635" s="69">
        <v>35.024594818874903</v>
      </c>
      <c r="AF635" s="69">
        <v>35.024594818874903</v>
      </c>
      <c r="AG635" s="69">
        <v>35.024594818874903</v>
      </c>
    </row>
    <row r="636" spans="1:33" ht="12.75" customHeight="1">
      <c r="A636" s="231" t="s">
        <v>2375</v>
      </c>
      <c r="B636" s="69" t="s">
        <v>764</v>
      </c>
      <c r="C636" s="69" t="s">
        <v>186</v>
      </c>
      <c r="D636" s="69" t="s">
        <v>218</v>
      </c>
      <c r="E636" s="69" t="s">
        <v>203</v>
      </c>
      <c r="F636" s="69" t="s">
        <v>172</v>
      </c>
      <c r="G636" s="69" t="s">
        <v>192</v>
      </c>
      <c r="H636" s="69" t="s">
        <v>804</v>
      </c>
      <c r="I636" s="69">
        <v>2</v>
      </c>
      <c r="J636" s="238">
        <v>0.23561922263058249</v>
      </c>
      <c r="K636" s="238">
        <v>0</v>
      </c>
      <c r="L636" s="69">
        <v>200.17205317577546</v>
      </c>
      <c r="M636" s="69">
        <v>0</v>
      </c>
      <c r="N636" s="69">
        <v>0</v>
      </c>
      <c r="O636" s="69">
        <v>0</v>
      </c>
      <c r="P636" s="69">
        <v>0</v>
      </c>
      <c r="Q636" s="69">
        <v>0</v>
      </c>
      <c r="R636" s="69">
        <v>0</v>
      </c>
      <c r="S636" s="69">
        <v>0</v>
      </c>
      <c r="T636" s="69">
        <v>0</v>
      </c>
      <c r="U636" s="69">
        <v>52.536892228308716</v>
      </c>
      <c r="V636" s="69">
        <v>52.536892228308716</v>
      </c>
      <c r="W636" s="69">
        <v>52.536892228308716</v>
      </c>
      <c r="X636" s="69">
        <v>52.536892228308716</v>
      </c>
      <c r="Y636" s="69">
        <v>52.536892228308716</v>
      </c>
      <c r="Z636" s="69">
        <v>52.536892228308716</v>
      </c>
      <c r="AA636" s="69">
        <v>52.536892228308716</v>
      </c>
      <c r="AB636" s="69">
        <v>52.536892228308716</v>
      </c>
      <c r="AC636" s="69">
        <v>52.536892228308716</v>
      </c>
      <c r="AD636" s="69">
        <v>52.536892228308716</v>
      </c>
      <c r="AE636" s="69">
        <v>52.536892228308716</v>
      </c>
      <c r="AF636" s="69">
        <v>52.536892228308716</v>
      </c>
      <c r="AG636" s="69">
        <v>52.536892228308716</v>
      </c>
    </row>
    <row r="637" spans="1:33" ht="12.75" customHeight="1">
      <c r="A637" s="231" t="s">
        <v>2375</v>
      </c>
      <c r="B637" s="69" t="s">
        <v>765</v>
      </c>
      <c r="C637" s="69" t="s">
        <v>186</v>
      </c>
      <c r="D637" s="69" t="s">
        <v>218</v>
      </c>
      <c r="E637" s="69" t="s">
        <v>203</v>
      </c>
      <c r="F637" s="69" t="s">
        <v>172</v>
      </c>
      <c r="G637" s="69" t="s">
        <v>192</v>
      </c>
      <c r="H637" s="69" t="s">
        <v>804</v>
      </c>
      <c r="I637" s="69">
        <v>2</v>
      </c>
      <c r="J637" s="238">
        <v>0.23561922263058249</v>
      </c>
      <c r="K637" s="238">
        <v>0</v>
      </c>
      <c r="L637" s="69">
        <v>200.17205317577552</v>
      </c>
      <c r="M637" s="69">
        <v>0</v>
      </c>
      <c r="N637" s="69">
        <v>0</v>
      </c>
      <c r="O637" s="69">
        <v>0</v>
      </c>
      <c r="P637" s="69">
        <v>0</v>
      </c>
      <c r="Q637" s="69">
        <v>0</v>
      </c>
      <c r="R637" s="69">
        <v>0</v>
      </c>
      <c r="S637" s="69">
        <v>0</v>
      </c>
      <c r="T637" s="69">
        <v>0</v>
      </c>
      <c r="U637" s="69">
        <v>0</v>
      </c>
      <c r="V637" s="69">
        <v>70.049189637742529</v>
      </c>
      <c r="W637" s="69">
        <v>70.049189637742529</v>
      </c>
      <c r="X637" s="69">
        <v>70.049189637742529</v>
      </c>
      <c r="Y637" s="69">
        <v>70.049189637742529</v>
      </c>
      <c r="Z637" s="69">
        <v>70.049189637742529</v>
      </c>
      <c r="AA637" s="69">
        <v>70.049189637742529</v>
      </c>
      <c r="AB637" s="69">
        <v>70.049189637742529</v>
      </c>
      <c r="AC637" s="69">
        <v>70.049189637742529</v>
      </c>
      <c r="AD637" s="69">
        <v>70.049189637742529</v>
      </c>
      <c r="AE637" s="69">
        <v>70.049189637742529</v>
      </c>
      <c r="AF637" s="69">
        <v>70.049189637742529</v>
      </c>
      <c r="AG637" s="69">
        <v>70.049189637742529</v>
      </c>
    </row>
    <row r="638" spans="1:33" ht="12.75" customHeight="1">
      <c r="A638" s="231" t="s">
        <v>2375</v>
      </c>
      <c r="B638" s="69" t="s">
        <v>766</v>
      </c>
      <c r="C638" s="69" t="s">
        <v>186</v>
      </c>
      <c r="D638" s="69" t="s">
        <v>218</v>
      </c>
      <c r="E638" s="69" t="s">
        <v>203</v>
      </c>
      <c r="F638" s="69" t="s">
        <v>172</v>
      </c>
      <c r="G638" s="69" t="s">
        <v>192</v>
      </c>
      <c r="H638" s="69" t="s">
        <v>804</v>
      </c>
      <c r="I638" s="69">
        <v>2</v>
      </c>
      <c r="J638" s="238">
        <v>0.23561922263058246</v>
      </c>
      <c r="K638" s="238">
        <v>0</v>
      </c>
      <c r="L638" s="69">
        <v>200.17205317577549</v>
      </c>
      <c r="M638" s="69">
        <v>0</v>
      </c>
      <c r="N638" s="69">
        <v>0</v>
      </c>
      <c r="O638" s="69">
        <v>0</v>
      </c>
      <c r="P638" s="69">
        <v>0</v>
      </c>
      <c r="Q638" s="69">
        <v>0</v>
      </c>
      <c r="R638" s="69">
        <v>0</v>
      </c>
      <c r="S638" s="69">
        <v>0</v>
      </c>
      <c r="T638" s="69">
        <v>0</v>
      </c>
      <c r="U638" s="69">
        <v>0</v>
      </c>
      <c r="V638" s="69">
        <v>0</v>
      </c>
      <c r="W638" s="69">
        <v>119.67904049608478</v>
      </c>
      <c r="X638" s="69">
        <v>119.67904049608478</v>
      </c>
      <c r="Y638" s="69">
        <v>119.67904049608478</v>
      </c>
      <c r="Z638" s="69">
        <v>119.67904049608478</v>
      </c>
      <c r="AA638" s="69">
        <v>119.67904049608478</v>
      </c>
      <c r="AB638" s="69">
        <v>119.67904049608478</v>
      </c>
      <c r="AC638" s="69">
        <v>119.67904049608478</v>
      </c>
      <c r="AD638" s="69">
        <v>119.67904049608478</v>
      </c>
      <c r="AE638" s="69">
        <v>119.67904049608478</v>
      </c>
      <c r="AF638" s="69">
        <v>119.67904049608478</v>
      </c>
      <c r="AG638" s="69">
        <v>119.67904049608478</v>
      </c>
    </row>
    <row r="639" spans="1:33" ht="12.75" customHeight="1">
      <c r="A639" s="231" t="s">
        <v>2375</v>
      </c>
      <c r="B639" s="69" t="s">
        <v>767</v>
      </c>
      <c r="C639" s="69" t="s">
        <v>186</v>
      </c>
      <c r="D639" s="69" t="s">
        <v>218</v>
      </c>
      <c r="E639" s="69" t="s">
        <v>242</v>
      </c>
      <c r="F639" s="69" t="s">
        <v>172</v>
      </c>
      <c r="G639" s="69" t="s">
        <v>192</v>
      </c>
      <c r="H639" s="69" t="s">
        <v>804</v>
      </c>
      <c r="I639" s="69">
        <v>2</v>
      </c>
      <c r="J639" s="238">
        <v>0.24339198871440768</v>
      </c>
      <c r="K639" s="238">
        <v>0</v>
      </c>
      <c r="L639" s="69">
        <v>193.77952335557674</v>
      </c>
      <c r="M639" s="69">
        <v>0</v>
      </c>
      <c r="N639" s="69">
        <v>0</v>
      </c>
      <c r="O639" s="69">
        <v>0</v>
      </c>
      <c r="P639" s="69">
        <v>0</v>
      </c>
      <c r="Q639" s="69">
        <v>0</v>
      </c>
      <c r="R639" s="69">
        <v>10.854002943866362</v>
      </c>
      <c r="S639" s="69">
        <v>10.854002943866362</v>
      </c>
      <c r="T639" s="69">
        <v>10.854002943866362</v>
      </c>
      <c r="U639" s="69">
        <v>10.854002943866362</v>
      </c>
      <c r="V639" s="69">
        <v>10.854002943866362</v>
      </c>
      <c r="W639" s="69">
        <v>10.854002943866362</v>
      </c>
      <c r="X639" s="69">
        <v>10.854002943866362</v>
      </c>
      <c r="Y639" s="69">
        <v>10.854002943866362</v>
      </c>
      <c r="Z639" s="69">
        <v>10.854002943866362</v>
      </c>
      <c r="AA639" s="69">
        <v>10.854002943866362</v>
      </c>
      <c r="AB639" s="69">
        <v>10.854002943866362</v>
      </c>
      <c r="AC639" s="69">
        <v>10.854002943866362</v>
      </c>
      <c r="AD639" s="69">
        <v>10.854002943866362</v>
      </c>
      <c r="AE639" s="69">
        <v>10.854002943866362</v>
      </c>
      <c r="AF639" s="69">
        <v>10.854002943866362</v>
      </c>
      <c r="AG639" s="69">
        <v>10.854002943866362</v>
      </c>
    </row>
    <row r="640" spans="1:33" ht="12.75" customHeight="1">
      <c r="A640" s="231" t="s">
        <v>2375</v>
      </c>
      <c r="B640" s="69" t="s">
        <v>768</v>
      </c>
      <c r="C640" s="69" t="s">
        <v>186</v>
      </c>
      <c r="D640" s="69" t="s">
        <v>218</v>
      </c>
      <c r="E640" s="69" t="s">
        <v>242</v>
      </c>
      <c r="F640" s="69" t="s">
        <v>172</v>
      </c>
      <c r="G640" s="69" t="s">
        <v>192</v>
      </c>
      <c r="H640" s="69" t="s">
        <v>804</v>
      </c>
      <c r="I640" s="69">
        <v>2</v>
      </c>
      <c r="J640" s="238">
        <v>0.24339198871440768</v>
      </c>
      <c r="K640" s="238">
        <v>0</v>
      </c>
      <c r="L640" s="69">
        <v>193.77952335557677</v>
      </c>
      <c r="M640" s="69">
        <v>0</v>
      </c>
      <c r="N640" s="69">
        <v>0</v>
      </c>
      <c r="O640" s="69">
        <v>0</v>
      </c>
      <c r="P640" s="69">
        <v>0</v>
      </c>
      <c r="Q640" s="69">
        <v>0</v>
      </c>
      <c r="R640" s="69">
        <v>0</v>
      </c>
      <c r="S640" s="69">
        <v>16.281004415803181</v>
      </c>
      <c r="T640" s="69">
        <v>16.281004415803181</v>
      </c>
      <c r="U640" s="69">
        <v>16.281004415803181</v>
      </c>
      <c r="V640" s="69">
        <v>16.281004415803181</v>
      </c>
      <c r="W640" s="69">
        <v>16.281004415803181</v>
      </c>
      <c r="X640" s="69">
        <v>16.281004415803181</v>
      </c>
      <c r="Y640" s="69">
        <v>16.281004415803181</v>
      </c>
      <c r="Z640" s="69">
        <v>16.281004415803181</v>
      </c>
      <c r="AA640" s="69">
        <v>16.281004415803181</v>
      </c>
      <c r="AB640" s="69">
        <v>16.281004415803181</v>
      </c>
      <c r="AC640" s="69">
        <v>16.281004415803181</v>
      </c>
      <c r="AD640" s="69">
        <v>16.281004415803181</v>
      </c>
      <c r="AE640" s="69">
        <v>16.281004415803181</v>
      </c>
      <c r="AF640" s="69">
        <v>16.281004415803181</v>
      </c>
      <c r="AG640" s="69">
        <v>16.281004415803181</v>
      </c>
    </row>
    <row r="641" spans="1:33" ht="12.75" customHeight="1">
      <c r="A641" s="231" t="s">
        <v>2375</v>
      </c>
      <c r="B641" s="69" t="s">
        <v>769</v>
      </c>
      <c r="C641" s="69" t="s">
        <v>186</v>
      </c>
      <c r="D641" s="69" t="s">
        <v>218</v>
      </c>
      <c r="E641" s="69" t="s">
        <v>242</v>
      </c>
      <c r="F641" s="69" t="s">
        <v>172</v>
      </c>
      <c r="G641" s="69" t="s">
        <v>192</v>
      </c>
      <c r="H641" s="69" t="s">
        <v>804</v>
      </c>
      <c r="I641" s="69">
        <v>2</v>
      </c>
      <c r="J641" s="238">
        <v>0.24339198871440768</v>
      </c>
      <c r="K641" s="238">
        <v>0</v>
      </c>
      <c r="L641" s="69">
        <v>193.77952335557674</v>
      </c>
      <c r="M641" s="69">
        <v>0</v>
      </c>
      <c r="N641" s="69">
        <v>0</v>
      </c>
      <c r="O641" s="69">
        <v>0</v>
      </c>
      <c r="P641" s="69">
        <v>0</v>
      </c>
      <c r="Q641" s="69">
        <v>0</v>
      </c>
      <c r="R641" s="69">
        <v>0</v>
      </c>
      <c r="S641" s="69">
        <v>0</v>
      </c>
      <c r="T641" s="69">
        <v>21.708005887740001</v>
      </c>
      <c r="U641" s="69">
        <v>21.708005887740001</v>
      </c>
      <c r="V641" s="69">
        <v>21.708005887740001</v>
      </c>
      <c r="W641" s="69">
        <v>21.708005887740001</v>
      </c>
      <c r="X641" s="69">
        <v>21.708005887740001</v>
      </c>
      <c r="Y641" s="69">
        <v>21.708005887740001</v>
      </c>
      <c r="Z641" s="69">
        <v>21.708005887740001</v>
      </c>
      <c r="AA641" s="69">
        <v>21.708005887740001</v>
      </c>
      <c r="AB641" s="69">
        <v>21.708005887740001</v>
      </c>
      <c r="AC641" s="69">
        <v>21.708005887740001</v>
      </c>
      <c r="AD641" s="69">
        <v>21.708005887740001</v>
      </c>
      <c r="AE641" s="69">
        <v>21.708005887740001</v>
      </c>
      <c r="AF641" s="69">
        <v>21.708005887740001</v>
      </c>
      <c r="AG641" s="69">
        <v>21.708005887740001</v>
      </c>
    </row>
    <row r="642" spans="1:33" ht="12.75" customHeight="1">
      <c r="A642" s="231" t="s">
        <v>2375</v>
      </c>
      <c r="B642" s="69" t="s">
        <v>770</v>
      </c>
      <c r="C642" s="69" t="s">
        <v>186</v>
      </c>
      <c r="D642" s="69" t="s">
        <v>218</v>
      </c>
      <c r="E642" s="69" t="s">
        <v>242</v>
      </c>
      <c r="F642" s="69" t="s">
        <v>172</v>
      </c>
      <c r="G642" s="69" t="s">
        <v>192</v>
      </c>
      <c r="H642" s="69" t="s">
        <v>804</v>
      </c>
      <c r="I642" s="69">
        <v>2</v>
      </c>
      <c r="J642" s="238">
        <v>0.24339198871440768</v>
      </c>
      <c r="K642" s="238">
        <v>0</v>
      </c>
      <c r="L642" s="69">
        <v>193.77952335557677</v>
      </c>
      <c r="M642" s="69">
        <v>0</v>
      </c>
      <c r="N642" s="69">
        <v>0</v>
      </c>
      <c r="O642" s="69">
        <v>0</v>
      </c>
      <c r="P642" s="69">
        <v>0</v>
      </c>
      <c r="Q642" s="69">
        <v>0</v>
      </c>
      <c r="R642" s="69">
        <v>0</v>
      </c>
      <c r="S642" s="69">
        <v>0</v>
      </c>
      <c r="T642" s="69">
        <v>0</v>
      </c>
      <c r="U642" s="69">
        <v>32.562008831606363</v>
      </c>
      <c r="V642" s="69">
        <v>32.562008831606363</v>
      </c>
      <c r="W642" s="69">
        <v>32.562008831606363</v>
      </c>
      <c r="X642" s="69">
        <v>32.562008831606363</v>
      </c>
      <c r="Y642" s="69">
        <v>32.562008831606363</v>
      </c>
      <c r="Z642" s="69">
        <v>32.562008831606363</v>
      </c>
      <c r="AA642" s="69">
        <v>32.562008831606363</v>
      </c>
      <c r="AB642" s="69">
        <v>32.562008831606363</v>
      </c>
      <c r="AC642" s="69">
        <v>32.562008831606363</v>
      </c>
      <c r="AD642" s="69">
        <v>32.562008831606363</v>
      </c>
      <c r="AE642" s="69">
        <v>32.562008831606363</v>
      </c>
      <c r="AF642" s="69">
        <v>32.562008831606363</v>
      </c>
      <c r="AG642" s="69">
        <v>32.562008831606363</v>
      </c>
    </row>
    <row r="643" spans="1:33" ht="12.75" customHeight="1">
      <c r="A643" s="231" t="s">
        <v>2375</v>
      </c>
      <c r="B643" s="69" t="s">
        <v>771</v>
      </c>
      <c r="C643" s="69" t="s">
        <v>186</v>
      </c>
      <c r="D643" s="69" t="s">
        <v>218</v>
      </c>
      <c r="E643" s="69" t="s">
        <v>242</v>
      </c>
      <c r="F643" s="69" t="s">
        <v>172</v>
      </c>
      <c r="G643" s="69" t="s">
        <v>192</v>
      </c>
      <c r="H643" s="69" t="s">
        <v>804</v>
      </c>
      <c r="I643" s="69">
        <v>2</v>
      </c>
      <c r="J643" s="238">
        <v>0.24339198871440768</v>
      </c>
      <c r="K643" s="238">
        <v>0</v>
      </c>
      <c r="L643" s="69">
        <v>193.77952335557674</v>
      </c>
      <c r="M643" s="69">
        <v>0</v>
      </c>
      <c r="N643" s="69">
        <v>0</v>
      </c>
      <c r="O643" s="69">
        <v>0</v>
      </c>
      <c r="P643" s="69">
        <v>0</v>
      </c>
      <c r="Q643" s="69">
        <v>0</v>
      </c>
      <c r="R643" s="69">
        <v>0</v>
      </c>
      <c r="S643" s="69">
        <v>0</v>
      </c>
      <c r="T643" s="69">
        <v>0</v>
      </c>
      <c r="U643" s="69">
        <v>0</v>
      </c>
      <c r="V643" s="69">
        <v>43.416011775480001</v>
      </c>
      <c r="W643" s="69">
        <v>43.416011775480001</v>
      </c>
      <c r="X643" s="69">
        <v>43.416011775480001</v>
      </c>
      <c r="Y643" s="69">
        <v>43.416011775480001</v>
      </c>
      <c r="Z643" s="69">
        <v>43.416011775480001</v>
      </c>
      <c r="AA643" s="69">
        <v>43.416011775480001</v>
      </c>
      <c r="AB643" s="69">
        <v>43.416011775480001</v>
      </c>
      <c r="AC643" s="69">
        <v>43.416011775480001</v>
      </c>
      <c r="AD643" s="69">
        <v>43.416011775480001</v>
      </c>
      <c r="AE643" s="69">
        <v>43.416011775480001</v>
      </c>
      <c r="AF643" s="69">
        <v>43.416011775480001</v>
      </c>
      <c r="AG643" s="69">
        <v>43.416011775480001</v>
      </c>
    </row>
    <row r="644" spans="1:33" ht="12.75" customHeight="1">
      <c r="A644" s="231" t="s">
        <v>2375</v>
      </c>
      <c r="B644" s="69" t="s">
        <v>772</v>
      </c>
      <c r="C644" s="69" t="s">
        <v>186</v>
      </c>
      <c r="D644" s="69" t="s">
        <v>218</v>
      </c>
      <c r="E644" s="69" t="s">
        <v>242</v>
      </c>
      <c r="F644" s="69" t="s">
        <v>172</v>
      </c>
      <c r="G644" s="69" t="s">
        <v>192</v>
      </c>
      <c r="H644" s="69" t="s">
        <v>804</v>
      </c>
      <c r="I644" s="69">
        <v>2</v>
      </c>
      <c r="J644" s="238">
        <v>0.2433919887144077</v>
      </c>
      <c r="K644" s="238">
        <v>0</v>
      </c>
      <c r="L644" s="69">
        <v>193.77952335557674</v>
      </c>
      <c r="M644" s="69">
        <v>0</v>
      </c>
      <c r="N644" s="69">
        <v>0</v>
      </c>
      <c r="O644" s="69">
        <v>0</v>
      </c>
      <c r="P644" s="69">
        <v>0</v>
      </c>
      <c r="Q644" s="69">
        <v>0</v>
      </c>
      <c r="R644" s="69">
        <v>0</v>
      </c>
      <c r="S644" s="69">
        <v>0</v>
      </c>
      <c r="T644" s="69">
        <v>0</v>
      </c>
      <c r="U644" s="69">
        <v>0</v>
      </c>
      <c r="V644" s="69">
        <v>0</v>
      </c>
      <c r="W644" s="69">
        <v>74.176256118400488</v>
      </c>
      <c r="X644" s="69">
        <v>74.176256118400488</v>
      </c>
      <c r="Y644" s="69">
        <v>74.176256118400488</v>
      </c>
      <c r="Z644" s="69">
        <v>74.176256118400488</v>
      </c>
      <c r="AA644" s="69">
        <v>74.176256118400488</v>
      </c>
      <c r="AB644" s="69">
        <v>74.176256118400488</v>
      </c>
      <c r="AC644" s="69">
        <v>74.176256118400488</v>
      </c>
      <c r="AD644" s="69">
        <v>74.176256118400488</v>
      </c>
      <c r="AE644" s="69">
        <v>74.176256118400488</v>
      </c>
      <c r="AF644" s="69">
        <v>74.176256118400488</v>
      </c>
      <c r="AG644" s="69">
        <v>74.176256118400488</v>
      </c>
    </row>
    <row r="645" spans="1:33" ht="12.75" customHeight="1">
      <c r="A645" s="231" t="s">
        <v>2375</v>
      </c>
      <c r="B645" s="69" t="s">
        <v>773</v>
      </c>
      <c r="C645" s="69" t="s">
        <v>186</v>
      </c>
      <c r="D645" s="69" t="s">
        <v>218</v>
      </c>
      <c r="E645" s="69" t="s">
        <v>244</v>
      </c>
      <c r="F645" s="69" t="s">
        <v>173</v>
      </c>
      <c r="G645" s="69" t="s">
        <v>192</v>
      </c>
      <c r="H645" s="69" t="s">
        <v>2130</v>
      </c>
      <c r="I645" s="69">
        <v>2</v>
      </c>
      <c r="J645" s="238">
        <v>0.2668262983999703</v>
      </c>
      <c r="K645" s="238">
        <v>0</v>
      </c>
      <c r="L645" s="69">
        <v>176.76062608695653</v>
      </c>
      <c r="M645" s="69">
        <v>0</v>
      </c>
      <c r="N645" s="69">
        <v>0</v>
      </c>
      <c r="O645" s="69">
        <v>0</v>
      </c>
      <c r="P645" s="69">
        <v>0</v>
      </c>
      <c r="Q645" s="69">
        <v>0</v>
      </c>
      <c r="R645" s="69">
        <v>3.3997285538498545</v>
      </c>
      <c r="S645" s="69">
        <v>3.3997285538498545</v>
      </c>
      <c r="T645" s="69">
        <v>3.3997285538498545</v>
      </c>
      <c r="U645" s="69">
        <v>3.3997285538498545</v>
      </c>
      <c r="V645" s="69">
        <v>3.3997285538498545</v>
      </c>
      <c r="W645" s="69">
        <v>3.3997285538498545</v>
      </c>
      <c r="X645" s="69">
        <v>3.3997285538498545</v>
      </c>
      <c r="Y645" s="69">
        <v>3.3997285538498545</v>
      </c>
      <c r="Z645" s="69">
        <v>3.3997285538498545</v>
      </c>
      <c r="AA645" s="69">
        <v>3.3997285538498545</v>
      </c>
      <c r="AB645" s="69">
        <v>3.3997285538498545</v>
      </c>
      <c r="AC645" s="69">
        <v>3.3997285538498545</v>
      </c>
      <c r="AD645" s="69">
        <v>3.3997285538498545</v>
      </c>
      <c r="AE645" s="69">
        <v>3.3997285538498545</v>
      </c>
      <c r="AF645" s="69">
        <v>3.3997285538498545</v>
      </c>
      <c r="AG645" s="69">
        <v>3.3997285538498545</v>
      </c>
    </row>
    <row r="646" spans="1:33" ht="12.75" customHeight="1">
      <c r="A646" s="231" t="s">
        <v>2375</v>
      </c>
      <c r="B646" s="69" t="s">
        <v>774</v>
      </c>
      <c r="C646" s="69" t="s">
        <v>186</v>
      </c>
      <c r="D646" s="69" t="s">
        <v>218</v>
      </c>
      <c r="E646" s="69" t="s">
        <v>244</v>
      </c>
      <c r="F646" s="69" t="s">
        <v>173</v>
      </c>
      <c r="G646" s="69" t="s">
        <v>192</v>
      </c>
      <c r="H646" s="69" t="s">
        <v>2130</v>
      </c>
      <c r="I646" s="69">
        <v>2</v>
      </c>
      <c r="J646" s="238">
        <v>0.2668262983999703</v>
      </c>
      <c r="K646" s="238">
        <v>0</v>
      </c>
      <c r="L646" s="69">
        <v>176.76062608695653</v>
      </c>
      <c r="M646" s="69">
        <v>0</v>
      </c>
      <c r="N646" s="69">
        <v>0</v>
      </c>
      <c r="O646" s="69">
        <v>0</v>
      </c>
      <c r="P646" s="69">
        <v>0</v>
      </c>
      <c r="Q646" s="69">
        <v>0</v>
      </c>
      <c r="R646" s="69">
        <v>0</v>
      </c>
      <c r="S646" s="69">
        <v>5.0995928307675058</v>
      </c>
      <c r="T646" s="69">
        <v>5.0995928307675058</v>
      </c>
      <c r="U646" s="69">
        <v>5.0995928307675058</v>
      </c>
      <c r="V646" s="69">
        <v>5.0995928307675058</v>
      </c>
      <c r="W646" s="69">
        <v>5.0995928307675058</v>
      </c>
      <c r="X646" s="69">
        <v>5.0995928307675058</v>
      </c>
      <c r="Y646" s="69">
        <v>5.0995928307675058</v>
      </c>
      <c r="Z646" s="69">
        <v>5.0995928307675058</v>
      </c>
      <c r="AA646" s="69">
        <v>5.0995928307675058</v>
      </c>
      <c r="AB646" s="69">
        <v>5.0995928307675058</v>
      </c>
      <c r="AC646" s="69">
        <v>5.0995928307675058</v>
      </c>
      <c r="AD646" s="69">
        <v>5.0995928307675058</v>
      </c>
      <c r="AE646" s="69">
        <v>5.0995928307675058</v>
      </c>
      <c r="AF646" s="69">
        <v>5.0995928307675058</v>
      </c>
      <c r="AG646" s="69">
        <v>5.0995928307675058</v>
      </c>
    </row>
    <row r="647" spans="1:33" ht="12.75" customHeight="1">
      <c r="A647" s="231" t="s">
        <v>2375</v>
      </c>
      <c r="B647" s="69" t="s">
        <v>775</v>
      </c>
      <c r="C647" s="69" t="s">
        <v>186</v>
      </c>
      <c r="D647" s="69" t="s">
        <v>218</v>
      </c>
      <c r="E647" s="69" t="s">
        <v>244</v>
      </c>
      <c r="F647" s="69" t="s">
        <v>173</v>
      </c>
      <c r="G647" s="69" t="s">
        <v>192</v>
      </c>
      <c r="H647" s="69" t="s">
        <v>2130</v>
      </c>
      <c r="I647" s="69">
        <v>2</v>
      </c>
      <c r="J647" s="238">
        <v>0.2668262983999703</v>
      </c>
      <c r="K647" s="238">
        <v>0</v>
      </c>
      <c r="L647" s="69">
        <v>176.76062608695653</v>
      </c>
      <c r="M647" s="69">
        <v>0</v>
      </c>
      <c r="N647" s="69">
        <v>0</v>
      </c>
      <c r="O647" s="69">
        <v>0</v>
      </c>
      <c r="P647" s="69">
        <v>0</v>
      </c>
      <c r="Q647" s="69">
        <v>0</v>
      </c>
      <c r="R647" s="69">
        <v>0</v>
      </c>
      <c r="S647" s="69">
        <v>0</v>
      </c>
      <c r="T647" s="69">
        <v>6.7994571076924331</v>
      </c>
      <c r="U647" s="69">
        <v>6.7994571076924331</v>
      </c>
      <c r="V647" s="69">
        <v>6.7994571076924331</v>
      </c>
      <c r="W647" s="69">
        <v>6.7994571076924331</v>
      </c>
      <c r="X647" s="69">
        <v>6.7994571076924331</v>
      </c>
      <c r="Y647" s="69">
        <v>6.7994571076924331</v>
      </c>
      <c r="Z647" s="69">
        <v>6.7994571076924331</v>
      </c>
      <c r="AA647" s="69">
        <v>6.7994571076924331</v>
      </c>
      <c r="AB647" s="69">
        <v>6.7994571076924331</v>
      </c>
      <c r="AC647" s="69">
        <v>6.7994571076924331</v>
      </c>
      <c r="AD647" s="69">
        <v>6.7994571076924331</v>
      </c>
      <c r="AE647" s="69">
        <v>6.7994571076924331</v>
      </c>
      <c r="AF647" s="69">
        <v>6.7994571076924331</v>
      </c>
      <c r="AG647" s="69">
        <v>6.7994571076924331</v>
      </c>
    </row>
    <row r="648" spans="1:33" ht="12.75" customHeight="1">
      <c r="A648" s="231" t="s">
        <v>2375</v>
      </c>
      <c r="B648" s="69" t="s">
        <v>776</v>
      </c>
      <c r="C648" s="69" t="s">
        <v>186</v>
      </c>
      <c r="D648" s="69" t="s">
        <v>218</v>
      </c>
      <c r="E648" s="69" t="s">
        <v>244</v>
      </c>
      <c r="F648" s="69" t="s">
        <v>173</v>
      </c>
      <c r="G648" s="69" t="s">
        <v>192</v>
      </c>
      <c r="H648" s="69" t="s">
        <v>2130</v>
      </c>
      <c r="I648" s="69">
        <v>2</v>
      </c>
      <c r="J648" s="238">
        <v>0.2668262983999703</v>
      </c>
      <c r="K648" s="238">
        <v>0</v>
      </c>
      <c r="L648" s="69">
        <v>176.76062608695653</v>
      </c>
      <c r="M648" s="69">
        <v>0</v>
      </c>
      <c r="N648" s="69">
        <v>0</v>
      </c>
      <c r="O648" s="69">
        <v>0</v>
      </c>
      <c r="P648" s="69">
        <v>0</v>
      </c>
      <c r="Q648" s="69">
        <v>0</v>
      </c>
      <c r="R648" s="69">
        <v>0</v>
      </c>
      <c r="S648" s="69">
        <v>0</v>
      </c>
      <c r="T648" s="69">
        <v>0</v>
      </c>
      <c r="U648" s="69">
        <v>10.199185661542288</v>
      </c>
      <c r="V648" s="69">
        <v>10.199185661542288</v>
      </c>
      <c r="W648" s="69">
        <v>10.199185661542288</v>
      </c>
      <c r="X648" s="69">
        <v>10.199185661542288</v>
      </c>
      <c r="Y648" s="69">
        <v>10.199185661542288</v>
      </c>
      <c r="Z648" s="69">
        <v>10.199185661542288</v>
      </c>
      <c r="AA648" s="69">
        <v>10.199185661542288</v>
      </c>
      <c r="AB648" s="69">
        <v>10.199185661542288</v>
      </c>
      <c r="AC648" s="69">
        <v>10.199185661542288</v>
      </c>
      <c r="AD648" s="69">
        <v>10.199185661542288</v>
      </c>
      <c r="AE648" s="69">
        <v>10.199185661542288</v>
      </c>
      <c r="AF648" s="69">
        <v>10.199185661542288</v>
      </c>
      <c r="AG648" s="69">
        <v>10.199185661542288</v>
      </c>
    </row>
    <row r="649" spans="1:33" ht="12.75" customHeight="1">
      <c r="A649" s="231" t="s">
        <v>2375</v>
      </c>
      <c r="B649" s="69" t="s">
        <v>777</v>
      </c>
      <c r="C649" s="69" t="s">
        <v>186</v>
      </c>
      <c r="D649" s="69" t="s">
        <v>218</v>
      </c>
      <c r="E649" s="69" t="s">
        <v>244</v>
      </c>
      <c r="F649" s="69" t="s">
        <v>173</v>
      </c>
      <c r="G649" s="69" t="s">
        <v>192</v>
      </c>
      <c r="H649" s="69" t="s">
        <v>2130</v>
      </c>
      <c r="I649" s="69">
        <v>2</v>
      </c>
      <c r="J649" s="238">
        <v>0.2668262983999703</v>
      </c>
      <c r="K649" s="238">
        <v>0</v>
      </c>
      <c r="L649" s="69">
        <v>176.76062608695653</v>
      </c>
      <c r="M649" s="69">
        <v>0</v>
      </c>
      <c r="N649" s="69">
        <v>0</v>
      </c>
      <c r="O649" s="69">
        <v>0</v>
      </c>
      <c r="P649" s="69">
        <v>0</v>
      </c>
      <c r="Q649" s="69">
        <v>0</v>
      </c>
      <c r="R649" s="69">
        <v>0</v>
      </c>
      <c r="S649" s="69">
        <v>0</v>
      </c>
      <c r="T649" s="69">
        <v>0</v>
      </c>
      <c r="U649" s="69">
        <v>0</v>
      </c>
      <c r="V649" s="69">
        <v>13.598914215384866</v>
      </c>
      <c r="W649" s="69">
        <v>13.598914215384866</v>
      </c>
      <c r="X649" s="69">
        <v>13.598914215384866</v>
      </c>
      <c r="Y649" s="69">
        <v>13.598914215384866</v>
      </c>
      <c r="Z649" s="69">
        <v>13.598914215384866</v>
      </c>
      <c r="AA649" s="69">
        <v>13.598914215384866</v>
      </c>
      <c r="AB649" s="69">
        <v>13.598914215384866</v>
      </c>
      <c r="AC649" s="69">
        <v>13.598914215384866</v>
      </c>
      <c r="AD649" s="69">
        <v>13.598914215384866</v>
      </c>
      <c r="AE649" s="69">
        <v>13.598914215384866</v>
      </c>
      <c r="AF649" s="69">
        <v>13.598914215384866</v>
      </c>
      <c r="AG649" s="69">
        <v>13.598914215384866</v>
      </c>
    </row>
    <row r="650" spans="1:33" ht="12.75" customHeight="1">
      <c r="A650" s="231" t="s">
        <v>2375</v>
      </c>
      <c r="B650" s="69" t="s">
        <v>778</v>
      </c>
      <c r="C650" s="69" t="s">
        <v>186</v>
      </c>
      <c r="D650" s="69" t="s">
        <v>218</v>
      </c>
      <c r="E650" s="69" t="s">
        <v>244</v>
      </c>
      <c r="F650" s="69" t="s">
        <v>173</v>
      </c>
      <c r="G650" s="69" t="s">
        <v>192</v>
      </c>
      <c r="H650" s="69" t="s">
        <v>2130</v>
      </c>
      <c r="I650" s="69">
        <v>2</v>
      </c>
      <c r="J650" s="238">
        <v>0.2668262983999703</v>
      </c>
      <c r="K650" s="238">
        <v>0</v>
      </c>
      <c r="L650" s="69">
        <v>176.76062608695653</v>
      </c>
      <c r="M650" s="69">
        <v>0</v>
      </c>
      <c r="N650" s="69">
        <v>0</v>
      </c>
      <c r="O650" s="69">
        <v>0</v>
      </c>
      <c r="P650" s="69">
        <v>0</v>
      </c>
      <c r="Q650" s="69">
        <v>0</v>
      </c>
      <c r="R650" s="69">
        <v>0</v>
      </c>
      <c r="S650" s="69">
        <v>0</v>
      </c>
      <c r="T650" s="69">
        <v>0</v>
      </c>
      <c r="U650" s="69">
        <v>0</v>
      </c>
      <c r="V650" s="69">
        <v>0</v>
      </c>
      <c r="W650" s="69">
        <v>23.233744936987932</v>
      </c>
      <c r="X650" s="69">
        <v>23.233744936987932</v>
      </c>
      <c r="Y650" s="69">
        <v>23.233744936987932</v>
      </c>
      <c r="Z650" s="69">
        <v>23.233744936987932</v>
      </c>
      <c r="AA650" s="69">
        <v>23.233744936987932</v>
      </c>
      <c r="AB650" s="69">
        <v>23.233744936987932</v>
      </c>
      <c r="AC650" s="69">
        <v>23.233744936987932</v>
      </c>
      <c r="AD650" s="69">
        <v>23.233744936987932</v>
      </c>
      <c r="AE650" s="69">
        <v>23.233744936987932</v>
      </c>
      <c r="AF650" s="69">
        <v>23.233744936987932</v>
      </c>
      <c r="AG650" s="69">
        <v>23.233744936987932</v>
      </c>
    </row>
    <row r="651" spans="1:33" ht="12.75" customHeight="1">
      <c r="A651" s="231" t="s">
        <v>2375</v>
      </c>
      <c r="B651" s="69" t="s">
        <v>779</v>
      </c>
      <c r="C651" s="69" t="s">
        <v>186</v>
      </c>
      <c r="D651" s="69" t="s">
        <v>218</v>
      </c>
      <c r="E651" s="69" t="s">
        <v>242</v>
      </c>
      <c r="F651" s="69" t="s">
        <v>173</v>
      </c>
      <c r="G651" s="69" t="s">
        <v>192</v>
      </c>
      <c r="H651" s="69" t="s">
        <v>2130</v>
      </c>
      <c r="I651" s="69">
        <v>2</v>
      </c>
      <c r="J651" s="238">
        <v>0.24339198871440768</v>
      </c>
      <c r="K651" s="238">
        <v>0</v>
      </c>
      <c r="L651" s="69">
        <v>193.77952335557677</v>
      </c>
      <c r="M651" s="69">
        <v>0</v>
      </c>
      <c r="N651" s="69">
        <v>0</v>
      </c>
      <c r="O651" s="69">
        <v>0</v>
      </c>
      <c r="P651" s="69">
        <v>0</v>
      </c>
      <c r="Q651" s="69">
        <v>0</v>
      </c>
      <c r="R651" s="69">
        <v>5.9438587549739168</v>
      </c>
      <c r="S651" s="69">
        <v>5.9438587549739168</v>
      </c>
      <c r="T651" s="69">
        <v>5.9438587549739168</v>
      </c>
      <c r="U651" s="69">
        <v>5.9438587549739168</v>
      </c>
      <c r="V651" s="69">
        <v>5.9438587549739168</v>
      </c>
      <c r="W651" s="69">
        <v>5.9438587549739168</v>
      </c>
      <c r="X651" s="69">
        <v>5.9438587549739168</v>
      </c>
      <c r="Y651" s="69">
        <v>5.9438587549739168</v>
      </c>
      <c r="Z651" s="69">
        <v>5.9438587549739168</v>
      </c>
      <c r="AA651" s="69">
        <v>5.9438587549739168</v>
      </c>
      <c r="AB651" s="69">
        <v>5.9438587549739168</v>
      </c>
      <c r="AC651" s="69">
        <v>5.9438587549739168</v>
      </c>
      <c r="AD651" s="69">
        <v>5.9438587549739168</v>
      </c>
      <c r="AE651" s="69">
        <v>5.9438587549739168</v>
      </c>
      <c r="AF651" s="69">
        <v>5.9438587549739168</v>
      </c>
      <c r="AG651" s="69">
        <v>5.9438587549739168</v>
      </c>
    </row>
    <row r="652" spans="1:33" ht="12.75" customHeight="1">
      <c r="A652" s="231" t="s">
        <v>2375</v>
      </c>
      <c r="B652" s="69" t="s">
        <v>780</v>
      </c>
      <c r="C652" s="69" t="s">
        <v>186</v>
      </c>
      <c r="D652" s="69" t="s">
        <v>218</v>
      </c>
      <c r="E652" s="69" t="s">
        <v>242</v>
      </c>
      <c r="F652" s="69" t="s">
        <v>173</v>
      </c>
      <c r="G652" s="69" t="s">
        <v>192</v>
      </c>
      <c r="H652" s="69" t="s">
        <v>2130</v>
      </c>
      <c r="I652" s="69">
        <v>2</v>
      </c>
      <c r="J652" s="238">
        <v>0.24339198871440768</v>
      </c>
      <c r="K652" s="238">
        <v>0</v>
      </c>
      <c r="L652" s="69">
        <v>193.77952335557677</v>
      </c>
      <c r="M652" s="69">
        <v>0</v>
      </c>
      <c r="N652" s="69">
        <v>0</v>
      </c>
      <c r="O652" s="69">
        <v>0</v>
      </c>
      <c r="P652" s="69">
        <v>0</v>
      </c>
      <c r="Q652" s="69">
        <v>0</v>
      </c>
      <c r="R652" s="69">
        <v>0</v>
      </c>
      <c r="S652" s="69">
        <v>8.9157881324645132</v>
      </c>
      <c r="T652" s="69">
        <v>8.9157881324645132</v>
      </c>
      <c r="U652" s="69">
        <v>8.9157881324645132</v>
      </c>
      <c r="V652" s="69">
        <v>8.9157881324645132</v>
      </c>
      <c r="W652" s="69">
        <v>8.9157881324645132</v>
      </c>
      <c r="X652" s="69">
        <v>8.9157881324645132</v>
      </c>
      <c r="Y652" s="69">
        <v>8.9157881324645132</v>
      </c>
      <c r="Z652" s="69">
        <v>8.9157881324645132</v>
      </c>
      <c r="AA652" s="69">
        <v>8.9157881324645132</v>
      </c>
      <c r="AB652" s="69">
        <v>8.9157881324645132</v>
      </c>
      <c r="AC652" s="69">
        <v>8.9157881324645132</v>
      </c>
      <c r="AD652" s="69">
        <v>8.9157881324645132</v>
      </c>
      <c r="AE652" s="69">
        <v>8.9157881324645132</v>
      </c>
      <c r="AF652" s="69">
        <v>8.9157881324645132</v>
      </c>
      <c r="AG652" s="69">
        <v>8.9157881324645132</v>
      </c>
    </row>
    <row r="653" spans="1:33" ht="12.75" customHeight="1">
      <c r="A653" s="231" t="s">
        <v>2375</v>
      </c>
      <c r="B653" s="69" t="s">
        <v>781</v>
      </c>
      <c r="C653" s="69" t="s">
        <v>186</v>
      </c>
      <c r="D653" s="69" t="s">
        <v>218</v>
      </c>
      <c r="E653" s="69" t="s">
        <v>242</v>
      </c>
      <c r="F653" s="69" t="s">
        <v>173</v>
      </c>
      <c r="G653" s="69" t="s">
        <v>192</v>
      </c>
      <c r="H653" s="69" t="s">
        <v>2130</v>
      </c>
      <c r="I653" s="69">
        <v>2</v>
      </c>
      <c r="J653" s="238">
        <v>0.24339198871440768</v>
      </c>
      <c r="K653" s="238">
        <v>0</v>
      </c>
      <c r="L653" s="69">
        <v>193.77952335557677</v>
      </c>
      <c r="M653" s="69">
        <v>0</v>
      </c>
      <c r="N653" s="69">
        <v>0</v>
      </c>
      <c r="O653" s="69">
        <v>0</v>
      </c>
      <c r="P653" s="69">
        <v>0</v>
      </c>
      <c r="Q653" s="69">
        <v>0</v>
      </c>
      <c r="R653" s="69">
        <v>0</v>
      </c>
      <c r="S653" s="69">
        <v>0</v>
      </c>
      <c r="T653" s="69">
        <v>11.88771750995511</v>
      </c>
      <c r="U653" s="69">
        <v>11.88771750995511</v>
      </c>
      <c r="V653" s="69">
        <v>11.88771750995511</v>
      </c>
      <c r="W653" s="69">
        <v>11.88771750995511</v>
      </c>
      <c r="X653" s="69">
        <v>11.88771750995511</v>
      </c>
      <c r="Y653" s="69">
        <v>11.88771750995511</v>
      </c>
      <c r="Z653" s="69">
        <v>11.88771750995511</v>
      </c>
      <c r="AA653" s="69">
        <v>11.88771750995511</v>
      </c>
      <c r="AB653" s="69">
        <v>11.88771750995511</v>
      </c>
      <c r="AC653" s="69">
        <v>11.88771750995511</v>
      </c>
      <c r="AD653" s="69">
        <v>11.88771750995511</v>
      </c>
      <c r="AE653" s="69">
        <v>11.88771750995511</v>
      </c>
      <c r="AF653" s="69">
        <v>11.88771750995511</v>
      </c>
      <c r="AG653" s="69">
        <v>11.88771750995511</v>
      </c>
    </row>
    <row r="654" spans="1:33" ht="12.75" customHeight="1">
      <c r="A654" s="231" t="s">
        <v>2375</v>
      </c>
      <c r="B654" s="69" t="s">
        <v>782</v>
      </c>
      <c r="C654" s="69" t="s">
        <v>186</v>
      </c>
      <c r="D654" s="69" t="s">
        <v>218</v>
      </c>
      <c r="E654" s="69" t="s">
        <v>242</v>
      </c>
      <c r="F654" s="69" t="s">
        <v>173</v>
      </c>
      <c r="G654" s="69" t="s">
        <v>192</v>
      </c>
      <c r="H654" s="69" t="s">
        <v>2130</v>
      </c>
      <c r="I654" s="69">
        <v>2</v>
      </c>
      <c r="J654" s="238">
        <v>0.24339198871440768</v>
      </c>
      <c r="K654" s="238">
        <v>0</v>
      </c>
      <c r="L654" s="69">
        <v>193.77952335557677</v>
      </c>
      <c r="M654" s="69">
        <v>0</v>
      </c>
      <c r="N654" s="69">
        <v>0</v>
      </c>
      <c r="O654" s="69">
        <v>0</v>
      </c>
      <c r="P654" s="69">
        <v>0</v>
      </c>
      <c r="Q654" s="69">
        <v>0</v>
      </c>
      <c r="R654" s="69">
        <v>0</v>
      </c>
      <c r="S654" s="69">
        <v>0</v>
      </c>
      <c r="T654" s="69">
        <v>0</v>
      </c>
      <c r="U654" s="69">
        <v>17.831576264929026</v>
      </c>
      <c r="V654" s="69">
        <v>17.831576264929026</v>
      </c>
      <c r="W654" s="69">
        <v>17.831576264929026</v>
      </c>
      <c r="X654" s="69">
        <v>17.831576264929026</v>
      </c>
      <c r="Y654" s="69">
        <v>17.831576264929026</v>
      </c>
      <c r="Z654" s="69">
        <v>17.831576264929026</v>
      </c>
      <c r="AA654" s="69">
        <v>17.831576264929026</v>
      </c>
      <c r="AB654" s="69">
        <v>17.831576264929026</v>
      </c>
      <c r="AC654" s="69">
        <v>17.831576264929026</v>
      </c>
      <c r="AD654" s="69">
        <v>17.831576264929026</v>
      </c>
      <c r="AE654" s="69">
        <v>17.831576264929026</v>
      </c>
      <c r="AF654" s="69">
        <v>17.831576264929026</v>
      </c>
      <c r="AG654" s="69">
        <v>17.831576264929026</v>
      </c>
    </row>
    <row r="655" spans="1:33" ht="12.75" customHeight="1">
      <c r="A655" s="231" t="s">
        <v>2375</v>
      </c>
      <c r="B655" s="69" t="s">
        <v>783</v>
      </c>
      <c r="C655" s="69" t="s">
        <v>186</v>
      </c>
      <c r="D655" s="69" t="s">
        <v>218</v>
      </c>
      <c r="E655" s="69" t="s">
        <v>242</v>
      </c>
      <c r="F655" s="69" t="s">
        <v>173</v>
      </c>
      <c r="G655" s="69" t="s">
        <v>192</v>
      </c>
      <c r="H655" s="69" t="s">
        <v>2130</v>
      </c>
      <c r="I655" s="69">
        <v>2</v>
      </c>
      <c r="J655" s="238">
        <v>0.24339198871440768</v>
      </c>
      <c r="K655" s="238">
        <v>0</v>
      </c>
      <c r="L655" s="69">
        <v>193.77952335557677</v>
      </c>
      <c r="M655" s="69">
        <v>0</v>
      </c>
      <c r="N655" s="69">
        <v>0</v>
      </c>
      <c r="O655" s="69">
        <v>0</v>
      </c>
      <c r="P655" s="69">
        <v>0</v>
      </c>
      <c r="Q655" s="69">
        <v>0</v>
      </c>
      <c r="R655" s="69">
        <v>0</v>
      </c>
      <c r="S655" s="69">
        <v>0</v>
      </c>
      <c r="T655" s="69">
        <v>0</v>
      </c>
      <c r="U655" s="69">
        <v>0</v>
      </c>
      <c r="V655" s="69">
        <v>23.775435019902943</v>
      </c>
      <c r="W655" s="69">
        <v>23.775435019902943</v>
      </c>
      <c r="X655" s="69">
        <v>23.775435019902943</v>
      </c>
      <c r="Y655" s="69">
        <v>23.775435019902943</v>
      </c>
      <c r="Z655" s="69">
        <v>23.775435019902943</v>
      </c>
      <c r="AA655" s="69">
        <v>23.775435019902943</v>
      </c>
      <c r="AB655" s="69">
        <v>23.775435019902943</v>
      </c>
      <c r="AC655" s="69">
        <v>23.775435019902943</v>
      </c>
      <c r="AD655" s="69">
        <v>23.775435019902943</v>
      </c>
      <c r="AE655" s="69">
        <v>23.775435019902943</v>
      </c>
      <c r="AF655" s="69">
        <v>23.775435019902943</v>
      </c>
      <c r="AG655" s="69">
        <v>23.775435019902943</v>
      </c>
    </row>
    <row r="656" spans="1:33" ht="12.75" customHeight="1">
      <c r="A656" s="231" t="s">
        <v>2375</v>
      </c>
      <c r="B656" s="69" t="s">
        <v>784</v>
      </c>
      <c r="C656" s="69" t="s">
        <v>186</v>
      </c>
      <c r="D656" s="69" t="s">
        <v>218</v>
      </c>
      <c r="E656" s="69" t="s">
        <v>242</v>
      </c>
      <c r="F656" s="69" t="s">
        <v>173</v>
      </c>
      <c r="G656" s="69" t="s">
        <v>192</v>
      </c>
      <c r="H656" s="69" t="s">
        <v>2130</v>
      </c>
      <c r="I656" s="69">
        <v>2</v>
      </c>
      <c r="J656" s="238">
        <v>0.24339198871440768</v>
      </c>
      <c r="K656" s="238">
        <v>0</v>
      </c>
      <c r="L656" s="69">
        <v>193.77952335557674</v>
      </c>
      <c r="M656" s="69">
        <v>0</v>
      </c>
      <c r="N656" s="69">
        <v>0</v>
      </c>
      <c r="O656" s="69">
        <v>0</v>
      </c>
      <c r="P656" s="69">
        <v>0</v>
      </c>
      <c r="Q656" s="69">
        <v>0</v>
      </c>
      <c r="R656" s="69">
        <v>0</v>
      </c>
      <c r="S656" s="69">
        <v>0</v>
      </c>
      <c r="T656" s="69">
        <v>0</v>
      </c>
      <c r="U656" s="69">
        <v>0</v>
      </c>
      <c r="V656" s="69">
        <v>0</v>
      </c>
      <c r="W656" s="69">
        <v>40.620330731508147</v>
      </c>
      <c r="X656" s="69">
        <v>40.620330731508147</v>
      </c>
      <c r="Y656" s="69">
        <v>40.620330731508147</v>
      </c>
      <c r="Z656" s="69">
        <v>40.620330731508147</v>
      </c>
      <c r="AA656" s="69">
        <v>40.620330731508147</v>
      </c>
      <c r="AB656" s="69">
        <v>40.620330731508147</v>
      </c>
      <c r="AC656" s="69">
        <v>40.620330731508147</v>
      </c>
      <c r="AD656" s="69">
        <v>40.620330731508147</v>
      </c>
      <c r="AE656" s="69">
        <v>40.620330731508147</v>
      </c>
      <c r="AF656" s="69">
        <v>40.620330731508147</v>
      </c>
      <c r="AG656" s="69">
        <v>40.620330731508147</v>
      </c>
    </row>
    <row r="657" spans="1:33" ht="12.75" customHeight="1">
      <c r="A657" s="231" t="s">
        <v>2375</v>
      </c>
      <c r="B657" s="69" t="s">
        <v>785</v>
      </c>
      <c r="C657" s="69" t="s">
        <v>186</v>
      </c>
      <c r="D657" s="69" t="s">
        <v>218</v>
      </c>
      <c r="E657" s="69" t="s">
        <v>244</v>
      </c>
      <c r="F657" s="69" t="s">
        <v>174</v>
      </c>
      <c r="G657" s="69" t="s">
        <v>192</v>
      </c>
      <c r="H657" s="69" t="s">
        <v>148</v>
      </c>
      <c r="I657" s="69">
        <v>4</v>
      </c>
      <c r="J657" s="238">
        <v>0.2668262983999703</v>
      </c>
      <c r="K657" s="238">
        <v>0</v>
      </c>
      <c r="L657" s="69">
        <v>176.76062608695653</v>
      </c>
      <c r="M657" s="69">
        <v>0</v>
      </c>
      <c r="N657" s="69">
        <v>0</v>
      </c>
      <c r="O657" s="69">
        <v>0</v>
      </c>
      <c r="P657" s="69">
        <v>0</v>
      </c>
      <c r="Q657" s="69">
        <v>0</v>
      </c>
      <c r="R657" s="69">
        <v>24.364721302568796</v>
      </c>
      <c r="S657" s="69">
        <v>24.364721302568796</v>
      </c>
      <c r="T657" s="69">
        <v>24.364721302568796</v>
      </c>
      <c r="U657" s="69">
        <v>24.364721302568796</v>
      </c>
      <c r="V657" s="69">
        <v>24.364721302568796</v>
      </c>
      <c r="W657" s="69">
        <v>24.364721302568796</v>
      </c>
      <c r="X657" s="69">
        <v>24.364721302568796</v>
      </c>
      <c r="Y657" s="69">
        <v>24.364721302568796</v>
      </c>
      <c r="Z657" s="69">
        <v>24.364721302568796</v>
      </c>
      <c r="AA657" s="69">
        <v>24.364721302568796</v>
      </c>
      <c r="AB657" s="69">
        <v>24.364721302568796</v>
      </c>
      <c r="AC657" s="69">
        <v>24.364721302568796</v>
      </c>
      <c r="AD657" s="69">
        <v>24.364721302568796</v>
      </c>
      <c r="AE657" s="69">
        <v>24.364721302568796</v>
      </c>
      <c r="AF657" s="69">
        <v>24.364721302568796</v>
      </c>
      <c r="AG657" s="69">
        <v>24.364721302568796</v>
      </c>
    </row>
    <row r="658" spans="1:33" ht="12.75" customHeight="1">
      <c r="A658" s="231" t="s">
        <v>2375</v>
      </c>
      <c r="B658" s="69" t="s">
        <v>786</v>
      </c>
      <c r="C658" s="69" t="s">
        <v>186</v>
      </c>
      <c r="D658" s="69" t="s">
        <v>218</v>
      </c>
      <c r="E658" s="69" t="s">
        <v>244</v>
      </c>
      <c r="F658" s="69" t="s">
        <v>174</v>
      </c>
      <c r="G658" s="69" t="s">
        <v>192</v>
      </c>
      <c r="H658" s="69" t="s">
        <v>148</v>
      </c>
      <c r="I658" s="69">
        <v>4</v>
      </c>
      <c r="J658" s="238">
        <v>0.2668262983999703</v>
      </c>
      <c r="K658" s="238">
        <v>0</v>
      </c>
      <c r="L658" s="69">
        <v>176.76062608695653</v>
      </c>
      <c r="M658" s="69">
        <v>0</v>
      </c>
      <c r="N658" s="69">
        <v>0</v>
      </c>
      <c r="O658" s="69">
        <v>0</v>
      </c>
      <c r="P658" s="69">
        <v>0</v>
      </c>
      <c r="Q658" s="69">
        <v>0</v>
      </c>
      <c r="R658" s="69">
        <v>0</v>
      </c>
      <c r="S658" s="69">
        <v>36.547081953853194</v>
      </c>
      <c r="T658" s="69">
        <v>36.547081953853194</v>
      </c>
      <c r="U658" s="69">
        <v>36.547081953853194</v>
      </c>
      <c r="V658" s="69">
        <v>36.547081953853194</v>
      </c>
      <c r="W658" s="69">
        <v>36.547081953853194</v>
      </c>
      <c r="X658" s="69">
        <v>36.547081953853194</v>
      </c>
      <c r="Y658" s="69">
        <v>36.547081953853194</v>
      </c>
      <c r="Z658" s="69">
        <v>36.547081953853194</v>
      </c>
      <c r="AA658" s="69">
        <v>36.547081953853194</v>
      </c>
      <c r="AB658" s="69">
        <v>36.547081953853194</v>
      </c>
      <c r="AC658" s="69">
        <v>36.547081953853194</v>
      </c>
      <c r="AD658" s="69">
        <v>36.547081953853194</v>
      </c>
      <c r="AE658" s="69">
        <v>36.547081953853194</v>
      </c>
      <c r="AF658" s="69">
        <v>36.547081953853194</v>
      </c>
      <c r="AG658" s="69">
        <v>36.547081953853194</v>
      </c>
    </row>
    <row r="659" spans="1:33" ht="12.75" customHeight="1">
      <c r="A659" s="231" t="s">
        <v>2375</v>
      </c>
      <c r="B659" s="69" t="s">
        <v>787</v>
      </c>
      <c r="C659" s="69" t="s">
        <v>186</v>
      </c>
      <c r="D659" s="69" t="s">
        <v>218</v>
      </c>
      <c r="E659" s="69" t="s">
        <v>244</v>
      </c>
      <c r="F659" s="69" t="s">
        <v>174</v>
      </c>
      <c r="G659" s="69" t="s">
        <v>192</v>
      </c>
      <c r="H659" s="69" t="s">
        <v>148</v>
      </c>
      <c r="I659" s="69">
        <v>4</v>
      </c>
      <c r="J659" s="238">
        <v>0.2668262983999703</v>
      </c>
      <c r="K659" s="238">
        <v>0</v>
      </c>
      <c r="L659" s="69">
        <v>176.76062608695653</v>
      </c>
      <c r="M659" s="69">
        <v>0</v>
      </c>
      <c r="N659" s="69">
        <v>0</v>
      </c>
      <c r="O659" s="69">
        <v>0</v>
      </c>
      <c r="P659" s="69">
        <v>0</v>
      </c>
      <c r="Q659" s="69">
        <v>0</v>
      </c>
      <c r="R659" s="69">
        <v>0</v>
      </c>
      <c r="S659" s="69">
        <v>0</v>
      </c>
      <c r="T659" s="69">
        <v>48.729442605144861</v>
      </c>
      <c r="U659" s="69">
        <v>48.729442605144861</v>
      </c>
      <c r="V659" s="69">
        <v>48.729442605144861</v>
      </c>
      <c r="W659" s="69">
        <v>48.729442605144861</v>
      </c>
      <c r="X659" s="69">
        <v>48.729442605144861</v>
      </c>
      <c r="Y659" s="69">
        <v>48.729442605144861</v>
      </c>
      <c r="Z659" s="69">
        <v>48.729442605144861</v>
      </c>
      <c r="AA659" s="69">
        <v>48.729442605144861</v>
      </c>
      <c r="AB659" s="69">
        <v>48.729442605144861</v>
      </c>
      <c r="AC659" s="69">
        <v>48.729442605144861</v>
      </c>
      <c r="AD659" s="69">
        <v>48.729442605144861</v>
      </c>
      <c r="AE659" s="69">
        <v>48.729442605144861</v>
      </c>
      <c r="AF659" s="69">
        <v>48.729442605144861</v>
      </c>
      <c r="AG659" s="69">
        <v>48.729442605144861</v>
      </c>
    </row>
    <row r="660" spans="1:33" ht="12.75" customHeight="1">
      <c r="A660" s="231" t="s">
        <v>2375</v>
      </c>
      <c r="B660" s="69" t="s">
        <v>788</v>
      </c>
      <c r="C660" s="69" t="s">
        <v>186</v>
      </c>
      <c r="D660" s="69" t="s">
        <v>218</v>
      </c>
      <c r="E660" s="69" t="s">
        <v>244</v>
      </c>
      <c r="F660" s="69" t="s">
        <v>174</v>
      </c>
      <c r="G660" s="69" t="s">
        <v>192</v>
      </c>
      <c r="H660" s="69" t="s">
        <v>148</v>
      </c>
      <c r="I660" s="69">
        <v>4</v>
      </c>
      <c r="J660" s="238">
        <v>0.2668262983999703</v>
      </c>
      <c r="K660" s="238">
        <v>0</v>
      </c>
      <c r="L660" s="69">
        <v>176.76062608695653</v>
      </c>
      <c r="M660" s="69">
        <v>0</v>
      </c>
      <c r="N660" s="69">
        <v>0</v>
      </c>
      <c r="O660" s="69">
        <v>0</v>
      </c>
      <c r="P660" s="69">
        <v>0</v>
      </c>
      <c r="Q660" s="69">
        <v>0</v>
      </c>
      <c r="R660" s="69">
        <v>0</v>
      </c>
      <c r="S660" s="69">
        <v>0</v>
      </c>
      <c r="T660" s="69">
        <v>0</v>
      </c>
      <c r="U660" s="69">
        <v>73.094163907713678</v>
      </c>
      <c r="V660" s="69">
        <v>73.094163907713678</v>
      </c>
      <c r="W660" s="69">
        <v>73.094163907713678</v>
      </c>
      <c r="X660" s="69">
        <v>73.094163907713678</v>
      </c>
      <c r="Y660" s="69">
        <v>73.094163907713678</v>
      </c>
      <c r="Z660" s="69">
        <v>73.094163907713678</v>
      </c>
      <c r="AA660" s="69">
        <v>73.094163907713678</v>
      </c>
      <c r="AB660" s="69">
        <v>73.094163907713678</v>
      </c>
      <c r="AC660" s="69">
        <v>73.094163907713678</v>
      </c>
      <c r="AD660" s="69">
        <v>73.094163907713678</v>
      </c>
      <c r="AE660" s="69">
        <v>73.094163907713678</v>
      </c>
      <c r="AF660" s="69">
        <v>73.094163907713678</v>
      </c>
      <c r="AG660" s="69">
        <v>73.094163907713678</v>
      </c>
    </row>
    <row r="661" spans="1:33" ht="12.75" customHeight="1">
      <c r="A661" s="231" t="s">
        <v>2375</v>
      </c>
      <c r="B661" s="69" t="s">
        <v>789</v>
      </c>
      <c r="C661" s="69" t="s">
        <v>186</v>
      </c>
      <c r="D661" s="69" t="s">
        <v>218</v>
      </c>
      <c r="E661" s="69" t="s">
        <v>244</v>
      </c>
      <c r="F661" s="69" t="s">
        <v>174</v>
      </c>
      <c r="G661" s="69" t="s">
        <v>192</v>
      </c>
      <c r="H661" s="69" t="s">
        <v>148</v>
      </c>
      <c r="I661" s="69">
        <v>4</v>
      </c>
      <c r="J661" s="238">
        <v>0.2668262983999703</v>
      </c>
      <c r="K661" s="238">
        <v>0</v>
      </c>
      <c r="L661" s="69">
        <v>176.76062608695653</v>
      </c>
      <c r="M661" s="69">
        <v>0</v>
      </c>
      <c r="N661" s="69">
        <v>0</v>
      </c>
      <c r="O661" s="69">
        <v>0</v>
      </c>
      <c r="P661" s="69">
        <v>0</v>
      </c>
      <c r="Q661" s="69">
        <v>0</v>
      </c>
      <c r="R661" s="69">
        <v>0</v>
      </c>
      <c r="S661" s="69">
        <v>0</v>
      </c>
      <c r="T661" s="69">
        <v>0</v>
      </c>
      <c r="U661" s="69">
        <v>0</v>
      </c>
      <c r="V661" s="69">
        <v>97.45888521028246</v>
      </c>
      <c r="W661" s="69">
        <v>97.45888521028246</v>
      </c>
      <c r="X661" s="69">
        <v>97.45888521028246</v>
      </c>
      <c r="Y661" s="69">
        <v>97.45888521028246</v>
      </c>
      <c r="Z661" s="69">
        <v>97.45888521028246</v>
      </c>
      <c r="AA661" s="69">
        <v>97.45888521028246</v>
      </c>
      <c r="AB661" s="69">
        <v>97.45888521028246</v>
      </c>
      <c r="AC661" s="69">
        <v>97.45888521028246</v>
      </c>
      <c r="AD661" s="69">
        <v>97.45888521028246</v>
      </c>
      <c r="AE661" s="69">
        <v>97.45888521028246</v>
      </c>
      <c r="AF661" s="69">
        <v>97.45888521028246</v>
      </c>
      <c r="AG661" s="69">
        <v>97.45888521028246</v>
      </c>
    </row>
    <row r="662" spans="1:33" ht="12.75" customHeight="1">
      <c r="A662" s="231" t="s">
        <v>2375</v>
      </c>
      <c r="B662" s="69" t="s">
        <v>790</v>
      </c>
      <c r="C662" s="69" t="s">
        <v>186</v>
      </c>
      <c r="D662" s="69" t="s">
        <v>218</v>
      </c>
      <c r="E662" s="69" t="s">
        <v>244</v>
      </c>
      <c r="F662" s="69" t="s">
        <v>174</v>
      </c>
      <c r="G662" s="69" t="s">
        <v>192</v>
      </c>
      <c r="H662" s="69" t="s">
        <v>148</v>
      </c>
      <c r="I662" s="69">
        <v>4</v>
      </c>
      <c r="J662" s="238">
        <v>0.2668262983999703</v>
      </c>
      <c r="K662" s="238">
        <v>0</v>
      </c>
      <c r="L662" s="69">
        <v>176.76062608695653</v>
      </c>
      <c r="M662" s="69">
        <v>0</v>
      </c>
      <c r="N662" s="69">
        <v>0</v>
      </c>
      <c r="O662" s="69">
        <v>0</v>
      </c>
      <c r="P662" s="69">
        <v>0</v>
      </c>
      <c r="Q662" s="69">
        <v>0</v>
      </c>
      <c r="R662" s="69">
        <v>0</v>
      </c>
      <c r="S662" s="69">
        <v>0</v>
      </c>
      <c r="T662" s="69">
        <v>0</v>
      </c>
      <c r="U662" s="69">
        <v>0</v>
      </c>
      <c r="V662" s="69">
        <v>0</v>
      </c>
      <c r="W662" s="69">
        <v>166.50850538176746</v>
      </c>
      <c r="X662" s="69">
        <v>166.50850538176746</v>
      </c>
      <c r="Y662" s="69">
        <v>166.50850538176746</v>
      </c>
      <c r="Z662" s="69">
        <v>166.50850538176746</v>
      </c>
      <c r="AA662" s="69">
        <v>166.50850538176746</v>
      </c>
      <c r="AB662" s="69">
        <v>166.50850538176746</v>
      </c>
      <c r="AC662" s="69">
        <v>166.50850538176746</v>
      </c>
      <c r="AD662" s="69">
        <v>166.50850538176746</v>
      </c>
      <c r="AE662" s="69">
        <v>166.50850538176746</v>
      </c>
      <c r="AF662" s="69">
        <v>166.50850538176746</v>
      </c>
      <c r="AG662" s="69">
        <v>166.50850538176746</v>
      </c>
    </row>
    <row r="663" spans="1:33" ht="12.75" customHeight="1">
      <c r="A663" s="231" t="s">
        <v>2375</v>
      </c>
      <c r="B663" s="69" t="s">
        <v>791</v>
      </c>
      <c r="C663" s="69" t="s">
        <v>186</v>
      </c>
      <c r="D663" s="69" t="s">
        <v>218</v>
      </c>
      <c r="E663" s="69" t="s">
        <v>203</v>
      </c>
      <c r="F663" s="69" t="s">
        <v>174</v>
      </c>
      <c r="G663" s="69" t="s">
        <v>192</v>
      </c>
      <c r="H663" s="69" t="s">
        <v>148</v>
      </c>
      <c r="I663" s="69">
        <v>4</v>
      </c>
      <c r="J663" s="238">
        <v>0.23561922263058246</v>
      </c>
      <c r="K663" s="238">
        <v>0</v>
      </c>
      <c r="L663" s="69">
        <v>200.17205317577549</v>
      </c>
      <c r="M663" s="69">
        <v>0</v>
      </c>
      <c r="N663" s="69">
        <v>0</v>
      </c>
      <c r="O663" s="69">
        <v>0</v>
      </c>
      <c r="P663" s="69">
        <v>0</v>
      </c>
      <c r="Q663" s="69">
        <v>0</v>
      </c>
      <c r="R663" s="69">
        <v>36.025297527980001</v>
      </c>
      <c r="S663" s="69">
        <v>36.025297527980001</v>
      </c>
      <c r="T663" s="69">
        <v>36.025297527980001</v>
      </c>
      <c r="U663" s="69">
        <v>36.025297527980001</v>
      </c>
      <c r="V663" s="69">
        <v>36.025297527980001</v>
      </c>
      <c r="W663" s="69">
        <v>36.025297527980001</v>
      </c>
      <c r="X663" s="69">
        <v>36.025297527980001</v>
      </c>
      <c r="Y663" s="69">
        <v>36.025297527980001</v>
      </c>
      <c r="Z663" s="69">
        <v>36.025297527980001</v>
      </c>
      <c r="AA663" s="69">
        <v>36.025297527980001</v>
      </c>
      <c r="AB663" s="69">
        <v>36.025297527980001</v>
      </c>
      <c r="AC663" s="69">
        <v>36.025297527980001</v>
      </c>
      <c r="AD663" s="69">
        <v>36.025297527980001</v>
      </c>
      <c r="AE663" s="69">
        <v>36.025297527980001</v>
      </c>
      <c r="AF663" s="69">
        <v>36.025297527980001</v>
      </c>
      <c r="AG663" s="69">
        <v>36.025297527980001</v>
      </c>
    </row>
    <row r="664" spans="1:33" ht="12.75" customHeight="1">
      <c r="A664" s="231" t="s">
        <v>2375</v>
      </c>
      <c r="B664" s="69" t="s">
        <v>792</v>
      </c>
      <c r="C664" s="69" t="s">
        <v>186</v>
      </c>
      <c r="D664" s="69" t="s">
        <v>218</v>
      </c>
      <c r="E664" s="69" t="s">
        <v>203</v>
      </c>
      <c r="F664" s="69" t="s">
        <v>174</v>
      </c>
      <c r="G664" s="69" t="s">
        <v>192</v>
      </c>
      <c r="H664" s="69" t="s">
        <v>148</v>
      </c>
      <c r="I664" s="69">
        <v>4</v>
      </c>
      <c r="J664" s="238">
        <v>0.23561922263058246</v>
      </c>
      <c r="K664" s="238">
        <v>0</v>
      </c>
      <c r="L664" s="69">
        <v>200.17205317577549</v>
      </c>
      <c r="M664" s="69">
        <v>0</v>
      </c>
      <c r="N664" s="69">
        <v>0</v>
      </c>
      <c r="O664" s="69">
        <v>0</v>
      </c>
      <c r="P664" s="69">
        <v>0</v>
      </c>
      <c r="Q664" s="69">
        <v>0</v>
      </c>
      <c r="R664" s="69">
        <v>0</v>
      </c>
      <c r="S664" s="69">
        <v>54.03794629197364</v>
      </c>
      <c r="T664" s="69">
        <v>54.03794629197364</v>
      </c>
      <c r="U664" s="69">
        <v>54.03794629197364</v>
      </c>
      <c r="V664" s="69">
        <v>54.03794629197364</v>
      </c>
      <c r="W664" s="69">
        <v>54.03794629197364</v>
      </c>
      <c r="X664" s="69">
        <v>54.03794629197364</v>
      </c>
      <c r="Y664" s="69">
        <v>54.03794629197364</v>
      </c>
      <c r="Z664" s="69">
        <v>54.03794629197364</v>
      </c>
      <c r="AA664" s="69">
        <v>54.03794629197364</v>
      </c>
      <c r="AB664" s="69">
        <v>54.03794629197364</v>
      </c>
      <c r="AC664" s="69">
        <v>54.03794629197364</v>
      </c>
      <c r="AD664" s="69">
        <v>54.03794629197364</v>
      </c>
      <c r="AE664" s="69">
        <v>54.03794629197364</v>
      </c>
      <c r="AF664" s="69">
        <v>54.03794629197364</v>
      </c>
      <c r="AG664" s="69">
        <v>54.03794629197364</v>
      </c>
    </row>
    <row r="665" spans="1:33" ht="12.75" customHeight="1">
      <c r="A665" s="231" t="s">
        <v>2375</v>
      </c>
      <c r="B665" s="69" t="s">
        <v>793</v>
      </c>
      <c r="C665" s="69" t="s">
        <v>186</v>
      </c>
      <c r="D665" s="69" t="s">
        <v>218</v>
      </c>
      <c r="E665" s="69" t="s">
        <v>203</v>
      </c>
      <c r="F665" s="69" t="s">
        <v>174</v>
      </c>
      <c r="G665" s="69" t="s">
        <v>192</v>
      </c>
      <c r="H665" s="69" t="s">
        <v>148</v>
      </c>
      <c r="I665" s="69">
        <v>4</v>
      </c>
      <c r="J665" s="238">
        <v>0.23561922263058246</v>
      </c>
      <c r="K665" s="238">
        <v>0</v>
      </c>
      <c r="L665" s="69">
        <v>200.17205317577549</v>
      </c>
      <c r="M665" s="69">
        <v>0</v>
      </c>
      <c r="N665" s="69">
        <v>0</v>
      </c>
      <c r="O665" s="69">
        <v>0</v>
      </c>
      <c r="P665" s="69">
        <v>0</v>
      </c>
      <c r="Q665" s="69">
        <v>0</v>
      </c>
      <c r="R665" s="69">
        <v>0</v>
      </c>
      <c r="S665" s="69">
        <v>0</v>
      </c>
      <c r="T665" s="69">
        <v>72.050595055967278</v>
      </c>
      <c r="U665" s="69">
        <v>72.050595055967278</v>
      </c>
      <c r="V665" s="69">
        <v>72.050595055967278</v>
      </c>
      <c r="W665" s="69">
        <v>72.050595055967278</v>
      </c>
      <c r="X665" s="69">
        <v>72.050595055967278</v>
      </c>
      <c r="Y665" s="69">
        <v>72.050595055967278</v>
      </c>
      <c r="Z665" s="69">
        <v>72.050595055967278</v>
      </c>
      <c r="AA665" s="69">
        <v>72.050595055967278</v>
      </c>
      <c r="AB665" s="69">
        <v>72.050595055967278</v>
      </c>
      <c r="AC665" s="69">
        <v>72.050595055967278</v>
      </c>
      <c r="AD665" s="69">
        <v>72.050595055967278</v>
      </c>
      <c r="AE665" s="69">
        <v>72.050595055967278</v>
      </c>
      <c r="AF665" s="69">
        <v>72.050595055967278</v>
      </c>
      <c r="AG665" s="69">
        <v>72.050595055967278</v>
      </c>
    </row>
    <row r="666" spans="1:33" ht="12.75" customHeight="1">
      <c r="A666" s="231" t="s">
        <v>2375</v>
      </c>
      <c r="B666" s="69" t="s">
        <v>794</v>
      </c>
      <c r="C666" s="69" t="s">
        <v>186</v>
      </c>
      <c r="D666" s="69" t="s">
        <v>218</v>
      </c>
      <c r="E666" s="69" t="s">
        <v>203</v>
      </c>
      <c r="F666" s="69" t="s">
        <v>174</v>
      </c>
      <c r="G666" s="69" t="s">
        <v>192</v>
      </c>
      <c r="H666" s="69" t="s">
        <v>148</v>
      </c>
      <c r="I666" s="69">
        <v>4</v>
      </c>
      <c r="J666" s="238">
        <v>0.23561922263058246</v>
      </c>
      <c r="K666" s="238">
        <v>0</v>
      </c>
      <c r="L666" s="69">
        <v>200.17205317577549</v>
      </c>
      <c r="M666" s="69">
        <v>0</v>
      </c>
      <c r="N666" s="69">
        <v>0</v>
      </c>
      <c r="O666" s="69">
        <v>0</v>
      </c>
      <c r="P666" s="69">
        <v>0</v>
      </c>
      <c r="Q666" s="69">
        <v>0</v>
      </c>
      <c r="R666" s="69">
        <v>0</v>
      </c>
      <c r="S666" s="69">
        <v>0</v>
      </c>
      <c r="T666" s="69">
        <v>0</v>
      </c>
      <c r="U666" s="69">
        <v>108.07589258394728</v>
      </c>
      <c r="V666" s="69">
        <v>108.07589258394728</v>
      </c>
      <c r="W666" s="69">
        <v>108.07589258394728</v>
      </c>
      <c r="X666" s="69">
        <v>108.07589258394728</v>
      </c>
      <c r="Y666" s="69">
        <v>108.07589258394728</v>
      </c>
      <c r="Z666" s="69">
        <v>108.07589258394728</v>
      </c>
      <c r="AA666" s="69">
        <v>108.07589258394728</v>
      </c>
      <c r="AB666" s="69">
        <v>108.07589258394728</v>
      </c>
      <c r="AC666" s="69">
        <v>108.07589258394728</v>
      </c>
      <c r="AD666" s="69">
        <v>108.07589258394728</v>
      </c>
      <c r="AE666" s="69">
        <v>108.07589258394728</v>
      </c>
      <c r="AF666" s="69">
        <v>108.07589258394728</v>
      </c>
      <c r="AG666" s="69">
        <v>108.07589258394728</v>
      </c>
    </row>
    <row r="667" spans="1:33" ht="12.75" customHeight="1">
      <c r="A667" s="231" t="s">
        <v>2375</v>
      </c>
      <c r="B667" s="69" t="s">
        <v>795</v>
      </c>
      <c r="C667" s="69" t="s">
        <v>186</v>
      </c>
      <c r="D667" s="69" t="s">
        <v>218</v>
      </c>
      <c r="E667" s="69" t="s">
        <v>203</v>
      </c>
      <c r="F667" s="69" t="s">
        <v>174</v>
      </c>
      <c r="G667" s="69" t="s">
        <v>192</v>
      </c>
      <c r="H667" s="69" t="s">
        <v>148</v>
      </c>
      <c r="I667" s="69">
        <v>4</v>
      </c>
      <c r="J667" s="238">
        <v>0.23561922263058246</v>
      </c>
      <c r="K667" s="238">
        <v>0</v>
      </c>
      <c r="L667" s="69">
        <v>200.17205317577549</v>
      </c>
      <c r="M667" s="69">
        <v>0</v>
      </c>
      <c r="N667" s="69">
        <v>0</v>
      </c>
      <c r="O667" s="69">
        <v>0</v>
      </c>
      <c r="P667" s="69">
        <v>0</v>
      </c>
      <c r="Q667" s="69">
        <v>0</v>
      </c>
      <c r="R667" s="69">
        <v>0</v>
      </c>
      <c r="S667" s="69">
        <v>0</v>
      </c>
      <c r="T667" s="69">
        <v>0</v>
      </c>
      <c r="U667" s="69">
        <v>0</v>
      </c>
      <c r="V667" s="69">
        <v>144.10119011193456</v>
      </c>
      <c r="W667" s="69">
        <v>144.10119011193456</v>
      </c>
      <c r="X667" s="69">
        <v>144.10119011193456</v>
      </c>
      <c r="Y667" s="69">
        <v>144.10119011193456</v>
      </c>
      <c r="Z667" s="69">
        <v>144.10119011193456</v>
      </c>
      <c r="AA667" s="69">
        <v>144.10119011193456</v>
      </c>
      <c r="AB667" s="69">
        <v>144.10119011193456</v>
      </c>
      <c r="AC667" s="69">
        <v>144.10119011193456</v>
      </c>
      <c r="AD667" s="69">
        <v>144.10119011193456</v>
      </c>
      <c r="AE667" s="69">
        <v>144.10119011193456</v>
      </c>
      <c r="AF667" s="69">
        <v>144.10119011193456</v>
      </c>
      <c r="AG667" s="69">
        <v>144.10119011193456</v>
      </c>
    </row>
    <row r="668" spans="1:33" ht="12.75" customHeight="1">
      <c r="A668" s="231" t="s">
        <v>2375</v>
      </c>
      <c r="B668" s="69" t="s">
        <v>796</v>
      </c>
      <c r="C668" s="69" t="s">
        <v>186</v>
      </c>
      <c r="D668" s="69" t="s">
        <v>218</v>
      </c>
      <c r="E668" s="69" t="s">
        <v>203</v>
      </c>
      <c r="F668" s="69" t="s">
        <v>174</v>
      </c>
      <c r="G668" s="69" t="s">
        <v>192</v>
      </c>
      <c r="H668" s="69" t="s">
        <v>148</v>
      </c>
      <c r="I668" s="69">
        <v>4</v>
      </c>
      <c r="J668" s="238">
        <v>0.23561922263058246</v>
      </c>
      <c r="K668" s="238">
        <v>0</v>
      </c>
      <c r="L668" s="69">
        <v>200.17205317577549</v>
      </c>
      <c r="M668" s="69">
        <v>0</v>
      </c>
      <c r="N668" s="69">
        <v>0</v>
      </c>
      <c r="O668" s="69">
        <v>0</v>
      </c>
      <c r="P668" s="69">
        <v>0</v>
      </c>
      <c r="Q668" s="69">
        <v>0</v>
      </c>
      <c r="R668" s="69">
        <v>0</v>
      </c>
      <c r="S668" s="69">
        <v>0</v>
      </c>
      <c r="T668" s="69">
        <v>0</v>
      </c>
      <c r="U668" s="69">
        <v>0</v>
      </c>
      <c r="V668" s="69">
        <v>0</v>
      </c>
      <c r="W668" s="69">
        <v>246.19688330624194</v>
      </c>
      <c r="X668" s="69">
        <v>246.19688330624194</v>
      </c>
      <c r="Y668" s="69">
        <v>246.19688330624194</v>
      </c>
      <c r="Z668" s="69">
        <v>246.19688330624194</v>
      </c>
      <c r="AA668" s="69">
        <v>246.19688330624194</v>
      </c>
      <c r="AB668" s="69">
        <v>246.19688330624194</v>
      </c>
      <c r="AC668" s="69">
        <v>246.19688330624194</v>
      </c>
      <c r="AD668" s="69">
        <v>246.19688330624194</v>
      </c>
      <c r="AE668" s="69">
        <v>246.19688330624194</v>
      </c>
      <c r="AF668" s="69">
        <v>246.19688330624194</v>
      </c>
      <c r="AG668" s="69">
        <v>246.19688330624194</v>
      </c>
    </row>
    <row r="669" spans="1:33" ht="12.75" customHeight="1">
      <c r="A669" s="231" t="s">
        <v>2375</v>
      </c>
      <c r="B669" s="69" t="s">
        <v>797</v>
      </c>
      <c r="C669" s="69" t="s">
        <v>186</v>
      </c>
      <c r="D669" s="69" t="s">
        <v>218</v>
      </c>
      <c r="E669" s="69" t="s">
        <v>260</v>
      </c>
      <c r="F669" s="69" t="s">
        <v>174</v>
      </c>
      <c r="G669" s="69" t="s">
        <v>192</v>
      </c>
      <c r="H669" s="69" t="s">
        <v>148</v>
      </c>
      <c r="I669" s="69">
        <v>4</v>
      </c>
      <c r="J669" s="238">
        <v>0.21868155325388869</v>
      </c>
      <c r="K669" s="238">
        <v>0</v>
      </c>
      <c r="L669" s="69">
        <v>215.67609549071616</v>
      </c>
      <c r="M669" s="69">
        <v>0</v>
      </c>
      <c r="N669" s="69">
        <v>0</v>
      </c>
      <c r="O669" s="69">
        <v>0</v>
      </c>
      <c r="P669" s="69">
        <v>0</v>
      </c>
      <c r="Q669" s="69">
        <v>0</v>
      </c>
      <c r="R669" s="69">
        <v>6.2691733604369793</v>
      </c>
      <c r="S669" s="69">
        <v>6.2691733604369793</v>
      </c>
      <c r="T669" s="69">
        <v>6.2691733604369793</v>
      </c>
      <c r="U669" s="69">
        <v>6.2691733604369793</v>
      </c>
      <c r="V669" s="69">
        <v>6.2691733604369793</v>
      </c>
      <c r="W669" s="69">
        <v>6.2691733604369793</v>
      </c>
      <c r="X669" s="69">
        <v>6.2691733604369793</v>
      </c>
      <c r="Y669" s="69">
        <v>6.2691733604369793</v>
      </c>
      <c r="Z669" s="69">
        <v>6.2691733604369793</v>
      </c>
      <c r="AA669" s="69">
        <v>6.2691733604369793</v>
      </c>
      <c r="AB669" s="69">
        <v>6.2691733604369793</v>
      </c>
      <c r="AC669" s="69">
        <v>6.2691733604369793</v>
      </c>
      <c r="AD669" s="69">
        <v>6.2691733604369793</v>
      </c>
      <c r="AE669" s="69">
        <v>6.2691733604369793</v>
      </c>
      <c r="AF669" s="69">
        <v>6.2691733604369793</v>
      </c>
      <c r="AG669" s="69">
        <v>6.2691733604369793</v>
      </c>
    </row>
    <row r="670" spans="1:33" ht="12.75" customHeight="1">
      <c r="A670" s="231" t="s">
        <v>2375</v>
      </c>
      <c r="B670" s="69" t="s">
        <v>798</v>
      </c>
      <c r="C670" s="69" t="s">
        <v>186</v>
      </c>
      <c r="D670" s="69" t="s">
        <v>218</v>
      </c>
      <c r="E670" s="69" t="s">
        <v>260</v>
      </c>
      <c r="F670" s="69" t="s">
        <v>174</v>
      </c>
      <c r="G670" s="69" t="s">
        <v>192</v>
      </c>
      <c r="H670" s="69" t="s">
        <v>148</v>
      </c>
      <c r="I670" s="69">
        <v>4</v>
      </c>
      <c r="J670" s="238">
        <v>0.21868155325388866</v>
      </c>
      <c r="K670" s="238">
        <v>0</v>
      </c>
      <c r="L670" s="69">
        <v>215.67609549071625</v>
      </c>
      <c r="M670" s="69">
        <v>0</v>
      </c>
      <c r="N670" s="69">
        <v>0</v>
      </c>
      <c r="O670" s="69">
        <v>0</v>
      </c>
      <c r="P670" s="69">
        <v>0</v>
      </c>
      <c r="Q670" s="69">
        <v>0</v>
      </c>
      <c r="R670" s="69">
        <v>0</v>
      </c>
      <c r="S670" s="69">
        <v>9.4037600406518322</v>
      </c>
      <c r="T670" s="69">
        <v>9.4037600406518322</v>
      </c>
      <c r="U670" s="69">
        <v>9.4037600406518322</v>
      </c>
      <c r="V670" s="69">
        <v>9.4037600406518322</v>
      </c>
      <c r="W670" s="69">
        <v>9.4037600406518322</v>
      </c>
      <c r="X670" s="69">
        <v>9.4037600406518322</v>
      </c>
      <c r="Y670" s="69">
        <v>9.4037600406518322</v>
      </c>
      <c r="Z670" s="69">
        <v>9.4037600406518322</v>
      </c>
      <c r="AA670" s="69">
        <v>9.4037600406518322</v>
      </c>
      <c r="AB670" s="69">
        <v>9.4037600406518322</v>
      </c>
      <c r="AC670" s="69">
        <v>9.4037600406518322</v>
      </c>
      <c r="AD670" s="69">
        <v>9.4037600406518322</v>
      </c>
      <c r="AE670" s="69">
        <v>9.4037600406518322</v>
      </c>
      <c r="AF670" s="69">
        <v>9.4037600406518322</v>
      </c>
      <c r="AG670" s="69">
        <v>9.4037600406518322</v>
      </c>
    </row>
    <row r="671" spans="1:33" ht="12.75" customHeight="1">
      <c r="A671" s="231" t="s">
        <v>2375</v>
      </c>
      <c r="B671" s="69" t="s">
        <v>799</v>
      </c>
      <c r="C671" s="69" t="s">
        <v>186</v>
      </c>
      <c r="D671" s="69" t="s">
        <v>218</v>
      </c>
      <c r="E671" s="69" t="s">
        <v>260</v>
      </c>
      <c r="F671" s="69" t="s">
        <v>174</v>
      </c>
      <c r="G671" s="69" t="s">
        <v>192</v>
      </c>
      <c r="H671" s="69" t="s">
        <v>148</v>
      </c>
      <c r="I671" s="69">
        <v>4</v>
      </c>
      <c r="J671" s="238">
        <v>0.21868155325388869</v>
      </c>
      <c r="K671" s="238">
        <v>0</v>
      </c>
      <c r="L671" s="69">
        <v>215.67609549071616</v>
      </c>
      <c r="M671" s="69">
        <v>0</v>
      </c>
      <c r="N671" s="69">
        <v>0</v>
      </c>
      <c r="O671" s="69">
        <v>0</v>
      </c>
      <c r="P671" s="69">
        <v>0</v>
      </c>
      <c r="Q671" s="69">
        <v>0</v>
      </c>
      <c r="R671" s="69">
        <v>0</v>
      </c>
      <c r="S671" s="69">
        <v>0</v>
      </c>
      <c r="T671" s="69">
        <v>12.538346720873959</v>
      </c>
      <c r="U671" s="69">
        <v>12.538346720873959</v>
      </c>
      <c r="V671" s="69">
        <v>12.538346720873959</v>
      </c>
      <c r="W671" s="69">
        <v>12.538346720873959</v>
      </c>
      <c r="X671" s="69">
        <v>12.538346720873959</v>
      </c>
      <c r="Y671" s="69">
        <v>12.538346720873959</v>
      </c>
      <c r="Z671" s="69">
        <v>12.538346720873959</v>
      </c>
      <c r="AA671" s="69">
        <v>12.538346720873959</v>
      </c>
      <c r="AB671" s="69">
        <v>12.538346720873959</v>
      </c>
      <c r="AC671" s="69">
        <v>12.538346720873959</v>
      </c>
      <c r="AD671" s="69">
        <v>12.538346720873959</v>
      </c>
      <c r="AE671" s="69">
        <v>12.538346720873959</v>
      </c>
      <c r="AF671" s="69">
        <v>12.538346720873959</v>
      </c>
      <c r="AG671" s="69">
        <v>12.538346720873959</v>
      </c>
    </row>
    <row r="672" spans="1:33" ht="12.75" customHeight="1">
      <c r="A672" s="231" t="s">
        <v>2375</v>
      </c>
      <c r="B672" s="69" t="s">
        <v>800</v>
      </c>
      <c r="C672" s="69" t="s">
        <v>186</v>
      </c>
      <c r="D672" s="69" t="s">
        <v>218</v>
      </c>
      <c r="E672" s="69" t="s">
        <v>260</v>
      </c>
      <c r="F672" s="69" t="s">
        <v>174</v>
      </c>
      <c r="G672" s="69" t="s">
        <v>192</v>
      </c>
      <c r="H672" s="69" t="s">
        <v>148</v>
      </c>
      <c r="I672" s="69">
        <v>4</v>
      </c>
      <c r="J672" s="238">
        <v>0.21868155325388866</v>
      </c>
      <c r="K672" s="238">
        <v>0</v>
      </c>
      <c r="L672" s="69">
        <v>215.67609549071625</v>
      </c>
      <c r="M672" s="69">
        <v>0</v>
      </c>
      <c r="N672" s="69">
        <v>0</v>
      </c>
      <c r="O672" s="69">
        <v>0</v>
      </c>
      <c r="P672" s="69">
        <v>0</v>
      </c>
      <c r="Q672" s="69">
        <v>0</v>
      </c>
      <c r="R672" s="69">
        <v>0</v>
      </c>
      <c r="S672" s="69">
        <v>0</v>
      </c>
      <c r="T672" s="69">
        <v>0</v>
      </c>
      <c r="U672" s="69">
        <v>18.80752008131094</v>
      </c>
      <c r="V672" s="69">
        <v>18.80752008131094</v>
      </c>
      <c r="W672" s="69">
        <v>18.80752008131094</v>
      </c>
      <c r="X672" s="69">
        <v>18.80752008131094</v>
      </c>
      <c r="Y672" s="69">
        <v>18.80752008131094</v>
      </c>
      <c r="Z672" s="69">
        <v>18.80752008131094</v>
      </c>
      <c r="AA672" s="69">
        <v>18.80752008131094</v>
      </c>
      <c r="AB672" s="69">
        <v>18.80752008131094</v>
      </c>
      <c r="AC672" s="69">
        <v>18.80752008131094</v>
      </c>
      <c r="AD672" s="69">
        <v>18.80752008131094</v>
      </c>
      <c r="AE672" s="69">
        <v>18.80752008131094</v>
      </c>
      <c r="AF672" s="69">
        <v>18.80752008131094</v>
      </c>
      <c r="AG672" s="69">
        <v>18.80752008131094</v>
      </c>
    </row>
    <row r="673" spans="1:33" ht="12.75" customHeight="1">
      <c r="A673" s="231" t="s">
        <v>2375</v>
      </c>
      <c r="B673" s="69" t="s">
        <v>801</v>
      </c>
      <c r="C673" s="69" t="s">
        <v>186</v>
      </c>
      <c r="D673" s="69" t="s">
        <v>218</v>
      </c>
      <c r="E673" s="69" t="s">
        <v>260</v>
      </c>
      <c r="F673" s="69" t="s">
        <v>174</v>
      </c>
      <c r="G673" s="69" t="s">
        <v>192</v>
      </c>
      <c r="H673" s="69" t="s">
        <v>148</v>
      </c>
      <c r="I673" s="69">
        <v>4</v>
      </c>
      <c r="J673" s="238">
        <v>0.21868155325388869</v>
      </c>
      <c r="K673" s="238">
        <v>0</v>
      </c>
      <c r="L673" s="69">
        <v>215.67609549071616</v>
      </c>
      <c r="M673" s="69">
        <v>0</v>
      </c>
      <c r="N673" s="69">
        <v>0</v>
      </c>
      <c r="O673" s="69">
        <v>0</v>
      </c>
      <c r="P673" s="69">
        <v>0</v>
      </c>
      <c r="Q673" s="69">
        <v>0</v>
      </c>
      <c r="R673" s="69">
        <v>0</v>
      </c>
      <c r="S673" s="69">
        <v>0</v>
      </c>
      <c r="T673" s="69">
        <v>0</v>
      </c>
      <c r="U673" s="69">
        <v>0</v>
      </c>
      <c r="V673" s="69">
        <v>25.076693441747917</v>
      </c>
      <c r="W673" s="69">
        <v>25.076693441747917</v>
      </c>
      <c r="X673" s="69">
        <v>25.076693441747917</v>
      </c>
      <c r="Y673" s="69">
        <v>25.076693441747917</v>
      </c>
      <c r="Z673" s="69">
        <v>25.076693441747917</v>
      </c>
      <c r="AA673" s="69">
        <v>25.076693441747917</v>
      </c>
      <c r="AB673" s="69">
        <v>25.076693441747917</v>
      </c>
      <c r="AC673" s="69">
        <v>25.076693441747917</v>
      </c>
      <c r="AD673" s="69">
        <v>25.076693441747917</v>
      </c>
      <c r="AE673" s="69">
        <v>25.076693441747917</v>
      </c>
      <c r="AF673" s="69">
        <v>25.076693441747917</v>
      </c>
      <c r="AG673" s="69">
        <v>25.076693441747917</v>
      </c>
    </row>
    <row r="674" spans="1:33" ht="12.75" customHeight="1">
      <c r="A674" s="231" t="s">
        <v>2375</v>
      </c>
      <c r="B674" s="69" t="s">
        <v>802</v>
      </c>
      <c r="C674" s="69" t="s">
        <v>186</v>
      </c>
      <c r="D674" s="69" t="s">
        <v>218</v>
      </c>
      <c r="E674" s="69" t="s">
        <v>260</v>
      </c>
      <c r="F674" s="69" t="s">
        <v>174</v>
      </c>
      <c r="G674" s="69" t="s">
        <v>192</v>
      </c>
      <c r="H674" s="69" t="s">
        <v>148</v>
      </c>
      <c r="I674" s="69">
        <v>4</v>
      </c>
      <c r="J674" s="238">
        <v>0.21868155325388866</v>
      </c>
      <c r="K674" s="238">
        <v>0</v>
      </c>
      <c r="L674" s="69">
        <v>215.67609549071622</v>
      </c>
      <c r="M674" s="69">
        <v>0</v>
      </c>
      <c r="N674" s="69">
        <v>0</v>
      </c>
      <c r="O674" s="69">
        <v>0</v>
      </c>
      <c r="P674" s="69">
        <v>0</v>
      </c>
      <c r="Q674" s="69">
        <v>0</v>
      </c>
      <c r="R674" s="69">
        <v>0</v>
      </c>
      <c r="S674" s="69">
        <v>0</v>
      </c>
      <c r="T674" s="69">
        <v>0</v>
      </c>
      <c r="U674" s="69">
        <v>0</v>
      </c>
      <c r="V674" s="69">
        <v>0</v>
      </c>
      <c r="W674" s="69">
        <v>42.843530745223688</v>
      </c>
      <c r="X674" s="69">
        <v>42.843530745223688</v>
      </c>
      <c r="Y674" s="69">
        <v>42.843530745223688</v>
      </c>
      <c r="Z674" s="69">
        <v>42.843530745223688</v>
      </c>
      <c r="AA674" s="69">
        <v>42.843530745223688</v>
      </c>
      <c r="AB674" s="69">
        <v>42.843530745223688</v>
      </c>
      <c r="AC674" s="69">
        <v>42.843530745223688</v>
      </c>
      <c r="AD674" s="69">
        <v>42.843530745223688</v>
      </c>
      <c r="AE674" s="69">
        <v>42.843530745223688</v>
      </c>
      <c r="AF674" s="69">
        <v>42.843530745223688</v>
      </c>
      <c r="AG674" s="69">
        <v>42.843530745223688</v>
      </c>
    </row>
    <row r="675" spans="1:33" ht="12.75" customHeight="1">
      <c r="A675" s="231" t="s">
        <v>2376</v>
      </c>
      <c r="B675" s="69" t="s">
        <v>190</v>
      </c>
      <c r="C675" s="69" t="s">
        <v>137</v>
      </c>
      <c r="D675" s="69" t="s">
        <v>191</v>
      </c>
      <c r="E675" s="69" t="s">
        <v>191</v>
      </c>
      <c r="F675" s="69" t="s">
        <v>180</v>
      </c>
      <c r="G675" s="69" t="s">
        <v>192</v>
      </c>
      <c r="H675" s="69" t="s">
        <v>804</v>
      </c>
      <c r="I675" s="69">
        <v>1</v>
      </c>
      <c r="J675" s="238">
        <v>0.32235762917068039</v>
      </c>
      <c r="K675" s="238">
        <v>0.160195270625522</v>
      </c>
      <c r="L675" s="69">
        <v>96.038728079112801</v>
      </c>
      <c r="M675" s="69">
        <v>0</v>
      </c>
      <c r="N675" s="69">
        <v>0</v>
      </c>
      <c r="O675" s="69">
        <v>0</v>
      </c>
      <c r="P675" s="69">
        <v>0</v>
      </c>
      <c r="Q675" s="69">
        <v>0</v>
      </c>
      <c r="R675" s="69">
        <v>533.70818516014538</v>
      </c>
      <c r="S675" s="69">
        <v>533.70818516014538</v>
      </c>
      <c r="T675" s="69">
        <v>533.70818516014538</v>
      </c>
      <c r="U675" s="69">
        <v>533.70818516014538</v>
      </c>
      <c r="V675" s="69">
        <v>533.70818516014538</v>
      </c>
      <c r="W675" s="69">
        <v>533.70818516014538</v>
      </c>
      <c r="X675" s="69">
        <v>533.70818516014538</v>
      </c>
      <c r="Y675" s="69">
        <v>533.70818516014538</v>
      </c>
      <c r="Z675" s="69">
        <v>533.70818516014538</v>
      </c>
      <c r="AA675" s="69">
        <v>533.70818516014538</v>
      </c>
      <c r="AB675" s="69">
        <v>533.70818516014538</v>
      </c>
      <c r="AC675" s="69">
        <v>533.70818516014538</v>
      </c>
      <c r="AD675" s="69">
        <v>533.70818516014538</v>
      </c>
      <c r="AE675" s="69">
        <v>533.70818516014538</v>
      </c>
      <c r="AF675" s="69">
        <v>533.70818516014538</v>
      </c>
      <c r="AG675" s="69">
        <v>533.70818516014538</v>
      </c>
    </row>
    <row r="676" spans="1:33" ht="12.75" customHeight="1">
      <c r="A676" s="231" t="s">
        <v>2376</v>
      </c>
      <c r="B676" s="69" t="s">
        <v>195</v>
      </c>
      <c r="C676" s="69" t="s">
        <v>187</v>
      </c>
      <c r="D676" s="69" t="s">
        <v>191</v>
      </c>
      <c r="E676" s="69" t="s">
        <v>191</v>
      </c>
      <c r="F676" s="69" t="s">
        <v>162</v>
      </c>
      <c r="G676" s="69" t="s">
        <v>192</v>
      </c>
      <c r="H676" s="69" t="s">
        <v>804</v>
      </c>
      <c r="I676" s="69">
        <v>1</v>
      </c>
      <c r="J676" s="238">
        <v>0.2668262983999703</v>
      </c>
      <c r="K676" s="238">
        <v>0.80317779599171035</v>
      </c>
      <c r="L676" s="69">
        <v>192.38629588063705</v>
      </c>
      <c r="M676" s="69">
        <v>0</v>
      </c>
      <c r="N676" s="69">
        <v>0</v>
      </c>
      <c r="O676" s="69">
        <v>0</v>
      </c>
      <c r="P676" s="69">
        <v>0</v>
      </c>
      <c r="Q676" s="69">
        <v>0</v>
      </c>
      <c r="R676" s="69">
        <v>144.91869918699012</v>
      </c>
      <c r="S676" s="69">
        <v>144.91869918699012</v>
      </c>
      <c r="T676" s="69">
        <v>144.91869918699012</v>
      </c>
      <c r="U676" s="69">
        <v>144.91869918699012</v>
      </c>
      <c r="V676" s="69">
        <v>144.91869918699012</v>
      </c>
      <c r="W676" s="69">
        <v>144.91869918699012</v>
      </c>
      <c r="X676" s="69">
        <v>144.91869918699012</v>
      </c>
      <c r="Y676" s="69">
        <v>144.91869918699012</v>
      </c>
      <c r="Z676" s="69">
        <v>144.91869918699012</v>
      </c>
      <c r="AA676" s="69">
        <v>144.91869918699012</v>
      </c>
      <c r="AB676" s="69">
        <v>144.91869918699012</v>
      </c>
      <c r="AC676" s="69">
        <v>144.91869918699012</v>
      </c>
      <c r="AD676" s="69">
        <v>144.91869918699012</v>
      </c>
      <c r="AE676" s="69">
        <v>144.91869918699012</v>
      </c>
      <c r="AF676" s="69">
        <v>144.91869918699012</v>
      </c>
      <c r="AG676" s="69">
        <v>144.91869918699012</v>
      </c>
    </row>
    <row r="677" spans="1:33" ht="12.75" customHeight="1">
      <c r="A677" s="231" t="s">
        <v>2376</v>
      </c>
      <c r="B677" s="69" t="s">
        <v>196</v>
      </c>
      <c r="C677" s="69" t="s">
        <v>187</v>
      </c>
      <c r="D677" s="69" t="s">
        <v>191</v>
      </c>
      <c r="E677" s="69" t="s">
        <v>191</v>
      </c>
      <c r="F677" s="69" t="s">
        <v>175</v>
      </c>
      <c r="G677" s="69" t="s">
        <v>192</v>
      </c>
      <c r="H677" s="69" t="s">
        <v>804</v>
      </c>
      <c r="I677" s="69">
        <v>1</v>
      </c>
      <c r="J677" s="238">
        <v>0.2668262983999703</v>
      </c>
      <c r="K677" s="238">
        <v>0.69237077523038792</v>
      </c>
      <c r="L677" s="69">
        <v>192.38629588063705</v>
      </c>
      <c r="M677" s="69">
        <v>0</v>
      </c>
      <c r="N677" s="69">
        <v>0</v>
      </c>
      <c r="O677" s="69">
        <v>0</v>
      </c>
      <c r="P677" s="69">
        <v>0</v>
      </c>
      <c r="Q677" s="69">
        <v>292.17479674796778</v>
      </c>
      <c r="R677" s="69">
        <v>292.17479674796778</v>
      </c>
      <c r="S677" s="69">
        <v>292.17479674796778</v>
      </c>
      <c r="T677" s="69">
        <v>292.17479674796778</v>
      </c>
      <c r="U677" s="69">
        <v>292.17479674796778</v>
      </c>
      <c r="V677" s="69">
        <v>292.17479674796778</v>
      </c>
      <c r="W677" s="69">
        <v>292.17479674796778</v>
      </c>
      <c r="X677" s="69">
        <v>292.17479674796778</v>
      </c>
      <c r="Y677" s="69">
        <v>292.17479674796778</v>
      </c>
      <c r="Z677" s="69">
        <v>292.17479674796778</v>
      </c>
      <c r="AA677" s="69">
        <v>292.17479674796778</v>
      </c>
      <c r="AB677" s="69">
        <v>292.17479674796778</v>
      </c>
      <c r="AC677" s="69">
        <v>292.17479674796778</v>
      </c>
      <c r="AD677" s="69">
        <v>292.17479674796778</v>
      </c>
      <c r="AE677" s="69">
        <v>292.17479674796778</v>
      </c>
      <c r="AF677" s="69">
        <v>292.17479674796778</v>
      </c>
      <c r="AG677" s="69">
        <v>292.17479674796778</v>
      </c>
    </row>
    <row r="678" spans="1:33" ht="12.75" customHeight="1">
      <c r="A678" s="231" t="s">
        <v>2376</v>
      </c>
      <c r="B678" s="69" t="s">
        <v>197</v>
      </c>
      <c r="C678" s="69" t="s">
        <v>187</v>
      </c>
      <c r="D678" s="69" t="s">
        <v>191</v>
      </c>
      <c r="E678" s="69" t="s">
        <v>191</v>
      </c>
      <c r="F678" s="69" t="s">
        <v>175</v>
      </c>
      <c r="G678" s="69" t="s">
        <v>192</v>
      </c>
      <c r="H678" s="69" t="s">
        <v>804</v>
      </c>
      <c r="I678" s="69">
        <v>1</v>
      </c>
      <c r="J678" s="238">
        <v>0.2668262983999703</v>
      </c>
      <c r="K678" s="238">
        <v>0.69237077523038792</v>
      </c>
      <c r="L678" s="69">
        <v>192.38629588063705</v>
      </c>
      <c r="M678" s="69">
        <v>0</v>
      </c>
      <c r="N678" s="69">
        <v>0</v>
      </c>
      <c r="O678" s="69">
        <v>0</v>
      </c>
      <c r="P678" s="69">
        <v>0</v>
      </c>
      <c r="Q678" s="69">
        <v>0</v>
      </c>
      <c r="R678" s="69">
        <v>292.17479674796778</v>
      </c>
      <c r="S678" s="69">
        <v>292.17479674796778</v>
      </c>
      <c r="T678" s="69">
        <v>292.17479674796778</v>
      </c>
      <c r="U678" s="69">
        <v>292.17479674796778</v>
      </c>
      <c r="V678" s="69">
        <v>292.17479674796778</v>
      </c>
      <c r="W678" s="69">
        <v>292.17479674796778</v>
      </c>
      <c r="X678" s="69">
        <v>292.17479674796778</v>
      </c>
      <c r="Y678" s="69">
        <v>292.17479674796778</v>
      </c>
      <c r="Z678" s="69">
        <v>292.17479674796778</v>
      </c>
      <c r="AA678" s="69">
        <v>292.17479674796778</v>
      </c>
      <c r="AB678" s="69">
        <v>292.17479674796778</v>
      </c>
      <c r="AC678" s="69">
        <v>292.17479674796778</v>
      </c>
      <c r="AD678" s="69">
        <v>292.17479674796778</v>
      </c>
      <c r="AE678" s="69">
        <v>292.17479674796778</v>
      </c>
      <c r="AF678" s="69">
        <v>292.17479674796778</v>
      </c>
      <c r="AG678" s="69">
        <v>292.17479674796778</v>
      </c>
    </row>
    <row r="679" spans="1:33" ht="12.75" customHeight="1">
      <c r="A679" s="231" t="s">
        <v>2376</v>
      </c>
      <c r="B679" s="69" t="s">
        <v>198</v>
      </c>
      <c r="C679" s="69" t="s">
        <v>137</v>
      </c>
      <c r="D679" s="69" t="s">
        <v>191</v>
      </c>
      <c r="E679" s="69" t="s">
        <v>191</v>
      </c>
      <c r="F679" s="69" t="s">
        <v>168</v>
      </c>
      <c r="G679" s="69" t="s">
        <v>199</v>
      </c>
      <c r="H679" s="69" t="s">
        <v>2417</v>
      </c>
      <c r="I679" s="69">
        <v>1</v>
      </c>
      <c r="J679" s="238">
        <v>0.29204999999999998</v>
      </c>
      <c r="K679" s="238">
        <v>0.18436399478639695</v>
      </c>
      <c r="L679" s="69">
        <v>95.155627725733936</v>
      </c>
      <c r="M679" s="69">
        <v>0</v>
      </c>
      <c r="N679" s="69">
        <v>230.25222000000034</v>
      </c>
      <c r="O679" s="69">
        <v>230.25222000000034</v>
      </c>
      <c r="P679" s="69">
        <v>230.25222000000034</v>
      </c>
      <c r="Q679" s="69">
        <v>230.25222000000034</v>
      </c>
      <c r="R679" s="69">
        <v>230.25222000000034</v>
      </c>
      <c r="S679" s="69">
        <v>230.25222000000034</v>
      </c>
      <c r="T679" s="69">
        <v>230.25222000000034</v>
      </c>
      <c r="U679" s="69">
        <v>230.25222000000034</v>
      </c>
      <c r="V679" s="69">
        <v>230.25222000000034</v>
      </c>
      <c r="W679" s="69">
        <v>230.25222000000034</v>
      </c>
      <c r="X679" s="69">
        <v>230.25222000000034</v>
      </c>
      <c r="Y679" s="69">
        <v>230.25222000000034</v>
      </c>
      <c r="Z679" s="69">
        <v>230.25222000000034</v>
      </c>
      <c r="AA679" s="69">
        <v>230.25222000000034</v>
      </c>
      <c r="AB679" s="69">
        <v>230.25222000000034</v>
      </c>
      <c r="AC679" s="69">
        <v>230.25222000000034</v>
      </c>
      <c r="AD679" s="69">
        <v>230.25222000000034</v>
      </c>
      <c r="AE679" s="69">
        <v>230.25222000000034</v>
      </c>
      <c r="AF679" s="69">
        <v>230.25222000000034</v>
      </c>
      <c r="AG679" s="69">
        <v>230.25222000000034</v>
      </c>
    </row>
    <row r="680" spans="1:33" ht="12.75" customHeight="1">
      <c r="A680" s="231" t="s">
        <v>2376</v>
      </c>
      <c r="B680" s="69" t="s">
        <v>200</v>
      </c>
      <c r="C680" s="69" t="s">
        <v>185</v>
      </c>
      <c r="D680" s="69" t="s">
        <v>193</v>
      </c>
      <c r="E680" s="69" t="s">
        <v>194</v>
      </c>
      <c r="F680" s="69" t="s">
        <v>153</v>
      </c>
      <c r="G680" s="69" t="s">
        <v>201</v>
      </c>
      <c r="H680" s="69" t="s">
        <v>2417</v>
      </c>
      <c r="I680" s="69">
        <v>1</v>
      </c>
      <c r="J680" s="238">
        <v>0.28999999999999998</v>
      </c>
      <c r="K680" s="238">
        <v>0.621244203313703</v>
      </c>
      <c r="L680" s="69">
        <v>144.14559944117298</v>
      </c>
      <c r="M680" s="69">
        <v>0</v>
      </c>
      <c r="N680" s="69">
        <v>0</v>
      </c>
      <c r="O680" s="69">
        <v>0</v>
      </c>
      <c r="P680" s="69">
        <v>0</v>
      </c>
      <c r="Q680" s="69">
        <v>0</v>
      </c>
      <c r="R680" s="69">
        <v>736.71600000000035</v>
      </c>
      <c r="S680" s="69">
        <v>736.71600000000035</v>
      </c>
      <c r="T680" s="69">
        <v>736.71600000000035</v>
      </c>
      <c r="U680" s="69">
        <v>736.71600000000035</v>
      </c>
      <c r="V680" s="69">
        <v>736.71600000000035</v>
      </c>
      <c r="W680" s="69">
        <v>736.71600000000035</v>
      </c>
      <c r="X680" s="69">
        <v>736.71600000000035</v>
      </c>
      <c r="Y680" s="69">
        <v>736.71600000000035</v>
      </c>
      <c r="Z680" s="69">
        <v>736.71600000000035</v>
      </c>
      <c r="AA680" s="69">
        <v>736.71600000000035</v>
      </c>
      <c r="AB680" s="69">
        <v>736.71600000000035</v>
      </c>
      <c r="AC680" s="69">
        <v>736.71600000000035</v>
      </c>
      <c r="AD680" s="69">
        <v>736.71600000000035</v>
      </c>
      <c r="AE680" s="69">
        <v>736.71600000000035</v>
      </c>
      <c r="AF680" s="69">
        <v>736.71600000000035</v>
      </c>
      <c r="AG680" s="69">
        <v>736.71600000000035</v>
      </c>
    </row>
    <row r="681" spans="1:33" ht="12.75" customHeight="1">
      <c r="A681" s="231" t="s">
        <v>2376</v>
      </c>
      <c r="B681" s="69" t="s">
        <v>202</v>
      </c>
      <c r="C681" s="69" t="s">
        <v>185</v>
      </c>
      <c r="D681" s="69" t="s">
        <v>193</v>
      </c>
      <c r="E681" s="69" t="s">
        <v>203</v>
      </c>
      <c r="F681" s="69" t="s">
        <v>167</v>
      </c>
      <c r="G681" s="69" t="s">
        <v>192</v>
      </c>
      <c r="H681" s="69" t="s">
        <v>805</v>
      </c>
      <c r="I681" s="69">
        <v>1</v>
      </c>
      <c r="J681" s="238">
        <v>0.26649999999999996</v>
      </c>
      <c r="K681" s="238">
        <v>0.65</v>
      </c>
      <c r="L681" s="69">
        <v>173.91260768823273</v>
      </c>
      <c r="M681" s="69">
        <v>0</v>
      </c>
      <c r="N681" s="69">
        <v>0</v>
      </c>
      <c r="O681" s="69">
        <v>0</v>
      </c>
      <c r="P681" s="69">
        <v>0</v>
      </c>
      <c r="Q681" s="69">
        <v>116.72700000000079</v>
      </c>
      <c r="R681" s="69">
        <v>116.72700000000079</v>
      </c>
      <c r="S681" s="69">
        <v>116.72700000000079</v>
      </c>
      <c r="T681" s="69">
        <v>116.72700000000079</v>
      </c>
      <c r="U681" s="69">
        <v>116.72700000000079</v>
      </c>
      <c r="V681" s="69">
        <v>116.72700000000079</v>
      </c>
      <c r="W681" s="69">
        <v>116.72700000000079</v>
      </c>
      <c r="X681" s="69">
        <v>116.72700000000079</v>
      </c>
      <c r="Y681" s="69">
        <v>116.72700000000079</v>
      </c>
      <c r="Z681" s="69">
        <v>116.72700000000079</v>
      </c>
      <c r="AA681" s="69">
        <v>116.72700000000079</v>
      </c>
      <c r="AB681" s="69">
        <v>116.72700000000079</v>
      </c>
      <c r="AC681" s="69">
        <v>116.72700000000079</v>
      </c>
      <c r="AD681" s="69">
        <v>116.72700000000079</v>
      </c>
      <c r="AE681" s="69">
        <v>116.72700000000079</v>
      </c>
      <c r="AF681" s="69">
        <v>116.72700000000079</v>
      </c>
      <c r="AG681" s="69">
        <v>116.72700000000079</v>
      </c>
    </row>
    <row r="682" spans="1:33" ht="12.75" customHeight="1">
      <c r="A682" s="231" t="s">
        <v>2376</v>
      </c>
      <c r="B682" s="69" t="s">
        <v>204</v>
      </c>
      <c r="C682" s="69" t="s">
        <v>185</v>
      </c>
      <c r="D682" s="69" t="s">
        <v>205</v>
      </c>
      <c r="E682" s="69" t="s">
        <v>194</v>
      </c>
      <c r="F682" s="69" t="s">
        <v>175</v>
      </c>
      <c r="G682" s="69" t="s">
        <v>192</v>
      </c>
      <c r="H682" s="69" t="s">
        <v>804</v>
      </c>
      <c r="I682" s="69">
        <v>1</v>
      </c>
      <c r="J682" s="238">
        <v>0.26624999999999999</v>
      </c>
      <c r="K682" s="238">
        <v>0.50027165852802347</v>
      </c>
      <c r="L682" s="69">
        <v>147.69233230629843</v>
      </c>
      <c r="M682" s="69">
        <v>0</v>
      </c>
      <c r="N682" s="69">
        <v>0</v>
      </c>
      <c r="O682" s="69">
        <v>0</v>
      </c>
      <c r="P682" s="69">
        <v>0</v>
      </c>
      <c r="Q682" s="69">
        <v>0</v>
      </c>
      <c r="R682" s="69">
        <v>0</v>
      </c>
      <c r="S682" s="69">
        <v>699.70499999999993</v>
      </c>
      <c r="T682" s="69">
        <v>699.70499999999993</v>
      </c>
      <c r="U682" s="69">
        <v>699.70499999999993</v>
      </c>
      <c r="V682" s="69">
        <v>699.70499999999993</v>
      </c>
      <c r="W682" s="69">
        <v>699.70499999999993</v>
      </c>
      <c r="X682" s="69">
        <v>699.70499999999993</v>
      </c>
      <c r="Y682" s="69">
        <v>699.70499999999993</v>
      </c>
      <c r="Z682" s="69">
        <v>699.70499999999993</v>
      </c>
      <c r="AA682" s="69">
        <v>699.70499999999993</v>
      </c>
      <c r="AB682" s="69">
        <v>699.70499999999993</v>
      </c>
      <c r="AC682" s="69">
        <v>699.70499999999993</v>
      </c>
      <c r="AD682" s="69">
        <v>699.70499999999993</v>
      </c>
      <c r="AE682" s="69">
        <v>699.70499999999993</v>
      </c>
      <c r="AF682" s="69">
        <v>699.70499999999993</v>
      </c>
      <c r="AG682" s="69">
        <v>699.70499999999993</v>
      </c>
    </row>
    <row r="683" spans="1:33" ht="12.75" customHeight="1">
      <c r="A683" s="231" t="s">
        <v>2376</v>
      </c>
      <c r="B683" s="69" t="s">
        <v>206</v>
      </c>
      <c r="C683" s="69" t="s">
        <v>185</v>
      </c>
      <c r="D683" s="69" t="s">
        <v>193</v>
      </c>
      <c r="E683" s="69" t="s">
        <v>203</v>
      </c>
      <c r="F683" s="69" t="s">
        <v>155</v>
      </c>
      <c r="G683" s="69" t="s">
        <v>192</v>
      </c>
      <c r="H683" s="69" t="s">
        <v>805</v>
      </c>
      <c r="I683" s="69">
        <v>1</v>
      </c>
      <c r="J683" s="238">
        <v>0.26649999999999996</v>
      </c>
      <c r="K683" s="238">
        <v>0.63277303047366895</v>
      </c>
      <c r="L683" s="69">
        <v>173.91260768823275</v>
      </c>
      <c r="M683" s="69">
        <v>0</v>
      </c>
      <c r="N683" s="69">
        <v>0</v>
      </c>
      <c r="O683" s="69">
        <v>0</v>
      </c>
      <c r="P683" s="69">
        <v>0</v>
      </c>
      <c r="Q683" s="69">
        <v>0</v>
      </c>
      <c r="R683" s="69">
        <v>0</v>
      </c>
      <c r="S683" s="69">
        <v>93.38159999999985</v>
      </c>
      <c r="T683" s="69">
        <v>93.38159999999985</v>
      </c>
      <c r="U683" s="69">
        <v>93.38159999999985</v>
      </c>
      <c r="V683" s="69">
        <v>93.38159999999985</v>
      </c>
      <c r="W683" s="69">
        <v>93.38159999999985</v>
      </c>
      <c r="X683" s="69">
        <v>93.38159999999985</v>
      </c>
      <c r="Y683" s="69">
        <v>93.38159999999985</v>
      </c>
      <c r="Z683" s="69">
        <v>93.38159999999985</v>
      </c>
      <c r="AA683" s="69">
        <v>93.38159999999985</v>
      </c>
      <c r="AB683" s="69">
        <v>93.38159999999985</v>
      </c>
      <c r="AC683" s="69">
        <v>93.38159999999985</v>
      </c>
      <c r="AD683" s="69">
        <v>93.38159999999985</v>
      </c>
      <c r="AE683" s="69">
        <v>93.38159999999985</v>
      </c>
      <c r="AF683" s="69">
        <v>93.38159999999985</v>
      </c>
      <c r="AG683" s="69">
        <v>93.38159999999985</v>
      </c>
    </row>
    <row r="684" spans="1:33" ht="12.75" customHeight="1">
      <c r="A684" s="231" t="s">
        <v>2376</v>
      </c>
      <c r="B684" s="69" t="s">
        <v>207</v>
      </c>
      <c r="C684" s="69" t="s">
        <v>139</v>
      </c>
      <c r="D684" s="69" t="s">
        <v>191</v>
      </c>
      <c r="E684" s="69" t="s">
        <v>191</v>
      </c>
      <c r="F684" s="69" t="s">
        <v>167</v>
      </c>
      <c r="G684" s="69" t="s">
        <v>192</v>
      </c>
      <c r="H684" s="69" t="s">
        <v>805</v>
      </c>
      <c r="I684" s="69">
        <v>1</v>
      </c>
      <c r="J684" s="238">
        <v>0.85</v>
      </c>
      <c r="K684" s="238">
        <v>0.66</v>
      </c>
      <c r="L684" s="69">
        <v>127.99027888971092</v>
      </c>
      <c r="M684" s="69">
        <v>0</v>
      </c>
      <c r="N684" s="69">
        <v>0</v>
      </c>
      <c r="O684" s="69">
        <v>0</v>
      </c>
      <c r="P684" s="69">
        <v>0</v>
      </c>
      <c r="Q684" s="69">
        <v>335.06999999999971</v>
      </c>
      <c r="R684" s="69">
        <v>335.06999999999971</v>
      </c>
      <c r="S684" s="69">
        <v>335.06999999999971</v>
      </c>
      <c r="T684" s="69">
        <v>335.06999999999971</v>
      </c>
      <c r="U684" s="69">
        <v>335.06999999999971</v>
      </c>
      <c r="V684" s="69">
        <v>335.06999999999971</v>
      </c>
      <c r="W684" s="69">
        <v>335.06999999999971</v>
      </c>
      <c r="X684" s="69">
        <v>335.06999999999971</v>
      </c>
      <c r="Y684" s="69">
        <v>335.06999999999971</v>
      </c>
      <c r="Z684" s="69">
        <v>335.06999999999971</v>
      </c>
      <c r="AA684" s="69">
        <v>335.06999999999971</v>
      </c>
      <c r="AB684" s="69">
        <v>335.06999999999971</v>
      </c>
      <c r="AC684" s="69">
        <v>335.06999999999971</v>
      </c>
      <c r="AD684" s="69">
        <v>335.06999999999971</v>
      </c>
      <c r="AE684" s="69">
        <v>335.06999999999971</v>
      </c>
      <c r="AF684" s="69">
        <v>335.06999999999971</v>
      </c>
      <c r="AG684" s="69">
        <v>335.06999999999971</v>
      </c>
    </row>
    <row r="685" spans="1:33" ht="12.75" customHeight="1">
      <c r="A685" s="231" t="s">
        <v>2376</v>
      </c>
      <c r="B685" s="69" t="s">
        <v>208</v>
      </c>
      <c r="C685" s="69" t="s">
        <v>187</v>
      </c>
      <c r="D685" s="69" t="s">
        <v>209</v>
      </c>
      <c r="E685" s="69" t="s">
        <v>191</v>
      </c>
      <c r="F685" s="69" t="s">
        <v>167</v>
      </c>
      <c r="G685" s="69" t="s">
        <v>192</v>
      </c>
      <c r="H685" s="69" t="s">
        <v>804</v>
      </c>
      <c r="I685" s="69">
        <v>1</v>
      </c>
      <c r="J685" s="238">
        <v>0.36</v>
      </c>
      <c r="K685" s="238">
        <v>1</v>
      </c>
      <c r="L685" s="69">
        <v>191.5297352118086</v>
      </c>
      <c r="M685" s="69">
        <v>0</v>
      </c>
      <c r="N685" s="69">
        <v>0</v>
      </c>
      <c r="O685" s="69">
        <v>0</v>
      </c>
      <c r="P685" s="69">
        <v>0</v>
      </c>
      <c r="Q685" s="69">
        <v>473.04000000000093</v>
      </c>
      <c r="R685" s="69">
        <v>473.04000000000093</v>
      </c>
      <c r="S685" s="69">
        <v>473.04000000000093</v>
      </c>
      <c r="T685" s="69">
        <v>473.04000000000093</v>
      </c>
      <c r="U685" s="69">
        <v>473.04000000000093</v>
      </c>
      <c r="V685" s="69">
        <v>473.04000000000093</v>
      </c>
      <c r="W685" s="69">
        <v>473.04000000000093</v>
      </c>
      <c r="X685" s="69">
        <v>473.04000000000093</v>
      </c>
      <c r="Y685" s="69">
        <v>473.04000000000093</v>
      </c>
      <c r="Z685" s="69">
        <v>473.04000000000093</v>
      </c>
      <c r="AA685" s="69">
        <v>473.04000000000093</v>
      </c>
      <c r="AB685" s="69">
        <v>473.04000000000093</v>
      </c>
      <c r="AC685" s="69">
        <v>473.04000000000093</v>
      </c>
      <c r="AD685" s="69">
        <v>473.04000000000093</v>
      </c>
      <c r="AE685" s="69">
        <v>473.04000000000093</v>
      </c>
      <c r="AF685" s="69">
        <v>473.04000000000093</v>
      </c>
      <c r="AG685" s="69">
        <v>473.04000000000093</v>
      </c>
    </row>
    <row r="686" spans="1:33" ht="12.75" customHeight="1">
      <c r="A686" s="231" t="s">
        <v>2376</v>
      </c>
      <c r="B686" s="69" t="s">
        <v>211</v>
      </c>
      <c r="C686" s="69" t="s">
        <v>184</v>
      </c>
      <c r="D686" s="69" t="s">
        <v>140</v>
      </c>
      <c r="E686" s="69" t="s">
        <v>191</v>
      </c>
      <c r="F686" s="69" t="s">
        <v>167</v>
      </c>
      <c r="G686" s="69" t="s">
        <v>192</v>
      </c>
      <c r="H686" s="69" t="s">
        <v>804</v>
      </c>
      <c r="I686" s="69">
        <v>1</v>
      </c>
      <c r="J686" s="238">
        <v>0.8</v>
      </c>
      <c r="K686" s="238">
        <v>0</v>
      </c>
      <c r="L686" s="69">
        <v>114.19797366361543</v>
      </c>
      <c r="M686" s="69">
        <v>0</v>
      </c>
      <c r="N686" s="69">
        <v>0</v>
      </c>
      <c r="O686" s="69">
        <v>0</v>
      </c>
      <c r="P686" s="69">
        <v>0</v>
      </c>
      <c r="Q686" s="69">
        <v>0</v>
      </c>
      <c r="R686" s="69">
        <v>70.079999999999927</v>
      </c>
      <c r="S686" s="69">
        <v>70.079999999999927</v>
      </c>
      <c r="T686" s="69">
        <v>70.079999999999927</v>
      </c>
      <c r="U686" s="69">
        <v>70.079999999999927</v>
      </c>
      <c r="V686" s="69">
        <v>70.079999999999927</v>
      </c>
      <c r="W686" s="69">
        <v>70.079999999999927</v>
      </c>
      <c r="X686" s="69">
        <v>70.079999999999927</v>
      </c>
      <c r="Y686" s="69">
        <v>70.079999999999927</v>
      </c>
      <c r="Z686" s="69">
        <v>70.079999999999927</v>
      </c>
      <c r="AA686" s="69">
        <v>70.079999999999927</v>
      </c>
      <c r="AB686" s="69">
        <v>70.079999999999927</v>
      </c>
      <c r="AC686" s="69">
        <v>70.079999999999927</v>
      </c>
      <c r="AD686" s="69">
        <v>70.079999999999927</v>
      </c>
      <c r="AE686" s="69">
        <v>70.079999999999927</v>
      </c>
      <c r="AF686" s="69">
        <v>70.079999999999927</v>
      </c>
      <c r="AG686" s="69">
        <v>70.079999999999927</v>
      </c>
    </row>
    <row r="687" spans="1:33" ht="12.75" customHeight="1">
      <c r="A687" s="231" t="s">
        <v>2376</v>
      </c>
      <c r="B687" s="69" t="s">
        <v>212</v>
      </c>
      <c r="C687" s="69" t="s">
        <v>137</v>
      </c>
      <c r="D687" s="69" t="s">
        <v>191</v>
      </c>
      <c r="E687" s="69" t="s">
        <v>213</v>
      </c>
      <c r="F687" s="69" t="s">
        <v>152</v>
      </c>
      <c r="G687" s="69" t="s">
        <v>214</v>
      </c>
      <c r="H687" s="69" t="s">
        <v>2417</v>
      </c>
      <c r="I687" s="69">
        <v>1</v>
      </c>
      <c r="J687" s="238">
        <v>0.312</v>
      </c>
      <c r="K687" s="238">
        <v>0.17064699981121567</v>
      </c>
      <c r="L687" s="69">
        <v>118.33197577111784</v>
      </c>
      <c r="M687" s="69">
        <v>0</v>
      </c>
      <c r="N687" s="69">
        <v>0</v>
      </c>
      <c r="O687" s="69">
        <v>409.96800000000076</v>
      </c>
      <c r="P687" s="69">
        <v>409.96800000000076</v>
      </c>
      <c r="Q687" s="69">
        <v>409.96800000000076</v>
      </c>
      <c r="R687" s="69">
        <v>409.96800000000076</v>
      </c>
      <c r="S687" s="69">
        <v>409.96800000000076</v>
      </c>
      <c r="T687" s="69">
        <v>409.96800000000076</v>
      </c>
      <c r="U687" s="69">
        <v>409.96800000000076</v>
      </c>
      <c r="V687" s="69">
        <v>409.96800000000076</v>
      </c>
      <c r="W687" s="69">
        <v>409.96800000000076</v>
      </c>
      <c r="X687" s="69">
        <v>409.96800000000076</v>
      </c>
      <c r="Y687" s="69">
        <v>409.96800000000076</v>
      </c>
      <c r="Z687" s="69">
        <v>409.96800000000076</v>
      </c>
      <c r="AA687" s="69">
        <v>409.96800000000076</v>
      </c>
      <c r="AB687" s="69">
        <v>409.96800000000076</v>
      </c>
      <c r="AC687" s="69">
        <v>409.96800000000076</v>
      </c>
      <c r="AD687" s="69">
        <v>409.96800000000076</v>
      </c>
      <c r="AE687" s="69">
        <v>409.96800000000076</v>
      </c>
      <c r="AF687" s="69">
        <v>409.96800000000076</v>
      </c>
      <c r="AG687" s="69">
        <v>409.96800000000076</v>
      </c>
    </row>
    <row r="688" spans="1:33" ht="12.75" customHeight="1">
      <c r="A688" s="231" t="s">
        <v>2376</v>
      </c>
      <c r="B688" s="69" t="s">
        <v>215</v>
      </c>
      <c r="C688" s="69" t="s">
        <v>137</v>
      </c>
      <c r="D688" s="69" t="s">
        <v>191</v>
      </c>
      <c r="E688" s="69" t="s">
        <v>213</v>
      </c>
      <c r="F688" s="69" t="s">
        <v>152</v>
      </c>
      <c r="G688" s="69" t="s">
        <v>214</v>
      </c>
      <c r="H688" s="69" t="s">
        <v>2417</v>
      </c>
      <c r="I688" s="69">
        <v>1</v>
      </c>
      <c r="J688" s="238">
        <v>0.312</v>
      </c>
      <c r="K688" s="238">
        <v>0.17064699981121567</v>
      </c>
      <c r="L688" s="69">
        <v>118.33197577111784</v>
      </c>
      <c r="M688" s="69">
        <v>0</v>
      </c>
      <c r="N688" s="69">
        <v>0</v>
      </c>
      <c r="O688" s="69">
        <v>0</v>
      </c>
      <c r="P688" s="69">
        <v>409.96800000000076</v>
      </c>
      <c r="Q688" s="69">
        <v>409.96800000000076</v>
      </c>
      <c r="R688" s="69">
        <v>409.96800000000076</v>
      </c>
      <c r="S688" s="69">
        <v>409.96800000000076</v>
      </c>
      <c r="T688" s="69">
        <v>409.96800000000076</v>
      </c>
      <c r="U688" s="69">
        <v>409.96800000000076</v>
      </c>
      <c r="V688" s="69">
        <v>409.96800000000076</v>
      </c>
      <c r="W688" s="69">
        <v>409.96800000000076</v>
      </c>
      <c r="X688" s="69">
        <v>409.96800000000076</v>
      </c>
      <c r="Y688" s="69">
        <v>409.96800000000076</v>
      </c>
      <c r="Z688" s="69">
        <v>409.96800000000076</v>
      </c>
      <c r="AA688" s="69">
        <v>409.96800000000076</v>
      </c>
      <c r="AB688" s="69">
        <v>409.96800000000076</v>
      </c>
      <c r="AC688" s="69">
        <v>409.96800000000076</v>
      </c>
      <c r="AD688" s="69">
        <v>409.96800000000076</v>
      </c>
      <c r="AE688" s="69">
        <v>409.96800000000076</v>
      </c>
      <c r="AF688" s="69">
        <v>409.96800000000076</v>
      </c>
      <c r="AG688" s="69">
        <v>409.96800000000076</v>
      </c>
    </row>
    <row r="689" spans="1:33" ht="12.75" customHeight="1">
      <c r="A689" s="231" t="s">
        <v>2376</v>
      </c>
      <c r="B689" s="69" t="s">
        <v>216</v>
      </c>
      <c r="C689" s="69" t="s">
        <v>137</v>
      </c>
      <c r="D689" s="69" t="s">
        <v>191</v>
      </c>
      <c r="E689" s="69" t="s">
        <v>213</v>
      </c>
      <c r="F689" s="69" t="s">
        <v>152</v>
      </c>
      <c r="G689" s="69" t="s">
        <v>214</v>
      </c>
      <c r="H689" s="69" t="s">
        <v>2417</v>
      </c>
      <c r="I689" s="69">
        <v>1</v>
      </c>
      <c r="J689" s="238">
        <v>0.312</v>
      </c>
      <c r="K689" s="238">
        <v>0.17064699981121567</v>
      </c>
      <c r="L689" s="69">
        <v>118.33197577111784</v>
      </c>
      <c r="M689" s="69">
        <v>0</v>
      </c>
      <c r="N689" s="69">
        <v>0</v>
      </c>
      <c r="O689" s="69">
        <v>0</v>
      </c>
      <c r="P689" s="69">
        <v>409.96800000000076</v>
      </c>
      <c r="Q689" s="69">
        <v>409.96800000000076</v>
      </c>
      <c r="R689" s="69">
        <v>409.96800000000076</v>
      </c>
      <c r="S689" s="69">
        <v>409.96800000000076</v>
      </c>
      <c r="T689" s="69">
        <v>409.96800000000076</v>
      </c>
      <c r="U689" s="69">
        <v>409.96800000000076</v>
      </c>
      <c r="V689" s="69">
        <v>409.96800000000076</v>
      </c>
      <c r="W689" s="69">
        <v>409.96800000000076</v>
      </c>
      <c r="X689" s="69">
        <v>409.96800000000076</v>
      </c>
      <c r="Y689" s="69">
        <v>409.96800000000076</v>
      </c>
      <c r="Z689" s="69">
        <v>409.96800000000076</v>
      </c>
      <c r="AA689" s="69">
        <v>409.96800000000076</v>
      </c>
      <c r="AB689" s="69">
        <v>409.96800000000076</v>
      </c>
      <c r="AC689" s="69">
        <v>409.96800000000076</v>
      </c>
      <c r="AD689" s="69">
        <v>409.96800000000076</v>
      </c>
      <c r="AE689" s="69">
        <v>409.96800000000076</v>
      </c>
      <c r="AF689" s="69">
        <v>409.96800000000076</v>
      </c>
      <c r="AG689" s="69">
        <v>409.96800000000076</v>
      </c>
    </row>
    <row r="690" spans="1:33" ht="12.75" customHeight="1">
      <c r="A690" s="231" t="s">
        <v>2376</v>
      </c>
      <c r="B690" s="69" t="s">
        <v>217</v>
      </c>
      <c r="C690" s="69" t="s">
        <v>186</v>
      </c>
      <c r="D690" s="69" t="s">
        <v>218</v>
      </c>
      <c r="E690" s="69" t="s">
        <v>203</v>
      </c>
      <c r="F690" s="69" t="s">
        <v>157</v>
      </c>
      <c r="G690" s="69" t="s">
        <v>192</v>
      </c>
      <c r="H690" s="69" t="s">
        <v>805</v>
      </c>
      <c r="I690" s="69">
        <v>1</v>
      </c>
      <c r="J690" s="238">
        <v>0.23561922263058244</v>
      </c>
      <c r="K690" s="238">
        <v>0</v>
      </c>
      <c r="L690" s="69">
        <v>200.17205317577552</v>
      </c>
      <c r="M690" s="69">
        <v>-4.8449039881831615</v>
      </c>
      <c r="N690" s="69">
        <v>0</v>
      </c>
      <c r="O690" s="69">
        <v>0</v>
      </c>
      <c r="P690" s="69">
        <v>41.280487804877339</v>
      </c>
      <c r="Q690" s="69">
        <v>41.280487804877339</v>
      </c>
      <c r="R690" s="69">
        <v>41.280487804877339</v>
      </c>
      <c r="S690" s="69">
        <v>41.280487804877339</v>
      </c>
      <c r="T690" s="69">
        <v>41.280487804877339</v>
      </c>
      <c r="U690" s="69">
        <v>41.280487804877339</v>
      </c>
      <c r="V690" s="69">
        <v>41.280487804877339</v>
      </c>
      <c r="W690" s="69">
        <v>41.280487804877339</v>
      </c>
      <c r="X690" s="69">
        <v>41.280487804877339</v>
      </c>
      <c r="Y690" s="69">
        <v>41.280487804877339</v>
      </c>
      <c r="Z690" s="69">
        <v>41.280487804877339</v>
      </c>
      <c r="AA690" s="69">
        <v>41.280487804877339</v>
      </c>
      <c r="AB690" s="69">
        <v>41.280487804877339</v>
      </c>
      <c r="AC690" s="69">
        <v>41.280487804877339</v>
      </c>
      <c r="AD690" s="69">
        <v>41.280487804877339</v>
      </c>
      <c r="AE690" s="69">
        <v>41.280487804877339</v>
      </c>
      <c r="AF690" s="69">
        <v>41.280487804877339</v>
      </c>
      <c r="AG690" s="69">
        <v>41.280487804877339</v>
      </c>
    </row>
    <row r="691" spans="1:33" ht="12.75" customHeight="1">
      <c r="A691" s="231" t="s">
        <v>2376</v>
      </c>
      <c r="B691" s="69" t="s">
        <v>219</v>
      </c>
      <c r="C691" s="69" t="s">
        <v>186</v>
      </c>
      <c r="D691" s="69" t="s">
        <v>218</v>
      </c>
      <c r="E691" s="69" t="s">
        <v>203</v>
      </c>
      <c r="F691" s="69" t="s">
        <v>157</v>
      </c>
      <c r="G691" s="69" t="s">
        <v>192</v>
      </c>
      <c r="H691" s="69" t="s">
        <v>805</v>
      </c>
      <c r="I691" s="69">
        <v>1</v>
      </c>
      <c r="J691" s="238">
        <v>0.23561922263058244</v>
      </c>
      <c r="K691" s="238">
        <v>0</v>
      </c>
      <c r="L691" s="69">
        <v>200.17205317577552</v>
      </c>
      <c r="M691" s="69">
        <v>-4.8449039881831615</v>
      </c>
      <c r="N691" s="69">
        <v>0</v>
      </c>
      <c r="O691" s="69">
        <v>0</v>
      </c>
      <c r="P691" s="69">
        <v>41.280487804877339</v>
      </c>
      <c r="Q691" s="69">
        <v>41.280487804877339</v>
      </c>
      <c r="R691" s="69">
        <v>41.280487804877339</v>
      </c>
      <c r="S691" s="69">
        <v>41.280487804877339</v>
      </c>
      <c r="T691" s="69">
        <v>41.280487804877339</v>
      </c>
      <c r="U691" s="69">
        <v>41.280487804877339</v>
      </c>
      <c r="V691" s="69">
        <v>41.280487804877339</v>
      </c>
      <c r="W691" s="69">
        <v>41.280487804877339</v>
      </c>
      <c r="X691" s="69">
        <v>41.280487804877339</v>
      </c>
      <c r="Y691" s="69">
        <v>41.280487804877339</v>
      </c>
      <c r="Z691" s="69">
        <v>41.280487804877339</v>
      </c>
      <c r="AA691" s="69">
        <v>41.280487804877339</v>
      </c>
      <c r="AB691" s="69">
        <v>41.280487804877339</v>
      </c>
      <c r="AC691" s="69">
        <v>41.280487804877339</v>
      </c>
      <c r="AD691" s="69">
        <v>41.280487804877339</v>
      </c>
      <c r="AE691" s="69">
        <v>41.280487804877339</v>
      </c>
      <c r="AF691" s="69">
        <v>41.280487804877339</v>
      </c>
      <c r="AG691" s="69">
        <v>41.280487804877339</v>
      </c>
    </row>
    <row r="692" spans="1:33" ht="12.75" customHeight="1">
      <c r="A692" s="231" t="s">
        <v>2376</v>
      </c>
      <c r="B692" s="69" t="s">
        <v>220</v>
      </c>
      <c r="C692" s="69" t="s">
        <v>186</v>
      </c>
      <c r="D692" s="69" t="s">
        <v>218</v>
      </c>
      <c r="E692" s="69" t="s">
        <v>203</v>
      </c>
      <c r="F692" s="69" t="s">
        <v>157</v>
      </c>
      <c r="G692" s="69" t="s">
        <v>192</v>
      </c>
      <c r="H692" s="69" t="s">
        <v>805</v>
      </c>
      <c r="I692" s="69">
        <v>1</v>
      </c>
      <c r="J692" s="238">
        <v>0.23561922263058244</v>
      </c>
      <c r="K692" s="238">
        <v>0</v>
      </c>
      <c r="L692" s="69">
        <v>200.17205317577552</v>
      </c>
      <c r="M692" s="69">
        <v>-4.8449039881831615</v>
      </c>
      <c r="N692" s="69">
        <v>0</v>
      </c>
      <c r="O692" s="69">
        <v>0</v>
      </c>
      <c r="P692" s="69">
        <v>41.280487804877339</v>
      </c>
      <c r="Q692" s="69">
        <v>41.280487804877339</v>
      </c>
      <c r="R692" s="69">
        <v>41.280487804877339</v>
      </c>
      <c r="S692" s="69">
        <v>41.280487804877339</v>
      </c>
      <c r="T692" s="69">
        <v>41.280487804877339</v>
      </c>
      <c r="U692" s="69">
        <v>41.280487804877339</v>
      </c>
      <c r="V692" s="69">
        <v>41.280487804877339</v>
      </c>
      <c r="W692" s="69">
        <v>41.280487804877339</v>
      </c>
      <c r="X692" s="69">
        <v>41.280487804877339</v>
      </c>
      <c r="Y692" s="69">
        <v>41.280487804877339</v>
      </c>
      <c r="Z692" s="69">
        <v>41.280487804877339</v>
      </c>
      <c r="AA692" s="69">
        <v>41.280487804877339</v>
      </c>
      <c r="AB692" s="69">
        <v>41.280487804877339</v>
      </c>
      <c r="AC692" s="69">
        <v>41.280487804877339</v>
      </c>
      <c r="AD692" s="69">
        <v>41.280487804877339</v>
      </c>
      <c r="AE692" s="69">
        <v>41.280487804877339</v>
      </c>
      <c r="AF692" s="69">
        <v>41.280487804877339</v>
      </c>
      <c r="AG692" s="69">
        <v>41.280487804877339</v>
      </c>
    </row>
    <row r="693" spans="1:33" ht="12.75" customHeight="1">
      <c r="A693" s="231" t="s">
        <v>2376</v>
      </c>
      <c r="B693" s="69" t="s">
        <v>221</v>
      </c>
      <c r="C693" s="69" t="s">
        <v>186</v>
      </c>
      <c r="D693" s="69" t="s">
        <v>218</v>
      </c>
      <c r="E693" s="69" t="s">
        <v>203</v>
      </c>
      <c r="F693" s="69" t="s">
        <v>157</v>
      </c>
      <c r="G693" s="69" t="s">
        <v>192</v>
      </c>
      <c r="H693" s="69" t="s">
        <v>805</v>
      </c>
      <c r="I693" s="69">
        <v>1</v>
      </c>
      <c r="J693" s="238">
        <v>0.23561922263058244</v>
      </c>
      <c r="K693" s="238">
        <v>0</v>
      </c>
      <c r="L693" s="69">
        <v>200.17205317577552</v>
      </c>
      <c r="M693" s="69">
        <v>-4.8449039881831615</v>
      </c>
      <c r="N693" s="69">
        <v>0</v>
      </c>
      <c r="O693" s="69">
        <v>0</v>
      </c>
      <c r="P693" s="69">
        <v>41.280487804877339</v>
      </c>
      <c r="Q693" s="69">
        <v>41.280487804877339</v>
      </c>
      <c r="R693" s="69">
        <v>41.280487804877339</v>
      </c>
      <c r="S693" s="69">
        <v>41.280487804877339</v>
      </c>
      <c r="T693" s="69">
        <v>41.280487804877339</v>
      </c>
      <c r="U693" s="69">
        <v>41.280487804877339</v>
      </c>
      <c r="V693" s="69">
        <v>41.280487804877339</v>
      </c>
      <c r="W693" s="69">
        <v>41.280487804877339</v>
      </c>
      <c r="X693" s="69">
        <v>41.280487804877339</v>
      </c>
      <c r="Y693" s="69">
        <v>41.280487804877339</v>
      </c>
      <c r="Z693" s="69">
        <v>41.280487804877339</v>
      </c>
      <c r="AA693" s="69">
        <v>41.280487804877339</v>
      </c>
      <c r="AB693" s="69">
        <v>41.280487804877339</v>
      </c>
      <c r="AC693" s="69">
        <v>41.280487804877339</v>
      </c>
      <c r="AD693" s="69">
        <v>41.280487804877339</v>
      </c>
      <c r="AE693" s="69">
        <v>41.280487804877339</v>
      </c>
      <c r="AF693" s="69">
        <v>41.280487804877339</v>
      </c>
      <c r="AG693" s="69">
        <v>41.280487804877339</v>
      </c>
    </row>
    <row r="694" spans="1:33" ht="12.75" customHeight="1">
      <c r="A694" s="231" t="s">
        <v>2376</v>
      </c>
      <c r="B694" s="69" t="s">
        <v>222</v>
      </c>
      <c r="C694" s="69" t="s">
        <v>186</v>
      </c>
      <c r="D694" s="69" t="s">
        <v>218</v>
      </c>
      <c r="E694" s="69" t="s">
        <v>203</v>
      </c>
      <c r="F694" s="69" t="s">
        <v>157</v>
      </c>
      <c r="G694" s="69" t="s">
        <v>192</v>
      </c>
      <c r="H694" s="69" t="s">
        <v>805</v>
      </c>
      <c r="I694" s="69">
        <v>1</v>
      </c>
      <c r="J694" s="238">
        <v>0.23561922263058249</v>
      </c>
      <c r="K694" s="238">
        <v>0</v>
      </c>
      <c r="L694" s="69">
        <v>200.17205317577549</v>
      </c>
      <c r="M694" s="69">
        <v>-4.8449039881831615</v>
      </c>
      <c r="N694" s="69">
        <v>0</v>
      </c>
      <c r="O694" s="69">
        <v>18.576219512193347</v>
      </c>
      <c r="P694" s="69">
        <v>18.576219512193347</v>
      </c>
      <c r="Q694" s="69">
        <v>18.576219512193347</v>
      </c>
      <c r="R694" s="69">
        <v>18.576219512193347</v>
      </c>
      <c r="S694" s="69">
        <v>18.576219512193347</v>
      </c>
      <c r="T694" s="69">
        <v>18.576219512193347</v>
      </c>
      <c r="U694" s="69">
        <v>18.576219512193347</v>
      </c>
      <c r="V694" s="69">
        <v>18.576219512193347</v>
      </c>
      <c r="W694" s="69">
        <v>18.576219512193347</v>
      </c>
      <c r="X694" s="69">
        <v>18.576219512193347</v>
      </c>
      <c r="Y694" s="69">
        <v>18.576219512193347</v>
      </c>
      <c r="Z694" s="69">
        <v>18.576219512193347</v>
      </c>
      <c r="AA694" s="69">
        <v>18.576219512193347</v>
      </c>
      <c r="AB694" s="69">
        <v>18.576219512193347</v>
      </c>
      <c r="AC694" s="69">
        <v>18.576219512193347</v>
      </c>
      <c r="AD694" s="69">
        <v>18.576219512193347</v>
      </c>
      <c r="AE694" s="69">
        <v>18.576219512193347</v>
      </c>
      <c r="AF694" s="69">
        <v>18.576219512193347</v>
      </c>
      <c r="AG694" s="69">
        <v>18.576219512193347</v>
      </c>
    </row>
    <row r="695" spans="1:33" ht="12.75" customHeight="1">
      <c r="A695" s="231" t="s">
        <v>2376</v>
      </c>
      <c r="B695" s="69" t="s">
        <v>223</v>
      </c>
      <c r="C695" s="69" t="s">
        <v>186</v>
      </c>
      <c r="D695" s="69" t="s">
        <v>218</v>
      </c>
      <c r="E695" s="69" t="s">
        <v>203</v>
      </c>
      <c r="F695" s="69" t="s">
        <v>157</v>
      </c>
      <c r="G695" s="69" t="s">
        <v>192</v>
      </c>
      <c r="H695" s="69" t="s">
        <v>805</v>
      </c>
      <c r="I695" s="69">
        <v>1</v>
      </c>
      <c r="J695" s="238">
        <v>0.23561922263058244</v>
      </c>
      <c r="K695" s="238">
        <v>0</v>
      </c>
      <c r="L695" s="69">
        <v>200.17205317577552</v>
      </c>
      <c r="M695" s="69">
        <v>-4.8449039881831615</v>
      </c>
      <c r="N695" s="69">
        <v>0</v>
      </c>
      <c r="O695" s="69">
        <v>41.280487804877339</v>
      </c>
      <c r="P695" s="69">
        <v>41.280487804877339</v>
      </c>
      <c r="Q695" s="69">
        <v>41.280487804877339</v>
      </c>
      <c r="R695" s="69">
        <v>41.280487804877339</v>
      </c>
      <c r="S695" s="69">
        <v>41.280487804877339</v>
      </c>
      <c r="T695" s="69">
        <v>41.280487804877339</v>
      </c>
      <c r="U695" s="69">
        <v>41.280487804877339</v>
      </c>
      <c r="V695" s="69">
        <v>41.280487804877339</v>
      </c>
      <c r="W695" s="69">
        <v>41.280487804877339</v>
      </c>
      <c r="X695" s="69">
        <v>41.280487804877339</v>
      </c>
      <c r="Y695" s="69">
        <v>41.280487804877339</v>
      </c>
      <c r="Z695" s="69">
        <v>41.280487804877339</v>
      </c>
      <c r="AA695" s="69">
        <v>41.280487804877339</v>
      </c>
      <c r="AB695" s="69">
        <v>41.280487804877339</v>
      </c>
      <c r="AC695" s="69">
        <v>41.280487804877339</v>
      </c>
      <c r="AD695" s="69">
        <v>41.280487804877339</v>
      </c>
      <c r="AE695" s="69">
        <v>41.280487804877339</v>
      </c>
      <c r="AF695" s="69">
        <v>41.280487804877339</v>
      </c>
      <c r="AG695" s="69">
        <v>41.280487804877339</v>
      </c>
    </row>
    <row r="696" spans="1:33" ht="12.75" customHeight="1">
      <c r="A696" s="231" t="s">
        <v>2376</v>
      </c>
      <c r="B696" s="69" t="s">
        <v>224</v>
      </c>
      <c r="C696" s="69" t="s">
        <v>186</v>
      </c>
      <c r="D696" s="69" t="s">
        <v>218</v>
      </c>
      <c r="E696" s="69" t="s">
        <v>203</v>
      </c>
      <c r="F696" s="69" t="s">
        <v>157</v>
      </c>
      <c r="G696" s="69" t="s">
        <v>192</v>
      </c>
      <c r="H696" s="69" t="s">
        <v>805</v>
      </c>
      <c r="I696" s="69">
        <v>1</v>
      </c>
      <c r="J696" s="238">
        <v>0.23561922263058244</v>
      </c>
      <c r="K696" s="238">
        <v>0</v>
      </c>
      <c r="L696" s="69">
        <v>200.17205317577549</v>
      </c>
      <c r="M696" s="69">
        <v>-4.8449039881831615</v>
      </c>
      <c r="N696" s="69">
        <v>0</v>
      </c>
      <c r="O696" s="69">
        <v>39.216463414635655</v>
      </c>
      <c r="P696" s="69">
        <v>39.216463414635655</v>
      </c>
      <c r="Q696" s="69">
        <v>39.216463414635655</v>
      </c>
      <c r="R696" s="69">
        <v>39.216463414635655</v>
      </c>
      <c r="S696" s="69">
        <v>39.216463414635655</v>
      </c>
      <c r="T696" s="69">
        <v>39.216463414635655</v>
      </c>
      <c r="U696" s="69">
        <v>39.216463414635655</v>
      </c>
      <c r="V696" s="69">
        <v>39.216463414635655</v>
      </c>
      <c r="W696" s="69">
        <v>39.216463414635655</v>
      </c>
      <c r="X696" s="69">
        <v>39.216463414635655</v>
      </c>
      <c r="Y696" s="69">
        <v>39.216463414635655</v>
      </c>
      <c r="Z696" s="69">
        <v>39.216463414635655</v>
      </c>
      <c r="AA696" s="69">
        <v>39.216463414635655</v>
      </c>
      <c r="AB696" s="69">
        <v>39.216463414635655</v>
      </c>
      <c r="AC696" s="69">
        <v>39.216463414635655</v>
      </c>
      <c r="AD696" s="69">
        <v>39.216463414635655</v>
      </c>
      <c r="AE696" s="69">
        <v>39.216463414635655</v>
      </c>
      <c r="AF696" s="69">
        <v>39.216463414635655</v>
      </c>
      <c r="AG696" s="69">
        <v>39.216463414635655</v>
      </c>
    </row>
    <row r="697" spans="1:33" ht="12.75" customHeight="1">
      <c r="A697" s="231" t="s">
        <v>2376</v>
      </c>
      <c r="B697" s="69" t="s">
        <v>227</v>
      </c>
      <c r="C697" s="69" t="s">
        <v>187</v>
      </c>
      <c r="D697" s="69" t="s">
        <v>191</v>
      </c>
      <c r="E697" s="69" t="s">
        <v>191</v>
      </c>
      <c r="F697" s="69" t="s">
        <v>175</v>
      </c>
      <c r="G697" s="69" t="s">
        <v>192</v>
      </c>
      <c r="H697" s="69" t="s">
        <v>804</v>
      </c>
      <c r="I697" s="69">
        <v>1</v>
      </c>
      <c r="J697" s="238">
        <v>0.2668262983999703</v>
      </c>
      <c r="K697" s="238">
        <v>0.69237077523038804</v>
      </c>
      <c r="L697" s="69">
        <v>192.38629588063705</v>
      </c>
      <c r="M697" s="69">
        <v>0</v>
      </c>
      <c r="N697" s="69">
        <v>0</v>
      </c>
      <c r="O697" s="69">
        <v>0</v>
      </c>
      <c r="P697" s="69">
        <v>565.65040650406445</v>
      </c>
      <c r="Q697" s="69">
        <v>565.65040650406445</v>
      </c>
      <c r="R697" s="69">
        <v>565.65040650406445</v>
      </c>
      <c r="S697" s="69">
        <v>565.65040650406445</v>
      </c>
      <c r="T697" s="69">
        <v>565.65040650406445</v>
      </c>
      <c r="U697" s="69">
        <v>565.65040650406445</v>
      </c>
      <c r="V697" s="69">
        <v>565.65040650406445</v>
      </c>
      <c r="W697" s="69">
        <v>565.65040650406445</v>
      </c>
      <c r="X697" s="69">
        <v>565.65040650406445</v>
      </c>
      <c r="Y697" s="69">
        <v>565.65040650406445</v>
      </c>
      <c r="Z697" s="69">
        <v>565.65040650406445</v>
      </c>
      <c r="AA697" s="69">
        <v>565.65040650406445</v>
      </c>
      <c r="AB697" s="69">
        <v>565.65040650406445</v>
      </c>
      <c r="AC697" s="69">
        <v>565.65040650406445</v>
      </c>
      <c r="AD697" s="69">
        <v>565.65040650406445</v>
      </c>
      <c r="AE697" s="69">
        <v>565.65040650406445</v>
      </c>
      <c r="AF697" s="69">
        <v>565.65040650406445</v>
      </c>
      <c r="AG697" s="69">
        <v>565.65040650406445</v>
      </c>
    </row>
    <row r="698" spans="1:33" ht="12.75" customHeight="1">
      <c r="A698" s="231" t="s">
        <v>2376</v>
      </c>
      <c r="B698" s="69" t="s">
        <v>235</v>
      </c>
      <c r="C698" s="69" t="s">
        <v>139</v>
      </c>
      <c r="D698" s="69" t="s">
        <v>191</v>
      </c>
      <c r="E698" s="69" t="s">
        <v>191</v>
      </c>
      <c r="F698" s="69" t="s">
        <v>166</v>
      </c>
      <c r="G698" s="69" t="s">
        <v>236</v>
      </c>
      <c r="H698" s="69" t="s">
        <v>2417</v>
      </c>
      <c r="I698" s="69">
        <v>1</v>
      </c>
      <c r="J698" s="238">
        <v>0.85</v>
      </c>
      <c r="K698" s="238">
        <v>0.60506988845340159</v>
      </c>
      <c r="L698" s="69">
        <v>123.91348598076651</v>
      </c>
      <c r="M698" s="69">
        <v>0</v>
      </c>
      <c r="N698" s="69">
        <v>0</v>
      </c>
      <c r="O698" s="69">
        <v>0</v>
      </c>
      <c r="P698" s="69">
        <v>0</v>
      </c>
      <c r="Q698" s="69">
        <v>238.27200000000084</v>
      </c>
      <c r="R698" s="69">
        <v>238.27200000000084</v>
      </c>
      <c r="S698" s="69">
        <v>238.27200000000084</v>
      </c>
      <c r="T698" s="69">
        <v>238.27200000000084</v>
      </c>
      <c r="U698" s="69">
        <v>238.27200000000084</v>
      </c>
      <c r="V698" s="69">
        <v>238.27200000000084</v>
      </c>
      <c r="W698" s="69">
        <v>238.27200000000084</v>
      </c>
      <c r="X698" s="69">
        <v>238.27200000000084</v>
      </c>
      <c r="Y698" s="69">
        <v>238.27200000000084</v>
      </c>
      <c r="Z698" s="69">
        <v>238.27200000000084</v>
      </c>
      <c r="AA698" s="69">
        <v>238.27200000000084</v>
      </c>
      <c r="AB698" s="69">
        <v>238.27200000000084</v>
      </c>
      <c r="AC698" s="69">
        <v>238.27200000000084</v>
      </c>
      <c r="AD698" s="69">
        <v>238.27200000000084</v>
      </c>
      <c r="AE698" s="69">
        <v>238.27200000000084</v>
      </c>
      <c r="AF698" s="69">
        <v>238.27200000000084</v>
      </c>
      <c r="AG698" s="69">
        <v>238.27200000000084</v>
      </c>
    </row>
    <row r="699" spans="1:33" ht="12.75" customHeight="1">
      <c r="A699" s="231" t="s">
        <v>2376</v>
      </c>
      <c r="B699" s="69" t="s">
        <v>237</v>
      </c>
      <c r="C699" s="69" t="s">
        <v>185</v>
      </c>
      <c r="D699" s="69" t="s">
        <v>205</v>
      </c>
      <c r="E699" s="69" t="s">
        <v>194</v>
      </c>
      <c r="F699" s="69" t="s">
        <v>175</v>
      </c>
      <c r="G699" s="69" t="s">
        <v>192</v>
      </c>
      <c r="H699" s="69" t="s">
        <v>804</v>
      </c>
      <c r="I699" s="69">
        <v>1</v>
      </c>
      <c r="J699" s="238">
        <v>0.26624999999999999</v>
      </c>
      <c r="K699" s="238">
        <v>0.50027165852802347</v>
      </c>
      <c r="L699" s="69">
        <v>147.69233230629843</v>
      </c>
      <c r="M699" s="69">
        <v>0</v>
      </c>
      <c r="N699" s="69">
        <v>0</v>
      </c>
      <c r="O699" s="69">
        <v>0</v>
      </c>
      <c r="P699" s="69">
        <v>0</v>
      </c>
      <c r="Q699" s="69">
        <v>0</v>
      </c>
      <c r="R699" s="69">
        <v>0</v>
      </c>
      <c r="S699" s="69">
        <v>583.08749999999964</v>
      </c>
      <c r="T699" s="69">
        <v>583.08749999999964</v>
      </c>
      <c r="U699" s="69">
        <v>583.08749999999964</v>
      </c>
      <c r="V699" s="69">
        <v>583.08749999999964</v>
      </c>
      <c r="W699" s="69">
        <v>583.08749999999964</v>
      </c>
      <c r="X699" s="69">
        <v>583.08749999999964</v>
      </c>
      <c r="Y699" s="69">
        <v>583.08749999999964</v>
      </c>
      <c r="Z699" s="69">
        <v>583.08749999999964</v>
      </c>
      <c r="AA699" s="69">
        <v>583.08749999999964</v>
      </c>
      <c r="AB699" s="69">
        <v>583.08749999999964</v>
      </c>
      <c r="AC699" s="69">
        <v>583.08749999999964</v>
      </c>
      <c r="AD699" s="69">
        <v>583.08749999999964</v>
      </c>
      <c r="AE699" s="69">
        <v>583.08749999999964</v>
      </c>
      <c r="AF699" s="69">
        <v>583.08749999999964</v>
      </c>
      <c r="AG699" s="69">
        <v>583.08749999999964</v>
      </c>
    </row>
    <row r="700" spans="1:33" ht="12.75" customHeight="1">
      <c r="A700" s="231" t="s">
        <v>2376</v>
      </c>
      <c r="B700" s="69" t="s">
        <v>238</v>
      </c>
      <c r="C700" s="69" t="s">
        <v>136</v>
      </c>
      <c r="D700" s="69" t="s">
        <v>191</v>
      </c>
      <c r="E700" s="69" t="s">
        <v>191</v>
      </c>
      <c r="F700" s="69" t="s">
        <v>161</v>
      </c>
      <c r="G700" s="69" t="s">
        <v>192</v>
      </c>
      <c r="H700" s="69" t="s">
        <v>2130</v>
      </c>
      <c r="I700" s="69">
        <v>1</v>
      </c>
      <c r="J700" s="238">
        <v>0.82499999999999996</v>
      </c>
      <c r="K700" s="238">
        <v>0.70497163608542901</v>
      </c>
      <c r="L700" s="69">
        <v>109.81489691553389</v>
      </c>
      <c r="M700" s="69">
        <v>0</v>
      </c>
      <c r="N700" s="69">
        <v>0</v>
      </c>
      <c r="O700" s="69">
        <v>0</v>
      </c>
      <c r="P700" s="69">
        <v>0</v>
      </c>
      <c r="Q700" s="69">
        <v>0</v>
      </c>
      <c r="R700" s="69">
        <v>289.08000000000004</v>
      </c>
      <c r="S700" s="69">
        <v>289.08000000000004</v>
      </c>
      <c r="T700" s="69">
        <v>289.08000000000004</v>
      </c>
      <c r="U700" s="69">
        <v>289.08000000000004</v>
      </c>
      <c r="V700" s="69">
        <v>289.08000000000004</v>
      </c>
      <c r="W700" s="69">
        <v>289.08000000000004</v>
      </c>
      <c r="X700" s="69">
        <v>289.08000000000004</v>
      </c>
      <c r="Y700" s="69">
        <v>289.08000000000004</v>
      </c>
      <c r="Z700" s="69">
        <v>289.08000000000004</v>
      </c>
      <c r="AA700" s="69">
        <v>289.08000000000004</v>
      </c>
      <c r="AB700" s="69">
        <v>289.08000000000004</v>
      </c>
      <c r="AC700" s="69">
        <v>289.08000000000004</v>
      </c>
      <c r="AD700" s="69">
        <v>289.08000000000004</v>
      </c>
      <c r="AE700" s="69">
        <v>289.08000000000004</v>
      </c>
      <c r="AF700" s="69">
        <v>289.08000000000004</v>
      </c>
      <c r="AG700" s="69">
        <v>289.08000000000004</v>
      </c>
    </row>
    <row r="701" spans="1:33" ht="12.75" customHeight="1">
      <c r="A701" s="231" t="s">
        <v>2376</v>
      </c>
      <c r="B701" s="69" t="s">
        <v>239</v>
      </c>
      <c r="C701" s="69" t="s">
        <v>137</v>
      </c>
      <c r="D701" s="69" t="s">
        <v>191</v>
      </c>
      <c r="E701" s="69" t="s">
        <v>191</v>
      </c>
      <c r="F701" s="69" t="s">
        <v>180</v>
      </c>
      <c r="G701" s="69" t="s">
        <v>192</v>
      </c>
      <c r="H701" s="69" t="s">
        <v>804</v>
      </c>
      <c r="I701" s="69">
        <v>2</v>
      </c>
      <c r="J701" s="238">
        <v>0.32235762917068039</v>
      </c>
      <c r="K701" s="238">
        <v>0.160195270625522</v>
      </c>
      <c r="L701" s="69">
        <v>96.038728079112801</v>
      </c>
      <c r="M701" s="69">
        <v>0</v>
      </c>
      <c r="N701" s="69">
        <v>0</v>
      </c>
      <c r="O701" s="69">
        <v>0</v>
      </c>
      <c r="P701" s="69">
        <v>0</v>
      </c>
      <c r="Q701" s="69">
        <v>0</v>
      </c>
      <c r="R701" s="69">
        <v>56.477056630705199</v>
      </c>
      <c r="S701" s="69">
        <v>56.477056630705199</v>
      </c>
      <c r="T701" s="69">
        <v>56.477056630705199</v>
      </c>
      <c r="U701" s="69">
        <v>56.477056630705199</v>
      </c>
      <c r="V701" s="69">
        <v>56.477056630705199</v>
      </c>
      <c r="W701" s="69">
        <v>56.477056630705199</v>
      </c>
      <c r="X701" s="69">
        <v>56.477056630705199</v>
      </c>
      <c r="Y701" s="69">
        <v>56.477056630705199</v>
      </c>
      <c r="Z701" s="69">
        <v>56.477056630705199</v>
      </c>
      <c r="AA701" s="69">
        <v>56.477056630705199</v>
      </c>
      <c r="AB701" s="69">
        <v>56.477056630705199</v>
      </c>
      <c r="AC701" s="69">
        <v>56.477056630705199</v>
      </c>
      <c r="AD701" s="69">
        <v>56.477056630705199</v>
      </c>
      <c r="AE701" s="69">
        <v>56.477056630705199</v>
      </c>
      <c r="AF701" s="69">
        <v>56.477056630705199</v>
      </c>
      <c r="AG701" s="69">
        <v>56.477056630705199</v>
      </c>
    </row>
    <row r="702" spans="1:33" ht="12.75" customHeight="1">
      <c r="A702" s="231" t="s">
        <v>2376</v>
      </c>
      <c r="B702" s="69" t="s">
        <v>240</v>
      </c>
      <c r="C702" s="69" t="s">
        <v>137</v>
      </c>
      <c r="D702" s="69" t="s">
        <v>191</v>
      </c>
      <c r="E702" s="69" t="s">
        <v>191</v>
      </c>
      <c r="F702" s="69" t="s">
        <v>180</v>
      </c>
      <c r="G702" s="69" t="s">
        <v>192</v>
      </c>
      <c r="H702" s="69" t="s">
        <v>804</v>
      </c>
      <c r="I702" s="69">
        <v>2</v>
      </c>
      <c r="J702" s="238">
        <v>0.32235762917068039</v>
      </c>
      <c r="K702" s="238">
        <v>0.160195270625522</v>
      </c>
      <c r="L702" s="69">
        <v>96.038728079112801</v>
      </c>
      <c r="M702" s="69">
        <v>0</v>
      </c>
      <c r="N702" s="69">
        <v>0</v>
      </c>
      <c r="O702" s="69">
        <v>0</v>
      </c>
      <c r="P702" s="69">
        <v>0</v>
      </c>
      <c r="Q702" s="69">
        <v>0</v>
      </c>
      <c r="R702" s="69">
        <v>11.295411326143949</v>
      </c>
      <c r="S702" s="69">
        <v>11.295411326143949</v>
      </c>
      <c r="T702" s="69">
        <v>11.295411326143949</v>
      </c>
      <c r="U702" s="69">
        <v>11.295411326143949</v>
      </c>
      <c r="V702" s="69">
        <v>11.295411326143949</v>
      </c>
      <c r="W702" s="69">
        <v>11.295411326143949</v>
      </c>
      <c r="X702" s="69">
        <v>11.295411326143949</v>
      </c>
      <c r="Y702" s="69">
        <v>11.295411326143949</v>
      </c>
      <c r="Z702" s="69">
        <v>11.295411326143949</v>
      </c>
      <c r="AA702" s="69">
        <v>11.295411326143949</v>
      </c>
      <c r="AB702" s="69">
        <v>11.295411326143949</v>
      </c>
      <c r="AC702" s="69">
        <v>11.295411326143949</v>
      </c>
      <c r="AD702" s="69">
        <v>11.295411326143949</v>
      </c>
      <c r="AE702" s="69">
        <v>11.295411326143949</v>
      </c>
      <c r="AF702" s="69">
        <v>11.295411326143949</v>
      </c>
      <c r="AG702" s="69">
        <v>11.295411326143949</v>
      </c>
    </row>
    <row r="703" spans="1:33" ht="12.75" customHeight="1">
      <c r="A703" s="231" t="s">
        <v>2376</v>
      </c>
      <c r="B703" s="69" t="s">
        <v>241</v>
      </c>
      <c r="C703" s="69" t="s">
        <v>186</v>
      </c>
      <c r="D703" s="69" t="s">
        <v>218</v>
      </c>
      <c r="E703" s="69" t="s">
        <v>242</v>
      </c>
      <c r="F703" s="69" t="s">
        <v>158</v>
      </c>
      <c r="G703" s="69" t="s">
        <v>192</v>
      </c>
      <c r="H703" s="69" t="s">
        <v>804</v>
      </c>
      <c r="I703" s="69">
        <v>1</v>
      </c>
      <c r="J703" s="238">
        <v>0.24339198871440765</v>
      </c>
      <c r="K703" s="238">
        <v>0</v>
      </c>
      <c r="L703" s="69">
        <v>193.77952335557677</v>
      </c>
      <c r="M703" s="69">
        <v>-4.6901811248808389</v>
      </c>
      <c r="N703" s="69">
        <v>0</v>
      </c>
      <c r="O703" s="69">
        <v>0</v>
      </c>
      <c r="P703" s="69">
        <v>0</v>
      </c>
      <c r="Q703" s="69">
        <v>42.642276422764553</v>
      </c>
      <c r="R703" s="69">
        <v>42.642276422764553</v>
      </c>
      <c r="S703" s="69">
        <v>42.642276422764553</v>
      </c>
      <c r="T703" s="69">
        <v>42.642276422764553</v>
      </c>
      <c r="U703" s="69">
        <v>42.642276422764553</v>
      </c>
      <c r="V703" s="69">
        <v>42.642276422764553</v>
      </c>
      <c r="W703" s="69">
        <v>42.642276422764553</v>
      </c>
      <c r="X703" s="69">
        <v>42.642276422764553</v>
      </c>
      <c r="Y703" s="69">
        <v>42.642276422764553</v>
      </c>
      <c r="Z703" s="69">
        <v>42.642276422764553</v>
      </c>
      <c r="AA703" s="69">
        <v>42.642276422764553</v>
      </c>
      <c r="AB703" s="69">
        <v>42.642276422764553</v>
      </c>
      <c r="AC703" s="69">
        <v>42.642276422764553</v>
      </c>
      <c r="AD703" s="69">
        <v>42.642276422764553</v>
      </c>
      <c r="AE703" s="69">
        <v>42.642276422764553</v>
      </c>
      <c r="AF703" s="69">
        <v>42.642276422764553</v>
      </c>
      <c r="AG703" s="69">
        <v>42.642276422764553</v>
      </c>
    </row>
    <row r="704" spans="1:33" ht="12.75" customHeight="1">
      <c r="A704" s="231" t="s">
        <v>2376</v>
      </c>
      <c r="B704" s="69" t="s">
        <v>243</v>
      </c>
      <c r="C704" s="69" t="s">
        <v>186</v>
      </c>
      <c r="D704" s="69" t="s">
        <v>218</v>
      </c>
      <c r="E704" s="69" t="s">
        <v>244</v>
      </c>
      <c r="F704" s="69" t="s">
        <v>158</v>
      </c>
      <c r="G704" s="69" t="s">
        <v>192</v>
      </c>
      <c r="H704" s="69" t="s">
        <v>804</v>
      </c>
      <c r="I704" s="69">
        <v>1</v>
      </c>
      <c r="J704" s="238">
        <v>0.2668262983999703</v>
      </c>
      <c r="K704" s="238">
        <v>0</v>
      </c>
      <c r="L704" s="69">
        <v>176.76062608695653</v>
      </c>
      <c r="M704" s="69">
        <v>-4.2782608695652176</v>
      </c>
      <c r="N704" s="69">
        <v>46.747967479674116</v>
      </c>
      <c r="O704" s="69">
        <v>46.747967479674116</v>
      </c>
      <c r="P704" s="69">
        <v>46.747967479674116</v>
      </c>
      <c r="Q704" s="69">
        <v>46.747967479674116</v>
      </c>
      <c r="R704" s="69">
        <v>46.747967479674116</v>
      </c>
      <c r="S704" s="69">
        <v>46.747967479674116</v>
      </c>
      <c r="T704" s="69">
        <v>46.747967479674116</v>
      </c>
      <c r="U704" s="69">
        <v>46.747967479674116</v>
      </c>
      <c r="V704" s="69">
        <v>46.747967479674116</v>
      </c>
      <c r="W704" s="69">
        <v>46.747967479674116</v>
      </c>
      <c r="X704" s="69">
        <v>46.747967479674116</v>
      </c>
      <c r="Y704" s="69">
        <v>46.747967479674116</v>
      </c>
      <c r="Z704" s="69">
        <v>46.747967479674116</v>
      </c>
      <c r="AA704" s="69">
        <v>46.747967479674116</v>
      </c>
      <c r="AB704" s="69">
        <v>46.747967479674116</v>
      </c>
      <c r="AC704" s="69">
        <v>46.747967479674116</v>
      </c>
      <c r="AD704" s="69">
        <v>46.747967479674116</v>
      </c>
      <c r="AE704" s="69">
        <v>46.747967479674116</v>
      </c>
      <c r="AF704" s="69">
        <v>46.747967479674116</v>
      </c>
      <c r="AG704" s="69">
        <v>46.747967479674116</v>
      </c>
    </row>
    <row r="705" spans="1:33" ht="12.75" customHeight="1">
      <c r="A705" s="231" t="s">
        <v>2376</v>
      </c>
      <c r="B705" s="69" t="s">
        <v>245</v>
      </c>
      <c r="C705" s="69" t="s">
        <v>137</v>
      </c>
      <c r="D705" s="69" t="s">
        <v>191</v>
      </c>
      <c r="E705" s="69" t="s">
        <v>191</v>
      </c>
      <c r="F705" s="69" t="s">
        <v>180</v>
      </c>
      <c r="G705" s="69" t="s">
        <v>192</v>
      </c>
      <c r="H705" s="69" t="s">
        <v>804</v>
      </c>
      <c r="I705" s="69">
        <v>2</v>
      </c>
      <c r="J705" s="238">
        <v>0.32235762917068039</v>
      </c>
      <c r="K705" s="238">
        <v>0.160195270625522</v>
      </c>
      <c r="L705" s="69">
        <v>96.038728079112801</v>
      </c>
      <c r="M705" s="69">
        <v>0</v>
      </c>
      <c r="N705" s="69">
        <v>0</v>
      </c>
      <c r="O705" s="69">
        <v>0</v>
      </c>
      <c r="P705" s="69">
        <v>0</v>
      </c>
      <c r="Q705" s="69">
        <v>0</v>
      </c>
      <c r="R705" s="69">
        <v>56.477056630705199</v>
      </c>
      <c r="S705" s="69">
        <v>56.477056630705199</v>
      </c>
      <c r="T705" s="69">
        <v>56.477056630705199</v>
      </c>
      <c r="U705" s="69">
        <v>56.477056630705199</v>
      </c>
      <c r="V705" s="69">
        <v>56.477056630705199</v>
      </c>
      <c r="W705" s="69">
        <v>56.477056630705199</v>
      </c>
      <c r="X705" s="69">
        <v>56.477056630705199</v>
      </c>
      <c r="Y705" s="69">
        <v>56.477056630705199</v>
      </c>
      <c r="Z705" s="69">
        <v>56.477056630705199</v>
      </c>
      <c r="AA705" s="69">
        <v>56.477056630705199</v>
      </c>
      <c r="AB705" s="69">
        <v>56.477056630705199</v>
      </c>
      <c r="AC705" s="69">
        <v>56.477056630705199</v>
      </c>
      <c r="AD705" s="69">
        <v>56.477056630705199</v>
      </c>
      <c r="AE705" s="69">
        <v>56.477056630705199</v>
      </c>
      <c r="AF705" s="69">
        <v>56.477056630705199</v>
      </c>
      <c r="AG705" s="69">
        <v>56.477056630705199</v>
      </c>
    </row>
    <row r="706" spans="1:33" ht="12.75" customHeight="1">
      <c r="A706" s="231" t="s">
        <v>2376</v>
      </c>
      <c r="B706" s="69" t="s">
        <v>246</v>
      </c>
      <c r="C706" s="69" t="s">
        <v>186</v>
      </c>
      <c r="D706" s="69" t="s">
        <v>218</v>
      </c>
      <c r="E706" s="69" t="s">
        <v>244</v>
      </c>
      <c r="F706" s="69" t="s">
        <v>158</v>
      </c>
      <c r="G706" s="69" t="s">
        <v>192</v>
      </c>
      <c r="H706" s="69" t="s">
        <v>804</v>
      </c>
      <c r="I706" s="69">
        <v>1</v>
      </c>
      <c r="J706" s="238">
        <v>0.2668262983999703</v>
      </c>
      <c r="K706" s="238">
        <v>0</v>
      </c>
      <c r="L706" s="69">
        <v>176.76062608695653</v>
      </c>
      <c r="M706" s="69">
        <v>-4.2782608695652176</v>
      </c>
      <c r="N706" s="69">
        <v>0</v>
      </c>
      <c r="O706" s="69">
        <v>0</v>
      </c>
      <c r="P706" s="69">
        <v>0</v>
      </c>
      <c r="Q706" s="69">
        <v>11.686991869919437</v>
      </c>
      <c r="R706" s="69">
        <v>11.686991869919437</v>
      </c>
      <c r="S706" s="69">
        <v>11.686991869919437</v>
      </c>
      <c r="T706" s="69">
        <v>11.686991869919437</v>
      </c>
      <c r="U706" s="69">
        <v>11.686991869919437</v>
      </c>
      <c r="V706" s="69">
        <v>11.686991869919437</v>
      </c>
      <c r="W706" s="69">
        <v>11.686991869919437</v>
      </c>
      <c r="X706" s="69">
        <v>11.686991869919437</v>
      </c>
      <c r="Y706" s="69">
        <v>11.686991869919437</v>
      </c>
      <c r="Z706" s="69">
        <v>11.686991869919437</v>
      </c>
      <c r="AA706" s="69">
        <v>11.686991869919437</v>
      </c>
      <c r="AB706" s="69">
        <v>11.686991869919437</v>
      </c>
      <c r="AC706" s="69">
        <v>11.686991869919437</v>
      </c>
      <c r="AD706" s="69">
        <v>11.686991869919437</v>
      </c>
      <c r="AE706" s="69">
        <v>11.686991869919437</v>
      </c>
      <c r="AF706" s="69">
        <v>11.686991869919437</v>
      </c>
      <c r="AG706" s="69">
        <v>11.686991869919437</v>
      </c>
    </row>
    <row r="707" spans="1:33" ht="12.75" customHeight="1">
      <c r="A707" s="231" t="s">
        <v>2376</v>
      </c>
      <c r="B707" s="69" t="s">
        <v>247</v>
      </c>
      <c r="C707" s="69" t="s">
        <v>186</v>
      </c>
      <c r="D707" s="69" t="s">
        <v>218</v>
      </c>
      <c r="E707" s="69" t="s">
        <v>244</v>
      </c>
      <c r="F707" s="69" t="s">
        <v>158</v>
      </c>
      <c r="G707" s="69" t="s">
        <v>192</v>
      </c>
      <c r="H707" s="69" t="s">
        <v>804</v>
      </c>
      <c r="I707" s="69">
        <v>1</v>
      </c>
      <c r="J707" s="238">
        <v>0.2668262983999703</v>
      </c>
      <c r="K707" s="238">
        <v>0</v>
      </c>
      <c r="L707" s="69">
        <v>176.76062608695653</v>
      </c>
      <c r="M707" s="69">
        <v>-4.2782608695652176</v>
      </c>
      <c r="N707" s="69">
        <v>0</v>
      </c>
      <c r="O707" s="69">
        <v>0</v>
      </c>
      <c r="P707" s="69">
        <v>0</v>
      </c>
      <c r="Q707" s="69">
        <v>46.747967479674116</v>
      </c>
      <c r="R707" s="69">
        <v>46.747967479674116</v>
      </c>
      <c r="S707" s="69">
        <v>46.747967479674116</v>
      </c>
      <c r="T707" s="69">
        <v>46.747967479674116</v>
      </c>
      <c r="U707" s="69">
        <v>46.747967479674116</v>
      </c>
      <c r="V707" s="69">
        <v>46.747967479674116</v>
      </c>
      <c r="W707" s="69">
        <v>46.747967479674116</v>
      </c>
      <c r="X707" s="69">
        <v>46.747967479674116</v>
      </c>
      <c r="Y707" s="69">
        <v>46.747967479674116</v>
      </c>
      <c r="Z707" s="69">
        <v>46.747967479674116</v>
      </c>
      <c r="AA707" s="69">
        <v>46.747967479674116</v>
      </c>
      <c r="AB707" s="69">
        <v>46.747967479674116</v>
      </c>
      <c r="AC707" s="69">
        <v>46.747967479674116</v>
      </c>
      <c r="AD707" s="69">
        <v>46.747967479674116</v>
      </c>
      <c r="AE707" s="69">
        <v>46.747967479674116</v>
      </c>
      <c r="AF707" s="69">
        <v>46.747967479674116</v>
      </c>
      <c r="AG707" s="69">
        <v>46.747967479674116</v>
      </c>
    </row>
    <row r="708" spans="1:33" ht="12.75" customHeight="1">
      <c r="A708" s="231" t="s">
        <v>2376</v>
      </c>
      <c r="B708" s="69" t="s">
        <v>248</v>
      </c>
      <c r="C708" s="69" t="s">
        <v>186</v>
      </c>
      <c r="D708" s="69" t="s">
        <v>218</v>
      </c>
      <c r="E708" s="69" t="s">
        <v>244</v>
      </c>
      <c r="F708" s="69" t="s">
        <v>158</v>
      </c>
      <c r="G708" s="69" t="s">
        <v>192</v>
      </c>
      <c r="H708" s="69" t="s">
        <v>804</v>
      </c>
      <c r="I708" s="69">
        <v>1</v>
      </c>
      <c r="J708" s="238">
        <v>0.2668262983999703</v>
      </c>
      <c r="K708" s="238">
        <v>0</v>
      </c>
      <c r="L708" s="69">
        <v>176.76062608695653</v>
      </c>
      <c r="M708" s="69">
        <v>-4.2782608695652176</v>
      </c>
      <c r="N708" s="69">
        <v>0</v>
      </c>
      <c r="O708" s="69">
        <v>0</v>
      </c>
      <c r="P708" s="69">
        <v>0</v>
      </c>
      <c r="Q708" s="69">
        <v>46.747967479674116</v>
      </c>
      <c r="R708" s="69">
        <v>46.747967479674116</v>
      </c>
      <c r="S708" s="69">
        <v>46.747967479674116</v>
      </c>
      <c r="T708" s="69">
        <v>46.747967479674116</v>
      </c>
      <c r="U708" s="69">
        <v>46.747967479674116</v>
      </c>
      <c r="V708" s="69">
        <v>46.747967479674116</v>
      </c>
      <c r="W708" s="69">
        <v>46.747967479674116</v>
      </c>
      <c r="X708" s="69">
        <v>46.747967479674116</v>
      </c>
      <c r="Y708" s="69">
        <v>46.747967479674116</v>
      </c>
      <c r="Z708" s="69">
        <v>46.747967479674116</v>
      </c>
      <c r="AA708" s="69">
        <v>46.747967479674116</v>
      </c>
      <c r="AB708" s="69">
        <v>46.747967479674116</v>
      </c>
      <c r="AC708" s="69">
        <v>46.747967479674116</v>
      </c>
      <c r="AD708" s="69">
        <v>46.747967479674116</v>
      </c>
      <c r="AE708" s="69">
        <v>46.747967479674116</v>
      </c>
      <c r="AF708" s="69">
        <v>46.747967479674116</v>
      </c>
      <c r="AG708" s="69">
        <v>46.747967479674116</v>
      </c>
    </row>
    <row r="709" spans="1:33" ht="12.75" customHeight="1">
      <c r="A709" s="231" t="s">
        <v>2376</v>
      </c>
      <c r="B709" s="69" t="s">
        <v>249</v>
      </c>
      <c r="C709" s="69" t="s">
        <v>186</v>
      </c>
      <c r="D709" s="69" t="s">
        <v>218</v>
      </c>
      <c r="E709" s="69" t="s">
        <v>244</v>
      </c>
      <c r="F709" s="69" t="s">
        <v>158</v>
      </c>
      <c r="G709" s="69" t="s">
        <v>192</v>
      </c>
      <c r="H709" s="69" t="s">
        <v>804</v>
      </c>
      <c r="I709" s="69">
        <v>1</v>
      </c>
      <c r="J709" s="238">
        <v>0.2668262983999703</v>
      </c>
      <c r="K709" s="238">
        <v>0</v>
      </c>
      <c r="L709" s="69">
        <v>176.76062608695653</v>
      </c>
      <c r="M709" s="69">
        <v>-4.2782608695652176</v>
      </c>
      <c r="N709" s="69">
        <v>0</v>
      </c>
      <c r="O709" s="69">
        <v>0</v>
      </c>
      <c r="P709" s="69">
        <v>0</v>
      </c>
      <c r="Q709" s="69">
        <v>0</v>
      </c>
      <c r="R709" s="69">
        <v>46.747967479674116</v>
      </c>
      <c r="S709" s="69">
        <v>46.747967479674116</v>
      </c>
      <c r="T709" s="69">
        <v>46.747967479674116</v>
      </c>
      <c r="U709" s="69">
        <v>46.747967479674116</v>
      </c>
      <c r="V709" s="69">
        <v>46.747967479674116</v>
      </c>
      <c r="W709" s="69">
        <v>46.747967479674116</v>
      </c>
      <c r="X709" s="69">
        <v>46.747967479674116</v>
      </c>
      <c r="Y709" s="69">
        <v>46.747967479674116</v>
      </c>
      <c r="Z709" s="69">
        <v>46.747967479674116</v>
      </c>
      <c r="AA709" s="69">
        <v>46.747967479674116</v>
      </c>
      <c r="AB709" s="69">
        <v>46.747967479674116</v>
      </c>
      <c r="AC709" s="69">
        <v>46.747967479674116</v>
      </c>
      <c r="AD709" s="69">
        <v>46.747967479674116</v>
      </c>
      <c r="AE709" s="69">
        <v>46.747967479674116</v>
      </c>
      <c r="AF709" s="69">
        <v>46.747967479674116</v>
      </c>
      <c r="AG709" s="69">
        <v>46.747967479674116</v>
      </c>
    </row>
    <row r="710" spans="1:33" ht="12.75" customHeight="1">
      <c r="A710" s="231" t="s">
        <v>2376</v>
      </c>
      <c r="B710" s="69" t="s">
        <v>250</v>
      </c>
      <c r="C710" s="69" t="s">
        <v>186</v>
      </c>
      <c r="D710" s="69" t="s">
        <v>218</v>
      </c>
      <c r="E710" s="69" t="s">
        <v>244</v>
      </c>
      <c r="F710" s="69" t="s">
        <v>158</v>
      </c>
      <c r="G710" s="69" t="s">
        <v>192</v>
      </c>
      <c r="H710" s="69" t="s">
        <v>804</v>
      </c>
      <c r="I710" s="69">
        <v>1</v>
      </c>
      <c r="J710" s="238">
        <v>0.2668262983999703</v>
      </c>
      <c r="K710" s="238">
        <v>0</v>
      </c>
      <c r="L710" s="69">
        <v>176.76062608695653</v>
      </c>
      <c r="M710" s="69">
        <v>-4.2782608695652176</v>
      </c>
      <c r="N710" s="69">
        <v>0</v>
      </c>
      <c r="O710" s="69">
        <v>0</v>
      </c>
      <c r="P710" s="69">
        <v>0</v>
      </c>
      <c r="Q710" s="69">
        <v>0</v>
      </c>
      <c r="R710" s="69">
        <v>46.747967479674116</v>
      </c>
      <c r="S710" s="69">
        <v>46.747967479674116</v>
      </c>
      <c r="T710" s="69">
        <v>46.747967479674116</v>
      </c>
      <c r="U710" s="69">
        <v>46.747967479674116</v>
      </c>
      <c r="V710" s="69">
        <v>46.747967479674116</v>
      </c>
      <c r="W710" s="69">
        <v>46.747967479674116</v>
      </c>
      <c r="X710" s="69">
        <v>46.747967479674116</v>
      </c>
      <c r="Y710" s="69">
        <v>46.747967479674116</v>
      </c>
      <c r="Z710" s="69">
        <v>46.747967479674116</v>
      </c>
      <c r="AA710" s="69">
        <v>46.747967479674116</v>
      </c>
      <c r="AB710" s="69">
        <v>46.747967479674116</v>
      </c>
      <c r="AC710" s="69">
        <v>46.747967479674116</v>
      </c>
      <c r="AD710" s="69">
        <v>46.747967479674116</v>
      </c>
      <c r="AE710" s="69">
        <v>46.747967479674116</v>
      </c>
      <c r="AF710" s="69">
        <v>46.747967479674116</v>
      </c>
      <c r="AG710" s="69">
        <v>46.747967479674116</v>
      </c>
    </row>
    <row r="711" spans="1:33" ht="12.75" customHeight="1">
      <c r="A711" s="231" t="s">
        <v>2376</v>
      </c>
      <c r="B711" s="69" t="s">
        <v>251</v>
      </c>
      <c r="C711" s="69" t="s">
        <v>186</v>
      </c>
      <c r="D711" s="69" t="s">
        <v>218</v>
      </c>
      <c r="E711" s="69" t="s">
        <v>244</v>
      </c>
      <c r="F711" s="69" t="s">
        <v>158</v>
      </c>
      <c r="G711" s="69" t="s">
        <v>192</v>
      </c>
      <c r="H711" s="69" t="s">
        <v>804</v>
      </c>
      <c r="I711" s="69">
        <v>1</v>
      </c>
      <c r="J711" s="238">
        <v>0.2668262983999703</v>
      </c>
      <c r="K711" s="238">
        <v>0</v>
      </c>
      <c r="L711" s="69">
        <v>176.76062608695653</v>
      </c>
      <c r="M711" s="69">
        <v>-4.2782608695652176</v>
      </c>
      <c r="N711" s="69">
        <v>0</v>
      </c>
      <c r="O711" s="69">
        <v>0</v>
      </c>
      <c r="P711" s="69">
        <v>0</v>
      </c>
      <c r="Q711" s="69">
        <v>0</v>
      </c>
      <c r="R711" s="69">
        <v>35.060975609754678</v>
      </c>
      <c r="S711" s="69">
        <v>35.060975609754678</v>
      </c>
      <c r="T711" s="69">
        <v>35.060975609754678</v>
      </c>
      <c r="U711" s="69">
        <v>35.060975609754678</v>
      </c>
      <c r="V711" s="69">
        <v>35.060975609754678</v>
      </c>
      <c r="W711" s="69">
        <v>35.060975609754678</v>
      </c>
      <c r="X711" s="69">
        <v>35.060975609754678</v>
      </c>
      <c r="Y711" s="69">
        <v>35.060975609754678</v>
      </c>
      <c r="Z711" s="69">
        <v>35.060975609754678</v>
      </c>
      <c r="AA711" s="69">
        <v>35.060975609754678</v>
      </c>
      <c r="AB711" s="69">
        <v>35.060975609754678</v>
      </c>
      <c r="AC711" s="69">
        <v>35.060975609754678</v>
      </c>
      <c r="AD711" s="69">
        <v>35.060975609754678</v>
      </c>
      <c r="AE711" s="69">
        <v>35.060975609754678</v>
      </c>
      <c r="AF711" s="69">
        <v>35.060975609754678</v>
      </c>
      <c r="AG711" s="69">
        <v>35.060975609754678</v>
      </c>
    </row>
    <row r="712" spans="1:33" ht="12.75" customHeight="1">
      <c r="A712" s="231" t="s">
        <v>2376</v>
      </c>
      <c r="B712" s="69" t="s">
        <v>252</v>
      </c>
      <c r="C712" s="69" t="s">
        <v>137</v>
      </c>
      <c r="D712" s="69" t="s">
        <v>191</v>
      </c>
      <c r="E712" s="69" t="s">
        <v>191</v>
      </c>
      <c r="F712" s="69" t="s">
        <v>169</v>
      </c>
      <c r="G712" s="69" t="s">
        <v>192</v>
      </c>
      <c r="H712" s="69" t="s">
        <v>804</v>
      </c>
      <c r="I712" s="69">
        <v>1</v>
      </c>
      <c r="J712" s="238">
        <v>0.32235762917068039</v>
      </c>
      <c r="K712" s="238">
        <v>0.16115831843295012</v>
      </c>
      <c r="L712" s="69">
        <v>96.038728079112801</v>
      </c>
      <c r="M712" s="69">
        <v>0</v>
      </c>
      <c r="N712" s="69">
        <v>0</v>
      </c>
      <c r="O712" s="69">
        <v>112.95411326140653</v>
      </c>
      <c r="P712" s="69">
        <v>112.95411326140653</v>
      </c>
      <c r="Q712" s="69">
        <v>112.95411326140653</v>
      </c>
      <c r="R712" s="69">
        <v>112.95411326140653</v>
      </c>
      <c r="S712" s="69">
        <v>112.95411326140653</v>
      </c>
      <c r="T712" s="69">
        <v>112.95411326140653</v>
      </c>
      <c r="U712" s="69">
        <v>112.95411326140653</v>
      </c>
      <c r="V712" s="69">
        <v>112.95411326140653</v>
      </c>
      <c r="W712" s="69">
        <v>112.95411326140653</v>
      </c>
      <c r="X712" s="69">
        <v>112.95411326140653</v>
      </c>
      <c r="Y712" s="69">
        <v>112.95411326140653</v>
      </c>
      <c r="Z712" s="69">
        <v>112.95411326140653</v>
      </c>
      <c r="AA712" s="69">
        <v>112.95411326140653</v>
      </c>
      <c r="AB712" s="69">
        <v>112.95411326140653</v>
      </c>
      <c r="AC712" s="69">
        <v>112.95411326140653</v>
      </c>
      <c r="AD712" s="69">
        <v>112.95411326140653</v>
      </c>
      <c r="AE712" s="69">
        <v>112.95411326140653</v>
      </c>
      <c r="AF712" s="69">
        <v>112.95411326140653</v>
      </c>
      <c r="AG712" s="69">
        <v>112.95411326140653</v>
      </c>
    </row>
    <row r="713" spans="1:33" ht="12.75" customHeight="1">
      <c r="A713" s="231" t="s">
        <v>2376</v>
      </c>
      <c r="B713" s="69" t="s">
        <v>254</v>
      </c>
      <c r="C713" s="69" t="s">
        <v>137</v>
      </c>
      <c r="D713" s="69" t="s">
        <v>191</v>
      </c>
      <c r="E713" s="69" t="s">
        <v>191</v>
      </c>
      <c r="F713" s="69" t="s">
        <v>179</v>
      </c>
      <c r="G713" s="69" t="s">
        <v>192</v>
      </c>
      <c r="H713" s="69" t="s">
        <v>805</v>
      </c>
      <c r="I713" s="69">
        <v>1</v>
      </c>
      <c r="J713" s="238">
        <v>0.32235762917068039</v>
      </c>
      <c r="K713" s="238">
        <v>0.16152665976075289</v>
      </c>
      <c r="L713" s="69">
        <v>96.038728079112801</v>
      </c>
      <c r="M713" s="69">
        <v>0</v>
      </c>
      <c r="N713" s="69">
        <v>0</v>
      </c>
      <c r="O713" s="69">
        <v>0</v>
      </c>
      <c r="P713" s="69">
        <v>0</v>
      </c>
      <c r="Q713" s="69">
        <v>0</v>
      </c>
      <c r="R713" s="69">
        <v>0</v>
      </c>
      <c r="S713" s="69">
        <v>0</v>
      </c>
      <c r="T713" s="69">
        <v>107.30640759833621</v>
      </c>
      <c r="U713" s="69">
        <v>107.30640759833621</v>
      </c>
      <c r="V713" s="69">
        <v>107.30640759833621</v>
      </c>
      <c r="W713" s="69">
        <v>107.30640759833621</v>
      </c>
      <c r="X713" s="69">
        <v>107.30640759833621</v>
      </c>
      <c r="Y713" s="69">
        <v>107.30640759833621</v>
      </c>
      <c r="Z713" s="69">
        <v>107.30640759833621</v>
      </c>
      <c r="AA713" s="69">
        <v>107.30640759833621</v>
      </c>
      <c r="AB713" s="69">
        <v>107.30640759833621</v>
      </c>
      <c r="AC713" s="69">
        <v>107.30640759833621</v>
      </c>
      <c r="AD713" s="69">
        <v>107.30640759833621</v>
      </c>
      <c r="AE713" s="69">
        <v>107.30640759833621</v>
      </c>
      <c r="AF713" s="69">
        <v>107.30640759833621</v>
      </c>
      <c r="AG713" s="69">
        <v>107.30640759833621</v>
      </c>
    </row>
    <row r="714" spans="1:33" ht="12.75" customHeight="1">
      <c r="A714" s="231" t="s">
        <v>2376</v>
      </c>
      <c r="B714" s="69" t="s">
        <v>255</v>
      </c>
      <c r="C714" s="69" t="s">
        <v>139</v>
      </c>
      <c r="D714" s="69" t="s">
        <v>191</v>
      </c>
      <c r="E714" s="69" t="s">
        <v>191</v>
      </c>
      <c r="F714" s="69" t="s">
        <v>167</v>
      </c>
      <c r="G714" s="69" t="s">
        <v>192</v>
      </c>
      <c r="H714" s="69" t="s">
        <v>805</v>
      </c>
      <c r="I714" s="69">
        <v>1</v>
      </c>
      <c r="J714" s="238">
        <v>0.85</v>
      </c>
      <c r="K714" s="238">
        <v>0.66</v>
      </c>
      <c r="L714" s="69">
        <v>127.99027888971092</v>
      </c>
      <c r="M714" s="69">
        <v>0</v>
      </c>
      <c r="N714" s="69">
        <v>0</v>
      </c>
      <c r="O714" s="69">
        <v>0</v>
      </c>
      <c r="P714" s="69">
        <v>0</v>
      </c>
      <c r="Q714" s="69">
        <v>37.229999999999563</v>
      </c>
      <c r="R714" s="69">
        <v>37.229999999999563</v>
      </c>
      <c r="S714" s="69">
        <v>37.229999999999563</v>
      </c>
      <c r="T714" s="69">
        <v>37.229999999999563</v>
      </c>
      <c r="U714" s="69">
        <v>37.229999999999563</v>
      </c>
      <c r="V714" s="69">
        <v>37.229999999999563</v>
      </c>
      <c r="W714" s="69">
        <v>37.229999999999563</v>
      </c>
      <c r="X714" s="69">
        <v>37.229999999999563</v>
      </c>
      <c r="Y714" s="69">
        <v>37.229999999999563</v>
      </c>
      <c r="Z714" s="69">
        <v>37.229999999999563</v>
      </c>
      <c r="AA714" s="69">
        <v>37.229999999999563</v>
      </c>
      <c r="AB714" s="69">
        <v>37.229999999999563</v>
      </c>
      <c r="AC714" s="69">
        <v>37.229999999999563</v>
      </c>
      <c r="AD714" s="69">
        <v>37.229999999999563</v>
      </c>
      <c r="AE714" s="69">
        <v>37.229999999999563</v>
      </c>
      <c r="AF714" s="69">
        <v>37.229999999999563</v>
      </c>
      <c r="AG714" s="69">
        <v>37.229999999999563</v>
      </c>
    </row>
    <row r="715" spans="1:33" ht="12.75" customHeight="1">
      <c r="A715" s="231" t="s">
        <v>2376</v>
      </c>
      <c r="B715" s="69" t="s">
        <v>257</v>
      </c>
      <c r="C715" s="69" t="s">
        <v>137</v>
      </c>
      <c r="D715" s="69" t="s">
        <v>191</v>
      </c>
      <c r="E715" s="69" t="s">
        <v>191</v>
      </c>
      <c r="F715" s="69" t="s">
        <v>176</v>
      </c>
      <c r="G715" s="69" t="s">
        <v>192</v>
      </c>
      <c r="H715" s="69" t="s">
        <v>805</v>
      </c>
      <c r="I715" s="69">
        <v>1</v>
      </c>
      <c r="J715" s="238">
        <v>0.32235762917068039</v>
      </c>
      <c r="K715" s="238">
        <v>0.16099729857063147</v>
      </c>
      <c r="L715" s="69">
        <v>96.038728079112801</v>
      </c>
      <c r="M715" s="69">
        <v>0</v>
      </c>
      <c r="N715" s="69">
        <v>220.82529142604949</v>
      </c>
      <c r="O715" s="69">
        <v>220.82529142604949</v>
      </c>
      <c r="P715" s="69">
        <v>220.82529142604949</v>
      </c>
      <c r="Q715" s="69">
        <v>220.82529142604949</v>
      </c>
      <c r="R715" s="69">
        <v>220.82529142604949</v>
      </c>
      <c r="S715" s="69">
        <v>220.82529142604949</v>
      </c>
      <c r="T715" s="69">
        <v>220.82529142604949</v>
      </c>
      <c r="U715" s="69">
        <v>220.82529142604949</v>
      </c>
      <c r="V715" s="69">
        <v>220.82529142604949</v>
      </c>
      <c r="W715" s="69">
        <v>220.82529142604949</v>
      </c>
      <c r="X715" s="69">
        <v>220.82529142604949</v>
      </c>
      <c r="Y715" s="69">
        <v>220.82529142604949</v>
      </c>
      <c r="Z715" s="69">
        <v>220.82529142604949</v>
      </c>
      <c r="AA715" s="69">
        <v>220.82529142604949</v>
      </c>
      <c r="AB715" s="69">
        <v>220.82529142604949</v>
      </c>
      <c r="AC715" s="69">
        <v>220.82529142604949</v>
      </c>
      <c r="AD715" s="69">
        <v>220.82529142604949</v>
      </c>
      <c r="AE715" s="69">
        <v>220.82529142604949</v>
      </c>
      <c r="AF715" s="69">
        <v>220.82529142604949</v>
      </c>
      <c r="AG715" s="69">
        <v>220.82529142604949</v>
      </c>
    </row>
    <row r="716" spans="1:33" ht="12.75" customHeight="1">
      <c r="A716" s="231" t="s">
        <v>2376</v>
      </c>
      <c r="B716" s="69" t="s">
        <v>258</v>
      </c>
      <c r="C716" s="69" t="s">
        <v>186</v>
      </c>
      <c r="D716" s="69" t="s">
        <v>259</v>
      </c>
      <c r="E716" s="69" t="s">
        <v>260</v>
      </c>
      <c r="F716" s="69" t="s">
        <v>157</v>
      </c>
      <c r="G716" s="69" t="s">
        <v>192</v>
      </c>
      <c r="H716" s="69" t="s">
        <v>805</v>
      </c>
      <c r="I716" s="69">
        <v>1</v>
      </c>
      <c r="J716" s="238">
        <v>0.21868155325388869</v>
      </c>
      <c r="K716" s="238">
        <v>0</v>
      </c>
      <c r="L716" s="69">
        <v>224.75395225464192</v>
      </c>
      <c r="M716" s="69">
        <v>-5.2201591511936343</v>
      </c>
      <c r="N716" s="69">
        <v>0</v>
      </c>
      <c r="O716" s="69">
        <v>0</v>
      </c>
      <c r="P716" s="69">
        <v>0</v>
      </c>
      <c r="Q716" s="69">
        <v>3.8313008130098756</v>
      </c>
      <c r="R716" s="69">
        <v>3.8313008130098756</v>
      </c>
      <c r="S716" s="69">
        <v>3.8313008130098756</v>
      </c>
      <c r="T716" s="69">
        <v>3.8313008130098756</v>
      </c>
      <c r="U716" s="69">
        <v>3.8313008130098756</v>
      </c>
      <c r="V716" s="69">
        <v>3.8313008130098756</v>
      </c>
      <c r="W716" s="69">
        <v>3.8313008130098756</v>
      </c>
      <c r="X716" s="69">
        <v>3.8313008130098756</v>
      </c>
      <c r="Y716" s="69">
        <v>3.8313008130098756</v>
      </c>
      <c r="Z716" s="69">
        <v>3.8313008130098756</v>
      </c>
      <c r="AA716" s="69">
        <v>3.8313008130098756</v>
      </c>
      <c r="AB716" s="69">
        <v>3.8313008130098756</v>
      </c>
      <c r="AC716" s="69">
        <v>3.8313008130098756</v>
      </c>
      <c r="AD716" s="69">
        <v>3.8313008130098756</v>
      </c>
      <c r="AE716" s="69">
        <v>3.8313008130098756</v>
      </c>
      <c r="AF716" s="69">
        <v>3.8313008130098756</v>
      </c>
      <c r="AG716" s="69">
        <v>3.8313008130098756</v>
      </c>
    </row>
    <row r="717" spans="1:33" ht="12.75" customHeight="1">
      <c r="A717" s="231" t="s">
        <v>2376</v>
      </c>
      <c r="B717" s="69" t="s">
        <v>261</v>
      </c>
      <c r="C717" s="69" t="s">
        <v>186</v>
      </c>
      <c r="D717" s="69" t="s">
        <v>259</v>
      </c>
      <c r="E717" s="69" t="s">
        <v>203</v>
      </c>
      <c r="F717" s="69" t="s">
        <v>157</v>
      </c>
      <c r="G717" s="69" t="s">
        <v>192</v>
      </c>
      <c r="H717" s="69" t="s">
        <v>805</v>
      </c>
      <c r="I717" s="69">
        <v>1</v>
      </c>
      <c r="J717" s="238">
        <v>0.23561922263058244</v>
      </c>
      <c r="K717" s="238">
        <v>0</v>
      </c>
      <c r="L717" s="69">
        <v>208.59734121122602</v>
      </c>
      <c r="M717" s="69">
        <v>-4.8449039881831615</v>
      </c>
      <c r="N717" s="69">
        <v>10.320121951219335</v>
      </c>
      <c r="O717" s="69">
        <v>10.320121951219335</v>
      </c>
      <c r="P717" s="69">
        <v>10.320121951219335</v>
      </c>
      <c r="Q717" s="69">
        <v>10.320121951219335</v>
      </c>
      <c r="R717" s="69">
        <v>10.320121951219335</v>
      </c>
      <c r="S717" s="69">
        <v>10.320121951219335</v>
      </c>
      <c r="T717" s="69">
        <v>10.320121951219335</v>
      </c>
      <c r="U717" s="69">
        <v>10.320121951219335</v>
      </c>
      <c r="V717" s="69">
        <v>10.320121951219335</v>
      </c>
      <c r="W717" s="69">
        <v>10.320121951219335</v>
      </c>
      <c r="X717" s="69">
        <v>10.320121951219335</v>
      </c>
      <c r="Y717" s="69">
        <v>10.320121951219335</v>
      </c>
      <c r="Z717" s="69">
        <v>10.320121951219335</v>
      </c>
      <c r="AA717" s="69">
        <v>10.320121951219335</v>
      </c>
      <c r="AB717" s="69">
        <v>10.320121951219335</v>
      </c>
      <c r="AC717" s="69">
        <v>10.320121951219335</v>
      </c>
      <c r="AD717" s="69">
        <v>10.320121951219335</v>
      </c>
      <c r="AE717" s="69">
        <v>10.320121951219335</v>
      </c>
      <c r="AF717" s="69">
        <v>10.320121951219335</v>
      </c>
      <c r="AG717" s="69">
        <v>10.320121951219335</v>
      </c>
    </row>
    <row r="718" spans="1:33" ht="12.75" customHeight="1">
      <c r="A718" s="231" t="s">
        <v>2376</v>
      </c>
      <c r="B718" s="69" t="s">
        <v>263</v>
      </c>
      <c r="C718" s="69" t="s">
        <v>187</v>
      </c>
      <c r="D718" s="69" t="s">
        <v>191</v>
      </c>
      <c r="E718" s="69" t="s">
        <v>191</v>
      </c>
      <c r="F718" s="69" t="s">
        <v>165</v>
      </c>
      <c r="G718" s="69" t="s">
        <v>201</v>
      </c>
      <c r="H718" s="69" t="s">
        <v>2417</v>
      </c>
      <c r="I718" s="69">
        <v>1</v>
      </c>
      <c r="J718" s="238">
        <v>0.2668262983999703</v>
      </c>
      <c r="K718" s="238">
        <v>0.75151071165035721</v>
      </c>
      <c r="L718" s="69">
        <v>173.23511247417511</v>
      </c>
      <c r="M718" s="69">
        <v>0</v>
      </c>
      <c r="N718" s="69">
        <v>0</v>
      </c>
      <c r="O718" s="69">
        <v>0</v>
      </c>
      <c r="P718" s="69">
        <v>0</v>
      </c>
      <c r="Q718" s="69">
        <v>0</v>
      </c>
      <c r="R718" s="69">
        <v>467.47967479674838</v>
      </c>
      <c r="S718" s="69">
        <v>467.47967479674838</v>
      </c>
      <c r="T718" s="69">
        <v>467.47967479674838</v>
      </c>
      <c r="U718" s="69">
        <v>467.47967479674838</v>
      </c>
      <c r="V718" s="69">
        <v>467.47967479674838</v>
      </c>
      <c r="W718" s="69">
        <v>467.47967479674838</v>
      </c>
      <c r="X718" s="69">
        <v>467.47967479674838</v>
      </c>
      <c r="Y718" s="69">
        <v>467.47967479674838</v>
      </c>
      <c r="Z718" s="69">
        <v>467.47967479674838</v>
      </c>
      <c r="AA718" s="69">
        <v>467.47967479674838</v>
      </c>
      <c r="AB718" s="69">
        <v>467.47967479674838</v>
      </c>
      <c r="AC718" s="69">
        <v>467.47967479674838</v>
      </c>
      <c r="AD718" s="69">
        <v>467.47967479674838</v>
      </c>
      <c r="AE718" s="69">
        <v>467.47967479674838</v>
      </c>
      <c r="AF718" s="69">
        <v>467.47967479674838</v>
      </c>
      <c r="AG718" s="69">
        <v>467.47967479674838</v>
      </c>
    </row>
    <row r="719" spans="1:33" ht="12.75" customHeight="1">
      <c r="A719" s="231" t="s">
        <v>2376</v>
      </c>
      <c r="B719" s="69" t="s">
        <v>265</v>
      </c>
      <c r="C719" s="69" t="s">
        <v>187</v>
      </c>
      <c r="D719" s="69" t="s">
        <v>191</v>
      </c>
      <c r="E719" s="69" t="s">
        <v>191</v>
      </c>
      <c r="F719" s="69" t="s">
        <v>165</v>
      </c>
      <c r="G719" s="69" t="s">
        <v>201</v>
      </c>
      <c r="H719" s="69" t="s">
        <v>2417</v>
      </c>
      <c r="I719" s="69">
        <v>1</v>
      </c>
      <c r="J719" s="238">
        <v>0.2668262983999703</v>
      </c>
      <c r="K719" s="238">
        <v>0.75151071165035721</v>
      </c>
      <c r="L719" s="69">
        <v>173.23511247417511</v>
      </c>
      <c r="M719" s="69">
        <v>0</v>
      </c>
      <c r="N719" s="69">
        <v>0</v>
      </c>
      <c r="O719" s="69">
        <v>0</v>
      </c>
      <c r="P719" s="69">
        <v>0</v>
      </c>
      <c r="Q719" s="69">
        <v>0</v>
      </c>
      <c r="R719" s="69">
        <v>0</v>
      </c>
      <c r="S719" s="69">
        <v>467.47967479674838</v>
      </c>
      <c r="T719" s="69">
        <v>467.47967479674838</v>
      </c>
      <c r="U719" s="69">
        <v>467.47967479674838</v>
      </c>
      <c r="V719" s="69">
        <v>467.47967479674838</v>
      </c>
      <c r="W719" s="69">
        <v>467.47967479674838</v>
      </c>
      <c r="X719" s="69">
        <v>467.47967479674838</v>
      </c>
      <c r="Y719" s="69">
        <v>467.47967479674838</v>
      </c>
      <c r="Z719" s="69">
        <v>467.47967479674838</v>
      </c>
      <c r="AA719" s="69">
        <v>467.47967479674838</v>
      </c>
      <c r="AB719" s="69">
        <v>467.47967479674838</v>
      </c>
      <c r="AC719" s="69">
        <v>467.47967479674838</v>
      </c>
      <c r="AD719" s="69">
        <v>467.47967479674838</v>
      </c>
      <c r="AE719" s="69">
        <v>467.47967479674838</v>
      </c>
      <c r="AF719" s="69">
        <v>467.47967479674838</v>
      </c>
      <c r="AG719" s="69">
        <v>467.47967479674838</v>
      </c>
    </row>
    <row r="720" spans="1:33" ht="12.75" customHeight="1">
      <c r="A720" s="231" t="s">
        <v>2376</v>
      </c>
      <c r="B720" s="69" t="s">
        <v>266</v>
      </c>
      <c r="C720" s="69" t="s">
        <v>184</v>
      </c>
      <c r="D720" s="69" t="s">
        <v>140</v>
      </c>
      <c r="E720" s="69" t="s">
        <v>191</v>
      </c>
      <c r="F720" s="69" t="s">
        <v>167</v>
      </c>
      <c r="G720" s="69" t="s">
        <v>192</v>
      </c>
      <c r="H720" s="69" t="s">
        <v>806</v>
      </c>
      <c r="I720" s="69">
        <v>1</v>
      </c>
      <c r="J720" s="238">
        <v>0.8</v>
      </c>
      <c r="K720" s="238">
        <v>0</v>
      </c>
      <c r="L720" s="69">
        <v>114.19797366361543</v>
      </c>
      <c r="M720" s="69">
        <v>0</v>
      </c>
      <c r="N720" s="69">
        <v>0</v>
      </c>
      <c r="O720" s="69">
        <v>14.015999999999622</v>
      </c>
      <c r="P720" s="69">
        <v>14.015999999999622</v>
      </c>
      <c r="Q720" s="69">
        <v>14.015999999999622</v>
      </c>
      <c r="R720" s="69">
        <v>14.015999999999622</v>
      </c>
      <c r="S720" s="69">
        <v>14.015999999999622</v>
      </c>
      <c r="T720" s="69">
        <v>14.015999999999622</v>
      </c>
      <c r="U720" s="69">
        <v>14.015999999999622</v>
      </c>
      <c r="V720" s="69">
        <v>14.015999999999622</v>
      </c>
      <c r="W720" s="69">
        <v>14.015999999999622</v>
      </c>
      <c r="X720" s="69">
        <v>14.015999999999622</v>
      </c>
      <c r="Y720" s="69">
        <v>14.015999999999622</v>
      </c>
      <c r="Z720" s="69">
        <v>14.015999999999622</v>
      </c>
      <c r="AA720" s="69">
        <v>14.015999999999622</v>
      </c>
      <c r="AB720" s="69">
        <v>14.015999999999622</v>
      </c>
      <c r="AC720" s="69">
        <v>14.015999999999622</v>
      </c>
      <c r="AD720" s="69">
        <v>14.015999999999622</v>
      </c>
      <c r="AE720" s="69">
        <v>14.015999999999622</v>
      </c>
      <c r="AF720" s="69">
        <v>14.015999999999622</v>
      </c>
      <c r="AG720" s="69">
        <v>14.015999999999622</v>
      </c>
    </row>
    <row r="721" spans="1:33" ht="12.75" customHeight="1">
      <c r="A721" s="231" t="s">
        <v>2376</v>
      </c>
      <c r="B721" s="69" t="s">
        <v>267</v>
      </c>
      <c r="C721" s="69" t="s">
        <v>185</v>
      </c>
      <c r="D721" s="69" t="s">
        <v>205</v>
      </c>
      <c r="E721" s="69" t="s">
        <v>203</v>
      </c>
      <c r="F721" s="69" t="s">
        <v>155</v>
      </c>
      <c r="G721" s="69" t="s">
        <v>192</v>
      </c>
      <c r="H721" s="69" t="s">
        <v>805</v>
      </c>
      <c r="I721" s="69">
        <v>1</v>
      </c>
      <c r="J721" s="238">
        <v>0.23499999999999996</v>
      </c>
      <c r="K721" s="238">
        <v>0.49648345467934024</v>
      </c>
      <c r="L721" s="69">
        <v>166.98446712238427</v>
      </c>
      <c r="M721" s="69">
        <v>0</v>
      </c>
      <c r="N721" s="69">
        <v>0</v>
      </c>
      <c r="O721" s="69">
        <v>308.79000000000087</v>
      </c>
      <c r="P721" s="69">
        <v>308.79000000000087</v>
      </c>
      <c r="Q721" s="69">
        <v>308.79000000000087</v>
      </c>
      <c r="R721" s="69">
        <v>308.79000000000087</v>
      </c>
      <c r="S721" s="69">
        <v>308.79000000000087</v>
      </c>
      <c r="T721" s="69">
        <v>308.79000000000087</v>
      </c>
      <c r="U721" s="69">
        <v>308.79000000000087</v>
      </c>
      <c r="V721" s="69">
        <v>308.79000000000087</v>
      </c>
      <c r="W721" s="69">
        <v>308.79000000000087</v>
      </c>
      <c r="X721" s="69">
        <v>308.79000000000087</v>
      </c>
      <c r="Y721" s="69">
        <v>308.79000000000087</v>
      </c>
      <c r="Z721" s="69">
        <v>308.79000000000087</v>
      </c>
      <c r="AA721" s="69">
        <v>308.79000000000087</v>
      </c>
      <c r="AB721" s="69">
        <v>308.79000000000087</v>
      </c>
      <c r="AC721" s="69">
        <v>308.79000000000087</v>
      </c>
      <c r="AD721" s="69">
        <v>308.79000000000087</v>
      </c>
      <c r="AE721" s="69">
        <v>308.79000000000087</v>
      </c>
      <c r="AF721" s="69">
        <v>308.79000000000087</v>
      </c>
      <c r="AG721" s="69">
        <v>308.79000000000087</v>
      </c>
    </row>
    <row r="722" spans="1:33" ht="12.75" customHeight="1">
      <c r="A722" s="231" t="s">
        <v>2376</v>
      </c>
      <c r="B722" s="69" t="s">
        <v>268</v>
      </c>
      <c r="C722" s="69" t="s">
        <v>185</v>
      </c>
      <c r="D722" s="69" t="s">
        <v>205</v>
      </c>
      <c r="E722" s="69" t="s">
        <v>203</v>
      </c>
      <c r="F722" s="69" t="s">
        <v>155</v>
      </c>
      <c r="G722" s="69" t="s">
        <v>192</v>
      </c>
      <c r="H722" s="69" t="s">
        <v>805</v>
      </c>
      <c r="I722" s="69">
        <v>1</v>
      </c>
      <c r="J722" s="238">
        <v>0.23499999999999999</v>
      </c>
      <c r="K722" s="238">
        <v>0.49648345467934019</v>
      </c>
      <c r="L722" s="69">
        <v>166.98446712238427</v>
      </c>
      <c r="M722" s="69">
        <v>0</v>
      </c>
      <c r="N722" s="69">
        <v>0</v>
      </c>
      <c r="O722" s="69">
        <v>0</v>
      </c>
      <c r="P722" s="69">
        <v>0</v>
      </c>
      <c r="Q722" s="69">
        <v>308.79000000000087</v>
      </c>
      <c r="R722" s="69">
        <v>308.79000000000087</v>
      </c>
      <c r="S722" s="69">
        <v>823.44000000000017</v>
      </c>
      <c r="T722" s="69">
        <v>823.44000000000017</v>
      </c>
      <c r="U722" s="69">
        <v>823.44000000000017</v>
      </c>
      <c r="V722" s="69">
        <v>823.44000000000017</v>
      </c>
      <c r="W722" s="69">
        <v>823.44000000000017</v>
      </c>
      <c r="X722" s="69">
        <v>823.44000000000017</v>
      </c>
      <c r="Y722" s="69">
        <v>823.44000000000017</v>
      </c>
      <c r="Z722" s="69">
        <v>823.44000000000017</v>
      </c>
      <c r="AA722" s="69">
        <v>823.44000000000017</v>
      </c>
      <c r="AB722" s="69">
        <v>823.44000000000017</v>
      </c>
      <c r="AC722" s="69">
        <v>823.44000000000017</v>
      </c>
      <c r="AD722" s="69">
        <v>823.44000000000017</v>
      </c>
      <c r="AE722" s="69">
        <v>823.44000000000017</v>
      </c>
      <c r="AF722" s="69">
        <v>823.44000000000017</v>
      </c>
      <c r="AG722" s="69">
        <v>823.44000000000017</v>
      </c>
    </row>
    <row r="723" spans="1:33" ht="12.75" customHeight="1">
      <c r="A723" s="231" t="s">
        <v>2376</v>
      </c>
      <c r="B723" s="69" t="s">
        <v>269</v>
      </c>
      <c r="C723" s="69" t="s">
        <v>185</v>
      </c>
      <c r="D723" s="69" t="s">
        <v>193</v>
      </c>
      <c r="E723" s="69" t="s">
        <v>203</v>
      </c>
      <c r="F723" s="69" t="s">
        <v>155</v>
      </c>
      <c r="G723" s="69" t="s">
        <v>192</v>
      </c>
      <c r="H723" s="69" t="s">
        <v>805</v>
      </c>
      <c r="I723" s="69">
        <v>1</v>
      </c>
      <c r="J723" s="238">
        <v>0.26649999999999996</v>
      </c>
      <c r="K723" s="238">
        <v>0.63277303047366895</v>
      </c>
      <c r="L723" s="69">
        <v>173.91260768823273</v>
      </c>
      <c r="M723" s="69">
        <v>0</v>
      </c>
      <c r="N723" s="69">
        <v>0</v>
      </c>
      <c r="O723" s="69">
        <v>0</v>
      </c>
      <c r="P723" s="69">
        <v>0</v>
      </c>
      <c r="Q723" s="69">
        <v>0</v>
      </c>
      <c r="R723" s="69">
        <v>0</v>
      </c>
      <c r="S723" s="69">
        <v>49.025339999999929</v>
      </c>
      <c r="T723" s="69">
        <v>49.025339999999929</v>
      </c>
      <c r="U723" s="69">
        <v>49.025339999999929</v>
      </c>
      <c r="V723" s="69">
        <v>49.025339999999929</v>
      </c>
      <c r="W723" s="69">
        <v>49.025339999999929</v>
      </c>
      <c r="X723" s="69">
        <v>49.025339999999929</v>
      </c>
      <c r="Y723" s="69">
        <v>49.025339999999929</v>
      </c>
      <c r="Z723" s="69">
        <v>49.025339999999929</v>
      </c>
      <c r="AA723" s="69">
        <v>49.025339999999929</v>
      </c>
      <c r="AB723" s="69">
        <v>49.025339999999929</v>
      </c>
      <c r="AC723" s="69">
        <v>49.025339999999929</v>
      </c>
      <c r="AD723" s="69">
        <v>49.025339999999929</v>
      </c>
      <c r="AE723" s="69">
        <v>49.025339999999929</v>
      </c>
      <c r="AF723" s="69">
        <v>49.025339999999929</v>
      </c>
      <c r="AG723" s="69">
        <v>49.025339999999929</v>
      </c>
    </row>
    <row r="724" spans="1:33" ht="12.75" customHeight="1">
      <c r="A724" s="231" t="s">
        <v>2376</v>
      </c>
      <c r="B724" s="69" t="s">
        <v>270</v>
      </c>
      <c r="C724" s="69" t="s">
        <v>185</v>
      </c>
      <c r="D724" s="69" t="s">
        <v>193</v>
      </c>
      <c r="E724" s="69" t="s">
        <v>203</v>
      </c>
      <c r="F724" s="69" t="s">
        <v>155</v>
      </c>
      <c r="G724" s="69" t="s">
        <v>192</v>
      </c>
      <c r="H724" s="69" t="s">
        <v>805</v>
      </c>
      <c r="I724" s="69">
        <v>1</v>
      </c>
      <c r="J724" s="238">
        <v>0.26649999999999996</v>
      </c>
      <c r="K724" s="238">
        <v>0.63277303047366895</v>
      </c>
      <c r="L724" s="69">
        <v>173.91260768823275</v>
      </c>
      <c r="M724" s="69">
        <v>0</v>
      </c>
      <c r="N724" s="69">
        <v>0</v>
      </c>
      <c r="O724" s="69">
        <v>0</v>
      </c>
      <c r="P724" s="69">
        <v>0</v>
      </c>
      <c r="Q724" s="69">
        <v>0</v>
      </c>
      <c r="R724" s="69">
        <v>0</v>
      </c>
      <c r="S724" s="69">
        <v>147.07601999999977</v>
      </c>
      <c r="T724" s="69">
        <v>147.07601999999977</v>
      </c>
      <c r="U724" s="69">
        <v>147.07601999999977</v>
      </c>
      <c r="V724" s="69">
        <v>147.07601999999977</v>
      </c>
      <c r="W724" s="69">
        <v>147.07601999999977</v>
      </c>
      <c r="X724" s="69">
        <v>147.07601999999977</v>
      </c>
      <c r="Y724" s="69">
        <v>147.07601999999977</v>
      </c>
      <c r="Z724" s="69">
        <v>147.07601999999977</v>
      </c>
      <c r="AA724" s="69">
        <v>147.07601999999977</v>
      </c>
      <c r="AB724" s="69">
        <v>147.07601999999977</v>
      </c>
      <c r="AC724" s="69">
        <v>147.07601999999977</v>
      </c>
      <c r="AD724" s="69">
        <v>147.07601999999977</v>
      </c>
      <c r="AE724" s="69">
        <v>147.07601999999977</v>
      </c>
      <c r="AF724" s="69">
        <v>147.07601999999977</v>
      </c>
      <c r="AG724" s="69">
        <v>147.07601999999977</v>
      </c>
    </row>
    <row r="725" spans="1:33" ht="12.75" customHeight="1">
      <c r="A725" s="231" t="s">
        <v>2376</v>
      </c>
      <c r="B725" s="69" t="s">
        <v>271</v>
      </c>
      <c r="C725" s="69" t="s">
        <v>185</v>
      </c>
      <c r="D725" s="69" t="s">
        <v>193</v>
      </c>
      <c r="E725" s="69" t="s">
        <v>203</v>
      </c>
      <c r="F725" s="69" t="s">
        <v>155</v>
      </c>
      <c r="G725" s="69" t="s">
        <v>192</v>
      </c>
      <c r="H725" s="69" t="s">
        <v>805</v>
      </c>
      <c r="I725" s="69">
        <v>1</v>
      </c>
      <c r="J725" s="238">
        <v>0.26649999999999996</v>
      </c>
      <c r="K725" s="238">
        <v>0.63277303047366895</v>
      </c>
      <c r="L725" s="69">
        <v>173.91260768823275</v>
      </c>
      <c r="M725" s="69">
        <v>0</v>
      </c>
      <c r="N725" s="69">
        <v>0</v>
      </c>
      <c r="O725" s="69">
        <v>0</v>
      </c>
      <c r="P725" s="69">
        <v>0</v>
      </c>
      <c r="Q725" s="69">
        <v>0</v>
      </c>
      <c r="R725" s="69">
        <v>0</v>
      </c>
      <c r="S725" s="69">
        <v>294.15203999999954</v>
      </c>
      <c r="T725" s="69">
        <v>294.15203999999954</v>
      </c>
      <c r="U725" s="69">
        <v>294.15203999999954</v>
      </c>
      <c r="V725" s="69">
        <v>294.15203999999954</v>
      </c>
      <c r="W725" s="69">
        <v>294.15203999999954</v>
      </c>
      <c r="X725" s="69">
        <v>294.15203999999954</v>
      </c>
      <c r="Y725" s="69">
        <v>294.15203999999954</v>
      </c>
      <c r="Z725" s="69">
        <v>294.15203999999954</v>
      </c>
      <c r="AA725" s="69">
        <v>294.15203999999954</v>
      </c>
      <c r="AB725" s="69">
        <v>294.15203999999954</v>
      </c>
      <c r="AC725" s="69">
        <v>294.15203999999954</v>
      </c>
      <c r="AD725" s="69">
        <v>294.15203999999954</v>
      </c>
      <c r="AE725" s="69">
        <v>294.15203999999954</v>
      </c>
      <c r="AF725" s="69">
        <v>294.15203999999954</v>
      </c>
      <c r="AG725" s="69">
        <v>294.15203999999954</v>
      </c>
    </row>
    <row r="726" spans="1:33" ht="12.75" customHeight="1">
      <c r="A726" s="231" t="s">
        <v>2376</v>
      </c>
      <c r="B726" s="69" t="s">
        <v>272</v>
      </c>
      <c r="C726" s="69" t="s">
        <v>139</v>
      </c>
      <c r="D726" s="69" t="s">
        <v>191</v>
      </c>
      <c r="E726" s="69" t="s">
        <v>191</v>
      </c>
      <c r="F726" s="69" t="s">
        <v>167</v>
      </c>
      <c r="G726" s="69" t="s">
        <v>192</v>
      </c>
      <c r="H726" s="69" t="s">
        <v>805</v>
      </c>
      <c r="I726" s="69">
        <v>1</v>
      </c>
      <c r="J726" s="238">
        <v>0.84999999999999987</v>
      </c>
      <c r="K726" s="238">
        <v>0.66</v>
      </c>
      <c r="L726" s="69">
        <v>127.99027888971092</v>
      </c>
      <c r="M726" s="69">
        <v>0</v>
      </c>
      <c r="N726" s="69">
        <v>0</v>
      </c>
      <c r="O726" s="69">
        <v>0</v>
      </c>
      <c r="P726" s="69">
        <v>327.6239999999998</v>
      </c>
      <c r="Q726" s="69">
        <v>327.6239999999998</v>
      </c>
      <c r="R726" s="69">
        <v>327.6239999999998</v>
      </c>
      <c r="S726" s="69">
        <v>327.6239999999998</v>
      </c>
      <c r="T726" s="69">
        <v>327.6239999999998</v>
      </c>
      <c r="U726" s="69">
        <v>327.6239999999998</v>
      </c>
      <c r="V726" s="69">
        <v>327.6239999999998</v>
      </c>
      <c r="W726" s="69">
        <v>327.6239999999998</v>
      </c>
      <c r="X726" s="69">
        <v>327.6239999999998</v>
      </c>
      <c r="Y726" s="69">
        <v>327.6239999999998</v>
      </c>
      <c r="Z726" s="69">
        <v>327.6239999999998</v>
      </c>
      <c r="AA726" s="69">
        <v>327.6239999999998</v>
      </c>
      <c r="AB726" s="69">
        <v>327.6239999999998</v>
      </c>
      <c r="AC726" s="69">
        <v>327.6239999999998</v>
      </c>
      <c r="AD726" s="69">
        <v>327.6239999999998</v>
      </c>
      <c r="AE726" s="69">
        <v>327.6239999999998</v>
      </c>
      <c r="AF726" s="69">
        <v>327.6239999999998</v>
      </c>
      <c r="AG726" s="69">
        <v>327.6239999999998</v>
      </c>
    </row>
    <row r="727" spans="1:33" ht="12.75" customHeight="1">
      <c r="A727" s="231" t="s">
        <v>2376</v>
      </c>
      <c r="B727" s="69" t="s">
        <v>273</v>
      </c>
      <c r="C727" s="69" t="s">
        <v>185</v>
      </c>
      <c r="D727" s="69" t="s">
        <v>193</v>
      </c>
      <c r="E727" s="69" t="s">
        <v>194</v>
      </c>
      <c r="F727" s="69" t="s">
        <v>165</v>
      </c>
      <c r="G727" s="69" t="s">
        <v>201</v>
      </c>
      <c r="H727" s="69" t="s">
        <v>2417</v>
      </c>
      <c r="I727" s="69">
        <v>1</v>
      </c>
      <c r="J727" s="238">
        <v>0.28999999999999998</v>
      </c>
      <c r="K727" s="238">
        <v>0.63437109007818515</v>
      </c>
      <c r="L727" s="69">
        <v>144.14559944117298</v>
      </c>
      <c r="M727" s="69">
        <v>0</v>
      </c>
      <c r="N727" s="69">
        <v>101.61599999999999</v>
      </c>
      <c r="O727" s="69">
        <v>101.61599999999999</v>
      </c>
      <c r="P727" s="69">
        <v>101.61599999999999</v>
      </c>
      <c r="Q727" s="69">
        <v>101.61599999999999</v>
      </c>
      <c r="R727" s="69">
        <v>101.61599999999999</v>
      </c>
      <c r="S727" s="69">
        <v>101.61599999999999</v>
      </c>
      <c r="T727" s="69">
        <v>101.61599999999999</v>
      </c>
      <c r="U727" s="69">
        <v>101.61599999999999</v>
      </c>
      <c r="V727" s="69">
        <v>101.61599999999999</v>
      </c>
      <c r="W727" s="69">
        <v>101.61599999999999</v>
      </c>
      <c r="X727" s="69">
        <v>101.61599999999999</v>
      </c>
      <c r="Y727" s="69">
        <v>101.61599999999999</v>
      </c>
      <c r="Z727" s="69">
        <v>101.61599999999999</v>
      </c>
      <c r="AA727" s="69">
        <v>101.61599999999999</v>
      </c>
      <c r="AB727" s="69">
        <v>101.61599999999999</v>
      </c>
      <c r="AC727" s="69">
        <v>101.61599999999999</v>
      </c>
      <c r="AD727" s="69">
        <v>101.61599999999999</v>
      </c>
      <c r="AE727" s="69">
        <v>101.61599999999999</v>
      </c>
      <c r="AF727" s="69">
        <v>101.61599999999999</v>
      </c>
      <c r="AG727" s="69">
        <v>101.61599999999999</v>
      </c>
    </row>
    <row r="728" spans="1:33" ht="12.75" customHeight="1">
      <c r="A728" s="231" t="s">
        <v>2376</v>
      </c>
      <c r="B728" s="69" t="s">
        <v>274</v>
      </c>
      <c r="C728" s="69" t="s">
        <v>185</v>
      </c>
      <c r="D728" s="69" t="s">
        <v>193</v>
      </c>
      <c r="E728" s="69" t="s">
        <v>194</v>
      </c>
      <c r="F728" s="69" t="s">
        <v>165</v>
      </c>
      <c r="G728" s="69" t="s">
        <v>201</v>
      </c>
      <c r="H728" s="69" t="s">
        <v>2417</v>
      </c>
      <c r="I728" s="69">
        <v>1</v>
      </c>
      <c r="J728" s="238">
        <v>0.28999999999999998</v>
      </c>
      <c r="K728" s="238">
        <v>0.63437109007818515</v>
      </c>
      <c r="L728" s="69">
        <v>144.14559944117298</v>
      </c>
      <c r="M728" s="69">
        <v>0</v>
      </c>
      <c r="N728" s="69">
        <v>0</v>
      </c>
      <c r="O728" s="69">
        <v>25.404000000000455</v>
      </c>
      <c r="P728" s="69">
        <v>25.404000000000455</v>
      </c>
      <c r="Q728" s="69">
        <v>25.404000000000455</v>
      </c>
      <c r="R728" s="69">
        <v>25.404000000000455</v>
      </c>
      <c r="S728" s="69">
        <v>25.404000000000455</v>
      </c>
      <c r="T728" s="69">
        <v>25.404000000000455</v>
      </c>
      <c r="U728" s="69">
        <v>25.404000000000455</v>
      </c>
      <c r="V728" s="69">
        <v>25.404000000000455</v>
      </c>
      <c r="W728" s="69">
        <v>25.404000000000455</v>
      </c>
      <c r="X728" s="69">
        <v>25.404000000000455</v>
      </c>
      <c r="Y728" s="69">
        <v>25.404000000000455</v>
      </c>
      <c r="Z728" s="69">
        <v>25.404000000000455</v>
      </c>
      <c r="AA728" s="69">
        <v>25.404000000000455</v>
      </c>
      <c r="AB728" s="69">
        <v>25.404000000000455</v>
      </c>
      <c r="AC728" s="69">
        <v>25.404000000000455</v>
      </c>
      <c r="AD728" s="69">
        <v>25.404000000000455</v>
      </c>
      <c r="AE728" s="69">
        <v>25.404000000000455</v>
      </c>
      <c r="AF728" s="69">
        <v>25.404000000000455</v>
      </c>
      <c r="AG728" s="69">
        <v>25.404000000000455</v>
      </c>
    </row>
    <row r="729" spans="1:33" ht="12.75" customHeight="1">
      <c r="A729" s="231" t="s">
        <v>2376</v>
      </c>
      <c r="B729" s="69" t="s">
        <v>275</v>
      </c>
      <c r="C729" s="69" t="s">
        <v>137</v>
      </c>
      <c r="D729" s="69" t="s">
        <v>191</v>
      </c>
      <c r="E729" s="69" t="s">
        <v>191</v>
      </c>
      <c r="F729" s="69" t="s">
        <v>169</v>
      </c>
      <c r="G729" s="69" t="s">
        <v>192</v>
      </c>
      <c r="H729" s="69" t="s">
        <v>804</v>
      </c>
      <c r="I729" s="69">
        <v>1</v>
      </c>
      <c r="J729" s="238">
        <v>0.32235762917068039</v>
      </c>
      <c r="K729" s="238">
        <v>0.16115831843295012</v>
      </c>
      <c r="L729" s="69">
        <v>96.038728079112801</v>
      </c>
      <c r="M729" s="69">
        <v>0</v>
      </c>
      <c r="N729" s="69">
        <v>0</v>
      </c>
      <c r="O729" s="69">
        <v>0</v>
      </c>
      <c r="P729" s="69">
        <v>0</v>
      </c>
      <c r="Q729" s="69">
        <v>104.48255476680083</v>
      </c>
      <c r="R729" s="69">
        <v>104.48255476680083</v>
      </c>
      <c r="S729" s="69">
        <v>104.48255476680083</v>
      </c>
      <c r="T729" s="69">
        <v>104.48255476680083</v>
      </c>
      <c r="U729" s="69">
        <v>104.48255476680083</v>
      </c>
      <c r="V729" s="69">
        <v>104.48255476680083</v>
      </c>
      <c r="W729" s="69">
        <v>104.48255476680083</v>
      </c>
      <c r="X729" s="69">
        <v>104.48255476680083</v>
      </c>
      <c r="Y729" s="69">
        <v>104.48255476680083</v>
      </c>
      <c r="Z729" s="69">
        <v>104.48255476680083</v>
      </c>
      <c r="AA729" s="69">
        <v>104.48255476680083</v>
      </c>
      <c r="AB729" s="69">
        <v>104.48255476680083</v>
      </c>
      <c r="AC729" s="69">
        <v>104.48255476680083</v>
      </c>
      <c r="AD729" s="69">
        <v>104.48255476680083</v>
      </c>
      <c r="AE729" s="69">
        <v>104.48255476680083</v>
      </c>
      <c r="AF729" s="69">
        <v>104.48255476680083</v>
      </c>
      <c r="AG729" s="69">
        <v>104.48255476680083</v>
      </c>
    </row>
    <row r="730" spans="1:33" ht="12.75" customHeight="1">
      <c r="A730" s="231" t="s">
        <v>2376</v>
      </c>
      <c r="B730" s="69" t="s">
        <v>276</v>
      </c>
      <c r="C730" s="69" t="s">
        <v>187</v>
      </c>
      <c r="D730" s="69" t="s">
        <v>191</v>
      </c>
      <c r="E730" s="69" t="s">
        <v>191</v>
      </c>
      <c r="F730" s="69" t="s">
        <v>170</v>
      </c>
      <c r="G730" s="69" t="s">
        <v>192</v>
      </c>
      <c r="H730" s="69" t="s">
        <v>804</v>
      </c>
      <c r="I730" s="69">
        <v>1</v>
      </c>
      <c r="J730" s="238">
        <v>0.2668262983999703</v>
      </c>
      <c r="K730" s="238">
        <v>0.71679758500684321</v>
      </c>
      <c r="L730" s="69">
        <v>192.38629588063705</v>
      </c>
      <c r="M730" s="69">
        <v>0</v>
      </c>
      <c r="N730" s="69">
        <v>0</v>
      </c>
      <c r="O730" s="69">
        <v>0</v>
      </c>
      <c r="P730" s="69">
        <v>0</v>
      </c>
      <c r="Q730" s="69">
        <v>0</v>
      </c>
      <c r="R730" s="69">
        <v>0</v>
      </c>
      <c r="S730" s="69">
        <v>0</v>
      </c>
      <c r="T730" s="69">
        <v>642.78455284552911</v>
      </c>
      <c r="U730" s="69">
        <v>642.78455284552911</v>
      </c>
      <c r="V730" s="69">
        <v>642.78455284552911</v>
      </c>
      <c r="W730" s="69">
        <v>642.78455284552911</v>
      </c>
      <c r="X730" s="69">
        <v>642.78455284552911</v>
      </c>
      <c r="Y730" s="69">
        <v>642.78455284552911</v>
      </c>
      <c r="Z730" s="69">
        <v>642.78455284552911</v>
      </c>
      <c r="AA730" s="69">
        <v>642.78455284552911</v>
      </c>
      <c r="AB730" s="69">
        <v>642.78455284552911</v>
      </c>
      <c r="AC730" s="69">
        <v>642.78455284552911</v>
      </c>
      <c r="AD730" s="69">
        <v>642.78455284552911</v>
      </c>
      <c r="AE730" s="69">
        <v>642.78455284552911</v>
      </c>
      <c r="AF730" s="69">
        <v>642.78455284552911</v>
      </c>
      <c r="AG730" s="69">
        <v>642.78455284552911</v>
      </c>
    </row>
    <row r="731" spans="1:33" ht="12.75" customHeight="1">
      <c r="A731" s="231" t="s">
        <v>2376</v>
      </c>
      <c r="B731" s="69" t="s">
        <v>277</v>
      </c>
      <c r="C731" s="69" t="s">
        <v>137</v>
      </c>
      <c r="D731" s="69" t="s">
        <v>191</v>
      </c>
      <c r="E731" s="69" t="s">
        <v>191</v>
      </c>
      <c r="F731" s="69" t="s">
        <v>180</v>
      </c>
      <c r="G731" s="69" t="s">
        <v>192</v>
      </c>
      <c r="H731" s="69" t="s">
        <v>804</v>
      </c>
      <c r="I731" s="69">
        <v>1</v>
      </c>
      <c r="J731" s="238">
        <v>0.32235762917068039</v>
      </c>
      <c r="K731" s="238">
        <v>0.160195270625522</v>
      </c>
      <c r="L731" s="69">
        <v>96.038728079112801</v>
      </c>
      <c r="M731" s="69">
        <v>0</v>
      </c>
      <c r="N731" s="69">
        <v>0</v>
      </c>
      <c r="O731" s="69">
        <v>0</v>
      </c>
      <c r="P731" s="69">
        <v>0</v>
      </c>
      <c r="Q731" s="69">
        <v>0</v>
      </c>
      <c r="R731" s="69">
        <v>141.19264157675798</v>
      </c>
      <c r="S731" s="69">
        <v>141.19264157675798</v>
      </c>
      <c r="T731" s="69">
        <v>141.19264157675798</v>
      </c>
      <c r="U731" s="69">
        <v>141.19264157675798</v>
      </c>
      <c r="V731" s="69">
        <v>141.19264157675798</v>
      </c>
      <c r="W731" s="69">
        <v>141.19264157675798</v>
      </c>
      <c r="X731" s="69">
        <v>141.19264157675798</v>
      </c>
      <c r="Y731" s="69">
        <v>141.19264157675798</v>
      </c>
      <c r="Z731" s="69">
        <v>141.19264157675798</v>
      </c>
      <c r="AA731" s="69">
        <v>141.19264157675798</v>
      </c>
      <c r="AB731" s="69">
        <v>141.19264157675798</v>
      </c>
      <c r="AC731" s="69">
        <v>141.19264157675798</v>
      </c>
      <c r="AD731" s="69">
        <v>141.19264157675798</v>
      </c>
      <c r="AE731" s="69">
        <v>141.19264157675798</v>
      </c>
      <c r="AF731" s="69">
        <v>141.19264157675798</v>
      </c>
      <c r="AG731" s="69">
        <v>141.19264157675798</v>
      </c>
    </row>
    <row r="732" spans="1:33" ht="12.75" customHeight="1">
      <c r="A732" s="231" t="s">
        <v>2376</v>
      </c>
      <c r="B732" s="69" t="s">
        <v>278</v>
      </c>
      <c r="C732" s="69" t="s">
        <v>137</v>
      </c>
      <c r="D732" s="69" t="s">
        <v>191</v>
      </c>
      <c r="E732" s="69" t="s">
        <v>191</v>
      </c>
      <c r="F732" s="69" t="s">
        <v>180</v>
      </c>
      <c r="G732" s="69" t="s">
        <v>192</v>
      </c>
      <c r="H732" s="69" t="s">
        <v>804</v>
      </c>
      <c r="I732" s="69">
        <v>2</v>
      </c>
      <c r="J732" s="238">
        <v>0.32235762917068039</v>
      </c>
      <c r="K732" s="238">
        <v>0.160195270625522</v>
      </c>
      <c r="L732" s="69">
        <v>96.038728079112801</v>
      </c>
      <c r="M732" s="69">
        <v>0</v>
      </c>
      <c r="N732" s="69">
        <v>0</v>
      </c>
      <c r="O732" s="69">
        <v>0</v>
      </c>
      <c r="P732" s="69">
        <v>0</v>
      </c>
      <c r="Q732" s="69">
        <v>0</v>
      </c>
      <c r="R732" s="69">
        <v>51.591791232145624</v>
      </c>
      <c r="S732" s="69">
        <v>51.591791232145624</v>
      </c>
      <c r="T732" s="69">
        <v>51.591791232145624</v>
      </c>
      <c r="U732" s="69">
        <v>51.591791232145624</v>
      </c>
      <c r="V732" s="69">
        <v>51.591791232145624</v>
      </c>
      <c r="W732" s="69">
        <v>51.591791232145624</v>
      </c>
      <c r="X732" s="69">
        <v>51.591791232145624</v>
      </c>
      <c r="Y732" s="69">
        <v>51.591791232145624</v>
      </c>
      <c r="Z732" s="69">
        <v>51.591791232145624</v>
      </c>
      <c r="AA732" s="69">
        <v>51.591791232145624</v>
      </c>
      <c r="AB732" s="69">
        <v>51.591791232145624</v>
      </c>
      <c r="AC732" s="69">
        <v>51.591791232145624</v>
      </c>
      <c r="AD732" s="69">
        <v>51.591791232145624</v>
      </c>
      <c r="AE732" s="69">
        <v>51.591791232145624</v>
      </c>
      <c r="AF732" s="69">
        <v>51.591791232145624</v>
      </c>
      <c r="AG732" s="69">
        <v>51.591791232145624</v>
      </c>
    </row>
    <row r="733" spans="1:33" ht="12.75" customHeight="1">
      <c r="A733" s="231" t="s">
        <v>2376</v>
      </c>
      <c r="B733" s="69" t="s">
        <v>279</v>
      </c>
      <c r="C733" s="69" t="s">
        <v>137</v>
      </c>
      <c r="D733" s="69" t="s">
        <v>191</v>
      </c>
      <c r="E733" s="69" t="s">
        <v>191</v>
      </c>
      <c r="F733" s="69" t="s">
        <v>180</v>
      </c>
      <c r="G733" s="69" t="s">
        <v>192</v>
      </c>
      <c r="H733" s="69" t="s">
        <v>804</v>
      </c>
      <c r="I733" s="69">
        <v>1</v>
      </c>
      <c r="J733" s="238">
        <v>0.32235762917068039</v>
      </c>
      <c r="K733" s="238">
        <v>0.160195270625522</v>
      </c>
      <c r="L733" s="69">
        <v>96.038728079112801</v>
      </c>
      <c r="M733" s="69">
        <v>0</v>
      </c>
      <c r="N733" s="69">
        <v>0</v>
      </c>
      <c r="O733" s="69">
        <v>0</v>
      </c>
      <c r="P733" s="69">
        <v>0</v>
      </c>
      <c r="Q733" s="69">
        <v>0</v>
      </c>
      <c r="R733" s="69">
        <v>44.616874738255774</v>
      </c>
      <c r="S733" s="69">
        <v>44.616874738255774</v>
      </c>
      <c r="T733" s="69">
        <v>44.616874738255774</v>
      </c>
      <c r="U733" s="69">
        <v>44.616874738255774</v>
      </c>
      <c r="V733" s="69">
        <v>44.616874738255774</v>
      </c>
      <c r="W733" s="69">
        <v>44.616874738255774</v>
      </c>
      <c r="X733" s="69">
        <v>44.616874738255774</v>
      </c>
      <c r="Y733" s="69">
        <v>44.616874738255774</v>
      </c>
      <c r="Z733" s="69">
        <v>44.616874738255774</v>
      </c>
      <c r="AA733" s="69">
        <v>44.616874738255774</v>
      </c>
      <c r="AB733" s="69">
        <v>44.616874738255774</v>
      </c>
      <c r="AC733" s="69">
        <v>44.616874738255774</v>
      </c>
      <c r="AD733" s="69">
        <v>44.616874738255774</v>
      </c>
      <c r="AE733" s="69">
        <v>44.616874738255774</v>
      </c>
      <c r="AF733" s="69">
        <v>44.616874738255774</v>
      </c>
      <c r="AG733" s="69">
        <v>44.616874738255774</v>
      </c>
    </row>
    <row r="734" spans="1:33" ht="12.75" customHeight="1">
      <c r="A734" s="231" t="s">
        <v>2376</v>
      </c>
      <c r="B734" s="69" t="s">
        <v>280</v>
      </c>
      <c r="C734" s="69" t="s">
        <v>137</v>
      </c>
      <c r="D734" s="69" t="s">
        <v>191</v>
      </c>
      <c r="E734" s="69" t="s">
        <v>191</v>
      </c>
      <c r="F734" s="69" t="s">
        <v>180</v>
      </c>
      <c r="G734" s="69" t="s">
        <v>192</v>
      </c>
      <c r="H734" s="69" t="s">
        <v>804</v>
      </c>
      <c r="I734" s="69">
        <v>2</v>
      </c>
      <c r="J734" s="238">
        <v>0.32235762917068039</v>
      </c>
      <c r="K734" s="238">
        <v>0.160195270625522</v>
      </c>
      <c r="L734" s="69">
        <v>96.038728079112815</v>
      </c>
      <c r="M734" s="69">
        <v>0</v>
      </c>
      <c r="N734" s="69">
        <v>0</v>
      </c>
      <c r="O734" s="69">
        <v>0</v>
      </c>
      <c r="P734" s="69">
        <v>0</v>
      </c>
      <c r="Q734" s="69">
        <v>0</v>
      </c>
      <c r="R734" s="69">
        <v>49.869241004911601</v>
      </c>
      <c r="S734" s="69">
        <v>49.869241004911601</v>
      </c>
      <c r="T734" s="69">
        <v>49.869241004911601</v>
      </c>
      <c r="U734" s="69">
        <v>49.869241004911601</v>
      </c>
      <c r="V734" s="69">
        <v>49.869241004911601</v>
      </c>
      <c r="W734" s="69">
        <v>49.869241004911601</v>
      </c>
      <c r="X734" s="69">
        <v>49.869241004911601</v>
      </c>
      <c r="Y734" s="69">
        <v>49.869241004911601</v>
      </c>
      <c r="Z734" s="69">
        <v>49.869241004911601</v>
      </c>
      <c r="AA734" s="69">
        <v>49.869241004911601</v>
      </c>
      <c r="AB734" s="69">
        <v>49.869241004911601</v>
      </c>
      <c r="AC734" s="69">
        <v>49.869241004911601</v>
      </c>
      <c r="AD734" s="69">
        <v>49.869241004911601</v>
      </c>
      <c r="AE734" s="69">
        <v>49.869241004911601</v>
      </c>
      <c r="AF734" s="69">
        <v>49.869241004911601</v>
      </c>
      <c r="AG734" s="69">
        <v>49.869241004911601</v>
      </c>
    </row>
    <row r="735" spans="1:33" ht="12.75" customHeight="1">
      <c r="A735" s="231" t="s">
        <v>2376</v>
      </c>
      <c r="B735" s="69" t="s">
        <v>281</v>
      </c>
      <c r="C735" s="69" t="s">
        <v>137</v>
      </c>
      <c r="D735" s="69" t="s">
        <v>191</v>
      </c>
      <c r="E735" s="69" t="s">
        <v>191</v>
      </c>
      <c r="F735" s="69" t="s">
        <v>180</v>
      </c>
      <c r="G735" s="69" t="s">
        <v>192</v>
      </c>
      <c r="H735" s="69" t="s">
        <v>804</v>
      </c>
      <c r="I735" s="69">
        <v>1</v>
      </c>
      <c r="J735" s="238">
        <v>0.32235762917068039</v>
      </c>
      <c r="K735" s="238">
        <v>0.160195270625522</v>
      </c>
      <c r="L735" s="69">
        <v>96.038728079112801</v>
      </c>
      <c r="M735" s="69">
        <v>0</v>
      </c>
      <c r="N735" s="69">
        <v>0</v>
      </c>
      <c r="O735" s="69">
        <v>0</v>
      </c>
      <c r="P735" s="69">
        <v>0</v>
      </c>
      <c r="Q735" s="69">
        <v>0</v>
      </c>
      <c r="R735" s="69">
        <v>48.09021372104371</v>
      </c>
      <c r="S735" s="69">
        <v>48.09021372104371</v>
      </c>
      <c r="T735" s="69">
        <v>48.09021372104371</v>
      </c>
      <c r="U735" s="69">
        <v>48.09021372104371</v>
      </c>
      <c r="V735" s="69">
        <v>48.09021372104371</v>
      </c>
      <c r="W735" s="69">
        <v>48.09021372104371</v>
      </c>
      <c r="X735" s="69">
        <v>48.09021372104371</v>
      </c>
      <c r="Y735" s="69">
        <v>48.09021372104371</v>
      </c>
      <c r="Z735" s="69">
        <v>48.09021372104371</v>
      </c>
      <c r="AA735" s="69">
        <v>48.09021372104371</v>
      </c>
      <c r="AB735" s="69">
        <v>48.09021372104371</v>
      </c>
      <c r="AC735" s="69">
        <v>48.09021372104371</v>
      </c>
      <c r="AD735" s="69">
        <v>48.09021372104371</v>
      </c>
      <c r="AE735" s="69">
        <v>48.09021372104371</v>
      </c>
      <c r="AF735" s="69">
        <v>48.09021372104371</v>
      </c>
      <c r="AG735" s="69">
        <v>48.09021372104371</v>
      </c>
    </row>
    <row r="736" spans="1:33" ht="12.75" customHeight="1">
      <c r="A736" s="231" t="s">
        <v>2376</v>
      </c>
      <c r="B736" s="69" t="s">
        <v>282</v>
      </c>
      <c r="C736" s="69" t="s">
        <v>137</v>
      </c>
      <c r="D736" s="69" t="s">
        <v>191</v>
      </c>
      <c r="E736" s="69" t="s">
        <v>191</v>
      </c>
      <c r="F736" s="69" t="s">
        <v>180</v>
      </c>
      <c r="G736" s="69" t="s">
        <v>192</v>
      </c>
      <c r="H736" s="69" t="s">
        <v>804</v>
      </c>
      <c r="I736" s="69">
        <v>1</v>
      </c>
      <c r="J736" s="238">
        <v>0.32235762917068039</v>
      </c>
      <c r="K736" s="238">
        <v>0.160195270625522</v>
      </c>
      <c r="L736" s="69">
        <v>96.038728079112801</v>
      </c>
      <c r="M736" s="69">
        <v>0</v>
      </c>
      <c r="N736" s="69">
        <v>0</v>
      </c>
      <c r="O736" s="69">
        <v>0</v>
      </c>
      <c r="P736" s="69">
        <v>0</v>
      </c>
      <c r="Q736" s="69">
        <v>0</v>
      </c>
      <c r="R736" s="69">
        <v>4235.7792473027403</v>
      </c>
      <c r="S736" s="69">
        <v>4235.7792473027403</v>
      </c>
      <c r="T736" s="69">
        <v>4235.7792473027403</v>
      </c>
      <c r="U736" s="69">
        <v>4235.7792473027403</v>
      </c>
      <c r="V736" s="69">
        <v>4235.7792473027403</v>
      </c>
      <c r="W736" s="69">
        <v>4235.7792473027403</v>
      </c>
      <c r="X736" s="69">
        <v>4235.7792473027403</v>
      </c>
      <c r="Y736" s="69">
        <v>4235.7792473027403</v>
      </c>
      <c r="Z736" s="69">
        <v>4235.7792473027403</v>
      </c>
      <c r="AA736" s="69">
        <v>4235.7792473027403</v>
      </c>
      <c r="AB736" s="69">
        <v>4235.7792473027403</v>
      </c>
      <c r="AC736" s="69">
        <v>4235.7792473027403</v>
      </c>
      <c r="AD736" s="69">
        <v>4235.7792473027403</v>
      </c>
      <c r="AE736" s="69">
        <v>4235.7792473027403</v>
      </c>
      <c r="AF736" s="69">
        <v>4235.7792473027403</v>
      </c>
      <c r="AG736" s="69">
        <v>4235.7792473027403</v>
      </c>
    </row>
    <row r="737" spans="1:33" ht="12.75" customHeight="1">
      <c r="A737" s="231" t="s">
        <v>2376</v>
      </c>
      <c r="B737" s="69" t="s">
        <v>283</v>
      </c>
      <c r="C737" s="69" t="s">
        <v>184</v>
      </c>
      <c r="D737" s="69" t="s">
        <v>284</v>
      </c>
      <c r="E737" s="69" t="s">
        <v>191</v>
      </c>
      <c r="F737" s="69" t="s">
        <v>167</v>
      </c>
      <c r="G737" s="69" t="s">
        <v>192</v>
      </c>
      <c r="H737" s="69" t="s">
        <v>804</v>
      </c>
      <c r="I737" s="69">
        <v>2</v>
      </c>
      <c r="J737" s="238">
        <v>0.80000000000000016</v>
      </c>
      <c r="K737" s="238">
        <v>0</v>
      </c>
      <c r="L737" s="69">
        <v>92.42965494862176</v>
      </c>
      <c r="M737" s="69">
        <v>0</v>
      </c>
      <c r="N737" s="69">
        <v>0</v>
      </c>
      <c r="O737" s="69">
        <v>0</v>
      </c>
      <c r="P737" s="69">
        <v>0</v>
      </c>
      <c r="Q737" s="69">
        <v>11.212800000001153</v>
      </c>
      <c r="R737" s="69">
        <v>11.212800000001153</v>
      </c>
      <c r="S737" s="69">
        <v>11.212800000001153</v>
      </c>
      <c r="T737" s="69">
        <v>11.212800000001153</v>
      </c>
      <c r="U737" s="69">
        <v>11.212800000001153</v>
      </c>
      <c r="V737" s="69">
        <v>11.212800000001153</v>
      </c>
      <c r="W737" s="69">
        <v>11.212800000001153</v>
      </c>
      <c r="X737" s="69">
        <v>11.212800000001153</v>
      </c>
      <c r="Y737" s="69">
        <v>11.212800000001153</v>
      </c>
      <c r="Z737" s="69">
        <v>11.212800000001153</v>
      </c>
      <c r="AA737" s="69">
        <v>11.212800000001153</v>
      </c>
      <c r="AB737" s="69">
        <v>11.212800000001153</v>
      </c>
      <c r="AC737" s="69">
        <v>11.212800000001153</v>
      </c>
      <c r="AD737" s="69">
        <v>11.212800000001153</v>
      </c>
      <c r="AE737" s="69">
        <v>11.212800000001153</v>
      </c>
      <c r="AF737" s="69">
        <v>11.212800000001153</v>
      </c>
      <c r="AG737" s="69">
        <v>11.212800000001153</v>
      </c>
    </row>
    <row r="738" spans="1:33" ht="12.75" customHeight="1">
      <c r="A738" s="231" t="s">
        <v>2376</v>
      </c>
      <c r="B738" s="69" t="s">
        <v>285</v>
      </c>
      <c r="C738" s="69" t="s">
        <v>137</v>
      </c>
      <c r="D738" s="69" t="s">
        <v>191</v>
      </c>
      <c r="E738" s="69" t="s">
        <v>191</v>
      </c>
      <c r="F738" s="69" t="s">
        <v>177</v>
      </c>
      <c r="G738" s="69" t="s">
        <v>192</v>
      </c>
      <c r="H738" s="69" t="s">
        <v>804</v>
      </c>
      <c r="I738" s="69">
        <v>1</v>
      </c>
      <c r="J738" s="238">
        <v>0.32235762917068039</v>
      </c>
      <c r="K738" s="238">
        <v>0.16048337423926948</v>
      </c>
      <c r="L738" s="69">
        <v>96.038728079112801</v>
      </c>
      <c r="M738" s="69">
        <v>0</v>
      </c>
      <c r="N738" s="69">
        <v>0</v>
      </c>
      <c r="O738" s="69">
        <v>0</v>
      </c>
      <c r="P738" s="69">
        <v>0</v>
      </c>
      <c r="Q738" s="69">
        <v>118.60181892447689</v>
      </c>
      <c r="R738" s="69">
        <v>118.60181892447689</v>
      </c>
      <c r="S738" s="69">
        <v>118.60181892447689</v>
      </c>
      <c r="T738" s="69">
        <v>118.60181892447689</v>
      </c>
      <c r="U738" s="69">
        <v>118.60181892447689</v>
      </c>
      <c r="V738" s="69">
        <v>118.60181892447689</v>
      </c>
      <c r="W738" s="69">
        <v>118.60181892447689</v>
      </c>
      <c r="X738" s="69">
        <v>118.60181892447689</v>
      </c>
      <c r="Y738" s="69">
        <v>118.60181892447689</v>
      </c>
      <c r="Z738" s="69">
        <v>118.60181892447689</v>
      </c>
      <c r="AA738" s="69">
        <v>118.60181892447689</v>
      </c>
      <c r="AB738" s="69">
        <v>118.60181892447689</v>
      </c>
      <c r="AC738" s="69">
        <v>118.60181892447689</v>
      </c>
      <c r="AD738" s="69">
        <v>118.60181892447689</v>
      </c>
      <c r="AE738" s="69">
        <v>118.60181892447689</v>
      </c>
      <c r="AF738" s="69">
        <v>118.60181892447689</v>
      </c>
      <c r="AG738" s="69">
        <v>118.60181892447689</v>
      </c>
    </row>
    <row r="739" spans="1:33" ht="12.75" customHeight="1">
      <c r="A739" s="231" t="s">
        <v>2376</v>
      </c>
      <c r="B739" s="69" t="s">
        <v>287</v>
      </c>
      <c r="C739" s="69" t="s">
        <v>184</v>
      </c>
      <c r="D739" s="69" t="s">
        <v>140</v>
      </c>
      <c r="E739" s="69" t="s">
        <v>191</v>
      </c>
      <c r="F739" s="69" t="s">
        <v>167</v>
      </c>
      <c r="G739" s="69" t="s">
        <v>192</v>
      </c>
      <c r="H739" s="69" t="s">
        <v>804</v>
      </c>
      <c r="I739" s="69">
        <v>2</v>
      </c>
      <c r="J739" s="238">
        <v>0.8</v>
      </c>
      <c r="K739" s="238">
        <v>0</v>
      </c>
      <c r="L739" s="69">
        <v>114.19797366361543</v>
      </c>
      <c r="M739" s="69">
        <v>0</v>
      </c>
      <c r="N739" s="69">
        <v>0</v>
      </c>
      <c r="O739" s="69">
        <v>0</v>
      </c>
      <c r="P739" s="69">
        <v>14.016000000003258</v>
      </c>
      <c r="Q739" s="69">
        <v>14.016000000003258</v>
      </c>
      <c r="R739" s="69">
        <v>14.016000000003258</v>
      </c>
      <c r="S739" s="69">
        <v>14.016000000003258</v>
      </c>
      <c r="T739" s="69">
        <v>14.016000000003258</v>
      </c>
      <c r="U739" s="69">
        <v>14.016000000003258</v>
      </c>
      <c r="V739" s="69">
        <v>14.016000000003258</v>
      </c>
      <c r="W739" s="69">
        <v>14.016000000003258</v>
      </c>
      <c r="X739" s="69">
        <v>14.016000000003258</v>
      </c>
      <c r="Y739" s="69">
        <v>14.016000000003258</v>
      </c>
      <c r="Z739" s="69">
        <v>14.016000000003258</v>
      </c>
      <c r="AA739" s="69">
        <v>14.016000000003258</v>
      </c>
      <c r="AB739" s="69">
        <v>14.016000000003258</v>
      </c>
      <c r="AC739" s="69">
        <v>14.016000000003258</v>
      </c>
      <c r="AD739" s="69">
        <v>14.016000000003258</v>
      </c>
      <c r="AE739" s="69">
        <v>14.016000000003258</v>
      </c>
      <c r="AF739" s="69">
        <v>14.016000000003258</v>
      </c>
      <c r="AG739" s="69">
        <v>14.016000000003258</v>
      </c>
    </row>
    <row r="740" spans="1:33" ht="12.75" customHeight="1">
      <c r="A740" s="231" t="s">
        <v>2376</v>
      </c>
      <c r="B740" s="69" t="s">
        <v>290</v>
      </c>
      <c r="C740" s="69" t="s">
        <v>137</v>
      </c>
      <c r="D740" s="69" t="s">
        <v>191</v>
      </c>
      <c r="E740" s="69" t="s">
        <v>191</v>
      </c>
      <c r="F740" s="69" t="s">
        <v>168</v>
      </c>
      <c r="G740" s="69" t="s">
        <v>199</v>
      </c>
      <c r="H740" s="69" t="s">
        <v>2417</v>
      </c>
      <c r="I740" s="69">
        <v>1</v>
      </c>
      <c r="J740" s="238">
        <v>0.29204999999999998</v>
      </c>
      <c r="K740" s="238">
        <v>0.18436399478639695</v>
      </c>
      <c r="L740" s="69">
        <v>95.155627725733936</v>
      </c>
      <c r="M740" s="69">
        <v>0</v>
      </c>
      <c r="N740" s="69">
        <v>0</v>
      </c>
      <c r="O740" s="69">
        <v>0</v>
      </c>
      <c r="P740" s="69">
        <v>358.17011999999977</v>
      </c>
      <c r="Q740" s="69">
        <v>358.17011999999977</v>
      </c>
      <c r="R740" s="69">
        <v>358.17011999999977</v>
      </c>
      <c r="S740" s="69">
        <v>358.17011999999977</v>
      </c>
      <c r="T740" s="69">
        <v>358.17011999999977</v>
      </c>
      <c r="U740" s="69">
        <v>358.17011999999977</v>
      </c>
      <c r="V740" s="69">
        <v>358.17011999999977</v>
      </c>
      <c r="W740" s="69">
        <v>358.17011999999977</v>
      </c>
      <c r="X740" s="69">
        <v>358.17011999999977</v>
      </c>
      <c r="Y740" s="69">
        <v>358.17011999999977</v>
      </c>
      <c r="Z740" s="69">
        <v>358.17011999999977</v>
      </c>
      <c r="AA740" s="69">
        <v>358.17011999999977</v>
      </c>
      <c r="AB740" s="69">
        <v>358.17011999999977</v>
      </c>
      <c r="AC740" s="69">
        <v>358.17011999999977</v>
      </c>
      <c r="AD740" s="69">
        <v>358.17011999999977</v>
      </c>
      <c r="AE740" s="69">
        <v>358.17011999999977</v>
      </c>
      <c r="AF740" s="69">
        <v>358.17011999999977</v>
      </c>
      <c r="AG740" s="69">
        <v>358.17011999999977</v>
      </c>
    </row>
    <row r="741" spans="1:33" ht="12.75" customHeight="1">
      <c r="A741" s="231" t="s">
        <v>2376</v>
      </c>
      <c r="B741" s="69" t="s">
        <v>290</v>
      </c>
      <c r="C741" s="69" t="s">
        <v>137</v>
      </c>
      <c r="D741" s="69" t="s">
        <v>191</v>
      </c>
      <c r="E741" s="69" t="s">
        <v>191</v>
      </c>
      <c r="F741" s="69" t="s">
        <v>168</v>
      </c>
      <c r="G741" s="69" t="s">
        <v>199</v>
      </c>
      <c r="H741" s="69" t="s">
        <v>2417</v>
      </c>
      <c r="I741" s="69">
        <v>1</v>
      </c>
      <c r="J741" s="238">
        <v>0.29204999999999998</v>
      </c>
      <c r="K741" s="238">
        <v>0.18436399478639695</v>
      </c>
      <c r="L741" s="69">
        <v>95.155627725733936</v>
      </c>
      <c r="M741" s="69">
        <v>0</v>
      </c>
      <c r="N741" s="69">
        <v>0</v>
      </c>
      <c r="O741" s="69">
        <v>0</v>
      </c>
      <c r="P741" s="69">
        <v>358.17011999999977</v>
      </c>
      <c r="Q741" s="69">
        <v>358.17011999999977</v>
      </c>
      <c r="R741" s="69">
        <v>358.17011999999977</v>
      </c>
      <c r="S741" s="69">
        <v>358.17011999999977</v>
      </c>
      <c r="T741" s="69">
        <v>358.17011999999977</v>
      </c>
      <c r="U741" s="69">
        <v>358.17011999999977</v>
      </c>
      <c r="V741" s="69">
        <v>358.17011999999977</v>
      </c>
      <c r="W741" s="69">
        <v>358.17011999999977</v>
      </c>
      <c r="X741" s="69">
        <v>358.17011999999977</v>
      </c>
      <c r="Y741" s="69">
        <v>358.17011999999977</v>
      </c>
      <c r="Z741" s="69">
        <v>358.17011999999977</v>
      </c>
      <c r="AA741" s="69">
        <v>358.17011999999977</v>
      </c>
      <c r="AB741" s="69">
        <v>358.17011999999977</v>
      </c>
      <c r="AC741" s="69">
        <v>358.17011999999977</v>
      </c>
      <c r="AD741" s="69">
        <v>358.17011999999977</v>
      </c>
      <c r="AE741" s="69">
        <v>358.17011999999977</v>
      </c>
      <c r="AF741" s="69">
        <v>358.17011999999977</v>
      </c>
      <c r="AG741" s="69">
        <v>358.17011999999977</v>
      </c>
    </row>
    <row r="742" spans="1:33" ht="12.75" customHeight="1">
      <c r="A742" s="231" t="s">
        <v>2376</v>
      </c>
      <c r="B742" s="69" t="s">
        <v>290</v>
      </c>
      <c r="C742" s="69" t="s">
        <v>137</v>
      </c>
      <c r="D742" s="69" t="s">
        <v>191</v>
      </c>
      <c r="E742" s="69" t="s">
        <v>191</v>
      </c>
      <c r="F742" s="69" t="s">
        <v>168</v>
      </c>
      <c r="G742" s="69" t="s">
        <v>199</v>
      </c>
      <c r="H742" s="69" t="s">
        <v>2417</v>
      </c>
      <c r="I742" s="69">
        <v>1</v>
      </c>
      <c r="J742" s="238">
        <v>0.29204999999999998</v>
      </c>
      <c r="K742" s="238">
        <v>0.18436399478639695</v>
      </c>
      <c r="L742" s="69">
        <v>95.155627725733936</v>
      </c>
      <c r="M742" s="69">
        <v>0</v>
      </c>
      <c r="N742" s="69">
        <v>0</v>
      </c>
      <c r="O742" s="69">
        <v>0</v>
      </c>
      <c r="P742" s="69">
        <v>358.17011999999977</v>
      </c>
      <c r="Q742" s="69">
        <v>358.17011999999977</v>
      </c>
      <c r="R742" s="69">
        <v>358.17011999999977</v>
      </c>
      <c r="S742" s="69">
        <v>358.17011999999977</v>
      </c>
      <c r="T742" s="69">
        <v>358.17011999999977</v>
      </c>
      <c r="U742" s="69">
        <v>358.17011999999977</v>
      </c>
      <c r="V742" s="69">
        <v>358.17011999999977</v>
      </c>
      <c r="W742" s="69">
        <v>358.17011999999977</v>
      </c>
      <c r="X742" s="69">
        <v>358.17011999999977</v>
      </c>
      <c r="Y742" s="69">
        <v>358.17011999999977</v>
      </c>
      <c r="Z742" s="69">
        <v>358.17011999999977</v>
      </c>
      <c r="AA742" s="69">
        <v>358.17011999999977</v>
      </c>
      <c r="AB742" s="69">
        <v>358.17011999999977</v>
      </c>
      <c r="AC742" s="69">
        <v>358.17011999999977</v>
      </c>
      <c r="AD742" s="69">
        <v>358.17011999999977</v>
      </c>
      <c r="AE742" s="69">
        <v>358.17011999999977</v>
      </c>
      <c r="AF742" s="69">
        <v>358.17011999999977</v>
      </c>
      <c r="AG742" s="69">
        <v>358.17011999999977</v>
      </c>
    </row>
    <row r="743" spans="1:33" ht="12.75" customHeight="1">
      <c r="A743" s="231" t="s">
        <v>2376</v>
      </c>
      <c r="B743" s="69" t="s">
        <v>291</v>
      </c>
      <c r="C743" s="69" t="s">
        <v>184</v>
      </c>
      <c r="D743" s="69" t="s">
        <v>140</v>
      </c>
      <c r="E743" s="69" t="s">
        <v>191</v>
      </c>
      <c r="F743" s="69" t="s">
        <v>180</v>
      </c>
      <c r="G743" s="69" t="s">
        <v>192</v>
      </c>
      <c r="H743" s="69" t="s">
        <v>804</v>
      </c>
      <c r="I743" s="69">
        <v>2</v>
      </c>
      <c r="J743" s="238">
        <v>0.8</v>
      </c>
      <c r="K743" s="238">
        <v>0</v>
      </c>
      <c r="L743" s="69">
        <v>114.19797366361543</v>
      </c>
      <c r="M743" s="69">
        <v>0</v>
      </c>
      <c r="N743" s="69">
        <v>0</v>
      </c>
      <c r="O743" s="69">
        <v>0</v>
      </c>
      <c r="P743" s="69">
        <v>0</v>
      </c>
      <c r="Q743" s="69">
        <v>0</v>
      </c>
      <c r="R743" s="69">
        <v>14.016000000003258</v>
      </c>
      <c r="S743" s="69">
        <v>14.016000000003258</v>
      </c>
      <c r="T743" s="69">
        <v>14.016000000003258</v>
      </c>
      <c r="U743" s="69">
        <v>14.016000000003258</v>
      </c>
      <c r="V743" s="69">
        <v>14.016000000003258</v>
      </c>
      <c r="W743" s="69">
        <v>14.016000000003258</v>
      </c>
      <c r="X743" s="69">
        <v>14.016000000003258</v>
      </c>
      <c r="Y743" s="69">
        <v>14.016000000003258</v>
      </c>
      <c r="Z743" s="69">
        <v>14.016000000003258</v>
      </c>
      <c r="AA743" s="69">
        <v>14.016000000003258</v>
      </c>
      <c r="AB743" s="69">
        <v>14.016000000003258</v>
      </c>
      <c r="AC743" s="69">
        <v>14.016000000003258</v>
      </c>
      <c r="AD743" s="69">
        <v>14.016000000003258</v>
      </c>
      <c r="AE743" s="69">
        <v>14.016000000003258</v>
      </c>
      <c r="AF743" s="69">
        <v>14.016000000003258</v>
      </c>
      <c r="AG743" s="69">
        <v>14.016000000003258</v>
      </c>
    </row>
    <row r="744" spans="1:33" ht="12.75" customHeight="1">
      <c r="A744" s="231" t="s">
        <v>2376</v>
      </c>
      <c r="B744" s="69" t="s">
        <v>293</v>
      </c>
      <c r="C744" s="69" t="s">
        <v>137</v>
      </c>
      <c r="D744" s="69" t="s">
        <v>191</v>
      </c>
      <c r="E744" s="69" t="s">
        <v>191</v>
      </c>
      <c r="F744" s="69" t="s">
        <v>181</v>
      </c>
      <c r="G744" s="69" t="s">
        <v>294</v>
      </c>
      <c r="H744" s="69" t="s">
        <v>2417</v>
      </c>
      <c r="I744" s="69">
        <v>1</v>
      </c>
      <c r="J744" s="238">
        <v>0.28989999999999999</v>
      </c>
      <c r="K744" s="238">
        <v>0.18559014484515421</v>
      </c>
      <c r="L744" s="69">
        <v>91.706640833021837</v>
      </c>
      <c r="M744" s="69">
        <v>0</v>
      </c>
      <c r="N744" s="69">
        <v>228.55716000000029</v>
      </c>
      <c r="O744" s="69">
        <v>228.55716000000029</v>
      </c>
      <c r="P744" s="69">
        <v>228.55716000000029</v>
      </c>
      <c r="Q744" s="69">
        <v>228.55716000000029</v>
      </c>
      <c r="R744" s="69">
        <v>228.55716000000029</v>
      </c>
      <c r="S744" s="69">
        <v>228.55716000000029</v>
      </c>
      <c r="T744" s="69">
        <v>228.55716000000029</v>
      </c>
      <c r="U744" s="69">
        <v>228.55716000000029</v>
      </c>
      <c r="V744" s="69">
        <v>228.55716000000029</v>
      </c>
      <c r="W744" s="69">
        <v>228.55716000000029</v>
      </c>
      <c r="X744" s="69">
        <v>228.55716000000029</v>
      </c>
      <c r="Y744" s="69">
        <v>228.55716000000029</v>
      </c>
      <c r="Z744" s="69">
        <v>228.55716000000029</v>
      </c>
      <c r="AA744" s="69">
        <v>228.55716000000029</v>
      </c>
      <c r="AB744" s="69">
        <v>228.55716000000029</v>
      </c>
      <c r="AC744" s="69">
        <v>228.55716000000029</v>
      </c>
      <c r="AD744" s="69">
        <v>228.55716000000029</v>
      </c>
      <c r="AE744" s="69">
        <v>228.55716000000029</v>
      </c>
      <c r="AF744" s="69">
        <v>228.55716000000029</v>
      </c>
      <c r="AG744" s="69">
        <v>228.55716000000029</v>
      </c>
    </row>
    <row r="745" spans="1:33" ht="12.75" customHeight="1">
      <c r="A745" s="231" t="s">
        <v>2376</v>
      </c>
      <c r="B745" s="69" t="s">
        <v>295</v>
      </c>
      <c r="C745" s="69" t="s">
        <v>137</v>
      </c>
      <c r="D745" s="69" t="s">
        <v>191</v>
      </c>
      <c r="E745" s="69" t="s">
        <v>191</v>
      </c>
      <c r="F745" s="69" t="s">
        <v>168</v>
      </c>
      <c r="G745" s="69" t="s">
        <v>199</v>
      </c>
      <c r="H745" s="69" t="s">
        <v>2417</v>
      </c>
      <c r="I745" s="69">
        <v>1</v>
      </c>
      <c r="J745" s="238">
        <v>0.29204999999999998</v>
      </c>
      <c r="K745" s="238">
        <v>0.18436399478639695</v>
      </c>
      <c r="L745" s="69">
        <v>95.155627725733964</v>
      </c>
      <c r="M745" s="69">
        <v>0</v>
      </c>
      <c r="N745" s="69">
        <v>0</v>
      </c>
      <c r="O745" s="69">
        <v>266.06923199999983</v>
      </c>
      <c r="P745" s="69">
        <v>266.06923199999983</v>
      </c>
      <c r="Q745" s="69">
        <v>266.06923199999983</v>
      </c>
      <c r="R745" s="69">
        <v>266.06923199999983</v>
      </c>
      <c r="S745" s="69">
        <v>266.06923199999983</v>
      </c>
      <c r="T745" s="69">
        <v>266.06923199999983</v>
      </c>
      <c r="U745" s="69">
        <v>266.06923199999983</v>
      </c>
      <c r="V745" s="69">
        <v>266.06923199999983</v>
      </c>
      <c r="W745" s="69">
        <v>266.06923199999983</v>
      </c>
      <c r="X745" s="69">
        <v>266.06923199999983</v>
      </c>
      <c r="Y745" s="69">
        <v>266.06923199999983</v>
      </c>
      <c r="Z745" s="69">
        <v>266.06923199999983</v>
      </c>
      <c r="AA745" s="69">
        <v>266.06923199999983</v>
      </c>
      <c r="AB745" s="69">
        <v>266.06923199999983</v>
      </c>
      <c r="AC745" s="69">
        <v>266.06923199999983</v>
      </c>
      <c r="AD745" s="69">
        <v>266.06923199999983</v>
      </c>
      <c r="AE745" s="69">
        <v>266.06923199999983</v>
      </c>
      <c r="AF745" s="69">
        <v>266.06923199999983</v>
      </c>
      <c r="AG745" s="69">
        <v>266.06923199999983</v>
      </c>
    </row>
    <row r="746" spans="1:33" ht="12.75" customHeight="1">
      <c r="A746" s="231" t="s">
        <v>2376</v>
      </c>
      <c r="B746" s="69" t="s">
        <v>296</v>
      </c>
      <c r="C746" s="69" t="s">
        <v>184</v>
      </c>
      <c r="D746" s="69" t="s">
        <v>140</v>
      </c>
      <c r="E746" s="69" t="s">
        <v>191</v>
      </c>
      <c r="F746" s="69" t="s">
        <v>167</v>
      </c>
      <c r="G746" s="69" t="s">
        <v>192</v>
      </c>
      <c r="H746" s="69" t="s">
        <v>804</v>
      </c>
      <c r="I746" s="69">
        <v>2</v>
      </c>
      <c r="J746" s="238">
        <v>0.8</v>
      </c>
      <c r="K746" s="238">
        <v>0</v>
      </c>
      <c r="L746" s="69">
        <v>114.19797366361543</v>
      </c>
      <c r="M746" s="69">
        <v>0</v>
      </c>
      <c r="N746" s="69">
        <v>0</v>
      </c>
      <c r="O746" s="69">
        <v>0</v>
      </c>
      <c r="P746" s="69">
        <v>0</v>
      </c>
      <c r="Q746" s="69">
        <v>0</v>
      </c>
      <c r="R746" s="69">
        <v>21.023999999997613</v>
      </c>
      <c r="S746" s="69">
        <v>21.023999999997613</v>
      </c>
      <c r="T746" s="69">
        <v>21.023999999997613</v>
      </c>
      <c r="U746" s="69">
        <v>21.023999999997613</v>
      </c>
      <c r="V746" s="69">
        <v>21.023999999997613</v>
      </c>
      <c r="W746" s="69">
        <v>21.023999999997613</v>
      </c>
      <c r="X746" s="69">
        <v>21.023999999997613</v>
      </c>
      <c r="Y746" s="69">
        <v>21.023999999997613</v>
      </c>
      <c r="Z746" s="69">
        <v>21.023999999997613</v>
      </c>
      <c r="AA746" s="69">
        <v>21.023999999997613</v>
      </c>
      <c r="AB746" s="69">
        <v>21.023999999997613</v>
      </c>
      <c r="AC746" s="69">
        <v>21.023999999997613</v>
      </c>
      <c r="AD746" s="69">
        <v>21.023999999997613</v>
      </c>
      <c r="AE746" s="69">
        <v>21.023999999997613</v>
      </c>
      <c r="AF746" s="69">
        <v>21.023999999997613</v>
      </c>
      <c r="AG746" s="69">
        <v>21.023999999997613</v>
      </c>
    </row>
    <row r="747" spans="1:33" ht="12.75" customHeight="1">
      <c r="A747" s="231" t="s">
        <v>2376</v>
      </c>
      <c r="B747" s="69" t="s">
        <v>297</v>
      </c>
      <c r="C747" s="69" t="s">
        <v>184</v>
      </c>
      <c r="D747" s="69" t="s">
        <v>140</v>
      </c>
      <c r="E747" s="69" t="s">
        <v>191</v>
      </c>
      <c r="F747" s="69" t="s">
        <v>167</v>
      </c>
      <c r="G747" s="69" t="s">
        <v>192</v>
      </c>
      <c r="H747" s="69" t="s">
        <v>804</v>
      </c>
      <c r="I747" s="69">
        <v>2</v>
      </c>
      <c r="J747" s="238">
        <v>0.8</v>
      </c>
      <c r="K747" s="238">
        <v>0</v>
      </c>
      <c r="L747" s="69">
        <v>114.19797366361543</v>
      </c>
      <c r="M747" s="69">
        <v>0</v>
      </c>
      <c r="N747" s="69">
        <v>0</v>
      </c>
      <c r="O747" s="69">
        <v>0</v>
      </c>
      <c r="P747" s="69">
        <v>0</v>
      </c>
      <c r="Q747" s="69">
        <v>0</v>
      </c>
      <c r="R747" s="69">
        <v>0</v>
      </c>
      <c r="S747" s="69">
        <v>0</v>
      </c>
      <c r="T747" s="69">
        <v>0</v>
      </c>
      <c r="U747" s="69">
        <v>0</v>
      </c>
      <c r="V747" s="69">
        <v>21.023999999997613</v>
      </c>
      <c r="W747" s="69">
        <v>21.023999999997613</v>
      </c>
      <c r="X747" s="69">
        <v>21.023999999997613</v>
      </c>
      <c r="Y747" s="69">
        <v>21.023999999997613</v>
      </c>
      <c r="Z747" s="69">
        <v>21.023999999997613</v>
      </c>
      <c r="AA747" s="69">
        <v>21.023999999997613</v>
      </c>
      <c r="AB747" s="69">
        <v>21.023999999997613</v>
      </c>
      <c r="AC747" s="69">
        <v>21.023999999997613</v>
      </c>
      <c r="AD747" s="69">
        <v>21.023999999997613</v>
      </c>
      <c r="AE747" s="69">
        <v>21.023999999997613</v>
      </c>
      <c r="AF747" s="69">
        <v>21.023999999997613</v>
      </c>
      <c r="AG747" s="69">
        <v>21.023999999997613</v>
      </c>
    </row>
    <row r="748" spans="1:33" ht="12.75" customHeight="1">
      <c r="A748" s="231" t="s">
        <v>2376</v>
      </c>
      <c r="B748" s="69" t="s">
        <v>298</v>
      </c>
      <c r="C748" s="69" t="s">
        <v>137</v>
      </c>
      <c r="D748" s="69" t="s">
        <v>191</v>
      </c>
      <c r="E748" s="69" t="s">
        <v>191</v>
      </c>
      <c r="F748" s="69" t="s">
        <v>180</v>
      </c>
      <c r="G748" s="69" t="s">
        <v>192</v>
      </c>
      <c r="H748" s="69" t="s">
        <v>804</v>
      </c>
      <c r="I748" s="69">
        <v>1</v>
      </c>
      <c r="J748" s="238">
        <v>0.32235762917068039</v>
      </c>
      <c r="K748" s="238">
        <v>0.160195270625522</v>
      </c>
      <c r="L748" s="69">
        <v>96.038728079112815</v>
      </c>
      <c r="M748" s="69">
        <v>0</v>
      </c>
      <c r="N748" s="69">
        <v>0</v>
      </c>
      <c r="O748" s="69">
        <v>0</v>
      </c>
      <c r="P748" s="69">
        <v>0</v>
      </c>
      <c r="Q748" s="69">
        <v>0</v>
      </c>
      <c r="R748" s="69">
        <v>395.3393964149227</v>
      </c>
      <c r="S748" s="69">
        <v>395.3393964149227</v>
      </c>
      <c r="T748" s="69">
        <v>395.3393964149227</v>
      </c>
      <c r="U748" s="69">
        <v>395.3393964149227</v>
      </c>
      <c r="V748" s="69">
        <v>395.3393964149227</v>
      </c>
      <c r="W748" s="69">
        <v>395.3393964149227</v>
      </c>
      <c r="X748" s="69">
        <v>395.3393964149227</v>
      </c>
      <c r="Y748" s="69">
        <v>395.3393964149227</v>
      </c>
      <c r="Z748" s="69">
        <v>395.3393964149227</v>
      </c>
      <c r="AA748" s="69">
        <v>395.3393964149227</v>
      </c>
      <c r="AB748" s="69">
        <v>395.3393964149227</v>
      </c>
      <c r="AC748" s="69">
        <v>395.3393964149227</v>
      </c>
      <c r="AD748" s="69">
        <v>395.3393964149227</v>
      </c>
      <c r="AE748" s="69">
        <v>395.3393964149227</v>
      </c>
      <c r="AF748" s="69">
        <v>395.3393964149227</v>
      </c>
      <c r="AG748" s="69">
        <v>395.3393964149227</v>
      </c>
    </row>
    <row r="749" spans="1:33" ht="12.75" customHeight="1">
      <c r="A749" s="231" t="s">
        <v>2376</v>
      </c>
      <c r="B749" s="69" t="s">
        <v>299</v>
      </c>
      <c r="C749" s="69" t="s">
        <v>187</v>
      </c>
      <c r="D749" s="69" t="s">
        <v>191</v>
      </c>
      <c r="E749" s="69" t="s">
        <v>191</v>
      </c>
      <c r="F749" s="69" t="s">
        <v>161</v>
      </c>
      <c r="G749" s="69" t="s">
        <v>192</v>
      </c>
      <c r="H749" s="69" t="s">
        <v>2130</v>
      </c>
      <c r="I749" s="69">
        <v>1</v>
      </c>
      <c r="J749" s="238">
        <v>0.2668262983999703</v>
      </c>
      <c r="K749" s="238">
        <v>0.69294738572207071</v>
      </c>
      <c r="L749" s="69">
        <v>192.38629588063705</v>
      </c>
      <c r="M749" s="69">
        <v>0</v>
      </c>
      <c r="N749" s="69">
        <v>0</v>
      </c>
      <c r="O749" s="69">
        <v>0</v>
      </c>
      <c r="P749" s="69">
        <v>0</v>
      </c>
      <c r="Q749" s="69">
        <v>0</v>
      </c>
      <c r="R749" s="69">
        <v>701.21951219512209</v>
      </c>
      <c r="S749" s="69">
        <v>701.21951219512209</v>
      </c>
      <c r="T749" s="69">
        <v>701.21951219512209</v>
      </c>
      <c r="U749" s="69">
        <v>701.21951219512209</v>
      </c>
      <c r="V749" s="69">
        <v>701.21951219512209</v>
      </c>
      <c r="W749" s="69">
        <v>701.21951219512209</v>
      </c>
      <c r="X749" s="69">
        <v>701.21951219512209</v>
      </c>
      <c r="Y749" s="69">
        <v>701.21951219512209</v>
      </c>
      <c r="Z749" s="69">
        <v>701.21951219512209</v>
      </c>
      <c r="AA749" s="69">
        <v>701.21951219512209</v>
      </c>
      <c r="AB749" s="69">
        <v>701.21951219512209</v>
      </c>
      <c r="AC749" s="69">
        <v>701.21951219512209</v>
      </c>
      <c r="AD749" s="69">
        <v>701.21951219512209</v>
      </c>
      <c r="AE749" s="69">
        <v>701.21951219512209</v>
      </c>
      <c r="AF749" s="69">
        <v>701.21951219512209</v>
      </c>
      <c r="AG749" s="69">
        <v>701.21951219512209</v>
      </c>
    </row>
    <row r="750" spans="1:33" ht="12.75" customHeight="1">
      <c r="A750" s="231" t="s">
        <v>2376</v>
      </c>
      <c r="B750" s="69" t="s">
        <v>300</v>
      </c>
      <c r="C750" s="69" t="s">
        <v>139</v>
      </c>
      <c r="D750" s="69" t="s">
        <v>191</v>
      </c>
      <c r="E750" s="69" t="s">
        <v>191</v>
      </c>
      <c r="F750" s="69" t="s">
        <v>178</v>
      </c>
      <c r="G750" s="69" t="s">
        <v>192</v>
      </c>
      <c r="H750" s="69" t="s">
        <v>2130</v>
      </c>
      <c r="I750" s="69">
        <v>1</v>
      </c>
      <c r="J750" s="238">
        <v>0.85000000000000009</v>
      </c>
      <c r="K750" s="238">
        <v>0.65417202707739608</v>
      </c>
      <c r="L750" s="69">
        <v>127.99027888971091</v>
      </c>
      <c r="M750" s="69">
        <v>0</v>
      </c>
      <c r="N750" s="69">
        <v>0</v>
      </c>
      <c r="O750" s="69">
        <v>0</v>
      </c>
      <c r="P750" s="69">
        <v>0</v>
      </c>
      <c r="Q750" s="69">
        <v>156.36599999999999</v>
      </c>
      <c r="R750" s="69">
        <v>156.36599999999999</v>
      </c>
      <c r="S750" s="69">
        <v>156.36599999999999</v>
      </c>
      <c r="T750" s="69">
        <v>156.36599999999999</v>
      </c>
      <c r="U750" s="69">
        <v>156.36599999999999</v>
      </c>
      <c r="V750" s="69">
        <v>156.36599999999999</v>
      </c>
      <c r="W750" s="69">
        <v>156.36599999999999</v>
      </c>
      <c r="X750" s="69">
        <v>156.36599999999999</v>
      </c>
      <c r="Y750" s="69">
        <v>156.36599999999999</v>
      </c>
      <c r="Z750" s="69">
        <v>156.36599999999999</v>
      </c>
      <c r="AA750" s="69">
        <v>156.36599999999999</v>
      </c>
      <c r="AB750" s="69">
        <v>156.36599999999999</v>
      </c>
      <c r="AC750" s="69">
        <v>156.36599999999999</v>
      </c>
      <c r="AD750" s="69">
        <v>156.36599999999999</v>
      </c>
      <c r="AE750" s="69">
        <v>156.36599999999999</v>
      </c>
      <c r="AF750" s="69">
        <v>156.36599999999999</v>
      </c>
      <c r="AG750" s="69">
        <v>156.36599999999999</v>
      </c>
    </row>
    <row r="751" spans="1:33" ht="12.75" customHeight="1">
      <c r="A751" s="231" t="s">
        <v>2376</v>
      </c>
      <c r="B751" s="69" t="s">
        <v>302</v>
      </c>
      <c r="C751" s="69" t="s">
        <v>185</v>
      </c>
      <c r="D751" s="69" t="s">
        <v>193</v>
      </c>
      <c r="E751" s="69" t="s">
        <v>194</v>
      </c>
      <c r="F751" s="69" t="s">
        <v>161</v>
      </c>
      <c r="G751" s="69" t="s">
        <v>192</v>
      </c>
      <c r="H751" s="69" t="s">
        <v>2130</v>
      </c>
      <c r="I751" s="69">
        <v>1</v>
      </c>
      <c r="J751" s="238">
        <v>0.28999999999999998</v>
      </c>
      <c r="K751" s="238">
        <v>0.63643272702156795</v>
      </c>
      <c r="L751" s="69">
        <v>160.03163342556323</v>
      </c>
      <c r="M751" s="69">
        <v>0</v>
      </c>
      <c r="N751" s="69">
        <v>0</v>
      </c>
      <c r="O751" s="69">
        <v>0</v>
      </c>
      <c r="P751" s="69">
        <v>0</v>
      </c>
      <c r="Q751" s="69">
        <v>125.49576000000005</v>
      </c>
      <c r="R751" s="69">
        <v>125.49576000000005</v>
      </c>
      <c r="S751" s="69">
        <v>125.49576000000005</v>
      </c>
      <c r="T751" s="69">
        <v>125.49576000000005</v>
      </c>
      <c r="U751" s="69">
        <v>125.49576000000005</v>
      </c>
      <c r="V751" s="69">
        <v>125.49576000000005</v>
      </c>
      <c r="W751" s="69">
        <v>125.49576000000005</v>
      </c>
      <c r="X751" s="69">
        <v>125.49576000000005</v>
      </c>
      <c r="Y751" s="69">
        <v>125.49576000000005</v>
      </c>
      <c r="Z751" s="69">
        <v>125.49576000000005</v>
      </c>
      <c r="AA751" s="69">
        <v>125.49576000000005</v>
      </c>
      <c r="AB751" s="69">
        <v>125.49576000000005</v>
      </c>
      <c r="AC751" s="69">
        <v>125.49576000000005</v>
      </c>
      <c r="AD751" s="69">
        <v>125.49576000000005</v>
      </c>
      <c r="AE751" s="69">
        <v>125.49576000000005</v>
      </c>
      <c r="AF751" s="69">
        <v>125.49576000000005</v>
      </c>
      <c r="AG751" s="69">
        <v>125.49576000000005</v>
      </c>
    </row>
    <row r="752" spans="1:33" ht="12.75" customHeight="1">
      <c r="A752" s="231" t="s">
        <v>2376</v>
      </c>
      <c r="B752" s="69" t="s">
        <v>304</v>
      </c>
      <c r="C752" s="69" t="s">
        <v>139</v>
      </c>
      <c r="D752" s="69" t="s">
        <v>191</v>
      </c>
      <c r="E752" s="69" t="s">
        <v>191</v>
      </c>
      <c r="F752" s="69" t="s">
        <v>167</v>
      </c>
      <c r="G752" s="69" t="s">
        <v>192</v>
      </c>
      <c r="H752" s="69" t="s">
        <v>805</v>
      </c>
      <c r="I752" s="69">
        <v>1</v>
      </c>
      <c r="J752" s="238">
        <v>0.84999999999999987</v>
      </c>
      <c r="K752" s="238">
        <v>0.66</v>
      </c>
      <c r="L752" s="69">
        <v>127.99027888971092</v>
      </c>
      <c r="M752" s="69">
        <v>0</v>
      </c>
      <c r="N752" s="69">
        <v>81.906000000000859</v>
      </c>
      <c r="O752" s="69">
        <v>81.906000000000859</v>
      </c>
      <c r="P752" s="69">
        <v>81.906000000000859</v>
      </c>
      <c r="Q752" s="69">
        <v>81.906000000000859</v>
      </c>
      <c r="R752" s="69">
        <v>81.906000000000859</v>
      </c>
      <c r="S752" s="69">
        <v>81.906000000000859</v>
      </c>
      <c r="T752" s="69">
        <v>81.906000000000859</v>
      </c>
      <c r="U752" s="69">
        <v>81.906000000000859</v>
      </c>
      <c r="V752" s="69">
        <v>81.906000000000859</v>
      </c>
      <c r="W752" s="69">
        <v>81.906000000000859</v>
      </c>
      <c r="X752" s="69">
        <v>81.906000000000859</v>
      </c>
      <c r="Y752" s="69">
        <v>81.906000000000859</v>
      </c>
      <c r="Z752" s="69">
        <v>81.906000000000859</v>
      </c>
      <c r="AA752" s="69">
        <v>81.906000000000859</v>
      </c>
      <c r="AB752" s="69">
        <v>81.906000000000859</v>
      </c>
      <c r="AC752" s="69">
        <v>81.906000000000859</v>
      </c>
      <c r="AD752" s="69">
        <v>81.906000000000859</v>
      </c>
      <c r="AE752" s="69">
        <v>81.906000000000859</v>
      </c>
      <c r="AF752" s="69">
        <v>81.906000000000859</v>
      </c>
      <c r="AG752" s="69">
        <v>81.906000000000859</v>
      </c>
    </row>
    <row r="753" spans="1:33" ht="12.75" customHeight="1">
      <c r="A753" s="231" t="s">
        <v>2376</v>
      </c>
      <c r="B753" s="69" t="s">
        <v>305</v>
      </c>
      <c r="C753" s="69" t="s">
        <v>137</v>
      </c>
      <c r="D753" s="69" t="s">
        <v>191</v>
      </c>
      <c r="E753" s="69" t="s">
        <v>191</v>
      </c>
      <c r="F753" s="69" t="s">
        <v>163</v>
      </c>
      <c r="G753" s="69" t="s">
        <v>306</v>
      </c>
      <c r="H753" s="69" t="s">
        <v>2417</v>
      </c>
      <c r="I753" s="69">
        <v>1</v>
      </c>
      <c r="J753" s="238">
        <v>0.37809999999999999</v>
      </c>
      <c r="K753" s="238">
        <v>0.1774753372665249</v>
      </c>
      <c r="L753" s="69">
        <v>72.572266000309625</v>
      </c>
      <c r="M753" s="69">
        <v>0</v>
      </c>
      <c r="N753" s="69">
        <v>0</v>
      </c>
      <c r="O753" s="69">
        <v>993.64679999999998</v>
      </c>
      <c r="P753" s="69">
        <v>993.64679999999998</v>
      </c>
      <c r="Q753" s="69">
        <v>993.64679999999998</v>
      </c>
      <c r="R753" s="69">
        <v>993.64679999999998</v>
      </c>
      <c r="S753" s="69">
        <v>993.64679999999998</v>
      </c>
      <c r="T753" s="69">
        <v>993.64679999999998</v>
      </c>
      <c r="U753" s="69">
        <v>993.64679999999998</v>
      </c>
      <c r="V753" s="69">
        <v>993.64679999999998</v>
      </c>
      <c r="W753" s="69">
        <v>993.64679999999998</v>
      </c>
      <c r="X753" s="69">
        <v>993.64679999999998</v>
      </c>
      <c r="Y753" s="69">
        <v>993.64679999999998</v>
      </c>
      <c r="Z753" s="69">
        <v>993.64679999999998</v>
      </c>
      <c r="AA753" s="69">
        <v>993.64679999999998</v>
      </c>
      <c r="AB753" s="69">
        <v>993.64679999999998</v>
      </c>
      <c r="AC753" s="69">
        <v>993.64679999999998</v>
      </c>
      <c r="AD753" s="69">
        <v>993.64679999999998</v>
      </c>
      <c r="AE753" s="69">
        <v>993.64679999999998</v>
      </c>
      <c r="AF753" s="69">
        <v>993.64679999999998</v>
      </c>
      <c r="AG753" s="69">
        <v>993.64679999999998</v>
      </c>
    </row>
    <row r="754" spans="1:33" ht="12.75" customHeight="1">
      <c r="A754" s="231" t="s">
        <v>2376</v>
      </c>
      <c r="B754" s="69" t="s">
        <v>309</v>
      </c>
      <c r="C754" s="69" t="s">
        <v>137</v>
      </c>
      <c r="D754" s="69" t="s">
        <v>191</v>
      </c>
      <c r="E754" s="69" t="s">
        <v>191</v>
      </c>
      <c r="F754" s="69" t="s">
        <v>180</v>
      </c>
      <c r="G754" s="69" t="s">
        <v>192</v>
      </c>
      <c r="H754" s="69" t="s">
        <v>804</v>
      </c>
      <c r="I754" s="69">
        <v>2</v>
      </c>
      <c r="J754" s="238">
        <v>0.32235762917068039</v>
      </c>
      <c r="K754" s="238">
        <v>0.160195270625522</v>
      </c>
      <c r="L754" s="69">
        <v>96.038728079112815</v>
      </c>
      <c r="M754" s="69">
        <v>0</v>
      </c>
      <c r="N754" s="69">
        <v>0</v>
      </c>
      <c r="O754" s="69">
        <v>0</v>
      </c>
      <c r="P754" s="69">
        <v>0</v>
      </c>
      <c r="Q754" s="69">
        <v>0</v>
      </c>
      <c r="R754" s="69">
        <v>2006.3474368057286</v>
      </c>
      <c r="S754" s="69">
        <v>2006.3474368057286</v>
      </c>
      <c r="T754" s="69">
        <v>2006.3474368057286</v>
      </c>
      <c r="U754" s="69">
        <v>2006.3474368057286</v>
      </c>
      <c r="V754" s="69">
        <v>2006.3474368057286</v>
      </c>
      <c r="W754" s="69">
        <v>2006.3474368057286</v>
      </c>
      <c r="X754" s="69">
        <v>2006.3474368057286</v>
      </c>
      <c r="Y754" s="69">
        <v>2006.3474368057286</v>
      </c>
      <c r="Z754" s="69">
        <v>2006.3474368057286</v>
      </c>
      <c r="AA754" s="69">
        <v>2006.3474368057286</v>
      </c>
      <c r="AB754" s="69">
        <v>2006.3474368057286</v>
      </c>
      <c r="AC754" s="69">
        <v>2006.3474368057286</v>
      </c>
      <c r="AD754" s="69">
        <v>2006.3474368057286</v>
      </c>
      <c r="AE754" s="69">
        <v>2006.3474368057286</v>
      </c>
      <c r="AF754" s="69">
        <v>2006.3474368057286</v>
      </c>
      <c r="AG754" s="69">
        <v>2006.3474368057286</v>
      </c>
    </row>
    <row r="755" spans="1:33" ht="12.75" customHeight="1">
      <c r="A755" s="231" t="s">
        <v>2376</v>
      </c>
      <c r="B755" s="69" t="s">
        <v>310</v>
      </c>
      <c r="C755" s="69" t="s">
        <v>137</v>
      </c>
      <c r="D755" s="69" t="s">
        <v>191</v>
      </c>
      <c r="E755" s="69" t="s">
        <v>191</v>
      </c>
      <c r="F755" s="69" t="s">
        <v>168</v>
      </c>
      <c r="G755" s="69" t="s">
        <v>199</v>
      </c>
      <c r="H755" s="69" t="s">
        <v>2417</v>
      </c>
      <c r="I755" s="69">
        <v>2</v>
      </c>
      <c r="J755" s="238">
        <v>0.29204999999999998</v>
      </c>
      <c r="K755" s="238">
        <v>0.18436399478639695</v>
      </c>
      <c r="L755" s="69">
        <v>95.155627725733936</v>
      </c>
      <c r="M755" s="69">
        <v>0</v>
      </c>
      <c r="N755" s="69">
        <v>0</v>
      </c>
      <c r="O755" s="69">
        <v>0</v>
      </c>
      <c r="P755" s="69">
        <v>0</v>
      </c>
      <c r="Q755" s="69">
        <v>0</v>
      </c>
      <c r="R755" s="69">
        <v>1916.2101419999963</v>
      </c>
      <c r="S755" s="69">
        <v>1916.2101419999963</v>
      </c>
      <c r="T755" s="69">
        <v>1916.2101419999963</v>
      </c>
      <c r="U755" s="69">
        <v>1916.2101419999963</v>
      </c>
      <c r="V755" s="69">
        <v>1916.2101419999963</v>
      </c>
      <c r="W755" s="69">
        <v>1916.2101419999963</v>
      </c>
      <c r="X755" s="69">
        <v>1916.2101419999963</v>
      </c>
      <c r="Y755" s="69">
        <v>1916.2101419999963</v>
      </c>
      <c r="Z755" s="69">
        <v>1916.2101419999963</v>
      </c>
      <c r="AA755" s="69">
        <v>1916.2101419999963</v>
      </c>
      <c r="AB755" s="69">
        <v>1916.2101419999963</v>
      </c>
      <c r="AC755" s="69">
        <v>1916.2101419999963</v>
      </c>
      <c r="AD755" s="69">
        <v>1916.2101419999963</v>
      </c>
      <c r="AE755" s="69">
        <v>1916.2101419999963</v>
      </c>
      <c r="AF755" s="69">
        <v>1916.2101419999963</v>
      </c>
      <c r="AG755" s="69">
        <v>1916.2101419999963</v>
      </c>
    </row>
    <row r="756" spans="1:33" ht="12.75" customHeight="1">
      <c r="A756" s="231" t="s">
        <v>2376</v>
      </c>
      <c r="B756" s="69" t="s">
        <v>311</v>
      </c>
      <c r="C756" s="69" t="s">
        <v>137</v>
      </c>
      <c r="D756" s="69" t="s">
        <v>191</v>
      </c>
      <c r="E756" s="69" t="s">
        <v>191</v>
      </c>
      <c r="F756" s="69" t="s">
        <v>168</v>
      </c>
      <c r="G756" s="69" t="s">
        <v>199</v>
      </c>
      <c r="H756" s="69" t="s">
        <v>2417</v>
      </c>
      <c r="I756" s="69">
        <v>2</v>
      </c>
      <c r="J756" s="238">
        <v>0.29204999999999998</v>
      </c>
      <c r="K756" s="238">
        <v>0.18436399478639695</v>
      </c>
      <c r="L756" s="69">
        <v>95.155627725733936</v>
      </c>
      <c r="M756" s="69">
        <v>0</v>
      </c>
      <c r="N756" s="69">
        <v>0</v>
      </c>
      <c r="O756" s="69">
        <v>0</v>
      </c>
      <c r="P756" s="69">
        <v>0</v>
      </c>
      <c r="Q756" s="69">
        <v>0</v>
      </c>
      <c r="R756" s="69">
        <v>1130.2825643999968</v>
      </c>
      <c r="S756" s="69">
        <v>1130.2825643999968</v>
      </c>
      <c r="T756" s="69">
        <v>1130.2825643999968</v>
      </c>
      <c r="U756" s="69">
        <v>1130.2825643999968</v>
      </c>
      <c r="V756" s="69">
        <v>1130.2825643999968</v>
      </c>
      <c r="W756" s="69">
        <v>1130.2825643999968</v>
      </c>
      <c r="X756" s="69">
        <v>1130.2825643999968</v>
      </c>
      <c r="Y756" s="69">
        <v>1130.2825643999968</v>
      </c>
      <c r="Z756" s="69">
        <v>1130.2825643999968</v>
      </c>
      <c r="AA756" s="69">
        <v>1130.2825643999968</v>
      </c>
      <c r="AB756" s="69">
        <v>1130.2825643999968</v>
      </c>
      <c r="AC756" s="69">
        <v>1130.2825643999968</v>
      </c>
      <c r="AD756" s="69">
        <v>1130.2825643999968</v>
      </c>
      <c r="AE756" s="69">
        <v>1130.2825643999968</v>
      </c>
      <c r="AF756" s="69">
        <v>1130.2825643999968</v>
      </c>
      <c r="AG756" s="69">
        <v>1130.2825643999968</v>
      </c>
    </row>
    <row r="757" spans="1:33" ht="12.75" customHeight="1">
      <c r="A757" s="231" t="s">
        <v>2376</v>
      </c>
      <c r="B757" s="69" t="s">
        <v>312</v>
      </c>
      <c r="C757" s="69" t="s">
        <v>137</v>
      </c>
      <c r="D757" s="69" t="s">
        <v>191</v>
      </c>
      <c r="E757" s="69" t="s">
        <v>191</v>
      </c>
      <c r="F757" s="69" t="s">
        <v>156</v>
      </c>
      <c r="G757" s="69" t="s">
        <v>313</v>
      </c>
      <c r="H757" s="69" t="s">
        <v>2417</v>
      </c>
      <c r="I757" s="69">
        <v>2</v>
      </c>
      <c r="J757" s="238">
        <v>0.31759999999999999</v>
      </c>
      <c r="K757" s="238">
        <v>0.18058588251804827</v>
      </c>
      <c r="L757" s="69">
        <v>86.538452901949512</v>
      </c>
      <c r="M757" s="69">
        <v>0</v>
      </c>
      <c r="N757" s="69">
        <v>0</v>
      </c>
      <c r="O757" s="69">
        <v>0</v>
      </c>
      <c r="P757" s="69">
        <v>0</v>
      </c>
      <c r="Q757" s="69">
        <v>0</v>
      </c>
      <c r="R757" s="69">
        <v>1168.5139199999976</v>
      </c>
      <c r="S757" s="69">
        <v>1168.5139199999976</v>
      </c>
      <c r="T757" s="69">
        <v>1168.5139199999976</v>
      </c>
      <c r="U757" s="69">
        <v>1168.5139199999976</v>
      </c>
      <c r="V757" s="69">
        <v>1168.5139199999976</v>
      </c>
      <c r="W757" s="69">
        <v>1168.5139199999976</v>
      </c>
      <c r="X757" s="69">
        <v>1168.5139199999976</v>
      </c>
      <c r="Y757" s="69">
        <v>1168.5139199999976</v>
      </c>
      <c r="Z757" s="69">
        <v>1168.5139199999976</v>
      </c>
      <c r="AA757" s="69">
        <v>1168.5139199999976</v>
      </c>
      <c r="AB757" s="69">
        <v>1168.5139199999976</v>
      </c>
      <c r="AC757" s="69">
        <v>1168.5139199999976</v>
      </c>
      <c r="AD757" s="69">
        <v>1168.5139199999976</v>
      </c>
      <c r="AE757" s="69">
        <v>1168.5139199999976</v>
      </c>
      <c r="AF757" s="69">
        <v>1168.5139199999976</v>
      </c>
      <c r="AG757" s="69">
        <v>1168.5139199999976</v>
      </c>
    </row>
    <row r="758" spans="1:33" ht="12.75" customHeight="1">
      <c r="A758" s="231" t="s">
        <v>2376</v>
      </c>
      <c r="B758" s="69" t="s">
        <v>317</v>
      </c>
      <c r="C758" s="69" t="s">
        <v>137</v>
      </c>
      <c r="D758" s="69" t="s">
        <v>191</v>
      </c>
      <c r="E758" s="69" t="s">
        <v>191</v>
      </c>
      <c r="F758" s="69" t="s">
        <v>178</v>
      </c>
      <c r="G758" s="69" t="s">
        <v>192</v>
      </c>
      <c r="H758" s="69" t="s">
        <v>2130</v>
      </c>
      <c r="I758" s="69">
        <v>2</v>
      </c>
      <c r="J758" s="238">
        <v>0.32235762917068039</v>
      </c>
      <c r="K758" s="238">
        <v>0.16023967225809357</v>
      </c>
      <c r="L758" s="69">
        <v>96.038728079112801</v>
      </c>
      <c r="M758" s="69">
        <v>0</v>
      </c>
      <c r="N758" s="69">
        <v>0</v>
      </c>
      <c r="O758" s="69">
        <v>0</v>
      </c>
      <c r="P758" s="69">
        <v>0</v>
      </c>
      <c r="Q758" s="69">
        <v>0</v>
      </c>
      <c r="R758" s="69">
        <v>537.98522877445794</v>
      </c>
      <c r="S758" s="69">
        <v>537.98522877445794</v>
      </c>
      <c r="T758" s="69">
        <v>1112.5980156248531</v>
      </c>
      <c r="U758" s="69">
        <v>1112.5980156248531</v>
      </c>
      <c r="V758" s="69">
        <v>1112.5980156248531</v>
      </c>
      <c r="W758" s="69">
        <v>1112.5980156248531</v>
      </c>
      <c r="X758" s="69">
        <v>1112.5980156248531</v>
      </c>
      <c r="Y758" s="69">
        <v>1112.5980156248531</v>
      </c>
      <c r="Z758" s="69">
        <v>1112.5980156248531</v>
      </c>
      <c r="AA758" s="69">
        <v>1112.5980156248531</v>
      </c>
      <c r="AB758" s="69">
        <v>1112.5980156248531</v>
      </c>
      <c r="AC758" s="69">
        <v>1112.5980156248531</v>
      </c>
      <c r="AD758" s="69">
        <v>1112.5980156248531</v>
      </c>
      <c r="AE758" s="69">
        <v>1112.5980156248531</v>
      </c>
      <c r="AF758" s="69">
        <v>1112.5980156248531</v>
      </c>
      <c r="AG758" s="69">
        <v>1112.5980156248531</v>
      </c>
    </row>
    <row r="759" spans="1:33" ht="12.75" customHeight="1">
      <c r="A759" s="231" t="s">
        <v>2376</v>
      </c>
      <c r="B759" s="69" t="s">
        <v>318</v>
      </c>
      <c r="C759" s="69" t="s">
        <v>186</v>
      </c>
      <c r="D759" s="69" t="s">
        <v>218</v>
      </c>
      <c r="E759" s="69" t="s">
        <v>203</v>
      </c>
      <c r="F759" s="69" t="s">
        <v>157</v>
      </c>
      <c r="G759" s="69" t="s">
        <v>192</v>
      </c>
      <c r="H759" s="69" t="s">
        <v>805</v>
      </c>
      <c r="I759" s="69">
        <v>1</v>
      </c>
      <c r="J759" s="238">
        <v>0.23561922263058246</v>
      </c>
      <c r="K759" s="238">
        <v>0</v>
      </c>
      <c r="L759" s="69">
        <v>200.17205317577552</v>
      </c>
      <c r="M759" s="69">
        <v>-4.8449039881831615</v>
      </c>
      <c r="N759" s="69">
        <v>0</v>
      </c>
      <c r="O759" s="69">
        <v>0</v>
      </c>
      <c r="P759" s="69">
        <v>0</v>
      </c>
      <c r="Q759" s="69">
        <v>224.97865853658368</v>
      </c>
      <c r="R759" s="69">
        <v>224.97865853658368</v>
      </c>
      <c r="S759" s="69">
        <v>224.97865853658368</v>
      </c>
      <c r="T759" s="69">
        <v>224.97865853658368</v>
      </c>
      <c r="U759" s="69">
        <v>224.97865853658368</v>
      </c>
      <c r="V759" s="69">
        <v>224.97865853658368</v>
      </c>
      <c r="W759" s="69">
        <v>224.97865853658368</v>
      </c>
      <c r="X759" s="69">
        <v>224.97865853658368</v>
      </c>
      <c r="Y759" s="69">
        <v>224.97865853658368</v>
      </c>
      <c r="Z759" s="69">
        <v>224.97865853658368</v>
      </c>
      <c r="AA759" s="69">
        <v>224.97865853658368</v>
      </c>
      <c r="AB759" s="69">
        <v>224.97865853658368</v>
      </c>
      <c r="AC759" s="69">
        <v>224.97865853658368</v>
      </c>
      <c r="AD759" s="69">
        <v>224.97865853658368</v>
      </c>
      <c r="AE759" s="69">
        <v>224.97865853658368</v>
      </c>
      <c r="AF759" s="69">
        <v>224.97865853658368</v>
      </c>
      <c r="AG759" s="69">
        <v>224.97865853658368</v>
      </c>
    </row>
    <row r="760" spans="1:33" ht="12.75" customHeight="1">
      <c r="A760" s="231" t="s">
        <v>2376</v>
      </c>
      <c r="B760" s="69" t="s">
        <v>319</v>
      </c>
      <c r="C760" s="69" t="s">
        <v>184</v>
      </c>
      <c r="D760" s="69" t="s">
        <v>140</v>
      </c>
      <c r="E760" s="69" t="s">
        <v>191</v>
      </c>
      <c r="F760" s="69" t="s">
        <v>167</v>
      </c>
      <c r="G760" s="69" t="s">
        <v>192</v>
      </c>
      <c r="H760" s="69" t="s">
        <v>148</v>
      </c>
      <c r="I760" s="69">
        <v>4</v>
      </c>
      <c r="J760" s="238">
        <v>0.8</v>
      </c>
      <c r="K760" s="238">
        <v>0</v>
      </c>
      <c r="L760" s="69">
        <v>114.19797366361543</v>
      </c>
      <c r="M760" s="69">
        <v>0</v>
      </c>
      <c r="N760" s="69">
        <v>0</v>
      </c>
      <c r="O760" s="69">
        <v>0</v>
      </c>
      <c r="P760" s="69">
        <v>0</v>
      </c>
      <c r="Q760" s="69">
        <v>0</v>
      </c>
      <c r="R760" s="69">
        <v>1013</v>
      </c>
      <c r="S760" s="69">
        <v>1013</v>
      </c>
      <c r="T760" s="69">
        <v>1013</v>
      </c>
      <c r="U760" s="69">
        <v>1013</v>
      </c>
      <c r="V760" s="69">
        <v>1013</v>
      </c>
      <c r="W760" s="69">
        <v>1013</v>
      </c>
      <c r="X760" s="69">
        <v>1013</v>
      </c>
      <c r="Y760" s="69">
        <v>1013</v>
      </c>
      <c r="Z760" s="69">
        <v>1013</v>
      </c>
      <c r="AA760" s="69">
        <v>1013</v>
      </c>
      <c r="AB760" s="69">
        <v>1013</v>
      </c>
      <c r="AC760" s="69">
        <v>1013</v>
      </c>
      <c r="AD760" s="69">
        <v>1013</v>
      </c>
      <c r="AE760" s="69">
        <v>1013</v>
      </c>
      <c r="AF760" s="69">
        <v>1013</v>
      </c>
      <c r="AG760" s="69">
        <v>1013</v>
      </c>
    </row>
    <row r="761" spans="1:33" ht="12.75" customHeight="1">
      <c r="A761" s="231" t="s">
        <v>2376</v>
      </c>
      <c r="B761" s="69" t="s">
        <v>321</v>
      </c>
      <c r="C761" s="69" t="s">
        <v>136</v>
      </c>
      <c r="D761" s="69" t="s">
        <v>191</v>
      </c>
      <c r="E761" s="69" t="s">
        <v>191</v>
      </c>
      <c r="F761" s="69" t="s">
        <v>181</v>
      </c>
      <c r="G761" s="69" t="s">
        <v>294</v>
      </c>
      <c r="H761" s="69" t="s">
        <v>148</v>
      </c>
      <c r="I761" s="69">
        <v>4</v>
      </c>
      <c r="J761" s="238">
        <v>0.82500000000000007</v>
      </c>
      <c r="K761" s="238">
        <v>0.66812452144255507</v>
      </c>
      <c r="L761" s="69">
        <v>97.919965869917917</v>
      </c>
      <c r="M761" s="69">
        <v>0</v>
      </c>
      <c r="N761" s="69">
        <v>0</v>
      </c>
      <c r="O761" s="69">
        <v>0</v>
      </c>
      <c r="P761" s="69">
        <v>0</v>
      </c>
      <c r="Q761" s="69">
        <v>0</v>
      </c>
      <c r="R761" s="69">
        <v>0</v>
      </c>
      <c r="S761" s="69">
        <v>0</v>
      </c>
      <c r="T761" s="69">
        <v>810.4186046511677</v>
      </c>
      <c r="U761" s="69">
        <v>810.4186046511677</v>
      </c>
      <c r="V761" s="69">
        <v>810.4186046511677</v>
      </c>
      <c r="W761" s="69">
        <v>810.4186046511677</v>
      </c>
      <c r="X761" s="69">
        <v>810.4186046511677</v>
      </c>
      <c r="Y761" s="69">
        <v>810.4186046511677</v>
      </c>
      <c r="Z761" s="69">
        <v>810.4186046511677</v>
      </c>
      <c r="AA761" s="69">
        <v>810.4186046511677</v>
      </c>
      <c r="AB761" s="69">
        <v>810.4186046511677</v>
      </c>
      <c r="AC761" s="69">
        <v>810.4186046511677</v>
      </c>
      <c r="AD761" s="69">
        <v>810.4186046511677</v>
      </c>
      <c r="AE761" s="69">
        <v>810.4186046511677</v>
      </c>
      <c r="AF761" s="69">
        <v>810.4186046511677</v>
      </c>
      <c r="AG761" s="69">
        <v>810.4186046511677</v>
      </c>
    </row>
    <row r="762" spans="1:33" ht="12.75" customHeight="1">
      <c r="A762" s="231" t="s">
        <v>2376</v>
      </c>
      <c r="B762" s="69" t="s">
        <v>323</v>
      </c>
      <c r="C762" s="69" t="s">
        <v>136</v>
      </c>
      <c r="D762" s="69" t="s">
        <v>191</v>
      </c>
      <c r="E762" s="69" t="s">
        <v>191</v>
      </c>
      <c r="F762" s="69" t="s">
        <v>181</v>
      </c>
      <c r="G762" s="69" t="s">
        <v>294</v>
      </c>
      <c r="H762" s="69" t="s">
        <v>148</v>
      </c>
      <c r="I762" s="69">
        <v>4</v>
      </c>
      <c r="J762" s="238">
        <v>0.82499999999999996</v>
      </c>
      <c r="K762" s="238">
        <v>0.66812452144255507</v>
      </c>
      <c r="L762" s="69">
        <v>97.919965869917917</v>
      </c>
      <c r="M762" s="69">
        <v>0</v>
      </c>
      <c r="N762" s="69">
        <v>0</v>
      </c>
      <c r="O762" s="69">
        <v>0</v>
      </c>
      <c r="P762" s="69">
        <v>0</v>
      </c>
      <c r="Q762" s="69">
        <v>0</v>
      </c>
      <c r="R762" s="69">
        <v>159.93576235361252</v>
      </c>
      <c r="S762" s="69">
        <v>159.93576235361252</v>
      </c>
      <c r="T762" s="69">
        <v>159.93576235361252</v>
      </c>
      <c r="U762" s="69">
        <v>159.93576235361252</v>
      </c>
      <c r="V762" s="69">
        <v>159.93576235361252</v>
      </c>
      <c r="W762" s="69">
        <v>159.93576235361252</v>
      </c>
      <c r="X762" s="69">
        <v>159.93576235361252</v>
      </c>
      <c r="Y762" s="69">
        <v>159.93576235361252</v>
      </c>
      <c r="Z762" s="69">
        <v>159.93576235361252</v>
      </c>
      <c r="AA762" s="69">
        <v>159.93576235361252</v>
      </c>
      <c r="AB762" s="69">
        <v>159.93576235361252</v>
      </c>
      <c r="AC762" s="69">
        <v>159.93576235361252</v>
      </c>
      <c r="AD762" s="69">
        <v>159.93576235361252</v>
      </c>
      <c r="AE762" s="69">
        <v>159.93576235361252</v>
      </c>
      <c r="AF762" s="69">
        <v>159.93576235361252</v>
      </c>
      <c r="AG762" s="69">
        <v>159.93576235361252</v>
      </c>
    </row>
    <row r="763" spans="1:33" ht="12.75" customHeight="1">
      <c r="A763" s="231" t="s">
        <v>2376</v>
      </c>
      <c r="B763" s="69" t="s">
        <v>328</v>
      </c>
      <c r="C763" s="69" t="s">
        <v>137</v>
      </c>
      <c r="D763" s="69" t="s">
        <v>191</v>
      </c>
      <c r="E763" s="69" t="s">
        <v>191</v>
      </c>
      <c r="F763" s="69" t="s">
        <v>183</v>
      </c>
      <c r="G763" s="69" t="s">
        <v>329</v>
      </c>
      <c r="H763" s="69" t="s">
        <v>148</v>
      </c>
      <c r="I763" s="69">
        <v>4</v>
      </c>
      <c r="J763" s="238">
        <v>0.37659999999999999</v>
      </c>
      <c r="K763" s="238">
        <v>0.17884977722471748</v>
      </c>
      <c r="L763" s="69">
        <v>70.728535467115464</v>
      </c>
      <c r="M763" s="69">
        <v>0</v>
      </c>
      <c r="N763" s="69">
        <v>0</v>
      </c>
      <c r="O763" s="69">
        <v>0</v>
      </c>
      <c r="P763" s="69">
        <v>0</v>
      </c>
      <c r="Q763" s="69">
        <v>0</v>
      </c>
      <c r="R763" s="69">
        <v>316.74493746021471</v>
      </c>
      <c r="S763" s="69">
        <v>316.74493746021471</v>
      </c>
      <c r="T763" s="69">
        <v>316.74493746021471</v>
      </c>
      <c r="U763" s="69">
        <v>316.74493746021471</v>
      </c>
      <c r="V763" s="69">
        <v>316.74493746021471</v>
      </c>
      <c r="W763" s="69">
        <v>316.74493746021471</v>
      </c>
      <c r="X763" s="69">
        <v>316.74493746021471</v>
      </c>
      <c r="Y763" s="69">
        <v>316.74493746021471</v>
      </c>
      <c r="Z763" s="69">
        <v>316.74493746021471</v>
      </c>
      <c r="AA763" s="69">
        <v>316.74493746021471</v>
      </c>
      <c r="AB763" s="69">
        <v>316.74493746021471</v>
      </c>
      <c r="AC763" s="69">
        <v>316.74493746021471</v>
      </c>
      <c r="AD763" s="69">
        <v>316.74493746021471</v>
      </c>
      <c r="AE763" s="69">
        <v>316.74493746021471</v>
      </c>
      <c r="AF763" s="69">
        <v>316.74493746021471</v>
      </c>
      <c r="AG763" s="69">
        <v>316.74493746021471</v>
      </c>
    </row>
    <row r="764" spans="1:33" ht="12.75" customHeight="1">
      <c r="A764" s="231" t="s">
        <v>2376</v>
      </c>
      <c r="B764" s="69" t="s">
        <v>330</v>
      </c>
      <c r="C764" s="69" t="s">
        <v>137</v>
      </c>
      <c r="D764" s="69" t="s">
        <v>191</v>
      </c>
      <c r="E764" s="69" t="s">
        <v>191</v>
      </c>
      <c r="F764" s="69" t="s">
        <v>168</v>
      </c>
      <c r="G764" s="69" t="s">
        <v>199</v>
      </c>
      <c r="H764" s="69" t="s">
        <v>148</v>
      </c>
      <c r="I764" s="69">
        <v>4</v>
      </c>
      <c r="J764" s="238">
        <v>0.29204999999999998</v>
      </c>
      <c r="K764" s="238">
        <v>0.18436399478639695</v>
      </c>
      <c r="L764" s="69">
        <v>95.155627725733936</v>
      </c>
      <c r="M764" s="69">
        <v>0</v>
      </c>
      <c r="N764" s="69">
        <v>0</v>
      </c>
      <c r="O764" s="69">
        <v>0</v>
      </c>
      <c r="P764" s="69">
        <v>0</v>
      </c>
      <c r="Q764" s="69">
        <v>0</v>
      </c>
      <c r="R764" s="69">
        <v>1170.362529763428</v>
      </c>
      <c r="S764" s="69">
        <v>1170.362529763428</v>
      </c>
      <c r="T764" s="69">
        <v>1170.362529763428</v>
      </c>
      <c r="U764" s="69">
        <v>1170.362529763428</v>
      </c>
      <c r="V764" s="69">
        <v>1170.362529763428</v>
      </c>
      <c r="W764" s="69">
        <v>1170.362529763428</v>
      </c>
      <c r="X764" s="69">
        <v>1170.362529763428</v>
      </c>
      <c r="Y764" s="69">
        <v>1170.362529763428</v>
      </c>
      <c r="Z764" s="69">
        <v>1170.362529763428</v>
      </c>
      <c r="AA764" s="69">
        <v>1170.362529763428</v>
      </c>
      <c r="AB764" s="69">
        <v>1170.362529763428</v>
      </c>
      <c r="AC764" s="69">
        <v>1170.362529763428</v>
      </c>
      <c r="AD764" s="69">
        <v>1170.362529763428</v>
      </c>
      <c r="AE764" s="69">
        <v>1170.362529763428</v>
      </c>
      <c r="AF764" s="69">
        <v>1170.362529763428</v>
      </c>
      <c r="AG764" s="69">
        <v>1170.362529763428</v>
      </c>
    </row>
    <row r="765" spans="1:33" ht="12.75" customHeight="1">
      <c r="A765" s="231" t="s">
        <v>2376</v>
      </c>
      <c r="B765" s="69" t="s">
        <v>331</v>
      </c>
      <c r="C765" s="69" t="s">
        <v>137</v>
      </c>
      <c r="D765" s="69" t="s">
        <v>191</v>
      </c>
      <c r="E765" s="69" t="s">
        <v>191</v>
      </c>
      <c r="F765" s="69" t="s">
        <v>180</v>
      </c>
      <c r="G765" s="69" t="s">
        <v>192</v>
      </c>
      <c r="H765" s="69" t="s">
        <v>148</v>
      </c>
      <c r="I765" s="69">
        <v>4</v>
      </c>
      <c r="J765" s="238">
        <v>0.32235762917068039</v>
      </c>
      <c r="K765" s="238">
        <v>0.160195270625522</v>
      </c>
      <c r="L765" s="69">
        <v>96.038728079112815</v>
      </c>
      <c r="M765" s="69">
        <v>0</v>
      </c>
      <c r="N765" s="69">
        <v>0</v>
      </c>
      <c r="O765" s="69">
        <v>0</v>
      </c>
      <c r="P765" s="69">
        <v>0</v>
      </c>
      <c r="Q765" s="69">
        <v>0</v>
      </c>
      <c r="R765" s="69">
        <v>768.34665922935528</v>
      </c>
      <c r="S765" s="69">
        <v>768.34665922935528</v>
      </c>
      <c r="T765" s="69">
        <v>768.34665922935528</v>
      </c>
      <c r="U765" s="69">
        <v>768.34665922935528</v>
      </c>
      <c r="V765" s="69">
        <v>768.34665922935528</v>
      </c>
      <c r="W765" s="69">
        <v>768.34665922935528</v>
      </c>
      <c r="X765" s="69">
        <v>768.34665922935528</v>
      </c>
      <c r="Y765" s="69">
        <v>768.34665922935528</v>
      </c>
      <c r="Z765" s="69">
        <v>768.34665922935528</v>
      </c>
      <c r="AA765" s="69">
        <v>768.34665922935528</v>
      </c>
      <c r="AB765" s="69">
        <v>768.34665922935528</v>
      </c>
      <c r="AC765" s="69">
        <v>768.34665922935528</v>
      </c>
      <c r="AD765" s="69">
        <v>768.34665922935528</v>
      </c>
      <c r="AE765" s="69">
        <v>768.34665922935528</v>
      </c>
      <c r="AF765" s="69">
        <v>768.34665922935528</v>
      </c>
      <c r="AG765" s="69">
        <v>768.34665922935528</v>
      </c>
    </row>
    <row r="766" spans="1:33" ht="12.75" customHeight="1">
      <c r="A766" s="231" t="s">
        <v>2376</v>
      </c>
      <c r="B766" s="69" t="s">
        <v>333</v>
      </c>
      <c r="C766" s="69" t="s">
        <v>186</v>
      </c>
      <c r="D766" s="69" t="s">
        <v>334</v>
      </c>
      <c r="E766" s="69" t="s">
        <v>260</v>
      </c>
      <c r="F766" s="69" t="s">
        <v>157</v>
      </c>
      <c r="G766" s="69" t="s">
        <v>192</v>
      </c>
      <c r="H766" s="69" t="s">
        <v>805</v>
      </c>
      <c r="I766" s="69">
        <v>1</v>
      </c>
      <c r="J766" s="238">
        <v>0.19559527787058692</v>
      </c>
      <c r="K766" s="238">
        <v>0</v>
      </c>
      <c r="L766" s="69">
        <v>307.09437722419932</v>
      </c>
      <c r="M766" s="69">
        <v>-26.263345195729539</v>
      </c>
      <c r="N766" s="69">
        <v>6.1682926829271318</v>
      </c>
      <c r="O766" s="69">
        <v>6.1682926829271318</v>
      </c>
      <c r="P766" s="69">
        <v>6.1682926829271318</v>
      </c>
      <c r="Q766" s="69">
        <v>6.1682926829271318</v>
      </c>
      <c r="R766" s="69">
        <v>6.1682926829271318</v>
      </c>
      <c r="S766" s="69">
        <v>6.1682926829271318</v>
      </c>
      <c r="T766" s="69">
        <v>6.1682926829271318</v>
      </c>
      <c r="U766" s="69">
        <v>6.1682926829271318</v>
      </c>
      <c r="V766" s="69">
        <v>6.1682926829271318</v>
      </c>
      <c r="W766" s="69">
        <v>6.1682926829271318</v>
      </c>
      <c r="X766" s="69">
        <v>6.1682926829271318</v>
      </c>
      <c r="Y766" s="69">
        <v>6.1682926829271318</v>
      </c>
      <c r="Z766" s="69">
        <v>6.1682926829271318</v>
      </c>
      <c r="AA766" s="69">
        <v>6.1682926829271318</v>
      </c>
      <c r="AB766" s="69">
        <v>6.1682926829271318</v>
      </c>
      <c r="AC766" s="69">
        <v>6.1682926829271318</v>
      </c>
      <c r="AD766" s="69">
        <v>6.1682926829271318</v>
      </c>
      <c r="AE766" s="69">
        <v>6.1682926829271318</v>
      </c>
      <c r="AF766" s="69">
        <v>6.1682926829271318</v>
      </c>
      <c r="AG766" s="69">
        <v>6.1682926829271318</v>
      </c>
    </row>
    <row r="767" spans="1:33" ht="12.75" customHeight="1">
      <c r="A767" s="231" t="s">
        <v>2376</v>
      </c>
      <c r="B767" s="69" t="s">
        <v>335</v>
      </c>
      <c r="C767" s="69" t="s">
        <v>186</v>
      </c>
      <c r="D767" s="69" t="s">
        <v>334</v>
      </c>
      <c r="E767" s="69" t="s">
        <v>260</v>
      </c>
      <c r="F767" s="69" t="s">
        <v>157</v>
      </c>
      <c r="G767" s="69" t="s">
        <v>192</v>
      </c>
      <c r="H767" s="69" t="s">
        <v>805</v>
      </c>
      <c r="I767" s="69">
        <v>1</v>
      </c>
      <c r="J767" s="238">
        <v>0.19559527787058692</v>
      </c>
      <c r="K767" s="238">
        <v>0</v>
      </c>
      <c r="L767" s="69">
        <v>307.09437722419932</v>
      </c>
      <c r="M767" s="69">
        <v>-26.263345195729539</v>
      </c>
      <c r="N767" s="69">
        <v>0</v>
      </c>
      <c r="O767" s="69">
        <v>6.1682926829271318</v>
      </c>
      <c r="P767" s="69">
        <v>6.1682926829271318</v>
      </c>
      <c r="Q767" s="69">
        <v>6.1682926829271318</v>
      </c>
      <c r="R767" s="69">
        <v>6.1682926829271318</v>
      </c>
      <c r="S767" s="69">
        <v>6.1682926829271318</v>
      </c>
      <c r="T767" s="69">
        <v>6.1682926829271318</v>
      </c>
      <c r="U767" s="69">
        <v>6.1682926829271318</v>
      </c>
      <c r="V767" s="69">
        <v>6.1682926829271318</v>
      </c>
      <c r="W767" s="69">
        <v>6.1682926829271318</v>
      </c>
      <c r="X767" s="69">
        <v>6.1682926829271318</v>
      </c>
      <c r="Y767" s="69">
        <v>6.1682926829271318</v>
      </c>
      <c r="Z767" s="69">
        <v>6.1682926829271318</v>
      </c>
      <c r="AA767" s="69">
        <v>6.1682926829271318</v>
      </c>
      <c r="AB767" s="69">
        <v>6.1682926829271318</v>
      </c>
      <c r="AC767" s="69">
        <v>6.1682926829271318</v>
      </c>
      <c r="AD767" s="69">
        <v>6.1682926829271318</v>
      </c>
      <c r="AE767" s="69">
        <v>6.1682926829271318</v>
      </c>
      <c r="AF767" s="69">
        <v>6.1682926829271318</v>
      </c>
      <c r="AG767" s="69">
        <v>6.1682926829271318</v>
      </c>
    </row>
    <row r="768" spans="1:33" ht="12.75" customHeight="1">
      <c r="A768" s="231" t="s">
        <v>2376</v>
      </c>
      <c r="B768" s="69" t="s">
        <v>336</v>
      </c>
      <c r="C768" s="69" t="s">
        <v>186</v>
      </c>
      <c r="D768" s="69" t="s">
        <v>334</v>
      </c>
      <c r="E768" s="69" t="s">
        <v>260</v>
      </c>
      <c r="F768" s="69" t="s">
        <v>157</v>
      </c>
      <c r="G768" s="69" t="s">
        <v>192</v>
      </c>
      <c r="H768" s="69" t="s">
        <v>805</v>
      </c>
      <c r="I768" s="69">
        <v>1</v>
      </c>
      <c r="J768" s="238">
        <v>0.19559527787058692</v>
      </c>
      <c r="K768" s="238">
        <v>0</v>
      </c>
      <c r="L768" s="69">
        <v>307.09437722419932</v>
      </c>
      <c r="M768" s="69">
        <v>-26.263345195729539</v>
      </c>
      <c r="N768" s="69">
        <v>0</v>
      </c>
      <c r="O768" s="69">
        <v>0</v>
      </c>
      <c r="P768" s="69">
        <v>6.1682926829271318</v>
      </c>
      <c r="Q768" s="69">
        <v>6.1682926829271318</v>
      </c>
      <c r="R768" s="69">
        <v>6.1682926829271318</v>
      </c>
      <c r="S768" s="69">
        <v>6.1682926829271318</v>
      </c>
      <c r="T768" s="69">
        <v>6.1682926829271318</v>
      </c>
      <c r="U768" s="69">
        <v>6.1682926829271318</v>
      </c>
      <c r="V768" s="69">
        <v>6.1682926829271318</v>
      </c>
      <c r="W768" s="69">
        <v>6.1682926829271318</v>
      </c>
      <c r="X768" s="69">
        <v>6.1682926829271318</v>
      </c>
      <c r="Y768" s="69">
        <v>6.1682926829271318</v>
      </c>
      <c r="Z768" s="69">
        <v>6.1682926829271318</v>
      </c>
      <c r="AA768" s="69">
        <v>6.1682926829271318</v>
      </c>
      <c r="AB768" s="69">
        <v>6.1682926829271318</v>
      </c>
      <c r="AC768" s="69">
        <v>6.1682926829271318</v>
      </c>
      <c r="AD768" s="69">
        <v>6.1682926829271318</v>
      </c>
      <c r="AE768" s="69">
        <v>6.1682926829271318</v>
      </c>
      <c r="AF768" s="69">
        <v>6.1682926829271318</v>
      </c>
      <c r="AG768" s="69">
        <v>6.1682926829271318</v>
      </c>
    </row>
    <row r="769" spans="1:33" ht="12.75" customHeight="1">
      <c r="A769" s="231" t="s">
        <v>2376</v>
      </c>
      <c r="B769" s="69" t="s">
        <v>337</v>
      </c>
      <c r="C769" s="69" t="s">
        <v>186</v>
      </c>
      <c r="D769" s="69" t="s">
        <v>334</v>
      </c>
      <c r="E769" s="69" t="s">
        <v>260</v>
      </c>
      <c r="F769" s="69" t="s">
        <v>157</v>
      </c>
      <c r="G769" s="69" t="s">
        <v>192</v>
      </c>
      <c r="H769" s="69" t="s">
        <v>805</v>
      </c>
      <c r="I769" s="69">
        <v>1</v>
      </c>
      <c r="J769" s="238">
        <v>0.19559527787058692</v>
      </c>
      <c r="K769" s="238">
        <v>0</v>
      </c>
      <c r="L769" s="69">
        <v>307.09437722419932</v>
      </c>
      <c r="M769" s="69">
        <v>-26.263345195729539</v>
      </c>
      <c r="N769" s="69">
        <v>0</v>
      </c>
      <c r="O769" s="69">
        <v>0</v>
      </c>
      <c r="P769" s="69">
        <v>0</v>
      </c>
      <c r="Q769" s="69">
        <v>6.1682926829271318</v>
      </c>
      <c r="R769" s="69">
        <v>6.1682926829271318</v>
      </c>
      <c r="S769" s="69">
        <v>6.1682926829271318</v>
      </c>
      <c r="T769" s="69">
        <v>6.1682926829271318</v>
      </c>
      <c r="U769" s="69">
        <v>6.1682926829271318</v>
      </c>
      <c r="V769" s="69">
        <v>6.1682926829271318</v>
      </c>
      <c r="W769" s="69">
        <v>6.1682926829271318</v>
      </c>
      <c r="X769" s="69">
        <v>6.1682926829271318</v>
      </c>
      <c r="Y769" s="69">
        <v>6.1682926829271318</v>
      </c>
      <c r="Z769" s="69">
        <v>6.1682926829271318</v>
      </c>
      <c r="AA769" s="69">
        <v>6.1682926829271318</v>
      </c>
      <c r="AB769" s="69">
        <v>6.1682926829271318</v>
      </c>
      <c r="AC769" s="69">
        <v>6.1682926829271318</v>
      </c>
      <c r="AD769" s="69">
        <v>6.1682926829271318</v>
      </c>
      <c r="AE769" s="69">
        <v>6.1682926829271318</v>
      </c>
      <c r="AF769" s="69">
        <v>6.1682926829271318</v>
      </c>
      <c r="AG769" s="69">
        <v>6.1682926829271318</v>
      </c>
    </row>
    <row r="770" spans="1:33" ht="12.75" customHeight="1">
      <c r="A770" s="231" t="s">
        <v>2376</v>
      </c>
      <c r="B770" s="69" t="s">
        <v>338</v>
      </c>
      <c r="C770" s="69" t="s">
        <v>186</v>
      </c>
      <c r="D770" s="69" t="s">
        <v>334</v>
      </c>
      <c r="E770" s="69" t="s">
        <v>260</v>
      </c>
      <c r="F770" s="69" t="s">
        <v>157</v>
      </c>
      <c r="G770" s="69" t="s">
        <v>192</v>
      </c>
      <c r="H770" s="69" t="s">
        <v>805</v>
      </c>
      <c r="I770" s="69">
        <v>1</v>
      </c>
      <c r="J770" s="238">
        <v>0.19559527787058692</v>
      </c>
      <c r="K770" s="238">
        <v>0</v>
      </c>
      <c r="L770" s="69">
        <v>307.09437722419932</v>
      </c>
      <c r="M770" s="69">
        <v>-26.263345195729539</v>
      </c>
      <c r="N770" s="69">
        <v>0</v>
      </c>
      <c r="O770" s="69">
        <v>0</v>
      </c>
      <c r="P770" s="69">
        <v>0</v>
      </c>
      <c r="Q770" s="69">
        <v>0</v>
      </c>
      <c r="R770" s="69">
        <v>6.1682926829271318</v>
      </c>
      <c r="S770" s="69">
        <v>6.1682926829271318</v>
      </c>
      <c r="T770" s="69">
        <v>6.1682926829271318</v>
      </c>
      <c r="U770" s="69">
        <v>6.1682926829271318</v>
      </c>
      <c r="V770" s="69">
        <v>6.1682926829271318</v>
      </c>
      <c r="W770" s="69">
        <v>6.1682926829271318</v>
      </c>
      <c r="X770" s="69">
        <v>6.1682926829271318</v>
      </c>
      <c r="Y770" s="69">
        <v>6.1682926829271318</v>
      </c>
      <c r="Z770" s="69">
        <v>6.1682926829271318</v>
      </c>
      <c r="AA770" s="69">
        <v>6.1682926829271318</v>
      </c>
      <c r="AB770" s="69">
        <v>6.1682926829271318</v>
      </c>
      <c r="AC770" s="69">
        <v>6.1682926829271318</v>
      </c>
      <c r="AD770" s="69">
        <v>6.1682926829271318</v>
      </c>
      <c r="AE770" s="69">
        <v>6.1682926829271318</v>
      </c>
      <c r="AF770" s="69">
        <v>6.1682926829271318</v>
      </c>
      <c r="AG770" s="69">
        <v>6.1682926829271318</v>
      </c>
    </row>
    <row r="771" spans="1:33" ht="12.75" customHeight="1">
      <c r="A771" s="231" t="s">
        <v>2376</v>
      </c>
      <c r="B771" s="69" t="s">
        <v>339</v>
      </c>
      <c r="C771" s="69" t="s">
        <v>186</v>
      </c>
      <c r="D771" s="69" t="s">
        <v>218</v>
      </c>
      <c r="E771" s="69" t="s">
        <v>260</v>
      </c>
      <c r="F771" s="69" t="s">
        <v>157</v>
      </c>
      <c r="G771" s="69" t="s">
        <v>192</v>
      </c>
      <c r="H771" s="69" t="s">
        <v>805</v>
      </c>
      <c r="I771" s="69">
        <v>1</v>
      </c>
      <c r="J771" s="238">
        <v>0.21868155325388869</v>
      </c>
      <c r="K771" s="238">
        <v>0</v>
      </c>
      <c r="L771" s="69">
        <v>215.67609549071619</v>
      </c>
      <c r="M771" s="69">
        <v>-5.2201591511936343</v>
      </c>
      <c r="N771" s="69">
        <v>26.249425539019281</v>
      </c>
      <c r="O771" s="69">
        <v>26.249425539019281</v>
      </c>
      <c r="P771" s="69">
        <v>26.249425539019281</v>
      </c>
      <c r="Q771" s="69">
        <v>26.249425539019281</v>
      </c>
      <c r="R771" s="69">
        <v>26.249425539019281</v>
      </c>
      <c r="S771" s="69">
        <v>26.249425539019281</v>
      </c>
      <c r="T771" s="69">
        <v>26.249425539019281</v>
      </c>
      <c r="U771" s="69">
        <v>26.249425539019281</v>
      </c>
      <c r="V771" s="69">
        <v>26.249425539019281</v>
      </c>
      <c r="W771" s="69">
        <v>26.249425539019281</v>
      </c>
      <c r="X771" s="69">
        <v>26.249425539019281</v>
      </c>
      <c r="Y771" s="69">
        <v>26.249425539019281</v>
      </c>
      <c r="Z771" s="69">
        <v>26.249425539019281</v>
      </c>
      <c r="AA771" s="69">
        <v>26.249425539019281</v>
      </c>
      <c r="AB771" s="69">
        <v>26.249425539019281</v>
      </c>
      <c r="AC771" s="69">
        <v>26.249425539019281</v>
      </c>
      <c r="AD771" s="69">
        <v>26.249425539019281</v>
      </c>
      <c r="AE771" s="69">
        <v>26.249425539019281</v>
      </c>
      <c r="AF771" s="69">
        <v>26.249425539019281</v>
      </c>
      <c r="AG771" s="69">
        <v>26.249425539019281</v>
      </c>
    </row>
    <row r="772" spans="1:33" ht="12.75" customHeight="1">
      <c r="A772" s="231" t="s">
        <v>2376</v>
      </c>
      <c r="B772" s="69" t="s">
        <v>340</v>
      </c>
      <c r="C772" s="69" t="s">
        <v>186</v>
      </c>
      <c r="D772" s="69" t="s">
        <v>218</v>
      </c>
      <c r="E772" s="69" t="s">
        <v>203</v>
      </c>
      <c r="F772" s="69" t="s">
        <v>157</v>
      </c>
      <c r="G772" s="69" t="s">
        <v>192</v>
      </c>
      <c r="H772" s="69" t="s">
        <v>805</v>
      </c>
      <c r="I772" s="69">
        <v>1</v>
      </c>
      <c r="J772" s="238">
        <v>0.23561922263058244</v>
      </c>
      <c r="K772" s="238">
        <v>0</v>
      </c>
      <c r="L772" s="69">
        <v>200.17205317577549</v>
      </c>
      <c r="M772" s="69">
        <v>-4.8449039881831615</v>
      </c>
      <c r="N772" s="69">
        <v>69.965023431977897</v>
      </c>
      <c r="O772" s="69">
        <v>69.965023431977897</v>
      </c>
      <c r="P772" s="69">
        <v>69.965023431977897</v>
      </c>
      <c r="Q772" s="69">
        <v>69.965023431977897</v>
      </c>
      <c r="R772" s="69">
        <v>69.965023431977897</v>
      </c>
      <c r="S772" s="69">
        <v>69.965023431977897</v>
      </c>
      <c r="T772" s="69">
        <v>69.965023431977897</v>
      </c>
      <c r="U772" s="69">
        <v>69.965023431977897</v>
      </c>
      <c r="V772" s="69">
        <v>69.965023431977897</v>
      </c>
      <c r="W772" s="69">
        <v>69.965023431977897</v>
      </c>
      <c r="X772" s="69">
        <v>69.965023431977897</v>
      </c>
      <c r="Y772" s="69">
        <v>69.965023431977897</v>
      </c>
      <c r="Z772" s="69">
        <v>69.965023431977897</v>
      </c>
      <c r="AA772" s="69">
        <v>69.965023431977897</v>
      </c>
      <c r="AB772" s="69">
        <v>69.965023431977897</v>
      </c>
      <c r="AC772" s="69">
        <v>69.965023431977897</v>
      </c>
      <c r="AD772" s="69">
        <v>69.965023431977897</v>
      </c>
      <c r="AE772" s="69">
        <v>69.965023431977897</v>
      </c>
      <c r="AF772" s="69">
        <v>69.965023431977897</v>
      </c>
      <c r="AG772" s="69">
        <v>69.965023431977897</v>
      </c>
    </row>
    <row r="773" spans="1:33" ht="12.75" customHeight="1">
      <c r="A773" s="231" t="s">
        <v>2376</v>
      </c>
      <c r="B773" s="69" t="s">
        <v>341</v>
      </c>
      <c r="C773" s="69" t="s">
        <v>186</v>
      </c>
      <c r="D773" s="69" t="s">
        <v>218</v>
      </c>
      <c r="E773" s="69" t="s">
        <v>260</v>
      </c>
      <c r="F773" s="69" t="s">
        <v>157</v>
      </c>
      <c r="G773" s="69" t="s">
        <v>192</v>
      </c>
      <c r="H773" s="69" t="s">
        <v>805</v>
      </c>
      <c r="I773" s="69">
        <v>1</v>
      </c>
      <c r="J773" s="238">
        <v>0.21868155325388869</v>
      </c>
      <c r="K773" s="238">
        <v>0</v>
      </c>
      <c r="L773" s="69">
        <v>215.67609549071619</v>
      </c>
      <c r="M773" s="69">
        <v>-5.2201591511936343</v>
      </c>
      <c r="N773" s="69">
        <v>0</v>
      </c>
      <c r="O773" s="69">
        <v>26.249425539019281</v>
      </c>
      <c r="P773" s="69">
        <v>26.249425539019281</v>
      </c>
      <c r="Q773" s="69">
        <v>26.249425539019281</v>
      </c>
      <c r="R773" s="69">
        <v>26.249425539019281</v>
      </c>
      <c r="S773" s="69">
        <v>26.249425539019281</v>
      </c>
      <c r="T773" s="69">
        <v>26.249425539019281</v>
      </c>
      <c r="U773" s="69">
        <v>26.249425539019281</v>
      </c>
      <c r="V773" s="69">
        <v>26.249425539019281</v>
      </c>
      <c r="W773" s="69">
        <v>26.249425539019281</v>
      </c>
      <c r="X773" s="69">
        <v>26.249425539019281</v>
      </c>
      <c r="Y773" s="69">
        <v>26.249425539019281</v>
      </c>
      <c r="Z773" s="69">
        <v>26.249425539019281</v>
      </c>
      <c r="AA773" s="69">
        <v>26.249425539019281</v>
      </c>
      <c r="AB773" s="69">
        <v>26.249425539019281</v>
      </c>
      <c r="AC773" s="69">
        <v>26.249425539019281</v>
      </c>
      <c r="AD773" s="69">
        <v>26.249425539019281</v>
      </c>
      <c r="AE773" s="69">
        <v>26.249425539019281</v>
      </c>
      <c r="AF773" s="69">
        <v>26.249425539019281</v>
      </c>
      <c r="AG773" s="69">
        <v>26.249425539019281</v>
      </c>
    </row>
    <row r="774" spans="1:33" ht="12.75" customHeight="1">
      <c r="A774" s="231" t="s">
        <v>2376</v>
      </c>
      <c r="B774" s="69" t="s">
        <v>342</v>
      </c>
      <c r="C774" s="69" t="s">
        <v>186</v>
      </c>
      <c r="D774" s="69" t="s">
        <v>218</v>
      </c>
      <c r="E774" s="69" t="s">
        <v>203</v>
      </c>
      <c r="F774" s="69" t="s">
        <v>157</v>
      </c>
      <c r="G774" s="69" t="s">
        <v>192</v>
      </c>
      <c r="H774" s="69" t="s">
        <v>805</v>
      </c>
      <c r="I774" s="69">
        <v>1</v>
      </c>
      <c r="J774" s="238">
        <v>0.23561922263058244</v>
      </c>
      <c r="K774" s="238">
        <v>0</v>
      </c>
      <c r="L774" s="69">
        <v>200.17205317577549</v>
      </c>
      <c r="M774" s="69">
        <v>-4.8449039881831615</v>
      </c>
      <c r="N774" s="69">
        <v>0</v>
      </c>
      <c r="O774" s="69">
        <v>69.965023431977897</v>
      </c>
      <c r="P774" s="69">
        <v>69.965023431977897</v>
      </c>
      <c r="Q774" s="69">
        <v>69.965023431977897</v>
      </c>
      <c r="R774" s="69">
        <v>69.965023431977897</v>
      </c>
      <c r="S774" s="69">
        <v>69.965023431977897</v>
      </c>
      <c r="T774" s="69">
        <v>69.965023431977897</v>
      </c>
      <c r="U774" s="69">
        <v>69.965023431977897</v>
      </c>
      <c r="V774" s="69">
        <v>69.965023431977897</v>
      </c>
      <c r="W774" s="69">
        <v>69.965023431977897</v>
      </c>
      <c r="X774" s="69">
        <v>69.965023431977897</v>
      </c>
      <c r="Y774" s="69">
        <v>69.965023431977897</v>
      </c>
      <c r="Z774" s="69">
        <v>69.965023431977897</v>
      </c>
      <c r="AA774" s="69">
        <v>69.965023431977897</v>
      </c>
      <c r="AB774" s="69">
        <v>69.965023431977897</v>
      </c>
      <c r="AC774" s="69">
        <v>69.965023431977897</v>
      </c>
      <c r="AD774" s="69">
        <v>69.965023431977897</v>
      </c>
      <c r="AE774" s="69">
        <v>69.965023431977897</v>
      </c>
      <c r="AF774" s="69">
        <v>69.965023431977897</v>
      </c>
      <c r="AG774" s="69">
        <v>69.965023431977897</v>
      </c>
    </row>
    <row r="775" spans="1:33" ht="12.75" customHeight="1">
      <c r="A775" s="231" t="s">
        <v>2376</v>
      </c>
      <c r="B775" s="69" t="s">
        <v>343</v>
      </c>
      <c r="C775" s="69" t="s">
        <v>186</v>
      </c>
      <c r="D775" s="69" t="s">
        <v>218</v>
      </c>
      <c r="E775" s="69" t="s">
        <v>260</v>
      </c>
      <c r="F775" s="69" t="s">
        <v>157</v>
      </c>
      <c r="G775" s="69" t="s">
        <v>192</v>
      </c>
      <c r="H775" s="69" t="s">
        <v>805</v>
      </c>
      <c r="I775" s="69">
        <v>1</v>
      </c>
      <c r="J775" s="238">
        <v>0.21868155325388869</v>
      </c>
      <c r="K775" s="238">
        <v>0</v>
      </c>
      <c r="L775" s="69">
        <v>215.67609549071619</v>
      </c>
      <c r="M775" s="69">
        <v>-5.2201591511936343</v>
      </c>
      <c r="N775" s="69">
        <v>0</v>
      </c>
      <c r="O775" s="69">
        <v>0</v>
      </c>
      <c r="P775" s="69">
        <v>26.249425539019281</v>
      </c>
      <c r="Q775" s="69">
        <v>26.249425539019281</v>
      </c>
      <c r="R775" s="69">
        <v>26.249425539019281</v>
      </c>
      <c r="S775" s="69">
        <v>26.249425539019281</v>
      </c>
      <c r="T775" s="69">
        <v>26.249425539019281</v>
      </c>
      <c r="U775" s="69">
        <v>26.249425539019281</v>
      </c>
      <c r="V775" s="69">
        <v>26.249425539019281</v>
      </c>
      <c r="W775" s="69">
        <v>26.249425539019281</v>
      </c>
      <c r="X775" s="69">
        <v>26.249425539019281</v>
      </c>
      <c r="Y775" s="69">
        <v>26.249425539019281</v>
      </c>
      <c r="Z775" s="69">
        <v>26.249425539019281</v>
      </c>
      <c r="AA775" s="69">
        <v>26.249425539019281</v>
      </c>
      <c r="AB775" s="69">
        <v>26.249425539019281</v>
      </c>
      <c r="AC775" s="69">
        <v>26.249425539019281</v>
      </c>
      <c r="AD775" s="69">
        <v>26.249425539019281</v>
      </c>
      <c r="AE775" s="69">
        <v>26.249425539019281</v>
      </c>
      <c r="AF775" s="69">
        <v>26.249425539019281</v>
      </c>
      <c r="AG775" s="69">
        <v>26.249425539019281</v>
      </c>
    </row>
    <row r="776" spans="1:33" ht="12.75" customHeight="1">
      <c r="A776" s="231" t="s">
        <v>2376</v>
      </c>
      <c r="B776" s="69" t="s">
        <v>344</v>
      </c>
      <c r="C776" s="69" t="s">
        <v>186</v>
      </c>
      <c r="D776" s="69" t="s">
        <v>218</v>
      </c>
      <c r="E776" s="69" t="s">
        <v>203</v>
      </c>
      <c r="F776" s="69" t="s">
        <v>157</v>
      </c>
      <c r="G776" s="69" t="s">
        <v>192</v>
      </c>
      <c r="H776" s="69" t="s">
        <v>805</v>
      </c>
      <c r="I776" s="69">
        <v>1</v>
      </c>
      <c r="J776" s="238">
        <v>0.23561922263058244</v>
      </c>
      <c r="K776" s="238">
        <v>0</v>
      </c>
      <c r="L776" s="69">
        <v>200.17205317577549</v>
      </c>
      <c r="M776" s="69">
        <v>-4.8449039881831615</v>
      </c>
      <c r="N776" s="69">
        <v>0</v>
      </c>
      <c r="O776" s="69">
        <v>0</v>
      </c>
      <c r="P776" s="69">
        <v>69.965023431977897</v>
      </c>
      <c r="Q776" s="69">
        <v>69.965023431977897</v>
      </c>
      <c r="R776" s="69">
        <v>69.965023431977897</v>
      </c>
      <c r="S776" s="69">
        <v>69.965023431977897</v>
      </c>
      <c r="T776" s="69">
        <v>69.965023431977897</v>
      </c>
      <c r="U776" s="69">
        <v>69.965023431977897</v>
      </c>
      <c r="V776" s="69">
        <v>69.965023431977897</v>
      </c>
      <c r="W776" s="69">
        <v>69.965023431977897</v>
      </c>
      <c r="X776" s="69">
        <v>69.965023431977897</v>
      </c>
      <c r="Y776" s="69">
        <v>69.965023431977897</v>
      </c>
      <c r="Z776" s="69">
        <v>69.965023431977897</v>
      </c>
      <c r="AA776" s="69">
        <v>69.965023431977897</v>
      </c>
      <c r="AB776" s="69">
        <v>69.965023431977897</v>
      </c>
      <c r="AC776" s="69">
        <v>69.965023431977897</v>
      </c>
      <c r="AD776" s="69">
        <v>69.965023431977897</v>
      </c>
      <c r="AE776" s="69">
        <v>69.965023431977897</v>
      </c>
      <c r="AF776" s="69">
        <v>69.965023431977897</v>
      </c>
      <c r="AG776" s="69">
        <v>69.965023431977897</v>
      </c>
    </row>
    <row r="777" spans="1:33" ht="12.75" customHeight="1">
      <c r="A777" s="231" t="s">
        <v>2376</v>
      </c>
      <c r="B777" s="69" t="s">
        <v>345</v>
      </c>
      <c r="C777" s="69" t="s">
        <v>186</v>
      </c>
      <c r="D777" s="69" t="s">
        <v>218</v>
      </c>
      <c r="E777" s="69" t="s">
        <v>260</v>
      </c>
      <c r="F777" s="69" t="s">
        <v>157</v>
      </c>
      <c r="G777" s="69" t="s">
        <v>192</v>
      </c>
      <c r="H777" s="69" t="s">
        <v>805</v>
      </c>
      <c r="I777" s="69">
        <v>1</v>
      </c>
      <c r="J777" s="238">
        <v>0.21868155325388869</v>
      </c>
      <c r="K777" s="238">
        <v>0</v>
      </c>
      <c r="L777" s="69">
        <v>215.67609549071619</v>
      </c>
      <c r="M777" s="69">
        <v>-5.2201591511936343</v>
      </c>
      <c r="N777" s="69">
        <v>0</v>
      </c>
      <c r="O777" s="69">
        <v>0</v>
      </c>
      <c r="P777" s="69">
        <v>0</v>
      </c>
      <c r="Q777" s="69">
        <v>26.249425539019281</v>
      </c>
      <c r="R777" s="69">
        <v>26.249425539019281</v>
      </c>
      <c r="S777" s="69">
        <v>26.249425539019281</v>
      </c>
      <c r="T777" s="69">
        <v>26.249425539019281</v>
      </c>
      <c r="U777" s="69">
        <v>26.249425539019281</v>
      </c>
      <c r="V777" s="69">
        <v>26.249425539019281</v>
      </c>
      <c r="W777" s="69">
        <v>26.249425539019281</v>
      </c>
      <c r="X777" s="69">
        <v>26.249425539019281</v>
      </c>
      <c r="Y777" s="69">
        <v>26.249425539019281</v>
      </c>
      <c r="Z777" s="69">
        <v>26.249425539019281</v>
      </c>
      <c r="AA777" s="69">
        <v>26.249425539019281</v>
      </c>
      <c r="AB777" s="69">
        <v>26.249425539019281</v>
      </c>
      <c r="AC777" s="69">
        <v>26.249425539019281</v>
      </c>
      <c r="AD777" s="69">
        <v>26.249425539019281</v>
      </c>
      <c r="AE777" s="69">
        <v>26.249425539019281</v>
      </c>
      <c r="AF777" s="69">
        <v>26.249425539019281</v>
      </c>
      <c r="AG777" s="69">
        <v>26.249425539019281</v>
      </c>
    </row>
    <row r="778" spans="1:33" ht="12.75" customHeight="1">
      <c r="A778" s="231" t="s">
        <v>2376</v>
      </c>
      <c r="B778" s="69" t="s">
        <v>346</v>
      </c>
      <c r="C778" s="69" t="s">
        <v>186</v>
      </c>
      <c r="D778" s="69" t="s">
        <v>218</v>
      </c>
      <c r="E778" s="69" t="s">
        <v>203</v>
      </c>
      <c r="F778" s="69" t="s">
        <v>157</v>
      </c>
      <c r="G778" s="69" t="s">
        <v>192</v>
      </c>
      <c r="H778" s="69" t="s">
        <v>805</v>
      </c>
      <c r="I778" s="69">
        <v>1</v>
      </c>
      <c r="J778" s="238">
        <v>0.23561922263058244</v>
      </c>
      <c r="K778" s="238">
        <v>0</v>
      </c>
      <c r="L778" s="69">
        <v>200.17205317577549</v>
      </c>
      <c r="M778" s="69">
        <v>-4.8449039881831615</v>
      </c>
      <c r="N778" s="69">
        <v>0</v>
      </c>
      <c r="O778" s="69">
        <v>0</v>
      </c>
      <c r="P778" s="69">
        <v>0</v>
      </c>
      <c r="Q778" s="69">
        <v>69.965023431977897</v>
      </c>
      <c r="R778" s="69">
        <v>69.965023431977897</v>
      </c>
      <c r="S778" s="69">
        <v>69.965023431977897</v>
      </c>
      <c r="T778" s="69">
        <v>69.965023431977897</v>
      </c>
      <c r="U778" s="69">
        <v>69.965023431977897</v>
      </c>
      <c r="V778" s="69">
        <v>69.965023431977897</v>
      </c>
      <c r="W778" s="69">
        <v>69.965023431977897</v>
      </c>
      <c r="X778" s="69">
        <v>69.965023431977897</v>
      </c>
      <c r="Y778" s="69">
        <v>69.965023431977897</v>
      </c>
      <c r="Z778" s="69">
        <v>69.965023431977897</v>
      </c>
      <c r="AA778" s="69">
        <v>69.965023431977897</v>
      </c>
      <c r="AB778" s="69">
        <v>69.965023431977897</v>
      </c>
      <c r="AC778" s="69">
        <v>69.965023431977897</v>
      </c>
      <c r="AD778" s="69">
        <v>69.965023431977897</v>
      </c>
      <c r="AE778" s="69">
        <v>69.965023431977897</v>
      </c>
      <c r="AF778" s="69">
        <v>69.965023431977897</v>
      </c>
      <c r="AG778" s="69">
        <v>69.965023431977897</v>
      </c>
    </row>
    <row r="779" spans="1:33" ht="12.75" customHeight="1">
      <c r="A779" s="231" t="s">
        <v>2376</v>
      </c>
      <c r="B779" s="69" t="s">
        <v>347</v>
      </c>
      <c r="C779" s="69" t="s">
        <v>186</v>
      </c>
      <c r="D779" s="69" t="s">
        <v>218</v>
      </c>
      <c r="E779" s="69" t="s">
        <v>260</v>
      </c>
      <c r="F779" s="69" t="s">
        <v>157</v>
      </c>
      <c r="G779" s="69" t="s">
        <v>192</v>
      </c>
      <c r="H779" s="69" t="s">
        <v>805</v>
      </c>
      <c r="I779" s="69">
        <v>1</v>
      </c>
      <c r="J779" s="238">
        <v>0.21868155325388869</v>
      </c>
      <c r="K779" s="238">
        <v>0</v>
      </c>
      <c r="L779" s="69">
        <v>215.67609549071619</v>
      </c>
      <c r="M779" s="69">
        <v>-5.2201591511936343</v>
      </c>
      <c r="N779" s="69">
        <v>0</v>
      </c>
      <c r="O779" s="69">
        <v>0</v>
      </c>
      <c r="P779" s="69">
        <v>0</v>
      </c>
      <c r="Q779" s="69">
        <v>0</v>
      </c>
      <c r="R779" s="69">
        <v>26.249425539019281</v>
      </c>
      <c r="S779" s="69">
        <v>26.249425539019281</v>
      </c>
      <c r="T779" s="69">
        <v>26.249425539019281</v>
      </c>
      <c r="U779" s="69">
        <v>26.249425539019281</v>
      </c>
      <c r="V779" s="69">
        <v>26.249425539019281</v>
      </c>
      <c r="W779" s="69">
        <v>26.249425539019281</v>
      </c>
      <c r="X779" s="69">
        <v>26.249425539019281</v>
      </c>
      <c r="Y779" s="69">
        <v>26.249425539019281</v>
      </c>
      <c r="Z779" s="69">
        <v>26.249425539019281</v>
      </c>
      <c r="AA779" s="69">
        <v>26.249425539019281</v>
      </c>
      <c r="AB779" s="69">
        <v>26.249425539019281</v>
      </c>
      <c r="AC779" s="69">
        <v>26.249425539019281</v>
      </c>
      <c r="AD779" s="69">
        <v>26.249425539019281</v>
      </c>
      <c r="AE779" s="69">
        <v>26.249425539019281</v>
      </c>
      <c r="AF779" s="69">
        <v>26.249425539019281</v>
      </c>
      <c r="AG779" s="69">
        <v>26.249425539019281</v>
      </c>
    </row>
    <row r="780" spans="1:33" ht="12.75" customHeight="1">
      <c r="A780" s="231" t="s">
        <v>2376</v>
      </c>
      <c r="B780" s="69" t="s">
        <v>348</v>
      </c>
      <c r="C780" s="69" t="s">
        <v>186</v>
      </c>
      <c r="D780" s="69" t="s">
        <v>218</v>
      </c>
      <c r="E780" s="69" t="s">
        <v>203</v>
      </c>
      <c r="F780" s="69" t="s">
        <v>157</v>
      </c>
      <c r="G780" s="69" t="s">
        <v>192</v>
      </c>
      <c r="H780" s="69" t="s">
        <v>805</v>
      </c>
      <c r="I780" s="69">
        <v>1</v>
      </c>
      <c r="J780" s="238">
        <v>0.23561922263058244</v>
      </c>
      <c r="K780" s="238">
        <v>0</v>
      </c>
      <c r="L780" s="69">
        <v>200.17205317577549</v>
      </c>
      <c r="M780" s="69">
        <v>-4.8449039881831615</v>
      </c>
      <c r="N780" s="69">
        <v>0</v>
      </c>
      <c r="O780" s="69">
        <v>0</v>
      </c>
      <c r="P780" s="69">
        <v>0</v>
      </c>
      <c r="Q780" s="69">
        <v>0</v>
      </c>
      <c r="R780" s="69">
        <v>69.965023431977897</v>
      </c>
      <c r="S780" s="69">
        <v>69.965023431977897</v>
      </c>
      <c r="T780" s="69">
        <v>69.965023431977897</v>
      </c>
      <c r="U780" s="69">
        <v>69.965023431977897</v>
      </c>
      <c r="V780" s="69">
        <v>69.965023431977897</v>
      </c>
      <c r="W780" s="69">
        <v>69.965023431977897</v>
      </c>
      <c r="X780" s="69">
        <v>69.965023431977897</v>
      </c>
      <c r="Y780" s="69">
        <v>69.965023431977897</v>
      </c>
      <c r="Z780" s="69">
        <v>69.965023431977897</v>
      </c>
      <c r="AA780" s="69">
        <v>69.965023431977897</v>
      </c>
      <c r="AB780" s="69">
        <v>69.965023431977897</v>
      </c>
      <c r="AC780" s="69">
        <v>69.965023431977897</v>
      </c>
      <c r="AD780" s="69">
        <v>69.965023431977897</v>
      </c>
      <c r="AE780" s="69">
        <v>69.965023431977897</v>
      </c>
      <c r="AF780" s="69">
        <v>69.965023431977897</v>
      </c>
      <c r="AG780" s="69">
        <v>69.965023431977897</v>
      </c>
    </row>
    <row r="781" spans="1:33" ht="12.75" customHeight="1">
      <c r="A781" s="231" t="s">
        <v>2376</v>
      </c>
      <c r="B781" s="69" t="s">
        <v>349</v>
      </c>
      <c r="C781" s="69" t="s">
        <v>186</v>
      </c>
      <c r="D781" s="69" t="s">
        <v>334</v>
      </c>
      <c r="E781" s="69" t="s">
        <v>242</v>
      </c>
      <c r="F781" s="69" t="s">
        <v>158</v>
      </c>
      <c r="G781" s="69" t="s">
        <v>192</v>
      </c>
      <c r="H781" s="69" t="s">
        <v>804</v>
      </c>
      <c r="I781" s="69">
        <v>1</v>
      </c>
      <c r="J781" s="238">
        <v>0.21172086720867206</v>
      </c>
      <c r="K781" s="238">
        <v>0</v>
      </c>
      <c r="L781" s="69">
        <v>283.70472328767124</v>
      </c>
      <c r="M781" s="69">
        <v>-24.263013698630136</v>
      </c>
      <c r="N781" s="69">
        <v>133.53658536585499</v>
      </c>
      <c r="O781" s="69">
        <v>133.53658536585499</v>
      </c>
      <c r="P781" s="69">
        <v>133.53658536585499</v>
      </c>
      <c r="Q781" s="69">
        <v>133.53658536585499</v>
      </c>
      <c r="R781" s="69">
        <v>133.53658536585499</v>
      </c>
      <c r="S781" s="69">
        <v>133.53658536585499</v>
      </c>
      <c r="T781" s="69">
        <v>133.53658536585499</v>
      </c>
      <c r="U781" s="69">
        <v>133.53658536585499</v>
      </c>
      <c r="V781" s="69">
        <v>133.53658536585499</v>
      </c>
      <c r="W781" s="69">
        <v>133.53658536585499</v>
      </c>
      <c r="X781" s="69">
        <v>133.53658536585499</v>
      </c>
      <c r="Y781" s="69">
        <v>133.53658536585499</v>
      </c>
      <c r="Z781" s="69">
        <v>133.53658536585499</v>
      </c>
      <c r="AA781" s="69">
        <v>133.53658536585499</v>
      </c>
      <c r="AB781" s="69">
        <v>133.53658536585499</v>
      </c>
      <c r="AC781" s="69">
        <v>133.53658536585499</v>
      </c>
      <c r="AD781" s="69">
        <v>133.53658536585499</v>
      </c>
      <c r="AE781" s="69">
        <v>133.53658536585499</v>
      </c>
      <c r="AF781" s="69">
        <v>133.53658536585499</v>
      </c>
      <c r="AG781" s="69">
        <v>133.53658536585499</v>
      </c>
    </row>
    <row r="782" spans="1:33" ht="12.75" customHeight="1">
      <c r="A782" s="231" t="s">
        <v>2376</v>
      </c>
      <c r="B782" s="69" t="s">
        <v>350</v>
      </c>
      <c r="C782" s="69" t="s">
        <v>186</v>
      </c>
      <c r="D782" s="69" t="s">
        <v>334</v>
      </c>
      <c r="E782" s="69" t="s">
        <v>242</v>
      </c>
      <c r="F782" s="69" t="s">
        <v>158</v>
      </c>
      <c r="G782" s="69" t="s">
        <v>192</v>
      </c>
      <c r="H782" s="69" t="s">
        <v>804</v>
      </c>
      <c r="I782" s="69">
        <v>1</v>
      </c>
      <c r="J782" s="238">
        <v>0.21172086720867206</v>
      </c>
      <c r="K782" s="238">
        <v>0</v>
      </c>
      <c r="L782" s="69">
        <v>283.70472328767124</v>
      </c>
      <c r="M782" s="69">
        <v>-24.263013698630136</v>
      </c>
      <c r="N782" s="69">
        <v>0</v>
      </c>
      <c r="O782" s="69">
        <v>133.53658536585499</v>
      </c>
      <c r="P782" s="69">
        <v>133.53658536585499</v>
      </c>
      <c r="Q782" s="69">
        <v>133.53658536585499</v>
      </c>
      <c r="R782" s="69">
        <v>133.53658536585499</v>
      </c>
      <c r="S782" s="69">
        <v>133.53658536585499</v>
      </c>
      <c r="T782" s="69">
        <v>133.53658536585499</v>
      </c>
      <c r="U782" s="69">
        <v>133.53658536585499</v>
      </c>
      <c r="V782" s="69">
        <v>133.53658536585499</v>
      </c>
      <c r="W782" s="69">
        <v>133.53658536585499</v>
      </c>
      <c r="X782" s="69">
        <v>133.53658536585499</v>
      </c>
      <c r="Y782" s="69">
        <v>133.53658536585499</v>
      </c>
      <c r="Z782" s="69">
        <v>133.53658536585499</v>
      </c>
      <c r="AA782" s="69">
        <v>133.53658536585499</v>
      </c>
      <c r="AB782" s="69">
        <v>133.53658536585499</v>
      </c>
      <c r="AC782" s="69">
        <v>133.53658536585499</v>
      </c>
      <c r="AD782" s="69">
        <v>133.53658536585499</v>
      </c>
      <c r="AE782" s="69">
        <v>133.53658536585499</v>
      </c>
      <c r="AF782" s="69">
        <v>133.53658536585499</v>
      </c>
      <c r="AG782" s="69">
        <v>133.53658536585499</v>
      </c>
    </row>
    <row r="783" spans="1:33" ht="12.75" customHeight="1">
      <c r="A783" s="231" t="s">
        <v>2376</v>
      </c>
      <c r="B783" s="69" t="s">
        <v>351</v>
      </c>
      <c r="C783" s="69" t="s">
        <v>186</v>
      </c>
      <c r="D783" s="69" t="s">
        <v>334</v>
      </c>
      <c r="E783" s="69" t="s">
        <v>242</v>
      </c>
      <c r="F783" s="69" t="s">
        <v>158</v>
      </c>
      <c r="G783" s="69" t="s">
        <v>192</v>
      </c>
      <c r="H783" s="69" t="s">
        <v>804</v>
      </c>
      <c r="I783" s="69">
        <v>1</v>
      </c>
      <c r="J783" s="238">
        <v>0.21172086720867206</v>
      </c>
      <c r="K783" s="238">
        <v>0</v>
      </c>
      <c r="L783" s="69">
        <v>283.70472328767124</v>
      </c>
      <c r="M783" s="69">
        <v>-24.263013698630136</v>
      </c>
      <c r="N783" s="69">
        <v>0</v>
      </c>
      <c r="O783" s="69">
        <v>0</v>
      </c>
      <c r="P783" s="69">
        <v>133.53658536585499</v>
      </c>
      <c r="Q783" s="69">
        <v>133.53658536585499</v>
      </c>
      <c r="R783" s="69">
        <v>133.53658536585499</v>
      </c>
      <c r="S783" s="69">
        <v>133.53658536585499</v>
      </c>
      <c r="T783" s="69">
        <v>133.53658536585499</v>
      </c>
      <c r="U783" s="69">
        <v>133.53658536585499</v>
      </c>
      <c r="V783" s="69">
        <v>133.53658536585499</v>
      </c>
      <c r="W783" s="69">
        <v>133.53658536585499</v>
      </c>
      <c r="X783" s="69">
        <v>133.53658536585499</v>
      </c>
      <c r="Y783" s="69">
        <v>133.53658536585499</v>
      </c>
      <c r="Z783" s="69">
        <v>133.53658536585499</v>
      </c>
      <c r="AA783" s="69">
        <v>133.53658536585499</v>
      </c>
      <c r="AB783" s="69">
        <v>133.53658536585499</v>
      </c>
      <c r="AC783" s="69">
        <v>133.53658536585499</v>
      </c>
      <c r="AD783" s="69">
        <v>133.53658536585499</v>
      </c>
      <c r="AE783" s="69">
        <v>133.53658536585499</v>
      </c>
      <c r="AF783" s="69">
        <v>133.53658536585499</v>
      </c>
      <c r="AG783" s="69">
        <v>133.53658536585499</v>
      </c>
    </row>
    <row r="784" spans="1:33" ht="12.75" customHeight="1">
      <c r="A784" s="231" t="s">
        <v>2376</v>
      </c>
      <c r="B784" s="69" t="s">
        <v>352</v>
      </c>
      <c r="C784" s="69" t="s">
        <v>186</v>
      </c>
      <c r="D784" s="69" t="s">
        <v>334</v>
      </c>
      <c r="E784" s="69" t="s">
        <v>242</v>
      </c>
      <c r="F784" s="69" t="s">
        <v>158</v>
      </c>
      <c r="G784" s="69" t="s">
        <v>192</v>
      </c>
      <c r="H784" s="69" t="s">
        <v>804</v>
      </c>
      <c r="I784" s="69">
        <v>1</v>
      </c>
      <c r="J784" s="238">
        <v>0.21172086720867206</v>
      </c>
      <c r="K784" s="238">
        <v>0</v>
      </c>
      <c r="L784" s="69">
        <v>283.70472328767124</v>
      </c>
      <c r="M784" s="69">
        <v>-24.263013698630136</v>
      </c>
      <c r="N784" s="69">
        <v>0</v>
      </c>
      <c r="O784" s="69">
        <v>0</v>
      </c>
      <c r="P784" s="69">
        <v>0</v>
      </c>
      <c r="Q784" s="69">
        <v>133.53658536585499</v>
      </c>
      <c r="R784" s="69">
        <v>133.53658536585499</v>
      </c>
      <c r="S784" s="69">
        <v>133.53658536585499</v>
      </c>
      <c r="T784" s="69">
        <v>133.53658536585499</v>
      </c>
      <c r="U784" s="69">
        <v>133.53658536585499</v>
      </c>
      <c r="V784" s="69">
        <v>133.53658536585499</v>
      </c>
      <c r="W784" s="69">
        <v>133.53658536585499</v>
      </c>
      <c r="X784" s="69">
        <v>133.53658536585499</v>
      </c>
      <c r="Y784" s="69">
        <v>133.53658536585499</v>
      </c>
      <c r="Z784" s="69">
        <v>133.53658536585499</v>
      </c>
      <c r="AA784" s="69">
        <v>133.53658536585499</v>
      </c>
      <c r="AB784" s="69">
        <v>133.53658536585499</v>
      </c>
      <c r="AC784" s="69">
        <v>133.53658536585499</v>
      </c>
      <c r="AD784" s="69">
        <v>133.53658536585499</v>
      </c>
      <c r="AE784" s="69">
        <v>133.53658536585499</v>
      </c>
      <c r="AF784" s="69">
        <v>133.53658536585499</v>
      </c>
      <c r="AG784" s="69">
        <v>133.53658536585499</v>
      </c>
    </row>
    <row r="785" spans="1:33" ht="12.75" customHeight="1">
      <c r="A785" s="231" t="s">
        <v>2376</v>
      </c>
      <c r="B785" s="69" t="s">
        <v>353</v>
      </c>
      <c r="C785" s="69" t="s">
        <v>186</v>
      </c>
      <c r="D785" s="69" t="s">
        <v>334</v>
      </c>
      <c r="E785" s="69" t="s">
        <v>242</v>
      </c>
      <c r="F785" s="69" t="s">
        <v>158</v>
      </c>
      <c r="G785" s="69" t="s">
        <v>192</v>
      </c>
      <c r="H785" s="69" t="s">
        <v>804</v>
      </c>
      <c r="I785" s="69">
        <v>1</v>
      </c>
      <c r="J785" s="238">
        <v>0.21172086720867206</v>
      </c>
      <c r="K785" s="238">
        <v>0</v>
      </c>
      <c r="L785" s="69">
        <v>283.70472328767124</v>
      </c>
      <c r="M785" s="69">
        <v>-24.263013698630136</v>
      </c>
      <c r="N785" s="69">
        <v>0</v>
      </c>
      <c r="O785" s="69">
        <v>0</v>
      </c>
      <c r="P785" s="69">
        <v>0</v>
      </c>
      <c r="Q785" s="69">
        <v>0</v>
      </c>
      <c r="R785" s="69">
        <v>133.53658536585499</v>
      </c>
      <c r="S785" s="69">
        <v>133.53658536585499</v>
      </c>
      <c r="T785" s="69">
        <v>133.53658536585499</v>
      </c>
      <c r="U785" s="69">
        <v>133.53658536585499</v>
      </c>
      <c r="V785" s="69">
        <v>133.53658536585499</v>
      </c>
      <c r="W785" s="69">
        <v>133.53658536585499</v>
      </c>
      <c r="X785" s="69">
        <v>133.53658536585499</v>
      </c>
      <c r="Y785" s="69">
        <v>133.53658536585499</v>
      </c>
      <c r="Z785" s="69">
        <v>133.53658536585499</v>
      </c>
      <c r="AA785" s="69">
        <v>133.53658536585499</v>
      </c>
      <c r="AB785" s="69">
        <v>133.53658536585499</v>
      </c>
      <c r="AC785" s="69">
        <v>133.53658536585499</v>
      </c>
      <c r="AD785" s="69">
        <v>133.53658536585499</v>
      </c>
      <c r="AE785" s="69">
        <v>133.53658536585499</v>
      </c>
      <c r="AF785" s="69">
        <v>133.53658536585499</v>
      </c>
      <c r="AG785" s="69">
        <v>133.53658536585499</v>
      </c>
    </row>
    <row r="786" spans="1:33" ht="12.75" customHeight="1">
      <c r="A786" s="231" t="s">
        <v>2376</v>
      </c>
      <c r="B786" s="69" t="s">
        <v>354</v>
      </c>
      <c r="C786" s="69" t="s">
        <v>186</v>
      </c>
      <c r="D786" s="69" t="s">
        <v>334</v>
      </c>
      <c r="E786" s="69" t="s">
        <v>242</v>
      </c>
      <c r="F786" s="69" t="s">
        <v>159</v>
      </c>
      <c r="G786" s="69" t="s">
        <v>192</v>
      </c>
      <c r="H786" s="69" t="s">
        <v>2130</v>
      </c>
      <c r="I786" s="69">
        <v>1</v>
      </c>
      <c r="J786" s="238">
        <v>0.21172086720867209</v>
      </c>
      <c r="K786" s="238">
        <v>0</v>
      </c>
      <c r="L786" s="69">
        <v>283.7047232876713</v>
      </c>
      <c r="M786" s="69">
        <v>-24.263013698630136</v>
      </c>
      <c r="N786" s="69">
        <v>12.675377468061926</v>
      </c>
      <c r="O786" s="69">
        <v>12.675377468061926</v>
      </c>
      <c r="P786" s="69">
        <v>12.675377468061926</v>
      </c>
      <c r="Q786" s="69">
        <v>12.675377468061926</v>
      </c>
      <c r="R786" s="69">
        <v>12.675377468061926</v>
      </c>
      <c r="S786" s="69">
        <v>12.675377468061926</v>
      </c>
      <c r="T786" s="69">
        <v>12.675377468061926</v>
      </c>
      <c r="U786" s="69">
        <v>12.675377468061926</v>
      </c>
      <c r="V786" s="69">
        <v>12.675377468061926</v>
      </c>
      <c r="W786" s="69">
        <v>12.675377468061926</v>
      </c>
      <c r="X786" s="69">
        <v>12.675377468061926</v>
      </c>
      <c r="Y786" s="69">
        <v>12.675377468061926</v>
      </c>
      <c r="Z786" s="69">
        <v>12.675377468061926</v>
      </c>
      <c r="AA786" s="69">
        <v>12.675377468061926</v>
      </c>
      <c r="AB786" s="69">
        <v>12.675377468061926</v>
      </c>
      <c r="AC786" s="69">
        <v>12.675377468061926</v>
      </c>
      <c r="AD786" s="69">
        <v>12.675377468061926</v>
      </c>
      <c r="AE786" s="69">
        <v>12.675377468061926</v>
      </c>
      <c r="AF786" s="69">
        <v>12.675377468061926</v>
      </c>
      <c r="AG786" s="69">
        <v>12.675377468061926</v>
      </c>
    </row>
    <row r="787" spans="1:33" ht="12.75" customHeight="1">
      <c r="A787" s="231" t="s">
        <v>2376</v>
      </c>
      <c r="B787" s="69" t="s">
        <v>355</v>
      </c>
      <c r="C787" s="69" t="s">
        <v>186</v>
      </c>
      <c r="D787" s="69" t="s">
        <v>334</v>
      </c>
      <c r="E787" s="69" t="s">
        <v>244</v>
      </c>
      <c r="F787" s="69" t="s">
        <v>159</v>
      </c>
      <c r="G787" s="69" t="s">
        <v>192</v>
      </c>
      <c r="H787" s="69" t="s">
        <v>2130</v>
      </c>
      <c r="I787" s="69">
        <v>1</v>
      </c>
      <c r="J787" s="238">
        <v>0.22877454801945279</v>
      </c>
      <c r="K787" s="238">
        <v>0</v>
      </c>
      <c r="L787" s="69">
        <v>262.55634888438135</v>
      </c>
      <c r="M787" s="69">
        <v>-22.454361054766736</v>
      </c>
      <c r="N787" s="69">
        <v>7.1459233449495523</v>
      </c>
      <c r="O787" s="69">
        <v>7.1459233449495523</v>
      </c>
      <c r="P787" s="69">
        <v>7.1459233449495523</v>
      </c>
      <c r="Q787" s="69">
        <v>7.1459233449495523</v>
      </c>
      <c r="R787" s="69">
        <v>7.1459233449495523</v>
      </c>
      <c r="S787" s="69">
        <v>7.1459233449495523</v>
      </c>
      <c r="T787" s="69">
        <v>7.1459233449495523</v>
      </c>
      <c r="U787" s="69">
        <v>7.1459233449495523</v>
      </c>
      <c r="V787" s="69">
        <v>7.1459233449495523</v>
      </c>
      <c r="W787" s="69">
        <v>7.1459233449495523</v>
      </c>
      <c r="X787" s="69">
        <v>7.1459233449495523</v>
      </c>
      <c r="Y787" s="69">
        <v>7.1459233449495523</v>
      </c>
      <c r="Z787" s="69">
        <v>7.1459233449495523</v>
      </c>
      <c r="AA787" s="69">
        <v>7.1459233449495523</v>
      </c>
      <c r="AB787" s="69">
        <v>7.1459233449495523</v>
      </c>
      <c r="AC787" s="69">
        <v>7.1459233449495523</v>
      </c>
      <c r="AD787" s="69">
        <v>7.1459233449495523</v>
      </c>
      <c r="AE787" s="69">
        <v>7.1459233449495523</v>
      </c>
      <c r="AF787" s="69">
        <v>7.1459233449495523</v>
      </c>
      <c r="AG787" s="69">
        <v>7.1459233449495523</v>
      </c>
    </row>
    <row r="788" spans="1:33" ht="12.75" customHeight="1">
      <c r="A788" s="231" t="s">
        <v>2376</v>
      </c>
      <c r="B788" s="69" t="s">
        <v>356</v>
      </c>
      <c r="C788" s="69" t="s">
        <v>186</v>
      </c>
      <c r="D788" s="69" t="s">
        <v>334</v>
      </c>
      <c r="E788" s="69" t="s">
        <v>242</v>
      </c>
      <c r="F788" s="69" t="s">
        <v>159</v>
      </c>
      <c r="G788" s="69" t="s">
        <v>192</v>
      </c>
      <c r="H788" s="69" t="s">
        <v>2130</v>
      </c>
      <c r="I788" s="69">
        <v>1</v>
      </c>
      <c r="J788" s="238">
        <v>0.21172086720867209</v>
      </c>
      <c r="K788" s="238">
        <v>0</v>
      </c>
      <c r="L788" s="69">
        <v>283.7047232876713</v>
      </c>
      <c r="M788" s="69">
        <v>-24.263013698630136</v>
      </c>
      <c r="N788" s="69">
        <v>0</v>
      </c>
      <c r="O788" s="69">
        <v>12.675377468061926</v>
      </c>
      <c r="P788" s="69">
        <v>12.675377468061926</v>
      </c>
      <c r="Q788" s="69">
        <v>12.675377468061926</v>
      </c>
      <c r="R788" s="69">
        <v>12.675377468061926</v>
      </c>
      <c r="S788" s="69">
        <v>12.675377468061926</v>
      </c>
      <c r="T788" s="69">
        <v>12.675377468061926</v>
      </c>
      <c r="U788" s="69">
        <v>12.675377468061926</v>
      </c>
      <c r="V788" s="69">
        <v>12.675377468061926</v>
      </c>
      <c r="W788" s="69">
        <v>12.675377468061926</v>
      </c>
      <c r="X788" s="69">
        <v>12.675377468061926</v>
      </c>
      <c r="Y788" s="69">
        <v>12.675377468061926</v>
      </c>
      <c r="Z788" s="69">
        <v>12.675377468061926</v>
      </c>
      <c r="AA788" s="69">
        <v>12.675377468061926</v>
      </c>
      <c r="AB788" s="69">
        <v>12.675377468061926</v>
      </c>
      <c r="AC788" s="69">
        <v>12.675377468061926</v>
      </c>
      <c r="AD788" s="69">
        <v>12.675377468061926</v>
      </c>
      <c r="AE788" s="69">
        <v>12.675377468061926</v>
      </c>
      <c r="AF788" s="69">
        <v>12.675377468061926</v>
      </c>
      <c r="AG788" s="69">
        <v>12.675377468061926</v>
      </c>
    </row>
    <row r="789" spans="1:33" ht="12.75" customHeight="1">
      <c r="A789" s="231" t="s">
        <v>2376</v>
      </c>
      <c r="B789" s="69" t="s">
        <v>357</v>
      </c>
      <c r="C789" s="69" t="s">
        <v>186</v>
      </c>
      <c r="D789" s="69" t="s">
        <v>334</v>
      </c>
      <c r="E789" s="69" t="s">
        <v>244</v>
      </c>
      <c r="F789" s="69" t="s">
        <v>159</v>
      </c>
      <c r="G789" s="69" t="s">
        <v>192</v>
      </c>
      <c r="H789" s="69" t="s">
        <v>2130</v>
      </c>
      <c r="I789" s="69">
        <v>1</v>
      </c>
      <c r="J789" s="238">
        <v>0.22877454801945279</v>
      </c>
      <c r="K789" s="238">
        <v>0</v>
      </c>
      <c r="L789" s="69">
        <v>262.55634888438135</v>
      </c>
      <c r="M789" s="69">
        <v>-22.454361054766736</v>
      </c>
      <c r="N789" s="69">
        <v>0</v>
      </c>
      <c r="O789" s="69">
        <v>7.1459233449495523</v>
      </c>
      <c r="P789" s="69">
        <v>7.1459233449495523</v>
      </c>
      <c r="Q789" s="69">
        <v>7.1459233449495523</v>
      </c>
      <c r="R789" s="69">
        <v>7.1459233449495523</v>
      </c>
      <c r="S789" s="69">
        <v>7.1459233449495523</v>
      </c>
      <c r="T789" s="69">
        <v>7.1459233449495523</v>
      </c>
      <c r="U789" s="69">
        <v>7.1459233449495523</v>
      </c>
      <c r="V789" s="69">
        <v>7.1459233449495523</v>
      </c>
      <c r="W789" s="69">
        <v>7.1459233449495523</v>
      </c>
      <c r="X789" s="69">
        <v>7.1459233449495523</v>
      </c>
      <c r="Y789" s="69">
        <v>7.1459233449495523</v>
      </c>
      <c r="Z789" s="69">
        <v>7.1459233449495523</v>
      </c>
      <c r="AA789" s="69">
        <v>7.1459233449495523</v>
      </c>
      <c r="AB789" s="69">
        <v>7.1459233449495523</v>
      </c>
      <c r="AC789" s="69">
        <v>7.1459233449495523</v>
      </c>
      <c r="AD789" s="69">
        <v>7.1459233449495523</v>
      </c>
      <c r="AE789" s="69">
        <v>7.1459233449495523</v>
      </c>
      <c r="AF789" s="69">
        <v>7.1459233449495523</v>
      </c>
      <c r="AG789" s="69">
        <v>7.1459233449495523</v>
      </c>
    </row>
    <row r="790" spans="1:33" ht="12.75" customHeight="1">
      <c r="A790" s="231" t="s">
        <v>2376</v>
      </c>
      <c r="B790" s="69" t="s">
        <v>358</v>
      </c>
      <c r="C790" s="69" t="s">
        <v>186</v>
      </c>
      <c r="D790" s="69" t="s">
        <v>334</v>
      </c>
      <c r="E790" s="69" t="s">
        <v>242</v>
      </c>
      <c r="F790" s="69" t="s">
        <v>159</v>
      </c>
      <c r="G790" s="69" t="s">
        <v>192</v>
      </c>
      <c r="H790" s="69" t="s">
        <v>2130</v>
      </c>
      <c r="I790" s="69">
        <v>1</v>
      </c>
      <c r="J790" s="238">
        <v>0.21172086720867209</v>
      </c>
      <c r="K790" s="238">
        <v>0</v>
      </c>
      <c r="L790" s="69">
        <v>283.7047232876713</v>
      </c>
      <c r="M790" s="69">
        <v>-24.263013698630136</v>
      </c>
      <c r="N790" s="69">
        <v>0</v>
      </c>
      <c r="O790" s="69">
        <v>0</v>
      </c>
      <c r="P790" s="69">
        <v>12.675377468061926</v>
      </c>
      <c r="Q790" s="69">
        <v>12.675377468061926</v>
      </c>
      <c r="R790" s="69">
        <v>12.675377468061926</v>
      </c>
      <c r="S790" s="69">
        <v>12.675377468061926</v>
      </c>
      <c r="T790" s="69">
        <v>12.675377468061926</v>
      </c>
      <c r="U790" s="69">
        <v>12.675377468061926</v>
      </c>
      <c r="V790" s="69">
        <v>12.675377468061926</v>
      </c>
      <c r="W790" s="69">
        <v>12.675377468061926</v>
      </c>
      <c r="X790" s="69">
        <v>12.675377468061926</v>
      </c>
      <c r="Y790" s="69">
        <v>12.675377468061926</v>
      </c>
      <c r="Z790" s="69">
        <v>12.675377468061926</v>
      </c>
      <c r="AA790" s="69">
        <v>12.675377468061926</v>
      </c>
      <c r="AB790" s="69">
        <v>12.675377468061926</v>
      </c>
      <c r="AC790" s="69">
        <v>12.675377468061926</v>
      </c>
      <c r="AD790" s="69">
        <v>12.675377468061926</v>
      </c>
      <c r="AE790" s="69">
        <v>12.675377468061926</v>
      </c>
      <c r="AF790" s="69">
        <v>12.675377468061926</v>
      </c>
      <c r="AG790" s="69">
        <v>12.675377468061926</v>
      </c>
    </row>
    <row r="791" spans="1:33" ht="12.75" customHeight="1">
      <c r="A791" s="231" t="s">
        <v>2376</v>
      </c>
      <c r="B791" s="69" t="s">
        <v>359</v>
      </c>
      <c r="C791" s="69" t="s">
        <v>186</v>
      </c>
      <c r="D791" s="69" t="s">
        <v>334</v>
      </c>
      <c r="E791" s="69" t="s">
        <v>244</v>
      </c>
      <c r="F791" s="69" t="s">
        <v>159</v>
      </c>
      <c r="G791" s="69" t="s">
        <v>192</v>
      </c>
      <c r="H791" s="69" t="s">
        <v>2130</v>
      </c>
      <c r="I791" s="69">
        <v>1</v>
      </c>
      <c r="J791" s="238">
        <v>0.22877454801945279</v>
      </c>
      <c r="K791" s="238">
        <v>0</v>
      </c>
      <c r="L791" s="69">
        <v>262.55634888438135</v>
      </c>
      <c r="M791" s="69">
        <v>-22.454361054766736</v>
      </c>
      <c r="N791" s="69">
        <v>0</v>
      </c>
      <c r="O791" s="69">
        <v>0</v>
      </c>
      <c r="P791" s="69">
        <v>7.1459233449495523</v>
      </c>
      <c r="Q791" s="69">
        <v>7.1459233449495523</v>
      </c>
      <c r="R791" s="69">
        <v>7.1459233449495523</v>
      </c>
      <c r="S791" s="69">
        <v>7.1459233449495523</v>
      </c>
      <c r="T791" s="69">
        <v>7.1459233449495523</v>
      </c>
      <c r="U791" s="69">
        <v>7.1459233449495523</v>
      </c>
      <c r="V791" s="69">
        <v>7.1459233449495523</v>
      </c>
      <c r="W791" s="69">
        <v>7.1459233449495523</v>
      </c>
      <c r="X791" s="69">
        <v>7.1459233449495523</v>
      </c>
      <c r="Y791" s="69">
        <v>7.1459233449495523</v>
      </c>
      <c r="Z791" s="69">
        <v>7.1459233449495523</v>
      </c>
      <c r="AA791" s="69">
        <v>7.1459233449495523</v>
      </c>
      <c r="AB791" s="69">
        <v>7.1459233449495523</v>
      </c>
      <c r="AC791" s="69">
        <v>7.1459233449495523</v>
      </c>
      <c r="AD791" s="69">
        <v>7.1459233449495523</v>
      </c>
      <c r="AE791" s="69">
        <v>7.1459233449495523</v>
      </c>
      <c r="AF791" s="69">
        <v>7.1459233449495523</v>
      </c>
      <c r="AG791" s="69">
        <v>7.1459233449495523</v>
      </c>
    </row>
    <row r="792" spans="1:33" ht="12.75" customHeight="1">
      <c r="A792" s="231" t="s">
        <v>2376</v>
      </c>
      <c r="B792" s="69" t="s">
        <v>360</v>
      </c>
      <c r="C792" s="69" t="s">
        <v>186</v>
      </c>
      <c r="D792" s="69" t="s">
        <v>334</v>
      </c>
      <c r="E792" s="69" t="s">
        <v>242</v>
      </c>
      <c r="F792" s="69" t="s">
        <v>159</v>
      </c>
      <c r="G792" s="69" t="s">
        <v>192</v>
      </c>
      <c r="H792" s="69" t="s">
        <v>2130</v>
      </c>
      <c r="I792" s="69">
        <v>1</v>
      </c>
      <c r="J792" s="238">
        <v>0.21172086720867209</v>
      </c>
      <c r="K792" s="238">
        <v>0</v>
      </c>
      <c r="L792" s="69">
        <v>283.7047232876713</v>
      </c>
      <c r="M792" s="69">
        <v>-24.263013698630136</v>
      </c>
      <c r="N792" s="69">
        <v>0</v>
      </c>
      <c r="O792" s="69">
        <v>0</v>
      </c>
      <c r="P792" s="69">
        <v>0</v>
      </c>
      <c r="Q792" s="69">
        <v>12.675377468061926</v>
      </c>
      <c r="R792" s="69">
        <v>12.675377468061926</v>
      </c>
      <c r="S792" s="69">
        <v>12.675377468061926</v>
      </c>
      <c r="T792" s="69">
        <v>12.675377468061926</v>
      </c>
      <c r="U792" s="69">
        <v>12.675377468061926</v>
      </c>
      <c r="V792" s="69">
        <v>12.675377468061926</v>
      </c>
      <c r="W792" s="69">
        <v>12.675377468061926</v>
      </c>
      <c r="X792" s="69">
        <v>12.675377468061926</v>
      </c>
      <c r="Y792" s="69">
        <v>12.675377468061926</v>
      </c>
      <c r="Z792" s="69">
        <v>12.675377468061926</v>
      </c>
      <c r="AA792" s="69">
        <v>12.675377468061926</v>
      </c>
      <c r="AB792" s="69">
        <v>12.675377468061926</v>
      </c>
      <c r="AC792" s="69">
        <v>12.675377468061926</v>
      </c>
      <c r="AD792" s="69">
        <v>12.675377468061926</v>
      </c>
      <c r="AE792" s="69">
        <v>12.675377468061926</v>
      </c>
      <c r="AF792" s="69">
        <v>12.675377468061926</v>
      </c>
      <c r="AG792" s="69">
        <v>12.675377468061926</v>
      </c>
    </row>
    <row r="793" spans="1:33" ht="12.75" customHeight="1">
      <c r="A793" s="231" t="s">
        <v>2376</v>
      </c>
      <c r="B793" s="69" t="s">
        <v>361</v>
      </c>
      <c r="C793" s="69" t="s">
        <v>186</v>
      </c>
      <c r="D793" s="69" t="s">
        <v>334</v>
      </c>
      <c r="E793" s="69" t="s">
        <v>244</v>
      </c>
      <c r="F793" s="69" t="s">
        <v>159</v>
      </c>
      <c r="G793" s="69" t="s">
        <v>192</v>
      </c>
      <c r="H793" s="69" t="s">
        <v>2130</v>
      </c>
      <c r="I793" s="69">
        <v>1</v>
      </c>
      <c r="J793" s="238">
        <v>0.22877454801945279</v>
      </c>
      <c r="K793" s="238">
        <v>0</v>
      </c>
      <c r="L793" s="69">
        <v>262.55634888438135</v>
      </c>
      <c r="M793" s="69">
        <v>-22.454361054766736</v>
      </c>
      <c r="N793" s="69">
        <v>0</v>
      </c>
      <c r="O793" s="69">
        <v>0</v>
      </c>
      <c r="P793" s="69">
        <v>0</v>
      </c>
      <c r="Q793" s="69">
        <v>7.1459233449495523</v>
      </c>
      <c r="R793" s="69">
        <v>7.1459233449495523</v>
      </c>
      <c r="S793" s="69">
        <v>7.1459233449495523</v>
      </c>
      <c r="T793" s="69">
        <v>7.1459233449495523</v>
      </c>
      <c r="U793" s="69">
        <v>7.1459233449495523</v>
      </c>
      <c r="V793" s="69">
        <v>7.1459233449495523</v>
      </c>
      <c r="W793" s="69">
        <v>7.1459233449495523</v>
      </c>
      <c r="X793" s="69">
        <v>7.1459233449495523</v>
      </c>
      <c r="Y793" s="69">
        <v>7.1459233449495523</v>
      </c>
      <c r="Z793" s="69">
        <v>7.1459233449495523</v>
      </c>
      <c r="AA793" s="69">
        <v>7.1459233449495523</v>
      </c>
      <c r="AB793" s="69">
        <v>7.1459233449495523</v>
      </c>
      <c r="AC793" s="69">
        <v>7.1459233449495523</v>
      </c>
      <c r="AD793" s="69">
        <v>7.1459233449495523</v>
      </c>
      <c r="AE793" s="69">
        <v>7.1459233449495523</v>
      </c>
      <c r="AF793" s="69">
        <v>7.1459233449495523</v>
      </c>
      <c r="AG793" s="69">
        <v>7.1459233449495523</v>
      </c>
    </row>
    <row r="794" spans="1:33" ht="12.75" customHeight="1">
      <c r="A794" s="231" t="s">
        <v>2376</v>
      </c>
      <c r="B794" s="69" t="s">
        <v>362</v>
      </c>
      <c r="C794" s="69" t="s">
        <v>186</v>
      </c>
      <c r="D794" s="69" t="s">
        <v>334</v>
      </c>
      <c r="E794" s="69" t="s">
        <v>242</v>
      </c>
      <c r="F794" s="69" t="s">
        <v>159</v>
      </c>
      <c r="G794" s="69" t="s">
        <v>192</v>
      </c>
      <c r="H794" s="69" t="s">
        <v>2130</v>
      </c>
      <c r="I794" s="69">
        <v>1</v>
      </c>
      <c r="J794" s="238">
        <v>0.21172086720867209</v>
      </c>
      <c r="K794" s="238">
        <v>0</v>
      </c>
      <c r="L794" s="69">
        <v>283.7047232876713</v>
      </c>
      <c r="M794" s="69">
        <v>-24.263013698630136</v>
      </c>
      <c r="N794" s="69">
        <v>0</v>
      </c>
      <c r="O794" s="69">
        <v>0</v>
      </c>
      <c r="P794" s="69">
        <v>0</v>
      </c>
      <c r="Q794" s="69">
        <v>0</v>
      </c>
      <c r="R794" s="69">
        <v>12.675377468061926</v>
      </c>
      <c r="S794" s="69">
        <v>12.675377468061926</v>
      </c>
      <c r="T794" s="69">
        <v>12.675377468061926</v>
      </c>
      <c r="U794" s="69">
        <v>12.675377468061926</v>
      </c>
      <c r="V794" s="69">
        <v>12.675377468061926</v>
      </c>
      <c r="W794" s="69">
        <v>12.675377468061926</v>
      </c>
      <c r="X794" s="69">
        <v>12.675377468061926</v>
      </c>
      <c r="Y794" s="69">
        <v>12.675377468061926</v>
      </c>
      <c r="Z794" s="69">
        <v>12.675377468061926</v>
      </c>
      <c r="AA794" s="69">
        <v>12.675377468061926</v>
      </c>
      <c r="AB794" s="69">
        <v>12.675377468061926</v>
      </c>
      <c r="AC794" s="69">
        <v>12.675377468061926</v>
      </c>
      <c r="AD794" s="69">
        <v>12.675377468061926</v>
      </c>
      <c r="AE794" s="69">
        <v>12.675377468061926</v>
      </c>
      <c r="AF794" s="69">
        <v>12.675377468061926</v>
      </c>
      <c r="AG794" s="69">
        <v>12.675377468061926</v>
      </c>
    </row>
    <row r="795" spans="1:33" ht="12.75" customHeight="1">
      <c r="A795" s="231" t="s">
        <v>2376</v>
      </c>
      <c r="B795" s="69" t="s">
        <v>363</v>
      </c>
      <c r="C795" s="69" t="s">
        <v>186</v>
      </c>
      <c r="D795" s="69" t="s">
        <v>334</v>
      </c>
      <c r="E795" s="69" t="s">
        <v>244</v>
      </c>
      <c r="F795" s="69" t="s">
        <v>159</v>
      </c>
      <c r="G795" s="69" t="s">
        <v>192</v>
      </c>
      <c r="H795" s="69" t="s">
        <v>2130</v>
      </c>
      <c r="I795" s="69">
        <v>1</v>
      </c>
      <c r="J795" s="238">
        <v>0.22877454801945279</v>
      </c>
      <c r="K795" s="238">
        <v>0</v>
      </c>
      <c r="L795" s="69">
        <v>262.55634888438135</v>
      </c>
      <c r="M795" s="69">
        <v>-22.454361054766736</v>
      </c>
      <c r="N795" s="69">
        <v>0</v>
      </c>
      <c r="O795" s="69">
        <v>0</v>
      </c>
      <c r="P795" s="69">
        <v>0</v>
      </c>
      <c r="Q795" s="69">
        <v>0</v>
      </c>
      <c r="R795" s="69">
        <v>7.1459233449495523</v>
      </c>
      <c r="S795" s="69">
        <v>7.1459233449495523</v>
      </c>
      <c r="T795" s="69">
        <v>7.1459233449495523</v>
      </c>
      <c r="U795" s="69">
        <v>7.1459233449495523</v>
      </c>
      <c r="V795" s="69">
        <v>7.1459233449495523</v>
      </c>
      <c r="W795" s="69">
        <v>7.1459233449495523</v>
      </c>
      <c r="X795" s="69">
        <v>7.1459233449495523</v>
      </c>
      <c r="Y795" s="69">
        <v>7.1459233449495523</v>
      </c>
      <c r="Z795" s="69">
        <v>7.1459233449495523</v>
      </c>
      <c r="AA795" s="69">
        <v>7.1459233449495523</v>
      </c>
      <c r="AB795" s="69">
        <v>7.1459233449495523</v>
      </c>
      <c r="AC795" s="69">
        <v>7.1459233449495523</v>
      </c>
      <c r="AD795" s="69">
        <v>7.1459233449495523</v>
      </c>
      <c r="AE795" s="69">
        <v>7.1459233449495523</v>
      </c>
      <c r="AF795" s="69">
        <v>7.1459233449495523</v>
      </c>
      <c r="AG795" s="69">
        <v>7.1459233449495523</v>
      </c>
    </row>
    <row r="796" spans="1:33" ht="12.75" customHeight="1">
      <c r="A796" s="231" t="s">
        <v>2376</v>
      </c>
      <c r="B796" s="69" t="s">
        <v>366</v>
      </c>
      <c r="C796" s="69" t="s">
        <v>139</v>
      </c>
      <c r="D796" s="69" t="s">
        <v>191</v>
      </c>
      <c r="E796" s="69" t="s">
        <v>191</v>
      </c>
      <c r="F796" s="69" t="s">
        <v>167</v>
      </c>
      <c r="G796" s="69" t="s">
        <v>192</v>
      </c>
      <c r="H796" s="69" t="s">
        <v>805</v>
      </c>
      <c r="I796" s="69">
        <v>3</v>
      </c>
      <c r="J796" s="238">
        <v>0.85000000000000075</v>
      </c>
      <c r="K796" s="238">
        <v>0.66</v>
      </c>
      <c r="L796" s="69">
        <v>124.48512660385229</v>
      </c>
      <c r="M796" s="69">
        <v>0</v>
      </c>
      <c r="N796" s="69">
        <v>0</v>
      </c>
      <c r="O796" s="69">
        <v>0</v>
      </c>
      <c r="P796" s="69">
        <v>0</v>
      </c>
      <c r="Q796" s="69">
        <v>0</v>
      </c>
      <c r="R796" s="69">
        <v>0</v>
      </c>
      <c r="S796" s="69">
        <v>0</v>
      </c>
      <c r="T796" s="69">
        <v>483.98999999999796</v>
      </c>
      <c r="U796" s="69">
        <v>483.98999999999796</v>
      </c>
      <c r="V796" s="69">
        <v>483.98999999999796</v>
      </c>
      <c r="W796" s="69">
        <v>483.98999999999796</v>
      </c>
      <c r="X796" s="69">
        <v>483.98999999999796</v>
      </c>
      <c r="Y796" s="69">
        <v>483.98999999999796</v>
      </c>
      <c r="Z796" s="69">
        <v>483.98999999999796</v>
      </c>
      <c r="AA796" s="69">
        <v>483.98999999999796</v>
      </c>
      <c r="AB796" s="69">
        <v>483.98999999999796</v>
      </c>
      <c r="AC796" s="69">
        <v>483.98999999999796</v>
      </c>
      <c r="AD796" s="69">
        <v>483.98999999999796</v>
      </c>
      <c r="AE796" s="69">
        <v>483.98999999999796</v>
      </c>
      <c r="AF796" s="69">
        <v>483.98999999999796</v>
      </c>
      <c r="AG796" s="69">
        <v>483.98999999999796</v>
      </c>
    </row>
    <row r="797" spans="1:33" ht="12.75" customHeight="1">
      <c r="A797" s="231" t="s">
        <v>2376</v>
      </c>
      <c r="B797" s="69" t="s">
        <v>367</v>
      </c>
      <c r="C797" s="69" t="s">
        <v>139</v>
      </c>
      <c r="D797" s="69" t="s">
        <v>191</v>
      </c>
      <c r="E797" s="69" t="s">
        <v>191</v>
      </c>
      <c r="F797" s="69" t="s">
        <v>167</v>
      </c>
      <c r="G797" s="69" t="s">
        <v>192</v>
      </c>
      <c r="H797" s="69" t="s">
        <v>805</v>
      </c>
      <c r="I797" s="69">
        <v>3</v>
      </c>
      <c r="J797" s="238">
        <v>0.85000000000000075</v>
      </c>
      <c r="K797" s="238">
        <v>0.66</v>
      </c>
      <c r="L797" s="69">
        <v>118.9285371482392</v>
      </c>
      <c r="M797" s="69">
        <v>0</v>
      </c>
      <c r="N797" s="69">
        <v>0</v>
      </c>
      <c r="O797" s="69">
        <v>0</v>
      </c>
      <c r="P797" s="69">
        <v>0</v>
      </c>
      <c r="Q797" s="69">
        <v>0</v>
      </c>
      <c r="R797" s="69">
        <v>0</v>
      </c>
      <c r="S797" s="69">
        <v>0</v>
      </c>
      <c r="T797" s="69">
        <v>469.09799999999814</v>
      </c>
      <c r="U797" s="69">
        <v>469.09799999999814</v>
      </c>
      <c r="V797" s="69">
        <v>469.09799999999814</v>
      </c>
      <c r="W797" s="69">
        <v>469.09799999999814</v>
      </c>
      <c r="X797" s="69">
        <v>469.09799999999814</v>
      </c>
      <c r="Y797" s="69">
        <v>469.09799999999814</v>
      </c>
      <c r="Z797" s="69">
        <v>469.09799999999814</v>
      </c>
      <c r="AA797" s="69">
        <v>469.09799999999814</v>
      </c>
      <c r="AB797" s="69">
        <v>469.09799999999814</v>
      </c>
      <c r="AC797" s="69">
        <v>469.09799999999814</v>
      </c>
      <c r="AD797" s="69">
        <v>469.09799999999814</v>
      </c>
      <c r="AE797" s="69">
        <v>469.09799999999814</v>
      </c>
      <c r="AF797" s="69">
        <v>469.09799999999814</v>
      </c>
      <c r="AG797" s="69">
        <v>469.09799999999814</v>
      </c>
    </row>
    <row r="798" spans="1:33" ht="12.75" customHeight="1">
      <c r="A798" s="231" t="s">
        <v>2376</v>
      </c>
      <c r="B798" s="69" t="s">
        <v>371</v>
      </c>
      <c r="C798" s="69" t="s">
        <v>139</v>
      </c>
      <c r="D798" s="69" t="s">
        <v>191</v>
      </c>
      <c r="E798" s="69" t="s">
        <v>191</v>
      </c>
      <c r="F798" s="69" t="s">
        <v>180</v>
      </c>
      <c r="G798" s="69" t="s">
        <v>192</v>
      </c>
      <c r="H798" s="69" t="s">
        <v>804</v>
      </c>
      <c r="I798" s="69">
        <v>3</v>
      </c>
      <c r="J798" s="238">
        <v>0.85000000000000075</v>
      </c>
      <c r="K798" s="238">
        <v>0.65399075919550653</v>
      </c>
      <c r="L798" s="69">
        <v>121.96317245599877</v>
      </c>
      <c r="M798" s="69">
        <v>0</v>
      </c>
      <c r="N798" s="69">
        <v>0</v>
      </c>
      <c r="O798" s="69">
        <v>0</v>
      </c>
      <c r="P798" s="69">
        <v>0</v>
      </c>
      <c r="Q798" s="69">
        <v>0</v>
      </c>
      <c r="R798" s="69">
        <v>275.50200000000041</v>
      </c>
      <c r="S798" s="69">
        <v>275.50200000000041</v>
      </c>
      <c r="T798" s="69">
        <v>275.50200000000041</v>
      </c>
      <c r="U798" s="69">
        <v>275.50200000000041</v>
      </c>
      <c r="V798" s="69">
        <v>275.50200000000041</v>
      </c>
      <c r="W798" s="69">
        <v>275.50200000000041</v>
      </c>
      <c r="X798" s="69">
        <v>275.50200000000041</v>
      </c>
      <c r="Y798" s="69">
        <v>275.50200000000041</v>
      </c>
      <c r="Z798" s="69">
        <v>275.50200000000041</v>
      </c>
      <c r="AA798" s="69">
        <v>275.50200000000041</v>
      </c>
      <c r="AB798" s="69">
        <v>275.50200000000041</v>
      </c>
      <c r="AC798" s="69">
        <v>275.50200000000041</v>
      </c>
      <c r="AD798" s="69">
        <v>275.50200000000041</v>
      </c>
      <c r="AE798" s="69">
        <v>275.50200000000041</v>
      </c>
      <c r="AF798" s="69">
        <v>275.50200000000041</v>
      </c>
      <c r="AG798" s="69">
        <v>275.50200000000041</v>
      </c>
    </row>
    <row r="799" spans="1:33" ht="12.75" customHeight="1">
      <c r="A799" s="231" t="s">
        <v>2376</v>
      </c>
      <c r="B799" s="69" t="s">
        <v>372</v>
      </c>
      <c r="C799" s="69" t="s">
        <v>139</v>
      </c>
      <c r="D799" s="69" t="s">
        <v>191</v>
      </c>
      <c r="E799" s="69" t="s">
        <v>191</v>
      </c>
      <c r="F799" s="69" t="s">
        <v>168</v>
      </c>
      <c r="G799" s="69" t="s">
        <v>199</v>
      </c>
      <c r="H799" s="69" t="s">
        <v>2417</v>
      </c>
      <c r="I799" s="69">
        <v>3</v>
      </c>
      <c r="J799" s="238">
        <v>0.85000000000000087</v>
      </c>
      <c r="K799" s="238">
        <v>0.60840118279510991</v>
      </c>
      <c r="L799" s="69">
        <v>118.30264535948425</v>
      </c>
      <c r="M799" s="69">
        <v>0</v>
      </c>
      <c r="N799" s="69">
        <v>0</v>
      </c>
      <c r="O799" s="69">
        <v>0</v>
      </c>
      <c r="P799" s="69">
        <v>0</v>
      </c>
      <c r="Q799" s="69">
        <v>0</v>
      </c>
      <c r="R799" s="69">
        <v>156.36600000000183</v>
      </c>
      <c r="S799" s="69">
        <v>156.36600000000183</v>
      </c>
      <c r="T799" s="69">
        <v>156.36600000000183</v>
      </c>
      <c r="U799" s="69">
        <v>156.36600000000183</v>
      </c>
      <c r="V799" s="69">
        <v>156.36600000000183</v>
      </c>
      <c r="W799" s="69">
        <v>156.36600000000183</v>
      </c>
      <c r="X799" s="69">
        <v>156.36600000000183</v>
      </c>
      <c r="Y799" s="69">
        <v>156.36600000000183</v>
      </c>
      <c r="Z799" s="69">
        <v>156.36600000000183</v>
      </c>
      <c r="AA799" s="69">
        <v>156.36600000000183</v>
      </c>
      <c r="AB799" s="69">
        <v>156.36600000000183</v>
      </c>
      <c r="AC799" s="69">
        <v>156.36600000000183</v>
      </c>
      <c r="AD799" s="69">
        <v>156.36600000000183</v>
      </c>
      <c r="AE799" s="69">
        <v>156.36600000000183</v>
      </c>
      <c r="AF799" s="69">
        <v>156.36600000000183</v>
      </c>
      <c r="AG799" s="69">
        <v>156.36600000000183</v>
      </c>
    </row>
    <row r="800" spans="1:33" ht="12.75" customHeight="1">
      <c r="A800" s="231" t="s">
        <v>2376</v>
      </c>
      <c r="B800" s="69" t="s">
        <v>373</v>
      </c>
      <c r="C800" s="69" t="s">
        <v>139</v>
      </c>
      <c r="D800" s="69" t="s">
        <v>191</v>
      </c>
      <c r="E800" s="69" t="s">
        <v>191</v>
      </c>
      <c r="F800" s="69" t="s">
        <v>168</v>
      </c>
      <c r="G800" s="69" t="s">
        <v>199</v>
      </c>
      <c r="H800" s="69" t="s">
        <v>2417</v>
      </c>
      <c r="I800" s="69">
        <v>3</v>
      </c>
      <c r="J800" s="238">
        <v>0.85000000000000075</v>
      </c>
      <c r="K800" s="238">
        <v>0.60840118279510991</v>
      </c>
      <c r="L800" s="69">
        <v>116.99547033873785</v>
      </c>
      <c r="M800" s="69">
        <v>0</v>
      </c>
      <c r="N800" s="69">
        <v>0</v>
      </c>
      <c r="O800" s="69">
        <v>0</v>
      </c>
      <c r="P800" s="69">
        <v>0</v>
      </c>
      <c r="Q800" s="69">
        <v>0</v>
      </c>
      <c r="R800" s="69">
        <v>171.25800000000166</v>
      </c>
      <c r="S800" s="69">
        <v>171.25800000000166</v>
      </c>
      <c r="T800" s="69">
        <v>171.25800000000166</v>
      </c>
      <c r="U800" s="69">
        <v>171.25800000000166</v>
      </c>
      <c r="V800" s="69">
        <v>171.25800000000166</v>
      </c>
      <c r="W800" s="69">
        <v>171.25800000000166</v>
      </c>
      <c r="X800" s="69">
        <v>171.25800000000166</v>
      </c>
      <c r="Y800" s="69">
        <v>171.25800000000166</v>
      </c>
      <c r="Z800" s="69">
        <v>171.25800000000166</v>
      </c>
      <c r="AA800" s="69">
        <v>171.25800000000166</v>
      </c>
      <c r="AB800" s="69">
        <v>171.25800000000166</v>
      </c>
      <c r="AC800" s="69">
        <v>171.25800000000166</v>
      </c>
      <c r="AD800" s="69">
        <v>171.25800000000166</v>
      </c>
      <c r="AE800" s="69">
        <v>171.25800000000166</v>
      </c>
      <c r="AF800" s="69">
        <v>171.25800000000166</v>
      </c>
      <c r="AG800" s="69">
        <v>171.25800000000166</v>
      </c>
    </row>
    <row r="801" spans="1:33" ht="12.75" customHeight="1">
      <c r="A801" s="231" t="s">
        <v>2376</v>
      </c>
      <c r="B801" s="69" t="s">
        <v>374</v>
      </c>
      <c r="C801" s="69" t="s">
        <v>139</v>
      </c>
      <c r="D801" s="69" t="s">
        <v>191</v>
      </c>
      <c r="E801" s="69" t="s">
        <v>191</v>
      </c>
      <c r="F801" s="69" t="s">
        <v>168</v>
      </c>
      <c r="G801" s="69" t="s">
        <v>199</v>
      </c>
      <c r="H801" s="69" t="s">
        <v>2417</v>
      </c>
      <c r="I801" s="69">
        <v>3</v>
      </c>
      <c r="J801" s="238">
        <v>0.85000000000000075</v>
      </c>
      <c r="K801" s="238">
        <v>0.60840118279510991</v>
      </c>
      <c r="L801" s="69">
        <v>118.93475412933944</v>
      </c>
      <c r="M801" s="69">
        <v>0</v>
      </c>
      <c r="N801" s="69">
        <v>0</v>
      </c>
      <c r="O801" s="69">
        <v>0</v>
      </c>
      <c r="P801" s="69">
        <v>0</v>
      </c>
      <c r="Q801" s="69">
        <v>0</v>
      </c>
      <c r="R801" s="69">
        <v>0</v>
      </c>
      <c r="S801" s="69">
        <v>0</v>
      </c>
      <c r="T801" s="69">
        <v>394.63799999999901</v>
      </c>
      <c r="U801" s="69">
        <v>394.63799999999901</v>
      </c>
      <c r="V801" s="69">
        <v>394.63799999999901</v>
      </c>
      <c r="W801" s="69">
        <v>394.63799999999901</v>
      </c>
      <c r="X801" s="69">
        <v>394.63799999999901</v>
      </c>
      <c r="Y801" s="69">
        <v>394.63799999999901</v>
      </c>
      <c r="Z801" s="69">
        <v>394.63799999999901</v>
      </c>
      <c r="AA801" s="69">
        <v>394.63799999999901</v>
      </c>
      <c r="AB801" s="69">
        <v>394.63799999999901</v>
      </c>
      <c r="AC801" s="69">
        <v>394.63799999999901</v>
      </c>
      <c r="AD801" s="69">
        <v>394.63799999999901</v>
      </c>
      <c r="AE801" s="69">
        <v>394.63799999999901</v>
      </c>
      <c r="AF801" s="69">
        <v>394.63799999999901</v>
      </c>
      <c r="AG801" s="69">
        <v>394.63799999999901</v>
      </c>
    </row>
    <row r="802" spans="1:33" ht="12.75" customHeight="1">
      <c r="A802" s="231" t="s">
        <v>2376</v>
      </c>
      <c r="B802" s="69" t="s">
        <v>375</v>
      </c>
      <c r="C802" s="69" t="s">
        <v>136</v>
      </c>
      <c r="D802" s="69" t="s">
        <v>191</v>
      </c>
      <c r="E802" s="69" t="s">
        <v>191</v>
      </c>
      <c r="F802" s="69" t="s">
        <v>161</v>
      </c>
      <c r="G802" s="69" t="s">
        <v>192</v>
      </c>
      <c r="H802" s="69" t="s">
        <v>2130</v>
      </c>
      <c r="I802" s="69">
        <v>3</v>
      </c>
      <c r="J802" s="238">
        <v>0.8</v>
      </c>
      <c r="K802" s="238">
        <v>0.70497163608542901</v>
      </c>
      <c r="L802" s="69">
        <v>88.474187468150532</v>
      </c>
      <c r="M802" s="69">
        <v>0</v>
      </c>
      <c r="N802" s="69">
        <v>0</v>
      </c>
      <c r="O802" s="69">
        <v>0</v>
      </c>
      <c r="P802" s="69">
        <v>0</v>
      </c>
      <c r="Q802" s="69">
        <v>0</v>
      </c>
      <c r="R802" s="69">
        <v>0</v>
      </c>
      <c r="S802" s="69">
        <v>0</v>
      </c>
      <c r="T802" s="69">
        <v>0</v>
      </c>
      <c r="U802" s="69">
        <v>1121.2800000000002</v>
      </c>
      <c r="V802" s="69">
        <v>1121.2800000000002</v>
      </c>
      <c r="W802" s="69">
        <v>1121.2800000000002</v>
      </c>
      <c r="X802" s="69">
        <v>1121.2800000000002</v>
      </c>
      <c r="Y802" s="69">
        <v>1121.2800000000002</v>
      </c>
      <c r="Z802" s="69">
        <v>1121.2800000000002</v>
      </c>
      <c r="AA802" s="69">
        <v>1121.2800000000002</v>
      </c>
      <c r="AB802" s="69">
        <v>1121.2800000000002</v>
      </c>
      <c r="AC802" s="69">
        <v>1121.2800000000002</v>
      </c>
      <c r="AD802" s="69">
        <v>1121.2800000000002</v>
      </c>
      <c r="AE802" s="69">
        <v>1121.2800000000002</v>
      </c>
      <c r="AF802" s="69">
        <v>1121.2800000000002</v>
      </c>
      <c r="AG802" s="69">
        <v>1121.2800000000002</v>
      </c>
    </row>
    <row r="803" spans="1:33" ht="12.75" customHeight="1">
      <c r="A803" s="231" t="s">
        <v>2376</v>
      </c>
      <c r="B803" s="69" t="s">
        <v>377</v>
      </c>
      <c r="C803" s="69" t="s">
        <v>136</v>
      </c>
      <c r="D803" s="69" t="s">
        <v>191</v>
      </c>
      <c r="E803" s="69" t="s">
        <v>191</v>
      </c>
      <c r="F803" s="69" t="s">
        <v>176</v>
      </c>
      <c r="G803" s="69" t="s">
        <v>192</v>
      </c>
      <c r="H803" s="69" t="s">
        <v>805</v>
      </c>
      <c r="I803" s="69">
        <v>3</v>
      </c>
      <c r="J803" s="238">
        <v>0.8</v>
      </c>
      <c r="K803" s="238">
        <v>0.71701637026202192</v>
      </c>
      <c r="L803" s="69">
        <v>94.016571040367879</v>
      </c>
      <c r="M803" s="69">
        <v>0</v>
      </c>
      <c r="N803" s="69">
        <v>0</v>
      </c>
      <c r="O803" s="69">
        <v>0</v>
      </c>
      <c r="P803" s="69">
        <v>0</v>
      </c>
      <c r="Q803" s="69">
        <v>0</v>
      </c>
      <c r="R803" s="69">
        <v>0</v>
      </c>
      <c r="S803" s="69">
        <v>0</v>
      </c>
      <c r="T803" s="69">
        <v>152.77439999999842</v>
      </c>
      <c r="U803" s="69">
        <v>152.77439999999842</v>
      </c>
      <c r="V803" s="69">
        <v>152.77439999999842</v>
      </c>
      <c r="W803" s="69">
        <v>152.77439999999842</v>
      </c>
      <c r="X803" s="69">
        <v>152.77439999999842</v>
      </c>
      <c r="Y803" s="69">
        <v>152.77439999999842</v>
      </c>
      <c r="Z803" s="69">
        <v>152.77439999999842</v>
      </c>
      <c r="AA803" s="69">
        <v>152.77439999999842</v>
      </c>
      <c r="AB803" s="69">
        <v>152.77439999999842</v>
      </c>
      <c r="AC803" s="69">
        <v>152.77439999999842</v>
      </c>
      <c r="AD803" s="69">
        <v>152.77439999999842</v>
      </c>
      <c r="AE803" s="69">
        <v>152.77439999999842</v>
      </c>
      <c r="AF803" s="69">
        <v>152.77439999999842</v>
      </c>
      <c r="AG803" s="69">
        <v>152.77439999999842</v>
      </c>
    </row>
    <row r="804" spans="1:33" ht="12.75" customHeight="1">
      <c r="A804" s="231" t="s">
        <v>2376</v>
      </c>
      <c r="B804" s="69" t="s">
        <v>378</v>
      </c>
      <c r="C804" s="69" t="s">
        <v>136</v>
      </c>
      <c r="D804" s="69" t="s">
        <v>191</v>
      </c>
      <c r="E804" s="69" t="s">
        <v>191</v>
      </c>
      <c r="F804" s="69" t="s">
        <v>161</v>
      </c>
      <c r="G804" s="69" t="s">
        <v>192</v>
      </c>
      <c r="H804" s="69" t="s">
        <v>2130</v>
      </c>
      <c r="I804" s="69">
        <v>3</v>
      </c>
      <c r="J804" s="238">
        <v>0.9</v>
      </c>
      <c r="K804" s="238">
        <v>0.70497163608542901</v>
      </c>
      <c r="L804" s="69">
        <v>100.71508254464696</v>
      </c>
      <c r="M804" s="69">
        <v>0</v>
      </c>
      <c r="N804" s="69">
        <v>0</v>
      </c>
      <c r="O804" s="69">
        <v>0</v>
      </c>
      <c r="P804" s="69">
        <v>0</v>
      </c>
      <c r="Q804" s="69">
        <v>0</v>
      </c>
      <c r="R804" s="69">
        <v>0</v>
      </c>
      <c r="S804" s="69">
        <v>0</v>
      </c>
      <c r="T804" s="69">
        <v>0</v>
      </c>
      <c r="U804" s="69">
        <v>4222.6704000000009</v>
      </c>
      <c r="V804" s="69">
        <v>4222.6704000000009</v>
      </c>
      <c r="W804" s="69">
        <v>4222.6704000000009</v>
      </c>
      <c r="X804" s="69">
        <v>4222.6704000000009</v>
      </c>
      <c r="Y804" s="69">
        <v>4222.6704000000009</v>
      </c>
      <c r="Z804" s="69">
        <v>4222.6704000000009</v>
      </c>
      <c r="AA804" s="69">
        <v>4222.6704000000009</v>
      </c>
      <c r="AB804" s="69">
        <v>4222.6704000000009</v>
      </c>
      <c r="AC804" s="69">
        <v>4222.6704000000009</v>
      </c>
      <c r="AD804" s="69">
        <v>4222.6704000000009</v>
      </c>
      <c r="AE804" s="69">
        <v>4222.6704000000009</v>
      </c>
      <c r="AF804" s="69">
        <v>4222.6704000000009</v>
      </c>
      <c r="AG804" s="69">
        <v>4222.6704000000009</v>
      </c>
    </row>
    <row r="805" spans="1:33" ht="12.75" customHeight="1">
      <c r="A805" s="231" t="s">
        <v>2376</v>
      </c>
      <c r="B805" s="69" t="s">
        <v>379</v>
      </c>
      <c r="C805" s="69" t="s">
        <v>136</v>
      </c>
      <c r="D805" s="69" t="s">
        <v>191</v>
      </c>
      <c r="E805" s="69" t="s">
        <v>191</v>
      </c>
      <c r="F805" s="69" t="s">
        <v>161</v>
      </c>
      <c r="G805" s="69" t="s">
        <v>192</v>
      </c>
      <c r="H805" s="69" t="s">
        <v>2130</v>
      </c>
      <c r="I805" s="69">
        <v>3</v>
      </c>
      <c r="J805" s="238">
        <v>0.8</v>
      </c>
      <c r="K805" s="238">
        <v>0.70497163608542901</v>
      </c>
      <c r="L805" s="69">
        <v>95.882401954992247</v>
      </c>
      <c r="M805" s="69">
        <v>0</v>
      </c>
      <c r="N805" s="69">
        <v>0</v>
      </c>
      <c r="O805" s="69">
        <v>0</v>
      </c>
      <c r="P805" s="69">
        <v>0</v>
      </c>
      <c r="Q805" s="69">
        <v>0</v>
      </c>
      <c r="R805" s="69">
        <v>0</v>
      </c>
      <c r="S805" s="69">
        <v>280.32000000000005</v>
      </c>
      <c r="T805" s="69">
        <v>280.32000000000005</v>
      </c>
      <c r="U805" s="69">
        <v>280.32000000000005</v>
      </c>
      <c r="V805" s="69">
        <v>280.32000000000005</v>
      </c>
      <c r="W805" s="69">
        <v>280.32000000000005</v>
      </c>
      <c r="X805" s="69">
        <v>280.32000000000005</v>
      </c>
      <c r="Y805" s="69">
        <v>280.32000000000005</v>
      </c>
      <c r="Z805" s="69">
        <v>280.32000000000005</v>
      </c>
      <c r="AA805" s="69">
        <v>280.32000000000005</v>
      </c>
      <c r="AB805" s="69">
        <v>280.32000000000005</v>
      </c>
      <c r="AC805" s="69">
        <v>280.32000000000005</v>
      </c>
      <c r="AD805" s="69">
        <v>280.32000000000005</v>
      </c>
      <c r="AE805" s="69">
        <v>280.32000000000005</v>
      </c>
      <c r="AF805" s="69">
        <v>280.32000000000005</v>
      </c>
      <c r="AG805" s="69">
        <v>280.32000000000005</v>
      </c>
    </row>
    <row r="806" spans="1:33" ht="12.75" customHeight="1">
      <c r="A806" s="231" t="s">
        <v>2376</v>
      </c>
      <c r="B806" s="69" t="s">
        <v>380</v>
      </c>
      <c r="C806" s="69" t="s">
        <v>136</v>
      </c>
      <c r="D806" s="69" t="s">
        <v>191</v>
      </c>
      <c r="E806" s="69" t="s">
        <v>191</v>
      </c>
      <c r="F806" s="69" t="s">
        <v>165</v>
      </c>
      <c r="G806" s="69" t="s">
        <v>201</v>
      </c>
      <c r="H806" s="69" t="s">
        <v>2417</v>
      </c>
      <c r="I806" s="69">
        <v>3</v>
      </c>
      <c r="J806" s="238">
        <v>0.8</v>
      </c>
      <c r="K806" s="238">
        <v>0.70268797670198968</v>
      </c>
      <c r="L806" s="69">
        <v>122.93150444352236</v>
      </c>
      <c r="M806" s="69">
        <v>0</v>
      </c>
      <c r="N806" s="69">
        <v>0</v>
      </c>
      <c r="O806" s="69">
        <v>0</v>
      </c>
      <c r="P806" s="69">
        <v>0</v>
      </c>
      <c r="Q806" s="69">
        <v>0</v>
      </c>
      <c r="R806" s="69">
        <v>56.063999999998487</v>
      </c>
      <c r="S806" s="69">
        <v>56.063999999998487</v>
      </c>
      <c r="T806" s="69">
        <v>56.063999999998487</v>
      </c>
      <c r="U806" s="69">
        <v>56.063999999998487</v>
      </c>
      <c r="V806" s="69">
        <v>56.063999999998487</v>
      </c>
      <c r="W806" s="69">
        <v>56.063999999998487</v>
      </c>
      <c r="X806" s="69">
        <v>56.063999999998487</v>
      </c>
      <c r="Y806" s="69">
        <v>56.063999999998487</v>
      </c>
      <c r="Z806" s="69">
        <v>56.063999999998487</v>
      </c>
      <c r="AA806" s="69">
        <v>56.063999999998487</v>
      </c>
      <c r="AB806" s="69">
        <v>56.063999999998487</v>
      </c>
      <c r="AC806" s="69">
        <v>56.063999999998487</v>
      </c>
      <c r="AD806" s="69">
        <v>56.063999999998487</v>
      </c>
      <c r="AE806" s="69">
        <v>56.063999999998487</v>
      </c>
      <c r="AF806" s="69">
        <v>56.063999999998487</v>
      </c>
      <c r="AG806" s="69">
        <v>56.063999999998487</v>
      </c>
    </row>
    <row r="807" spans="1:33" ht="12.75" customHeight="1">
      <c r="A807" s="231" t="s">
        <v>2376</v>
      </c>
      <c r="B807" s="69" t="s">
        <v>382</v>
      </c>
      <c r="C807" s="69" t="s">
        <v>136</v>
      </c>
      <c r="D807" s="69" t="s">
        <v>191</v>
      </c>
      <c r="E807" s="69" t="s">
        <v>191</v>
      </c>
      <c r="F807" s="69" t="s">
        <v>165</v>
      </c>
      <c r="G807" s="69" t="s">
        <v>201</v>
      </c>
      <c r="H807" s="69" t="s">
        <v>2417</v>
      </c>
      <c r="I807" s="69">
        <v>3</v>
      </c>
      <c r="J807" s="238">
        <v>0.8</v>
      </c>
      <c r="K807" s="238">
        <v>0.70268797670198968</v>
      </c>
      <c r="L807" s="69">
        <v>122.39168784760062</v>
      </c>
      <c r="M807" s="69">
        <v>0</v>
      </c>
      <c r="N807" s="69">
        <v>0</v>
      </c>
      <c r="O807" s="69">
        <v>0</v>
      </c>
      <c r="P807" s="69">
        <v>0</v>
      </c>
      <c r="Q807" s="69">
        <v>0</v>
      </c>
      <c r="R807" s="69">
        <v>56.063999999998487</v>
      </c>
      <c r="S807" s="69">
        <v>56.063999999998487</v>
      </c>
      <c r="T807" s="69">
        <v>56.063999999998487</v>
      </c>
      <c r="U807" s="69">
        <v>56.063999999998487</v>
      </c>
      <c r="V807" s="69">
        <v>56.063999999998487</v>
      </c>
      <c r="W807" s="69">
        <v>56.063999999998487</v>
      </c>
      <c r="X807" s="69">
        <v>56.063999999998487</v>
      </c>
      <c r="Y807" s="69">
        <v>56.063999999998487</v>
      </c>
      <c r="Z807" s="69">
        <v>56.063999999998487</v>
      </c>
      <c r="AA807" s="69">
        <v>56.063999999998487</v>
      </c>
      <c r="AB807" s="69">
        <v>56.063999999998487</v>
      </c>
      <c r="AC807" s="69">
        <v>56.063999999998487</v>
      </c>
      <c r="AD807" s="69">
        <v>56.063999999998487</v>
      </c>
      <c r="AE807" s="69">
        <v>56.063999999998487</v>
      </c>
      <c r="AF807" s="69">
        <v>56.063999999998487</v>
      </c>
      <c r="AG807" s="69">
        <v>56.063999999998487</v>
      </c>
    </row>
    <row r="808" spans="1:33" ht="12.75" customHeight="1">
      <c r="A808" s="231" t="s">
        <v>2376</v>
      </c>
      <c r="B808" s="69" t="s">
        <v>385</v>
      </c>
      <c r="C808" s="69" t="s">
        <v>136</v>
      </c>
      <c r="D808" s="69" t="s">
        <v>191</v>
      </c>
      <c r="E808" s="69" t="s">
        <v>191</v>
      </c>
      <c r="F808" s="69" t="s">
        <v>165</v>
      </c>
      <c r="G808" s="69" t="s">
        <v>201</v>
      </c>
      <c r="H808" s="69" t="s">
        <v>2417</v>
      </c>
      <c r="I808" s="69">
        <v>3</v>
      </c>
      <c r="J808" s="238">
        <v>0.8</v>
      </c>
      <c r="K808" s="238">
        <v>0.70268797670198968</v>
      </c>
      <c r="L808" s="69">
        <v>123.52311376460064</v>
      </c>
      <c r="M808" s="69">
        <v>0</v>
      </c>
      <c r="N808" s="69">
        <v>0</v>
      </c>
      <c r="O808" s="69">
        <v>0</v>
      </c>
      <c r="P808" s="69">
        <v>0</v>
      </c>
      <c r="Q808" s="69">
        <v>0</v>
      </c>
      <c r="R808" s="69">
        <v>56.063999999998487</v>
      </c>
      <c r="S808" s="69">
        <v>56.063999999998487</v>
      </c>
      <c r="T808" s="69">
        <v>56.063999999998487</v>
      </c>
      <c r="U808" s="69">
        <v>56.063999999998487</v>
      </c>
      <c r="V808" s="69">
        <v>56.063999999998487</v>
      </c>
      <c r="W808" s="69">
        <v>56.063999999998487</v>
      </c>
      <c r="X808" s="69">
        <v>56.063999999998487</v>
      </c>
      <c r="Y808" s="69">
        <v>56.063999999998487</v>
      </c>
      <c r="Z808" s="69">
        <v>56.063999999998487</v>
      </c>
      <c r="AA808" s="69">
        <v>56.063999999998487</v>
      </c>
      <c r="AB808" s="69">
        <v>56.063999999998487</v>
      </c>
      <c r="AC808" s="69">
        <v>56.063999999998487</v>
      </c>
      <c r="AD808" s="69">
        <v>56.063999999998487</v>
      </c>
      <c r="AE808" s="69">
        <v>56.063999999998487</v>
      </c>
      <c r="AF808" s="69">
        <v>56.063999999998487</v>
      </c>
      <c r="AG808" s="69">
        <v>56.063999999998487</v>
      </c>
    </row>
    <row r="809" spans="1:33" ht="12.75" customHeight="1">
      <c r="A809" s="231" t="s">
        <v>2376</v>
      </c>
      <c r="B809" s="69" t="s">
        <v>386</v>
      </c>
      <c r="C809" s="69" t="s">
        <v>136</v>
      </c>
      <c r="D809" s="69" t="s">
        <v>191</v>
      </c>
      <c r="E809" s="69" t="s">
        <v>191</v>
      </c>
      <c r="F809" s="69" t="s">
        <v>165</v>
      </c>
      <c r="G809" s="69" t="s">
        <v>201</v>
      </c>
      <c r="H809" s="69" t="s">
        <v>2417</v>
      </c>
      <c r="I809" s="69">
        <v>3</v>
      </c>
      <c r="J809" s="238">
        <v>0.8</v>
      </c>
      <c r="K809" s="238">
        <v>0.70268797670198968</v>
      </c>
      <c r="L809" s="69">
        <v>123.83894383258892</v>
      </c>
      <c r="M809" s="69">
        <v>0</v>
      </c>
      <c r="N809" s="69">
        <v>0</v>
      </c>
      <c r="O809" s="69">
        <v>0</v>
      </c>
      <c r="P809" s="69">
        <v>0</v>
      </c>
      <c r="Q809" s="69">
        <v>0</v>
      </c>
      <c r="R809" s="69">
        <v>56.063999999998487</v>
      </c>
      <c r="S809" s="69">
        <v>56.063999999998487</v>
      </c>
      <c r="T809" s="69">
        <v>56.063999999998487</v>
      </c>
      <c r="U809" s="69">
        <v>56.063999999998487</v>
      </c>
      <c r="V809" s="69">
        <v>56.063999999998487</v>
      </c>
      <c r="W809" s="69">
        <v>56.063999999998487</v>
      </c>
      <c r="X809" s="69">
        <v>56.063999999998487</v>
      </c>
      <c r="Y809" s="69">
        <v>56.063999999998487</v>
      </c>
      <c r="Z809" s="69">
        <v>56.063999999998487</v>
      </c>
      <c r="AA809" s="69">
        <v>56.063999999998487</v>
      </c>
      <c r="AB809" s="69">
        <v>56.063999999998487</v>
      </c>
      <c r="AC809" s="69">
        <v>56.063999999998487</v>
      </c>
      <c r="AD809" s="69">
        <v>56.063999999998487</v>
      </c>
      <c r="AE809" s="69">
        <v>56.063999999998487</v>
      </c>
      <c r="AF809" s="69">
        <v>56.063999999998487</v>
      </c>
      <c r="AG809" s="69">
        <v>56.063999999998487</v>
      </c>
    </row>
    <row r="810" spans="1:33" ht="12.75" customHeight="1">
      <c r="A810" s="231" t="s">
        <v>2376</v>
      </c>
      <c r="B810" s="69" t="s">
        <v>387</v>
      </c>
      <c r="C810" s="69" t="s">
        <v>136</v>
      </c>
      <c r="D810" s="69" t="s">
        <v>191</v>
      </c>
      <c r="E810" s="69" t="s">
        <v>191</v>
      </c>
      <c r="F810" s="69" t="s">
        <v>165</v>
      </c>
      <c r="G810" s="69" t="s">
        <v>201</v>
      </c>
      <c r="H810" s="69" t="s">
        <v>2417</v>
      </c>
      <c r="I810" s="69">
        <v>3</v>
      </c>
      <c r="J810" s="238">
        <v>0.8</v>
      </c>
      <c r="K810" s="238">
        <v>0.70268797670198968</v>
      </c>
      <c r="L810" s="69">
        <v>122.75945472176011</v>
      </c>
      <c r="M810" s="69">
        <v>0</v>
      </c>
      <c r="N810" s="69">
        <v>0</v>
      </c>
      <c r="O810" s="69">
        <v>0</v>
      </c>
      <c r="P810" s="69">
        <v>0</v>
      </c>
      <c r="Q810" s="69">
        <v>0</v>
      </c>
      <c r="R810" s="69">
        <v>56.063999999998487</v>
      </c>
      <c r="S810" s="69">
        <v>56.063999999998487</v>
      </c>
      <c r="T810" s="69">
        <v>56.063999999998487</v>
      </c>
      <c r="U810" s="69">
        <v>56.063999999998487</v>
      </c>
      <c r="V810" s="69">
        <v>56.063999999998487</v>
      </c>
      <c r="W810" s="69">
        <v>56.063999999998487</v>
      </c>
      <c r="X810" s="69">
        <v>56.063999999998487</v>
      </c>
      <c r="Y810" s="69">
        <v>56.063999999998487</v>
      </c>
      <c r="Z810" s="69">
        <v>56.063999999998487</v>
      </c>
      <c r="AA810" s="69">
        <v>56.063999999998487</v>
      </c>
      <c r="AB810" s="69">
        <v>56.063999999998487</v>
      </c>
      <c r="AC810" s="69">
        <v>56.063999999998487</v>
      </c>
      <c r="AD810" s="69">
        <v>56.063999999998487</v>
      </c>
      <c r="AE810" s="69">
        <v>56.063999999998487</v>
      </c>
      <c r="AF810" s="69">
        <v>56.063999999998487</v>
      </c>
      <c r="AG810" s="69">
        <v>56.063999999998487</v>
      </c>
    </row>
    <row r="811" spans="1:33" ht="12.75" customHeight="1">
      <c r="A811" s="231" t="s">
        <v>2376</v>
      </c>
      <c r="B811" s="69" t="s">
        <v>390</v>
      </c>
      <c r="C811" s="69" t="s">
        <v>136</v>
      </c>
      <c r="D811" s="69" t="s">
        <v>191</v>
      </c>
      <c r="E811" s="69" t="s">
        <v>191</v>
      </c>
      <c r="F811" s="69" t="s">
        <v>165</v>
      </c>
      <c r="G811" s="69" t="s">
        <v>201</v>
      </c>
      <c r="H811" s="69" t="s">
        <v>2417</v>
      </c>
      <c r="I811" s="69">
        <v>3</v>
      </c>
      <c r="J811" s="238">
        <v>0.8</v>
      </c>
      <c r="K811" s="238">
        <v>0.70268797670198968</v>
      </c>
      <c r="L811" s="69">
        <v>125.19856874314512</v>
      </c>
      <c r="M811" s="69">
        <v>0</v>
      </c>
      <c r="N811" s="69">
        <v>0</v>
      </c>
      <c r="O811" s="69">
        <v>0</v>
      </c>
      <c r="P811" s="69">
        <v>0</v>
      </c>
      <c r="Q811" s="69">
        <v>0</v>
      </c>
      <c r="R811" s="69">
        <v>56.063999999998487</v>
      </c>
      <c r="S811" s="69">
        <v>56.063999999998487</v>
      </c>
      <c r="T811" s="69">
        <v>56.063999999998487</v>
      </c>
      <c r="U811" s="69">
        <v>56.063999999998487</v>
      </c>
      <c r="V811" s="69">
        <v>56.063999999998487</v>
      </c>
      <c r="W811" s="69">
        <v>56.063999999998487</v>
      </c>
      <c r="X811" s="69">
        <v>56.063999999998487</v>
      </c>
      <c r="Y811" s="69">
        <v>56.063999999998487</v>
      </c>
      <c r="Z811" s="69">
        <v>56.063999999998487</v>
      </c>
      <c r="AA811" s="69">
        <v>56.063999999998487</v>
      </c>
      <c r="AB811" s="69">
        <v>56.063999999998487</v>
      </c>
      <c r="AC811" s="69">
        <v>56.063999999998487</v>
      </c>
      <c r="AD811" s="69">
        <v>56.063999999998487</v>
      </c>
      <c r="AE811" s="69">
        <v>56.063999999998487</v>
      </c>
      <c r="AF811" s="69">
        <v>56.063999999998487</v>
      </c>
      <c r="AG811" s="69">
        <v>56.063999999998487</v>
      </c>
    </row>
    <row r="812" spans="1:33" ht="12.75" customHeight="1">
      <c r="A812" s="231" t="s">
        <v>2376</v>
      </c>
      <c r="B812" s="69" t="s">
        <v>392</v>
      </c>
      <c r="C812" s="69" t="s">
        <v>137</v>
      </c>
      <c r="D812" s="69" t="s">
        <v>191</v>
      </c>
      <c r="E812" s="69" t="s">
        <v>191</v>
      </c>
      <c r="F812" s="69" t="s">
        <v>180</v>
      </c>
      <c r="G812" s="69" t="s">
        <v>192</v>
      </c>
      <c r="H812" s="69" t="s">
        <v>804</v>
      </c>
      <c r="I812" s="69">
        <v>3</v>
      </c>
      <c r="J812" s="238">
        <v>0.33079999999999998</v>
      </c>
      <c r="K812" s="238">
        <v>0.160195270625522</v>
      </c>
      <c r="L812" s="69">
        <v>94.881438714876651</v>
      </c>
      <c r="M812" s="69">
        <v>0</v>
      </c>
      <c r="N812" s="69">
        <v>0</v>
      </c>
      <c r="O812" s="69">
        <v>0</v>
      </c>
      <c r="P812" s="69">
        <v>0</v>
      </c>
      <c r="Q812" s="69">
        <v>0</v>
      </c>
      <c r="R812" s="69">
        <v>438.14856960000179</v>
      </c>
      <c r="S812" s="69">
        <v>438.14856960000179</v>
      </c>
      <c r="T812" s="69">
        <v>438.14856960000179</v>
      </c>
      <c r="U812" s="69">
        <v>438.14856960000179</v>
      </c>
      <c r="V812" s="69">
        <v>438.14856960000179</v>
      </c>
      <c r="W812" s="69">
        <v>438.14856960000179</v>
      </c>
      <c r="X812" s="69">
        <v>438.14856960000179</v>
      </c>
      <c r="Y812" s="69">
        <v>438.14856960000179</v>
      </c>
      <c r="Z812" s="69">
        <v>438.14856960000179</v>
      </c>
      <c r="AA812" s="69">
        <v>438.14856960000179</v>
      </c>
      <c r="AB812" s="69">
        <v>438.14856960000179</v>
      </c>
      <c r="AC812" s="69">
        <v>438.14856960000179</v>
      </c>
      <c r="AD812" s="69">
        <v>438.14856960000179</v>
      </c>
      <c r="AE812" s="69">
        <v>438.14856960000179</v>
      </c>
      <c r="AF812" s="69">
        <v>438.14856960000179</v>
      </c>
      <c r="AG812" s="69">
        <v>438.14856960000179</v>
      </c>
    </row>
    <row r="813" spans="1:33" ht="12.75" customHeight="1">
      <c r="A813" s="231" t="s">
        <v>2376</v>
      </c>
      <c r="B813" s="69" t="s">
        <v>393</v>
      </c>
      <c r="C813" s="69" t="s">
        <v>137</v>
      </c>
      <c r="D813" s="69" t="s">
        <v>191</v>
      </c>
      <c r="E813" s="69" t="s">
        <v>191</v>
      </c>
      <c r="F813" s="69" t="s">
        <v>180</v>
      </c>
      <c r="G813" s="69" t="s">
        <v>192</v>
      </c>
      <c r="H813" s="69" t="s">
        <v>804</v>
      </c>
      <c r="I813" s="69">
        <v>3</v>
      </c>
      <c r="J813" s="238">
        <v>0.31430000000000002</v>
      </c>
      <c r="K813" s="238">
        <v>0.160195270625522</v>
      </c>
      <c r="L813" s="69">
        <v>99.950540211513768</v>
      </c>
      <c r="M813" s="69">
        <v>0</v>
      </c>
      <c r="N813" s="69">
        <v>0</v>
      </c>
      <c r="O813" s="69">
        <v>0</v>
      </c>
      <c r="P813" s="69">
        <v>0</v>
      </c>
      <c r="Q813" s="69">
        <v>0</v>
      </c>
      <c r="R813" s="69">
        <v>480.72059279999667</v>
      </c>
      <c r="S813" s="69">
        <v>480.72059279999667</v>
      </c>
      <c r="T813" s="69">
        <v>480.72059279999667</v>
      </c>
      <c r="U813" s="69">
        <v>480.72059279999667</v>
      </c>
      <c r="V813" s="69">
        <v>480.72059279999667</v>
      </c>
      <c r="W813" s="69">
        <v>480.72059279999667</v>
      </c>
      <c r="X813" s="69">
        <v>480.72059279999667</v>
      </c>
      <c r="Y813" s="69">
        <v>480.72059279999667</v>
      </c>
      <c r="Z813" s="69">
        <v>480.72059279999667</v>
      </c>
      <c r="AA813" s="69">
        <v>480.72059279999667</v>
      </c>
      <c r="AB813" s="69">
        <v>480.72059279999667</v>
      </c>
      <c r="AC813" s="69">
        <v>480.72059279999667</v>
      </c>
      <c r="AD813" s="69">
        <v>480.72059279999667</v>
      </c>
      <c r="AE813" s="69">
        <v>480.72059279999667</v>
      </c>
      <c r="AF813" s="69">
        <v>480.72059279999667</v>
      </c>
      <c r="AG813" s="69">
        <v>480.72059279999667</v>
      </c>
    </row>
    <row r="814" spans="1:33" ht="12.75" customHeight="1">
      <c r="A814" s="231" t="s">
        <v>2376</v>
      </c>
      <c r="B814" s="69" t="s">
        <v>394</v>
      </c>
      <c r="C814" s="69" t="s">
        <v>137</v>
      </c>
      <c r="D814" s="69" t="s">
        <v>191</v>
      </c>
      <c r="E814" s="69" t="s">
        <v>191</v>
      </c>
      <c r="F814" s="69" t="s">
        <v>180</v>
      </c>
      <c r="G814" s="69" t="s">
        <v>192</v>
      </c>
      <c r="H814" s="69" t="s">
        <v>804</v>
      </c>
      <c r="I814" s="69">
        <v>3</v>
      </c>
      <c r="J814" s="238">
        <v>0.30199999999999999</v>
      </c>
      <c r="K814" s="238">
        <v>0.160195270625522</v>
      </c>
      <c r="L814" s="69">
        <v>106.20716202815625</v>
      </c>
      <c r="M814" s="69">
        <v>0</v>
      </c>
      <c r="N814" s="69">
        <v>0</v>
      </c>
      <c r="O814" s="69">
        <v>0</v>
      </c>
      <c r="P814" s="69">
        <v>0</v>
      </c>
      <c r="Q814" s="69">
        <v>0</v>
      </c>
      <c r="R814" s="69">
        <v>204.7632480000029</v>
      </c>
      <c r="S814" s="69">
        <v>204.7632480000029</v>
      </c>
      <c r="T814" s="69">
        <v>204.7632480000029</v>
      </c>
      <c r="U814" s="69">
        <v>204.7632480000029</v>
      </c>
      <c r="V814" s="69">
        <v>204.7632480000029</v>
      </c>
      <c r="W814" s="69">
        <v>204.7632480000029</v>
      </c>
      <c r="X814" s="69">
        <v>204.7632480000029</v>
      </c>
      <c r="Y814" s="69">
        <v>204.7632480000029</v>
      </c>
      <c r="Z814" s="69">
        <v>204.7632480000029</v>
      </c>
      <c r="AA814" s="69">
        <v>204.7632480000029</v>
      </c>
      <c r="AB814" s="69">
        <v>204.7632480000029</v>
      </c>
      <c r="AC814" s="69">
        <v>204.7632480000029</v>
      </c>
      <c r="AD814" s="69">
        <v>204.7632480000029</v>
      </c>
      <c r="AE814" s="69">
        <v>204.7632480000029</v>
      </c>
      <c r="AF814" s="69">
        <v>204.7632480000029</v>
      </c>
      <c r="AG814" s="69">
        <v>204.7632480000029</v>
      </c>
    </row>
    <row r="815" spans="1:33" ht="12.75" customHeight="1">
      <c r="A815" s="231" t="s">
        <v>2376</v>
      </c>
      <c r="B815" s="69" t="s">
        <v>395</v>
      </c>
      <c r="C815" s="69" t="s">
        <v>137</v>
      </c>
      <c r="D815" s="69" t="s">
        <v>191</v>
      </c>
      <c r="E815" s="69" t="s">
        <v>191</v>
      </c>
      <c r="F815" s="69" t="s">
        <v>180</v>
      </c>
      <c r="G815" s="69" t="s">
        <v>192</v>
      </c>
      <c r="H815" s="69" t="s">
        <v>804</v>
      </c>
      <c r="I815" s="69">
        <v>3</v>
      </c>
      <c r="J815" s="238">
        <v>0.31669000000000003</v>
      </c>
      <c r="K815" s="238">
        <v>0.160195270625522</v>
      </c>
      <c r="L815" s="69">
        <v>100.08116684298381</v>
      </c>
      <c r="M815" s="69">
        <v>0</v>
      </c>
      <c r="N815" s="69">
        <v>0</v>
      </c>
      <c r="O815" s="69">
        <v>0</v>
      </c>
      <c r="P815" s="69">
        <v>0</v>
      </c>
      <c r="Q815" s="69">
        <v>0</v>
      </c>
      <c r="R815" s="69">
        <v>206.28069141258311</v>
      </c>
      <c r="S815" s="69">
        <v>206.28069141258311</v>
      </c>
      <c r="T815" s="69">
        <v>206.28069141258311</v>
      </c>
      <c r="U815" s="69">
        <v>206.28069141258311</v>
      </c>
      <c r="V815" s="69">
        <v>206.28069141258311</v>
      </c>
      <c r="W815" s="69">
        <v>206.28069141258311</v>
      </c>
      <c r="X815" s="69">
        <v>206.28069141258311</v>
      </c>
      <c r="Y815" s="69">
        <v>206.28069141258311</v>
      </c>
      <c r="Z815" s="69">
        <v>206.28069141258311</v>
      </c>
      <c r="AA815" s="69">
        <v>206.28069141258311</v>
      </c>
      <c r="AB815" s="69">
        <v>206.28069141258311</v>
      </c>
      <c r="AC815" s="69">
        <v>206.28069141258311</v>
      </c>
      <c r="AD815" s="69">
        <v>206.28069141258311</v>
      </c>
      <c r="AE815" s="69">
        <v>206.28069141258311</v>
      </c>
      <c r="AF815" s="69">
        <v>206.28069141258311</v>
      </c>
      <c r="AG815" s="69">
        <v>206.28069141258311</v>
      </c>
    </row>
    <row r="816" spans="1:33" ht="12.75" customHeight="1">
      <c r="A816" s="231" t="s">
        <v>2376</v>
      </c>
      <c r="B816" s="69" t="s">
        <v>396</v>
      </c>
      <c r="C816" s="69" t="s">
        <v>137</v>
      </c>
      <c r="D816" s="69" t="s">
        <v>191</v>
      </c>
      <c r="E816" s="69" t="s">
        <v>191</v>
      </c>
      <c r="F816" s="69" t="s">
        <v>167</v>
      </c>
      <c r="G816" s="69" t="s">
        <v>192</v>
      </c>
      <c r="H816" s="69" t="s">
        <v>805</v>
      </c>
      <c r="I816" s="69">
        <v>3</v>
      </c>
      <c r="J816" s="238">
        <v>0.36928976266950175</v>
      </c>
      <c r="K816" s="238">
        <v>0.16166723631218391</v>
      </c>
      <c r="L816" s="69">
        <v>111.65823307106068</v>
      </c>
      <c r="M816" s="69">
        <v>0</v>
      </c>
      <c r="N816" s="69">
        <v>0</v>
      </c>
      <c r="O816" s="69">
        <v>0</v>
      </c>
      <c r="P816" s="69">
        <v>0</v>
      </c>
      <c r="Q816" s="69">
        <v>0</v>
      </c>
      <c r="R816" s="69">
        <v>478.35108925667731</v>
      </c>
      <c r="S816" s="69">
        <v>478.35108925667731</v>
      </c>
      <c r="T816" s="69">
        <v>478.35108925667731</v>
      </c>
      <c r="U816" s="69">
        <v>478.35108925667731</v>
      </c>
      <c r="V816" s="69">
        <v>478.35108925667731</v>
      </c>
      <c r="W816" s="69">
        <v>478.35108925667731</v>
      </c>
      <c r="X816" s="69">
        <v>478.35108925667731</v>
      </c>
      <c r="Y816" s="69">
        <v>478.35108925667731</v>
      </c>
      <c r="Z816" s="69">
        <v>478.35108925667731</v>
      </c>
      <c r="AA816" s="69">
        <v>478.35108925667731</v>
      </c>
      <c r="AB816" s="69">
        <v>478.35108925667731</v>
      </c>
      <c r="AC816" s="69">
        <v>478.35108925667731</v>
      </c>
      <c r="AD816" s="69">
        <v>478.35108925667731</v>
      </c>
      <c r="AE816" s="69">
        <v>478.35108925667731</v>
      </c>
      <c r="AF816" s="69">
        <v>478.35108925667731</v>
      </c>
      <c r="AG816" s="69">
        <v>478.35108925667731</v>
      </c>
    </row>
    <row r="817" spans="1:33" ht="12.75" customHeight="1">
      <c r="A817" s="231" t="s">
        <v>2376</v>
      </c>
      <c r="B817" s="69" t="s">
        <v>397</v>
      </c>
      <c r="C817" s="69" t="s">
        <v>137</v>
      </c>
      <c r="D817" s="69" t="s">
        <v>191</v>
      </c>
      <c r="E817" s="69" t="s">
        <v>191</v>
      </c>
      <c r="F817" s="69" t="s">
        <v>167</v>
      </c>
      <c r="G817" s="69" t="s">
        <v>192</v>
      </c>
      <c r="H817" s="69" t="s">
        <v>805</v>
      </c>
      <c r="I817" s="69">
        <v>3</v>
      </c>
      <c r="J817" s="238">
        <v>0.37003616661473138</v>
      </c>
      <c r="K817" s="238">
        <v>0.16166723631218391</v>
      </c>
      <c r="L817" s="69">
        <v>91.404187358004975</v>
      </c>
      <c r="M817" s="69">
        <v>0</v>
      </c>
      <c r="N817" s="69">
        <v>0</v>
      </c>
      <c r="O817" s="69">
        <v>0</v>
      </c>
      <c r="P817" s="69">
        <v>0</v>
      </c>
      <c r="Q817" s="69">
        <v>0</v>
      </c>
      <c r="R817" s="69">
        <v>189.25940199999968</v>
      </c>
      <c r="S817" s="69">
        <v>189.25940199999968</v>
      </c>
      <c r="T817" s="69">
        <v>189.25940199999968</v>
      </c>
      <c r="U817" s="69">
        <v>189.25940199999968</v>
      </c>
      <c r="V817" s="69">
        <v>189.25940199999968</v>
      </c>
      <c r="W817" s="69">
        <v>189.25940199999968</v>
      </c>
      <c r="X817" s="69">
        <v>189.25940199999968</v>
      </c>
      <c r="Y817" s="69">
        <v>189.25940199999968</v>
      </c>
      <c r="Z817" s="69">
        <v>189.25940199999968</v>
      </c>
      <c r="AA817" s="69">
        <v>189.25940199999968</v>
      </c>
      <c r="AB817" s="69">
        <v>189.25940199999968</v>
      </c>
      <c r="AC817" s="69">
        <v>189.25940199999968</v>
      </c>
      <c r="AD817" s="69">
        <v>189.25940199999968</v>
      </c>
      <c r="AE817" s="69">
        <v>189.25940199999968</v>
      </c>
      <c r="AF817" s="69">
        <v>189.25940199999968</v>
      </c>
      <c r="AG817" s="69">
        <v>189.25940199999968</v>
      </c>
    </row>
    <row r="818" spans="1:33" ht="12.75" customHeight="1">
      <c r="A818" s="231" t="s">
        <v>2376</v>
      </c>
      <c r="B818" s="69" t="s">
        <v>398</v>
      </c>
      <c r="C818" s="69" t="s">
        <v>137</v>
      </c>
      <c r="D818" s="69" t="s">
        <v>191</v>
      </c>
      <c r="E818" s="69" t="s">
        <v>191</v>
      </c>
      <c r="F818" s="69" t="s">
        <v>167</v>
      </c>
      <c r="G818" s="69" t="s">
        <v>192</v>
      </c>
      <c r="H818" s="69" t="s">
        <v>805</v>
      </c>
      <c r="I818" s="69">
        <v>3</v>
      </c>
      <c r="J818" s="238">
        <v>0.32898159302369473</v>
      </c>
      <c r="K818" s="238">
        <v>0.16166723631218391</v>
      </c>
      <c r="L818" s="69">
        <v>87.176869135182869</v>
      </c>
      <c r="M818" s="69">
        <v>0</v>
      </c>
      <c r="N818" s="69">
        <v>0</v>
      </c>
      <c r="O818" s="69">
        <v>0</v>
      </c>
      <c r="P818" s="69">
        <v>0</v>
      </c>
      <c r="Q818" s="69">
        <v>0</v>
      </c>
      <c r="R818" s="69">
        <v>261.43536372747258</v>
      </c>
      <c r="S818" s="69">
        <v>261.43536372747258</v>
      </c>
      <c r="T818" s="69">
        <v>261.43536372747258</v>
      </c>
      <c r="U818" s="69">
        <v>261.43536372747258</v>
      </c>
      <c r="V818" s="69">
        <v>261.43536372747258</v>
      </c>
      <c r="W818" s="69">
        <v>261.43536372747258</v>
      </c>
      <c r="X818" s="69">
        <v>261.43536372747258</v>
      </c>
      <c r="Y818" s="69">
        <v>261.43536372747258</v>
      </c>
      <c r="Z818" s="69">
        <v>261.43536372747258</v>
      </c>
      <c r="AA818" s="69">
        <v>261.43536372747258</v>
      </c>
      <c r="AB818" s="69">
        <v>261.43536372747258</v>
      </c>
      <c r="AC818" s="69">
        <v>261.43536372747258</v>
      </c>
      <c r="AD818" s="69">
        <v>261.43536372747258</v>
      </c>
      <c r="AE818" s="69">
        <v>261.43536372747258</v>
      </c>
      <c r="AF818" s="69">
        <v>261.43536372747258</v>
      </c>
      <c r="AG818" s="69">
        <v>261.43536372747258</v>
      </c>
    </row>
    <row r="819" spans="1:33" ht="12.75" customHeight="1">
      <c r="A819" s="231" t="s">
        <v>2376</v>
      </c>
      <c r="B819" s="69" t="s">
        <v>399</v>
      </c>
      <c r="C819" s="69" t="s">
        <v>137</v>
      </c>
      <c r="D819" s="69" t="s">
        <v>191</v>
      </c>
      <c r="E819" s="69" t="s">
        <v>191</v>
      </c>
      <c r="F819" s="69" t="s">
        <v>167</v>
      </c>
      <c r="G819" s="69" t="s">
        <v>192</v>
      </c>
      <c r="H819" s="69" t="s">
        <v>805</v>
      </c>
      <c r="I819" s="69">
        <v>3</v>
      </c>
      <c r="J819" s="238">
        <v>0.27429999999999999</v>
      </c>
      <c r="K819" s="238">
        <v>0.16166723631218391</v>
      </c>
      <c r="L819" s="69">
        <v>110.06277965284525</v>
      </c>
      <c r="M819" s="69">
        <v>0</v>
      </c>
      <c r="N819" s="69">
        <v>0</v>
      </c>
      <c r="O819" s="69">
        <v>0</v>
      </c>
      <c r="P819" s="69">
        <v>0</v>
      </c>
      <c r="Q819" s="69">
        <v>103.80389760000253</v>
      </c>
      <c r="R819" s="69">
        <v>103.80389760000253</v>
      </c>
      <c r="S819" s="69">
        <v>103.80389760000253</v>
      </c>
      <c r="T819" s="69">
        <v>103.80389760000253</v>
      </c>
      <c r="U819" s="69">
        <v>103.80389760000253</v>
      </c>
      <c r="V819" s="69">
        <v>103.80389760000253</v>
      </c>
      <c r="W819" s="69">
        <v>103.80389760000253</v>
      </c>
      <c r="X819" s="69">
        <v>103.80389760000253</v>
      </c>
      <c r="Y819" s="69">
        <v>103.80389760000253</v>
      </c>
      <c r="Z819" s="69">
        <v>103.80389760000253</v>
      </c>
      <c r="AA819" s="69">
        <v>103.80389760000253</v>
      </c>
      <c r="AB819" s="69">
        <v>103.80389760000253</v>
      </c>
      <c r="AC819" s="69">
        <v>103.80389760000253</v>
      </c>
      <c r="AD819" s="69">
        <v>103.80389760000253</v>
      </c>
      <c r="AE819" s="69">
        <v>103.80389760000253</v>
      </c>
      <c r="AF819" s="69">
        <v>103.80389760000253</v>
      </c>
      <c r="AG819" s="69">
        <v>103.80389760000253</v>
      </c>
    </row>
    <row r="820" spans="1:33" ht="12.75" customHeight="1">
      <c r="A820" s="231" t="s">
        <v>2376</v>
      </c>
      <c r="B820" s="69" t="s">
        <v>400</v>
      </c>
      <c r="C820" s="69" t="s">
        <v>137</v>
      </c>
      <c r="D820" s="69" t="s">
        <v>191</v>
      </c>
      <c r="E820" s="69" t="s">
        <v>191</v>
      </c>
      <c r="F820" s="69" t="s">
        <v>167</v>
      </c>
      <c r="G820" s="69" t="s">
        <v>192</v>
      </c>
      <c r="H820" s="69" t="s">
        <v>805</v>
      </c>
      <c r="I820" s="69">
        <v>3</v>
      </c>
      <c r="J820" s="238">
        <v>0.31919207277713779</v>
      </c>
      <c r="K820" s="238">
        <v>0.16166723631218391</v>
      </c>
      <c r="L820" s="69">
        <v>100.52731462386276</v>
      </c>
      <c r="M820" s="69">
        <v>0</v>
      </c>
      <c r="N820" s="69">
        <v>0</v>
      </c>
      <c r="O820" s="69">
        <v>0</v>
      </c>
      <c r="P820" s="69">
        <v>0</v>
      </c>
      <c r="Q820" s="69">
        <v>0</v>
      </c>
      <c r="R820" s="69">
        <v>358.16405686880171</v>
      </c>
      <c r="S820" s="69">
        <v>358.16405686880171</v>
      </c>
      <c r="T820" s="69">
        <v>358.16405686880171</v>
      </c>
      <c r="U820" s="69">
        <v>358.16405686880171</v>
      </c>
      <c r="V820" s="69">
        <v>358.16405686880171</v>
      </c>
      <c r="W820" s="69">
        <v>358.16405686880171</v>
      </c>
      <c r="X820" s="69">
        <v>358.16405686880171</v>
      </c>
      <c r="Y820" s="69">
        <v>358.16405686880171</v>
      </c>
      <c r="Z820" s="69">
        <v>358.16405686880171</v>
      </c>
      <c r="AA820" s="69">
        <v>358.16405686880171</v>
      </c>
      <c r="AB820" s="69">
        <v>358.16405686880171</v>
      </c>
      <c r="AC820" s="69">
        <v>358.16405686880171</v>
      </c>
      <c r="AD820" s="69">
        <v>358.16405686880171</v>
      </c>
      <c r="AE820" s="69">
        <v>358.16405686880171</v>
      </c>
      <c r="AF820" s="69">
        <v>358.16405686880171</v>
      </c>
      <c r="AG820" s="69">
        <v>358.16405686880171</v>
      </c>
    </row>
    <row r="821" spans="1:33" ht="12.75" customHeight="1">
      <c r="A821" s="231" t="s">
        <v>2376</v>
      </c>
      <c r="B821" s="69" t="s">
        <v>402</v>
      </c>
      <c r="C821" s="69" t="s">
        <v>137</v>
      </c>
      <c r="D821" s="69" t="s">
        <v>191</v>
      </c>
      <c r="E821" s="69" t="s">
        <v>191</v>
      </c>
      <c r="F821" s="69" t="s">
        <v>179</v>
      </c>
      <c r="G821" s="69" t="s">
        <v>192</v>
      </c>
      <c r="H821" s="69" t="s">
        <v>805</v>
      </c>
      <c r="I821" s="69">
        <v>3</v>
      </c>
      <c r="J821" s="238">
        <v>0.38830072947386973</v>
      </c>
      <c r="K821" s="238">
        <v>0.16152665976075289</v>
      </c>
      <c r="L821" s="69">
        <v>72.051554201015875</v>
      </c>
      <c r="M821" s="69">
        <v>0</v>
      </c>
      <c r="N821" s="69">
        <v>0</v>
      </c>
      <c r="O821" s="69">
        <v>0</v>
      </c>
      <c r="P821" s="69">
        <v>0</v>
      </c>
      <c r="Q821" s="69">
        <v>0</v>
      </c>
      <c r="R821" s="69">
        <v>0</v>
      </c>
      <c r="S821" s="69">
        <v>0</v>
      </c>
      <c r="T821" s="69">
        <v>403.84845977181732</v>
      </c>
      <c r="U821" s="69">
        <v>403.84845977181732</v>
      </c>
      <c r="V821" s="69">
        <v>403.84845977181732</v>
      </c>
      <c r="W821" s="69">
        <v>403.84845977181732</v>
      </c>
      <c r="X821" s="69">
        <v>403.84845977181732</v>
      </c>
      <c r="Y821" s="69">
        <v>403.84845977181732</v>
      </c>
      <c r="Z821" s="69">
        <v>403.84845977181732</v>
      </c>
      <c r="AA821" s="69">
        <v>403.84845977181732</v>
      </c>
      <c r="AB821" s="69">
        <v>403.84845977181732</v>
      </c>
      <c r="AC821" s="69">
        <v>403.84845977181732</v>
      </c>
      <c r="AD821" s="69">
        <v>403.84845977181732</v>
      </c>
      <c r="AE821" s="69">
        <v>403.84845977181732</v>
      </c>
      <c r="AF821" s="69">
        <v>403.84845977181732</v>
      </c>
      <c r="AG821" s="69">
        <v>403.84845977181732</v>
      </c>
    </row>
    <row r="822" spans="1:33" ht="12.75" customHeight="1">
      <c r="A822" s="231" t="s">
        <v>2376</v>
      </c>
      <c r="B822" s="69" t="s">
        <v>403</v>
      </c>
      <c r="C822" s="69" t="s">
        <v>137</v>
      </c>
      <c r="D822" s="69" t="s">
        <v>191</v>
      </c>
      <c r="E822" s="69" t="s">
        <v>191</v>
      </c>
      <c r="F822" s="69" t="s">
        <v>167</v>
      </c>
      <c r="G822" s="69" t="s">
        <v>192</v>
      </c>
      <c r="H822" s="69" t="s">
        <v>805</v>
      </c>
      <c r="I822" s="69">
        <v>3</v>
      </c>
      <c r="J822" s="238">
        <v>0.35279999999999995</v>
      </c>
      <c r="K822" s="238">
        <v>0.16166723631218391</v>
      </c>
      <c r="L822" s="69">
        <v>87.461940166002734</v>
      </c>
      <c r="M822" s="69">
        <v>0</v>
      </c>
      <c r="N822" s="69">
        <v>0</v>
      </c>
      <c r="O822" s="69">
        <v>0</v>
      </c>
      <c r="P822" s="69">
        <v>0</v>
      </c>
      <c r="Q822" s="69">
        <v>139.07375999999931</v>
      </c>
      <c r="R822" s="69">
        <v>139.07375999999931</v>
      </c>
      <c r="S822" s="69">
        <v>139.07375999999931</v>
      </c>
      <c r="T822" s="69">
        <v>139.07375999999931</v>
      </c>
      <c r="U822" s="69">
        <v>139.07375999999931</v>
      </c>
      <c r="V822" s="69">
        <v>139.07375999999931</v>
      </c>
      <c r="W822" s="69">
        <v>139.07375999999931</v>
      </c>
      <c r="X822" s="69">
        <v>139.07375999999931</v>
      </c>
      <c r="Y822" s="69">
        <v>139.07375999999931</v>
      </c>
      <c r="Z822" s="69">
        <v>139.07375999999931</v>
      </c>
      <c r="AA822" s="69">
        <v>139.07375999999931</v>
      </c>
      <c r="AB822" s="69">
        <v>139.07375999999931</v>
      </c>
      <c r="AC822" s="69">
        <v>139.07375999999931</v>
      </c>
      <c r="AD822" s="69">
        <v>139.07375999999931</v>
      </c>
      <c r="AE822" s="69">
        <v>139.07375999999931</v>
      </c>
      <c r="AF822" s="69">
        <v>139.07375999999931</v>
      </c>
      <c r="AG822" s="69">
        <v>139.07375999999931</v>
      </c>
    </row>
    <row r="823" spans="1:33" ht="12.75" customHeight="1">
      <c r="A823" s="231" t="s">
        <v>2376</v>
      </c>
      <c r="B823" s="69" t="s">
        <v>404</v>
      </c>
      <c r="C823" s="69" t="s">
        <v>137</v>
      </c>
      <c r="D823" s="69" t="s">
        <v>191</v>
      </c>
      <c r="E823" s="69" t="s">
        <v>191</v>
      </c>
      <c r="F823" s="69" t="s">
        <v>177</v>
      </c>
      <c r="G823" s="69" t="s">
        <v>192</v>
      </c>
      <c r="H823" s="69" t="s">
        <v>804</v>
      </c>
      <c r="I823" s="69">
        <v>3</v>
      </c>
      <c r="J823" s="238">
        <v>0.31857000000000002</v>
      </c>
      <c r="K823" s="238">
        <v>0.16048337423926948</v>
      </c>
      <c r="L823" s="69">
        <v>97.263023124180364</v>
      </c>
      <c r="M823" s="69">
        <v>0</v>
      </c>
      <c r="N823" s="69">
        <v>0</v>
      </c>
      <c r="O823" s="69">
        <v>0</v>
      </c>
      <c r="P823" s="69">
        <v>0</v>
      </c>
      <c r="Q823" s="69">
        <v>0</v>
      </c>
      <c r="R823" s="69">
        <v>26.638173329134588</v>
      </c>
      <c r="S823" s="69">
        <v>26.638173329134588</v>
      </c>
      <c r="T823" s="69">
        <v>26.638173329134588</v>
      </c>
      <c r="U823" s="69">
        <v>26.638173329134588</v>
      </c>
      <c r="V823" s="69">
        <v>26.638173329134588</v>
      </c>
      <c r="W823" s="69">
        <v>26.638173329134588</v>
      </c>
      <c r="X823" s="69">
        <v>26.638173329134588</v>
      </c>
      <c r="Y823" s="69">
        <v>26.638173329134588</v>
      </c>
      <c r="Z823" s="69">
        <v>26.638173329134588</v>
      </c>
      <c r="AA823" s="69">
        <v>26.638173329134588</v>
      </c>
      <c r="AB823" s="69">
        <v>26.638173329134588</v>
      </c>
      <c r="AC823" s="69">
        <v>26.638173329134588</v>
      </c>
      <c r="AD823" s="69">
        <v>26.638173329134588</v>
      </c>
      <c r="AE823" s="69">
        <v>26.638173329134588</v>
      </c>
      <c r="AF823" s="69">
        <v>26.638173329134588</v>
      </c>
      <c r="AG823" s="69">
        <v>26.638173329134588</v>
      </c>
    </row>
    <row r="824" spans="1:33" ht="12.75" customHeight="1">
      <c r="A824" s="231" t="s">
        <v>2376</v>
      </c>
      <c r="B824" s="69" t="s">
        <v>408</v>
      </c>
      <c r="C824" s="69" t="s">
        <v>137</v>
      </c>
      <c r="D824" s="69" t="s">
        <v>191</v>
      </c>
      <c r="E824" s="69" t="s">
        <v>191</v>
      </c>
      <c r="F824" s="69" t="s">
        <v>177</v>
      </c>
      <c r="G824" s="69" t="s">
        <v>192</v>
      </c>
      <c r="H824" s="69" t="s">
        <v>804</v>
      </c>
      <c r="I824" s="69">
        <v>3</v>
      </c>
      <c r="J824" s="238">
        <v>0.32484186964335393</v>
      </c>
      <c r="K824" s="238">
        <v>0.16048337423926948</v>
      </c>
      <c r="L824" s="69">
        <v>94.343258325844474</v>
      </c>
      <c r="M824" s="69">
        <v>0</v>
      </c>
      <c r="N824" s="69">
        <v>0</v>
      </c>
      <c r="O824" s="69">
        <v>0</v>
      </c>
      <c r="P824" s="69">
        <v>0</v>
      </c>
      <c r="Q824" s="69">
        <v>0</v>
      </c>
      <c r="R824" s="69">
        <v>375.77643830513989</v>
      </c>
      <c r="S824" s="69">
        <v>375.77643830513989</v>
      </c>
      <c r="T824" s="69">
        <v>375.77643830513989</v>
      </c>
      <c r="U824" s="69">
        <v>375.77643830513989</v>
      </c>
      <c r="V824" s="69">
        <v>375.77643830513989</v>
      </c>
      <c r="W824" s="69">
        <v>375.77643830513989</v>
      </c>
      <c r="X824" s="69">
        <v>375.77643830513989</v>
      </c>
      <c r="Y824" s="69">
        <v>375.77643830513989</v>
      </c>
      <c r="Z824" s="69">
        <v>375.77643830513989</v>
      </c>
      <c r="AA824" s="69">
        <v>375.77643830513989</v>
      </c>
      <c r="AB824" s="69">
        <v>375.77643830513989</v>
      </c>
      <c r="AC824" s="69">
        <v>375.77643830513989</v>
      </c>
      <c r="AD824" s="69">
        <v>375.77643830513989</v>
      </c>
      <c r="AE824" s="69">
        <v>375.77643830513989</v>
      </c>
      <c r="AF824" s="69">
        <v>375.77643830513989</v>
      </c>
      <c r="AG824" s="69">
        <v>375.77643830513989</v>
      </c>
    </row>
    <row r="825" spans="1:33" ht="12.75" customHeight="1">
      <c r="A825" s="231" t="s">
        <v>2376</v>
      </c>
      <c r="B825" s="69" t="s">
        <v>409</v>
      </c>
      <c r="C825" s="69" t="s">
        <v>137</v>
      </c>
      <c r="D825" s="69" t="s">
        <v>191</v>
      </c>
      <c r="E825" s="69" t="s">
        <v>191</v>
      </c>
      <c r="F825" s="69" t="s">
        <v>177</v>
      </c>
      <c r="G825" s="69" t="s">
        <v>192</v>
      </c>
      <c r="H825" s="69" t="s">
        <v>804</v>
      </c>
      <c r="I825" s="69">
        <v>3</v>
      </c>
      <c r="J825" s="238">
        <v>0.34169500000000003</v>
      </c>
      <c r="K825" s="238">
        <v>0.16048337423926948</v>
      </c>
      <c r="L825" s="69">
        <v>94.999926540770844</v>
      </c>
      <c r="M825" s="69">
        <v>0</v>
      </c>
      <c r="N825" s="69">
        <v>0</v>
      </c>
      <c r="O825" s="69">
        <v>0</v>
      </c>
      <c r="P825" s="69">
        <v>0</v>
      </c>
      <c r="Q825" s="69">
        <v>0</v>
      </c>
      <c r="R825" s="69">
        <v>231.67741068000032</v>
      </c>
      <c r="S825" s="69">
        <v>231.67741068000032</v>
      </c>
      <c r="T825" s="69">
        <v>231.67741068000032</v>
      </c>
      <c r="U825" s="69">
        <v>231.67741068000032</v>
      </c>
      <c r="V825" s="69">
        <v>231.67741068000032</v>
      </c>
      <c r="W825" s="69">
        <v>231.67741068000032</v>
      </c>
      <c r="X825" s="69">
        <v>231.67741068000032</v>
      </c>
      <c r="Y825" s="69">
        <v>231.67741068000032</v>
      </c>
      <c r="Z825" s="69">
        <v>231.67741068000032</v>
      </c>
      <c r="AA825" s="69">
        <v>231.67741068000032</v>
      </c>
      <c r="AB825" s="69">
        <v>231.67741068000032</v>
      </c>
      <c r="AC825" s="69">
        <v>231.67741068000032</v>
      </c>
      <c r="AD825" s="69">
        <v>231.67741068000032</v>
      </c>
      <c r="AE825" s="69">
        <v>231.67741068000032</v>
      </c>
      <c r="AF825" s="69">
        <v>231.67741068000032</v>
      </c>
      <c r="AG825" s="69">
        <v>231.67741068000032</v>
      </c>
    </row>
    <row r="826" spans="1:33" ht="12.75" customHeight="1">
      <c r="A826" s="231" t="s">
        <v>2376</v>
      </c>
      <c r="B826" s="69" t="s">
        <v>411</v>
      </c>
      <c r="C826" s="69" t="s">
        <v>137</v>
      </c>
      <c r="D826" s="69" t="s">
        <v>191</v>
      </c>
      <c r="E826" s="69" t="s">
        <v>191</v>
      </c>
      <c r="F826" s="69" t="s">
        <v>167</v>
      </c>
      <c r="G826" s="69" t="s">
        <v>192</v>
      </c>
      <c r="H826" s="69" t="s">
        <v>804</v>
      </c>
      <c r="I826" s="69">
        <v>3</v>
      </c>
      <c r="J826" s="238">
        <v>0.35286800000000001</v>
      </c>
      <c r="K826" s="238">
        <v>0.16166723631218391</v>
      </c>
      <c r="L826" s="69">
        <v>89.627062477176679</v>
      </c>
      <c r="M826" s="69">
        <v>0</v>
      </c>
      <c r="N826" s="69">
        <v>0</v>
      </c>
      <c r="O826" s="69">
        <v>0</v>
      </c>
      <c r="P826" s="69">
        <v>0</v>
      </c>
      <c r="Q826" s="69">
        <v>66.7682714879993</v>
      </c>
      <c r="R826" s="69">
        <v>66.7682714879993</v>
      </c>
      <c r="S826" s="69">
        <v>66.7682714879993</v>
      </c>
      <c r="T826" s="69">
        <v>66.7682714879993</v>
      </c>
      <c r="U826" s="69">
        <v>66.7682714879993</v>
      </c>
      <c r="V826" s="69">
        <v>66.7682714879993</v>
      </c>
      <c r="W826" s="69">
        <v>66.7682714879993</v>
      </c>
      <c r="X826" s="69">
        <v>66.7682714879993</v>
      </c>
      <c r="Y826" s="69">
        <v>66.7682714879993</v>
      </c>
      <c r="Z826" s="69">
        <v>66.7682714879993</v>
      </c>
      <c r="AA826" s="69">
        <v>66.7682714879993</v>
      </c>
      <c r="AB826" s="69">
        <v>66.7682714879993</v>
      </c>
      <c r="AC826" s="69">
        <v>66.7682714879993</v>
      </c>
      <c r="AD826" s="69">
        <v>66.7682714879993</v>
      </c>
      <c r="AE826" s="69">
        <v>66.7682714879993</v>
      </c>
      <c r="AF826" s="69">
        <v>66.7682714879993</v>
      </c>
      <c r="AG826" s="69">
        <v>66.7682714879993</v>
      </c>
    </row>
    <row r="827" spans="1:33" ht="12.75" customHeight="1">
      <c r="A827" s="231" t="s">
        <v>2376</v>
      </c>
      <c r="B827" s="69" t="s">
        <v>412</v>
      </c>
      <c r="C827" s="69" t="s">
        <v>137</v>
      </c>
      <c r="D827" s="69" t="s">
        <v>191</v>
      </c>
      <c r="E827" s="69" t="s">
        <v>191</v>
      </c>
      <c r="F827" s="69" t="s">
        <v>178</v>
      </c>
      <c r="G827" s="69" t="s">
        <v>192</v>
      </c>
      <c r="H827" s="69" t="s">
        <v>2130</v>
      </c>
      <c r="I827" s="69">
        <v>3</v>
      </c>
      <c r="J827" s="238">
        <v>0.29162858500109418</v>
      </c>
      <c r="K827" s="238">
        <v>0.16023967225809357</v>
      </c>
      <c r="L827" s="69">
        <v>98.419223625238715</v>
      </c>
      <c r="M827" s="69">
        <v>0</v>
      </c>
      <c r="N827" s="69">
        <v>0</v>
      </c>
      <c r="O827" s="69">
        <v>0</v>
      </c>
      <c r="P827" s="69">
        <v>0</v>
      </c>
      <c r="Q827" s="69">
        <v>0</v>
      </c>
      <c r="R827" s="69">
        <v>0</v>
      </c>
      <c r="S827" s="69">
        <v>0</v>
      </c>
      <c r="T827" s="69">
        <v>245.0344254155373</v>
      </c>
      <c r="U827" s="69">
        <v>245.0344254155373</v>
      </c>
      <c r="V827" s="69">
        <v>245.0344254155373</v>
      </c>
      <c r="W827" s="69">
        <v>245.0344254155373</v>
      </c>
      <c r="X827" s="69">
        <v>245.0344254155373</v>
      </c>
      <c r="Y827" s="69">
        <v>245.0344254155373</v>
      </c>
      <c r="Z827" s="69">
        <v>245.0344254155373</v>
      </c>
      <c r="AA827" s="69">
        <v>245.0344254155373</v>
      </c>
      <c r="AB827" s="69">
        <v>245.0344254155373</v>
      </c>
      <c r="AC827" s="69">
        <v>245.0344254155373</v>
      </c>
      <c r="AD827" s="69">
        <v>245.0344254155373</v>
      </c>
      <c r="AE827" s="69">
        <v>245.0344254155373</v>
      </c>
      <c r="AF827" s="69">
        <v>245.0344254155373</v>
      </c>
      <c r="AG827" s="69">
        <v>245.0344254155373</v>
      </c>
    </row>
    <row r="828" spans="1:33" ht="12.75" customHeight="1">
      <c r="A828" s="231" t="s">
        <v>2376</v>
      </c>
      <c r="B828" s="69" t="s">
        <v>413</v>
      </c>
      <c r="C828" s="69" t="s">
        <v>137</v>
      </c>
      <c r="D828" s="69" t="s">
        <v>191</v>
      </c>
      <c r="E828" s="69" t="s">
        <v>191</v>
      </c>
      <c r="F828" s="69" t="s">
        <v>178</v>
      </c>
      <c r="G828" s="69" t="s">
        <v>192</v>
      </c>
      <c r="H828" s="69" t="s">
        <v>2130</v>
      </c>
      <c r="I828" s="69">
        <v>3</v>
      </c>
      <c r="J828" s="238">
        <v>0.35219083850448701</v>
      </c>
      <c r="K828" s="238">
        <v>0.16023967225809357</v>
      </c>
      <c r="L828" s="69">
        <v>88.585951387308967</v>
      </c>
      <c r="M828" s="69">
        <v>0</v>
      </c>
      <c r="N828" s="69">
        <v>0</v>
      </c>
      <c r="O828" s="69">
        <v>0</v>
      </c>
      <c r="P828" s="69">
        <v>0</v>
      </c>
      <c r="Q828" s="69">
        <v>0</v>
      </c>
      <c r="R828" s="69">
        <v>581.5135607313714</v>
      </c>
      <c r="S828" s="69">
        <v>581.5135607313714</v>
      </c>
      <c r="T828" s="69">
        <v>581.5135607313714</v>
      </c>
      <c r="U828" s="69">
        <v>581.5135607313714</v>
      </c>
      <c r="V828" s="69">
        <v>581.5135607313714</v>
      </c>
      <c r="W828" s="69">
        <v>581.5135607313714</v>
      </c>
      <c r="X828" s="69">
        <v>581.5135607313714</v>
      </c>
      <c r="Y828" s="69">
        <v>581.5135607313714</v>
      </c>
      <c r="Z828" s="69">
        <v>581.5135607313714</v>
      </c>
      <c r="AA828" s="69">
        <v>581.5135607313714</v>
      </c>
      <c r="AB828" s="69">
        <v>581.5135607313714</v>
      </c>
      <c r="AC828" s="69">
        <v>581.5135607313714</v>
      </c>
      <c r="AD828" s="69">
        <v>581.5135607313714</v>
      </c>
      <c r="AE828" s="69">
        <v>581.5135607313714</v>
      </c>
      <c r="AF828" s="69">
        <v>581.5135607313714</v>
      </c>
      <c r="AG828" s="69">
        <v>581.5135607313714</v>
      </c>
    </row>
    <row r="829" spans="1:33" ht="12.75" customHeight="1">
      <c r="A829" s="231" t="s">
        <v>2376</v>
      </c>
      <c r="B829" s="69" t="s">
        <v>414</v>
      </c>
      <c r="C829" s="69" t="s">
        <v>137</v>
      </c>
      <c r="D829" s="69" t="s">
        <v>191</v>
      </c>
      <c r="E829" s="69" t="s">
        <v>191</v>
      </c>
      <c r="F829" s="69" t="s">
        <v>169</v>
      </c>
      <c r="G829" s="69" t="s">
        <v>192</v>
      </c>
      <c r="H829" s="69" t="s">
        <v>804</v>
      </c>
      <c r="I829" s="69">
        <v>3</v>
      </c>
      <c r="J829" s="238">
        <v>0.35649999999999998</v>
      </c>
      <c r="K829" s="238">
        <v>0.16115831843295012</v>
      </c>
      <c r="L829" s="69">
        <v>81.695746706491136</v>
      </c>
      <c r="M829" s="69">
        <v>0</v>
      </c>
      <c r="N829" s="69">
        <v>0</v>
      </c>
      <c r="O829" s="69">
        <v>0</v>
      </c>
      <c r="P829" s="69">
        <v>0</v>
      </c>
      <c r="Q829" s="69">
        <v>0</v>
      </c>
      <c r="R829" s="69">
        <v>314.41759919999822</v>
      </c>
      <c r="S829" s="69">
        <v>314.41759919999822</v>
      </c>
      <c r="T829" s="69">
        <v>314.41759919999822</v>
      </c>
      <c r="U829" s="69">
        <v>314.41759919999822</v>
      </c>
      <c r="V829" s="69">
        <v>314.41759919999822</v>
      </c>
      <c r="W829" s="69">
        <v>314.41759919999822</v>
      </c>
      <c r="X829" s="69">
        <v>314.41759919999822</v>
      </c>
      <c r="Y829" s="69">
        <v>314.41759919999822</v>
      </c>
      <c r="Z829" s="69">
        <v>314.41759919999822</v>
      </c>
      <c r="AA829" s="69">
        <v>314.41759919999822</v>
      </c>
      <c r="AB829" s="69">
        <v>314.41759919999822</v>
      </c>
      <c r="AC829" s="69">
        <v>314.41759919999822</v>
      </c>
      <c r="AD829" s="69">
        <v>314.41759919999822</v>
      </c>
      <c r="AE829" s="69">
        <v>314.41759919999822</v>
      </c>
      <c r="AF829" s="69">
        <v>314.41759919999822</v>
      </c>
      <c r="AG829" s="69">
        <v>314.41759919999822</v>
      </c>
    </row>
    <row r="830" spans="1:33" ht="12.75" customHeight="1">
      <c r="A830" s="231" t="s">
        <v>2376</v>
      </c>
      <c r="B830" s="69" t="s">
        <v>415</v>
      </c>
      <c r="C830" s="69" t="s">
        <v>137</v>
      </c>
      <c r="D830" s="69" t="s">
        <v>191</v>
      </c>
      <c r="E830" s="69" t="s">
        <v>191</v>
      </c>
      <c r="F830" s="69" t="s">
        <v>167</v>
      </c>
      <c r="G830" s="69" t="s">
        <v>192</v>
      </c>
      <c r="H830" s="69" t="s">
        <v>805</v>
      </c>
      <c r="I830" s="69">
        <v>3</v>
      </c>
      <c r="J830" s="238">
        <v>0.34262331834382231</v>
      </c>
      <c r="K830" s="238">
        <v>0.16166723631218391</v>
      </c>
      <c r="L830" s="69">
        <v>94.109943738924969</v>
      </c>
      <c r="M830" s="69">
        <v>0</v>
      </c>
      <c r="N830" s="69">
        <v>0</v>
      </c>
      <c r="O830" s="69">
        <v>0</v>
      </c>
      <c r="P830" s="69">
        <v>0</v>
      </c>
      <c r="Q830" s="69">
        <v>0</v>
      </c>
      <c r="R830" s="69">
        <v>229.9881928808245</v>
      </c>
      <c r="S830" s="69">
        <v>229.9881928808245</v>
      </c>
      <c r="T830" s="69">
        <v>229.9881928808245</v>
      </c>
      <c r="U830" s="69">
        <v>229.9881928808245</v>
      </c>
      <c r="V830" s="69">
        <v>229.9881928808245</v>
      </c>
      <c r="W830" s="69">
        <v>229.9881928808245</v>
      </c>
      <c r="X830" s="69">
        <v>229.9881928808245</v>
      </c>
      <c r="Y830" s="69">
        <v>229.9881928808245</v>
      </c>
      <c r="Z830" s="69">
        <v>229.9881928808245</v>
      </c>
      <c r="AA830" s="69">
        <v>229.9881928808245</v>
      </c>
      <c r="AB830" s="69">
        <v>229.9881928808245</v>
      </c>
      <c r="AC830" s="69">
        <v>229.9881928808245</v>
      </c>
      <c r="AD830" s="69">
        <v>229.9881928808245</v>
      </c>
      <c r="AE830" s="69">
        <v>229.9881928808245</v>
      </c>
      <c r="AF830" s="69">
        <v>229.9881928808245</v>
      </c>
      <c r="AG830" s="69">
        <v>229.9881928808245</v>
      </c>
    </row>
    <row r="831" spans="1:33" ht="12.75" customHeight="1">
      <c r="A831" s="231" t="s">
        <v>2376</v>
      </c>
      <c r="B831" s="69" t="s">
        <v>418</v>
      </c>
      <c r="C831" s="69" t="s">
        <v>137</v>
      </c>
      <c r="D831" s="69" t="s">
        <v>191</v>
      </c>
      <c r="E831" s="69" t="s">
        <v>191</v>
      </c>
      <c r="F831" s="69" t="s">
        <v>179</v>
      </c>
      <c r="G831" s="69" t="s">
        <v>192</v>
      </c>
      <c r="H831" s="69" t="s">
        <v>805</v>
      </c>
      <c r="I831" s="69">
        <v>3</v>
      </c>
      <c r="J831" s="238">
        <v>0.38499925587532363</v>
      </c>
      <c r="K831" s="238">
        <v>0.16152665976075289</v>
      </c>
      <c r="L831" s="69">
        <v>74.144627745596026</v>
      </c>
      <c r="M831" s="69">
        <v>0</v>
      </c>
      <c r="N831" s="69">
        <v>0</v>
      </c>
      <c r="O831" s="69">
        <v>0</v>
      </c>
      <c r="P831" s="69">
        <v>0</v>
      </c>
      <c r="Q831" s="69">
        <v>0</v>
      </c>
      <c r="R831" s="69">
        <v>0</v>
      </c>
      <c r="S831" s="69">
        <v>0</v>
      </c>
      <c r="T831" s="69">
        <v>353.43063595648283</v>
      </c>
      <c r="U831" s="69">
        <v>353.43063595648283</v>
      </c>
      <c r="V831" s="69">
        <v>353.43063595648283</v>
      </c>
      <c r="W831" s="69">
        <v>353.43063595648283</v>
      </c>
      <c r="X831" s="69">
        <v>353.43063595648283</v>
      </c>
      <c r="Y831" s="69">
        <v>353.43063595648283</v>
      </c>
      <c r="Z831" s="69">
        <v>353.43063595648283</v>
      </c>
      <c r="AA831" s="69">
        <v>353.43063595648283</v>
      </c>
      <c r="AB831" s="69">
        <v>353.43063595648283</v>
      </c>
      <c r="AC831" s="69">
        <v>353.43063595648283</v>
      </c>
      <c r="AD831" s="69">
        <v>353.43063595648283</v>
      </c>
      <c r="AE831" s="69">
        <v>353.43063595648283</v>
      </c>
      <c r="AF831" s="69">
        <v>353.43063595648283</v>
      </c>
      <c r="AG831" s="69">
        <v>353.43063595648283</v>
      </c>
    </row>
    <row r="832" spans="1:33" ht="12.75" customHeight="1">
      <c r="A832" s="231" t="s">
        <v>2376</v>
      </c>
      <c r="B832" s="69" t="s">
        <v>419</v>
      </c>
      <c r="C832" s="69" t="s">
        <v>137</v>
      </c>
      <c r="D832" s="69" t="s">
        <v>191</v>
      </c>
      <c r="E832" s="69" t="s">
        <v>191</v>
      </c>
      <c r="F832" s="69" t="s">
        <v>179</v>
      </c>
      <c r="G832" s="69" t="s">
        <v>192</v>
      </c>
      <c r="H832" s="69" t="s">
        <v>805</v>
      </c>
      <c r="I832" s="69">
        <v>3</v>
      </c>
      <c r="J832" s="238">
        <v>0.37891261036038326</v>
      </c>
      <c r="K832" s="238">
        <v>0.16152665976075289</v>
      </c>
      <c r="L832" s="69">
        <v>74.8863915351847</v>
      </c>
      <c r="M832" s="69">
        <v>0</v>
      </c>
      <c r="N832" s="69">
        <v>0</v>
      </c>
      <c r="O832" s="69">
        <v>0</v>
      </c>
      <c r="P832" s="69">
        <v>0</v>
      </c>
      <c r="Q832" s="69">
        <v>0</v>
      </c>
      <c r="R832" s="69">
        <v>0</v>
      </c>
      <c r="S832" s="69">
        <v>0</v>
      </c>
      <c r="T832" s="69">
        <v>127.72239948941365</v>
      </c>
      <c r="U832" s="69">
        <v>127.72239948941365</v>
      </c>
      <c r="V832" s="69">
        <v>127.72239948941365</v>
      </c>
      <c r="W832" s="69">
        <v>127.72239948941365</v>
      </c>
      <c r="X832" s="69">
        <v>127.72239948941365</v>
      </c>
      <c r="Y832" s="69">
        <v>127.72239948941365</v>
      </c>
      <c r="Z832" s="69">
        <v>127.72239948941365</v>
      </c>
      <c r="AA832" s="69">
        <v>127.72239948941365</v>
      </c>
      <c r="AB832" s="69">
        <v>127.72239948941365</v>
      </c>
      <c r="AC832" s="69">
        <v>127.72239948941365</v>
      </c>
      <c r="AD832" s="69">
        <v>127.72239948941365</v>
      </c>
      <c r="AE832" s="69">
        <v>127.72239948941365</v>
      </c>
      <c r="AF832" s="69">
        <v>127.72239948941365</v>
      </c>
      <c r="AG832" s="69">
        <v>127.72239948941365</v>
      </c>
    </row>
    <row r="833" spans="1:33" ht="12.75" customHeight="1">
      <c r="A833" s="231" t="s">
        <v>2376</v>
      </c>
      <c r="B833" s="69" t="s">
        <v>423</v>
      </c>
      <c r="C833" s="69" t="s">
        <v>185</v>
      </c>
      <c r="D833" s="69" t="s">
        <v>193</v>
      </c>
      <c r="E833" s="69" t="s">
        <v>203</v>
      </c>
      <c r="F833" s="69" t="s">
        <v>155</v>
      </c>
      <c r="G833" s="69" t="s">
        <v>192</v>
      </c>
      <c r="H833" s="69" t="s">
        <v>805</v>
      </c>
      <c r="I833" s="69">
        <v>3</v>
      </c>
      <c r="J833" s="238">
        <v>0.27845285353771942</v>
      </c>
      <c r="K833" s="238">
        <v>0.63277303047366895</v>
      </c>
      <c r="L833" s="69">
        <v>165.6639121820418</v>
      </c>
      <c r="M833" s="69">
        <v>0</v>
      </c>
      <c r="N833" s="69">
        <v>0</v>
      </c>
      <c r="O833" s="69">
        <v>0</v>
      </c>
      <c r="P833" s="69">
        <v>0</v>
      </c>
      <c r="Q833" s="69">
        <v>0</v>
      </c>
      <c r="R833" s="69">
        <v>0</v>
      </c>
      <c r="S833" s="69">
        <v>243.92469969904189</v>
      </c>
      <c r="T833" s="69">
        <v>243.92469969904189</v>
      </c>
      <c r="U833" s="69">
        <v>243.92469969904189</v>
      </c>
      <c r="V833" s="69">
        <v>243.92469969904189</v>
      </c>
      <c r="W833" s="69">
        <v>243.92469969904189</v>
      </c>
      <c r="X833" s="69">
        <v>243.92469969904189</v>
      </c>
      <c r="Y833" s="69">
        <v>243.92469969904189</v>
      </c>
      <c r="Z833" s="69">
        <v>243.92469969904189</v>
      </c>
      <c r="AA833" s="69">
        <v>243.92469969904189</v>
      </c>
      <c r="AB833" s="69">
        <v>243.92469969904189</v>
      </c>
      <c r="AC833" s="69">
        <v>243.92469969904189</v>
      </c>
      <c r="AD833" s="69">
        <v>243.92469969904189</v>
      </c>
      <c r="AE833" s="69">
        <v>243.92469969904189</v>
      </c>
      <c r="AF833" s="69">
        <v>243.92469969904189</v>
      </c>
      <c r="AG833" s="69">
        <v>243.92469969904189</v>
      </c>
    </row>
    <row r="834" spans="1:33" ht="12.75" customHeight="1">
      <c r="A834" s="231" t="s">
        <v>2376</v>
      </c>
      <c r="B834" s="69" t="s">
        <v>428</v>
      </c>
      <c r="C834" s="69" t="s">
        <v>184</v>
      </c>
      <c r="D834" s="69" t="s">
        <v>284</v>
      </c>
      <c r="E834" s="69" t="s">
        <v>213</v>
      </c>
      <c r="F834" s="69" t="s">
        <v>154</v>
      </c>
      <c r="G834" s="69" t="s">
        <v>225</v>
      </c>
      <c r="H834" s="69" t="s">
        <v>2417</v>
      </c>
      <c r="I834" s="69">
        <v>3</v>
      </c>
      <c r="J834" s="238">
        <v>0.85</v>
      </c>
      <c r="K834" s="238">
        <v>0</v>
      </c>
      <c r="L834" s="69">
        <v>89.47409854633807</v>
      </c>
      <c r="M834" s="69">
        <v>0</v>
      </c>
      <c r="N834" s="69">
        <v>0</v>
      </c>
      <c r="O834" s="69">
        <v>0</v>
      </c>
      <c r="P834" s="69">
        <v>0</v>
      </c>
      <c r="Q834" s="69">
        <v>372.29999999999927</v>
      </c>
      <c r="R834" s="69">
        <v>372.29999999999927</v>
      </c>
      <c r="S834" s="69">
        <v>372.29999999999927</v>
      </c>
      <c r="T834" s="69">
        <v>372.29999999999927</v>
      </c>
      <c r="U834" s="69">
        <v>372.29999999999927</v>
      </c>
      <c r="V834" s="69">
        <v>372.29999999999927</v>
      </c>
      <c r="W834" s="69">
        <v>372.29999999999927</v>
      </c>
      <c r="X834" s="69">
        <v>372.29999999999927</v>
      </c>
      <c r="Y834" s="69">
        <v>372.29999999999927</v>
      </c>
      <c r="Z834" s="69">
        <v>372.29999999999927</v>
      </c>
      <c r="AA834" s="69">
        <v>372.29999999999927</v>
      </c>
      <c r="AB834" s="69">
        <v>372.29999999999927</v>
      </c>
      <c r="AC834" s="69">
        <v>372.29999999999927</v>
      </c>
      <c r="AD834" s="69">
        <v>372.29999999999927</v>
      </c>
      <c r="AE834" s="69">
        <v>372.29999999999927</v>
      </c>
      <c r="AF834" s="69">
        <v>372.29999999999927</v>
      </c>
      <c r="AG834" s="69">
        <v>372.29999999999927</v>
      </c>
    </row>
    <row r="835" spans="1:33" ht="12.75" customHeight="1">
      <c r="A835" s="231" t="s">
        <v>2376</v>
      </c>
      <c r="B835" s="69" t="s">
        <v>429</v>
      </c>
      <c r="C835" s="69" t="s">
        <v>184</v>
      </c>
      <c r="D835" s="69" t="s">
        <v>284</v>
      </c>
      <c r="E835" s="69" t="s">
        <v>191</v>
      </c>
      <c r="F835" s="69" t="s">
        <v>181</v>
      </c>
      <c r="G835" s="69" t="s">
        <v>294</v>
      </c>
      <c r="H835" s="69" t="s">
        <v>2417</v>
      </c>
      <c r="I835" s="69">
        <v>3</v>
      </c>
      <c r="J835" s="238">
        <v>0.85000000000000009</v>
      </c>
      <c r="K835" s="238">
        <v>0</v>
      </c>
      <c r="L835" s="69">
        <v>89.474098546338055</v>
      </c>
      <c r="M835" s="69">
        <v>0</v>
      </c>
      <c r="N835" s="69">
        <v>0</v>
      </c>
      <c r="O835" s="69">
        <v>0</v>
      </c>
      <c r="P835" s="69">
        <v>0</v>
      </c>
      <c r="Q835" s="69">
        <v>157.81499999999869</v>
      </c>
      <c r="R835" s="69">
        <v>157.81499999999869</v>
      </c>
      <c r="S835" s="69">
        <v>157.81499999999869</v>
      </c>
      <c r="T835" s="69">
        <v>157.81499999999869</v>
      </c>
      <c r="U835" s="69">
        <v>157.81499999999869</v>
      </c>
      <c r="V835" s="69">
        <v>157.81499999999869</v>
      </c>
      <c r="W835" s="69">
        <v>157.81499999999869</v>
      </c>
      <c r="X835" s="69">
        <v>157.81499999999869</v>
      </c>
      <c r="Y835" s="69">
        <v>157.81499999999869</v>
      </c>
      <c r="Z835" s="69">
        <v>157.81499999999869</v>
      </c>
      <c r="AA835" s="69">
        <v>157.81499999999869</v>
      </c>
      <c r="AB835" s="69">
        <v>157.81499999999869</v>
      </c>
      <c r="AC835" s="69">
        <v>157.81499999999869</v>
      </c>
      <c r="AD835" s="69">
        <v>157.81499999999869</v>
      </c>
      <c r="AE835" s="69">
        <v>157.81499999999869</v>
      </c>
      <c r="AF835" s="69">
        <v>157.81499999999869</v>
      </c>
      <c r="AG835" s="69">
        <v>157.81499999999869</v>
      </c>
    </row>
    <row r="836" spans="1:33" ht="12.75" customHeight="1">
      <c r="A836" s="231" t="s">
        <v>2376</v>
      </c>
      <c r="B836" s="69" t="s">
        <v>430</v>
      </c>
      <c r="C836" s="69" t="s">
        <v>184</v>
      </c>
      <c r="D836" s="69" t="s">
        <v>284</v>
      </c>
      <c r="E836" s="69" t="s">
        <v>191</v>
      </c>
      <c r="F836" s="69" t="s">
        <v>183</v>
      </c>
      <c r="G836" s="69" t="s">
        <v>329</v>
      </c>
      <c r="H836" s="69" t="s">
        <v>2417</v>
      </c>
      <c r="I836" s="69">
        <v>3</v>
      </c>
      <c r="J836" s="238">
        <v>0.85000000000000009</v>
      </c>
      <c r="K836" s="238">
        <v>0</v>
      </c>
      <c r="L836" s="69">
        <v>89.474098546338055</v>
      </c>
      <c r="M836" s="69">
        <v>0</v>
      </c>
      <c r="N836" s="69">
        <v>0</v>
      </c>
      <c r="O836" s="69">
        <v>0</v>
      </c>
      <c r="P836" s="69">
        <v>0</v>
      </c>
      <c r="Q836" s="69">
        <v>15.78150000000096</v>
      </c>
      <c r="R836" s="69">
        <v>15.78150000000096</v>
      </c>
      <c r="S836" s="69">
        <v>15.78150000000096</v>
      </c>
      <c r="T836" s="69">
        <v>15.78150000000096</v>
      </c>
      <c r="U836" s="69">
        <v>15.78150000000096</v>
      </c>
      <c r="V836" s="69">
        <v>15.78150000000096</v>
      </c>
      <c r="W836" s="69">
        <v>15.78150000000096</v>
      </c>
      <c r="X836" s="69">
        <v>15.78150000000096</v>
      </c>
      <c r="Y836" s="69">
        <v>15.78150000000096</v>
      </c>
      <c r="Z836" s="69">
        <v>15.78150000000096</v>
      </c>
      <c r="AA836" s="69">
        <v>15.78150000000096</v>
      </c>
      <c r="AB836" s="69">
        <v>15.78150000000096</v>
      </c>
      <c r="AC836" s="69">
        <v>15.78150000000096</v>
      </c>
      <c r="AD836" s="69">
        <v>15.78150000000096</v>
      </c>
      <c r="AE836" s="69">
        <v>15.78150000000096</v>
      </c>
      <c r="AF836" s="69">
        <v>15.78150000000096</v>
      </c>
      <c r="AG836" s="69">
        <v>15.78150000000096</v>
      </c>
    </row>
    <row r="837" spans="1:33" ht="12.75" customHeight="1">
      <c r="A837" s="231" t="s">
        <v>2376</v>
      </c>
      <c r="B837" s="69" t="s">
        <v>433</v>
      </c>
      <c r="C837" s="69" t="s">
        <v>136</v>
      </c>
      <c r="D837" s="69" t="s">
        <v>191</v>
      </c>
      <c r="E837" s="69" t="s">
        <v>191</v>
      </c>
      <c r="F837" s="69" t="s">
        <v>166</v>
      </c>
      <c r="G837" s="69" t="s">
        <v>236</v>
      </c>
      <c r="H837" s="69" t="s">
        <v>2417</v>
      </c>
      <c r="I837" s="69">
        <v>3</v>
      </c>
      <c r="J837" s="238">
        <v>0.88915599686438651</v>
      </c>
      <c r="K837" s="238">
        <v>0.66007624194916525</v>
      </c>
      <c r="L837" s="69">
        <v>104.77486665961121</v>
      </c>
      <c r="M837" s="69">
        <v>0</v>
      </c>
      <c r="N837" s="69">
        <v>0</v>
      </c>
      <c r="O837" s="69">
        <v>0</v>
      </c>
      <c r="P837" s="69">
        <v>0</v>
      </c>
      <c r="Q837" s="69">
        <v>0</v>
      </c>
      <c r="R837" s="69">
        <v>155.78010000000361</v>
      </c>
      <c r="S837" s="69">
        <v>155.78010000000361</v>
      </c>
      <c r="T837" s="69">
        <v>155.78010000000361</v>
      </c>
      <c r="U837" s="69">
        <v>155.78010000000361</v>
      </c>
      <c r="V837" s="69">
        <v>155.78010000000361</v>
      </c>
      <c r="W837" s="69">
        <v>155.78010000000361</v>
      </c>
      <c r="X837" s="69">
        <v>155.78010000000361</v>
      </c>
      <c r="Y837" s="69">
        <v>155.78010000000361</v>
      </c>
      <c r="Z837" s="69">
        <v>155.78010000000361</v>
      </c>
      <c r="AA837" s="69">
        <v>155.78010000000361</v>
      </c>
      <c r="AB837" s="69">
        <v>155.78010000000361</v>
      </c>
      <c r="AC837" s="69">
        <v>155.78010000000361</v>
      </c>
      <c r="AD837" s="69">
        <v>155.78010000000361</v>
      </c>
      <c r="AE837" s="69">
        <v>155.78010000000361</v>
      </c>
      <c r="AF837" s="69">
        <v>155.78010000000361</v>
      </c>
      <c r="AG837" s="69">
        <v>155.78010000000361</v>
      </c>
    </row>
    <row r="838" spans="1:33" ht="12.75" customHeight="1">
      <c r="A838" s="231" t="s">
        <v>2376</v>
      </c>
      <c r="B838" s="69" t="s">
        <v>452</v>
      </c>
      <c r="C838" s="69" t="s">
        <v>18</v>
      </c>
      <c r="D838" s="69" t="s">
        <v>325</v>
      </c>
      <c r="E838" s="69" t="s">
        <v>191</v>
      </c>
      <c r="F838" s="69" t="s">
        <v>165</v>
      </c>
      <c r="G838" s="69" t="s">
        <v>201</v>
      </c>
      <c r="H838" s="69" t="s">
        <v>2417</v>
      </c>
      <c r="I838" s="69">
        <v>3</v>
      </c>
      <c r="J838" s="238">
        <v>0.35</v>
      </c>
      <c r="K838" s="238">
        <v>0</v>
      </c>
      <c r="L838" s="69">
        <v>130.22626235716638</v>
      </c>
      <c r="M838" s="69">
        <v>0</v>
      </c>
      <c r="N838" s="69">
        <v>0</v>
      </c>
      <c r="O838" s="69">
        <v>0</v>
      </c>
      <c r="P838" s="69">
        <v>0</v>
      </c>
      <c r="Q838" s="69">
        <v>0</v>
      </c>
      <c r="R838" s="69">
        <v>4.9055999999982305</v>
      </c>
      <c r="S838" s="69">
        <v>4.9055999999982305</v>
      </c>
      <c r="T838" s="69">
        <v>4.9055999999982305</v>
      </c>
      <c r="U838" s="69">
        <v>4.9055999999982305</v>
      </c>
      <c r="V838" s="69">
        <v>4.9055999999982305</v>
      </c>
      <c r="W838" s="69">
        <v>4.9055999999982305</v>
      </c>
      <c r="X838" s="69">
        <v>4.9055999999982305</v>
      </c>
      <c r="Y838" s="69">
        <v>4.9055999999982305</v>
      </c>
      <c r="Z838" s="69">
        <v>4.9055999999982305</v>
      </c>
      <c r="AA838" s="69">
        <v>4.9055999999982305</v>
      </c>
      <c r="AB838" s="69">
        <v>4.9055999999982305</v>
      </c>
      <c r="AC838" s="69">
        <v>4.9055999999982305</v>
      </c>
      <c r="AD838" s="69">
        <v>4.9055999999982305</v>
      </c>
      <c r="AE838" s="69">
        <v>4.9055999999982305</v>
      </c>
      <c r="AF838" s="69">
        <v>4.9055999999982305</v>
      </c>
      <c r="AG838" s="69">
        <v>4.9055999999982305</v>
      </c>
    </row>
    <row r="839" spans="1:33" ht="12.75" customHeight="1">
      <c r="A839" s="231" t="s">
        <v>2376</v>
      </c>
      <c r="B839" s="69" t="s">
        <v>456</v>
      </c>
      <c r="C839" s="69" t="s">
        <v>18</v>
      </c>
      <c r="D839" s="69" t="s">
        <v>325</v>
      </c>
      <c r="E839" s="69" t="s">
        <v>191</v>
      </c>
      <c r="F839" s="69" t="s">
        <v>181</v>
      </c>
      <c r="G839" s="69" t="s">
        <v>294</v>
      </c>
      <c r="H839" s="69" t="s">
        <v>2417</v>
      </c>
      <c r="I839" s="69">
        <v>3</v>
      </c>
      <c r="J839" s="238">
        <v>0.57999999999999996</v>
      </c>
      <c r="K839" s="238">
        <v>0</v>
      </c>
      <c r="L839" s="69">
        <v>81.766360759550111</v>
      </c>
      <c r="M839" s="69">
        <v>0</v>
      </c>
      <c r="N839" s="69">
        <v>0</v>
      </c>
      <c r="O839" s="69">
        <v>0</v>
      </c>
      <c r="P839" s="69">
        <v>0</v>
      </c>
      <c r="Q839" s="69">
        <v>0</v>
      </c>
      <c r="R839" s="69">
        <v>19.052999999999884</v>
      </c>
      <c r="S839" s="69">
        <v>19.052999999999884</v>
      </c>
      <c r="T839" s="69">
        <v>19.052999999999884</v>
      </c>
      <c r="U839" s="69">
        <v>19.052999999999884</v>
      </c>
      <c r="V839" s="69">
        <v>19.052999999999884</v>
      </c>
      <c r="W839" s="69">
        <v>19.052999999999884</v>
      </c>
      <c r="X839" s="69">
        <v>19.052999999999884</v>
      </c>
      <c r="Y839" s="69">
        <v>19.052999999999884</v>
      </c>
      <c r="Z839" s="69">
        <v>19.052999999999884</v>
      </c>
      <c r="AA839" s="69">
        <v>19.052999999999884</v>
      </c>
      <c r="AB839" s="69">
        <v>19.052999999999884</v>
      </c>
      <c r="AC839" s="69">
        <v>19.052999999999884</v>
      </c>
      <c r="AD839" s="69">
        <v>19.052999999999884</v>
      </c>
      <c r="AE839" s="69">
        <v>19.052999999999884</v>
      </c>
      <c r="AF839" s="69">
        <v>19.052999999999884</v>
      </c>
      <c r="AG839" s="69">
        <v>19.052999999999884</v>
      </c>
    </row>
    <row r="840" spans="1:33" ht="12.75" customHeight="1">
      <c r="A840" s="231" t="s">
        <v>2376</v>
      </c>
      <c r="B840" s="69" t="s">
        <v>459</v>
      </c>
      <c r="C840" s="69" t="s">
        <v>18</v>
      </c>
      <c r="D840" s="69" t="s">
        <v>325</v>
      </c>
      <c r="E840" s="69" t="s">
        <v>191</v>
      </c>
      <c r="F840" s="69" t="s">
        <v>181</v>
      </c>
      <c r="G840" s="69" t="s">
        <v>294</v>
      </c>
      <c r="H840" s="69" t="s">
        <v>2417</v>
      </c>
      <c r="I840" s="69">
        <v>3</v>
      </c>
      <c r="J840" s="238">
        <v>0.52</v>
      </c>
      <c r="K840" s="238">
        <v>0</v>
      </c>
      <c r="L840" s="69">
        <v>83.845247731521141</v>
      </c>
      <c r="M840" s="69">
        <v>0</v>
      </c>
      <c r="N840" s="69">
        <v>0</v>
      </c>
      <c r="O840" s="69">
        <v>0</v>
      </c>
      <c r="P840" s="69">
        <v>0</v>
      </c>
      <c r="Q840" s="69">
        <v>0</v>
      </c>
      <c r="R840" s="69">
        <v>14.576600000000326</v>
      </c>
      <c r="S840" s="69">
        <v>14.576600000000326</v>
      </c>
      <c r="T840" s="69">
        <v>14.576600000000326</v>
      </c>
      <c r="U840" s="69">
        <v>14.576600000000326</v>
      </c>
      <c r="V840" s="69">
        <v>14.576600000000326</v>
      </c>
      <c r="W840" s="69">
        <v>14.576600000000326</v>
      </c>
      <c r="X840" s="69">
        <v>14.576600000000326</v>
      </c>
      <c r="Y840" s="69">
        <v>14.576600000000326</v>
      </c>
      <c r="Z840" s="69">
        <v>14.576600000000326</v>
      </c>
      <c r="AA840" s="69">
        <v>14.576600000000326</v>
      </c>
      <c r="AB840" s="69">
        <v>14.576600000000326</v>
      </c>
      <c r="AC840" s="69">
        <v>14.576600000000326</v>
      </c>
      <c r="AD840" s="69">
        <v>14.576600000000326</v>
      </c>
      <c r="AE840" s="69">
        <v>14.576600000000326</v>
      </c>
      <c r="AF840" s="69">
        <v>14.576600000000326</v>
      </c>
      <c r="AG840" s="69">
        <v>14.576600000000326</v>
      </c>
    </row>
    <row r="841" spans="1:33" ht="12.75" customHeight="1">
      <c r="A841" s="231" t="s">
        <v>2376</v>
      </c>
      <c r="B841" s="69" t="s">
        <v>465</v>
      </c>
      <c r="C841" s="69" t="s">
        <v>18</v>
      </c>
      <c r="D841" s="69" t="s">
        <v>325</v>
      </c>
      <c r="E841" s="69" t="s">
        <v>191</v>
      </c>
      <c r="F841" s="69" t="s">
        <v>181</v>
      </c>
      <c r="G841" s="69" t="s">
        <v>294</v>
      </c>
      <c r="H841" s="69" t="s">
        <v>2417</v>
      </c>
      <c r="I841" s="69">
        <v>3</v>
      </c>
      <c r="J841" s="238">
        <v>0.54</v>
      </c>
      <c r="K841" s="238">
        <v>0</v>
      </c>
      <c r="L841" s="69">
        <v>84.898253738192963</v>
      </c>
      <c r="M841" s="69">
        <v>0</v>
      </c>
      <c r="N841" s="69">
        <v>0</v>
      </c>
      <c r="O841" s="69">
        <v>0</v>
      </c>
      <c r="P841" s="69">
        <v>0</v>
      </c>
      <c r="Q841" s="69">
        <v>0</v>
      </c>
      <c r="R841" s="69">
        <v>8.5146999999997206</v>
      </c>
      <c r="S841" s="69">
        <v>8.5146999999997206</v>
      </c>
      <c r="T841" s="69">
        <v>8.5146999999997206</v>
      </c>
      <c r="U841" s="69">
        <v>8.5146999999997206</v>
      </c>
      <c r="V841" s="69">
        <v>8.5146999999997206</v>
      </c>
      <c r="W841" s="69">
        <v>8.5146999999997206</v>
      </c>
      <c r="X841" s="69">
        <v>8.5146999999997206</v>
      </c>
      <c r="Y841" s="69">
        <v>8.5146999999997206</v>
      </c>
      <c r="Z841" s="69">
        <v>8.5146999999997206</v>
      </c>
      <c r="AA841" s="69">
        <v>8.5146999999997206</v>
      </c>
      <c r="AB841" s="69">
        <v>8.5146999999997206</v>
      </c>
      <c r="AC841" s="69">
        <v>8.5146999999997206</v>
      </c>
      <c r="AD841" s="69">
        <v>8.5146999999997206</v>
      </c>
      <c r="AE841" s="69">
        <v>8.5146999999997206</v>
      </c>
      <c r="AF841" s="69">
        <v>8.5146999999997206</v>
      </c>
      <c r="AG841" s="69">
        <v>8.5146999999997206</v>
      </c>
    </row>
    <row r="842" spans="1:33" ht="12.75" customHeight="1">
      <c r="A842" s="231" t="s">
        <v>2376</v>
      </c>
      <c r="B842" s="69" t="s">
        <v>466</v>
      </c>
      <c r="C842" s="69" t="s">
        <v>18</v>
      </c>
      <c r="D842" s="69" t="s">
        <v>325</v>
      </c>
      <c r="E842" s="69" t="s">
        <v>191</v>
      </c>
      <c r="F842" s="69" t="s">
        <v>181</v>
      </c>
      <c r="G842" s="69" t="s">
        <v>294</v>
      </c>
      <c r="H842" s="69" t="s">
        <v>2417</v>
      </c>
      <c r="I842" s="69">
        <v>3</v>
      </c>
      <c r="J842" s="238">
        <v>0.55000000000000004</v>
      </c>
      <c r="K842" s="238">
        <v>0</v>
      </c>
      <c r="L842" s="69">
        <v>82.00324623194571</v>
      </c>
      <c r="M842" s="69">
        <v>0</v>
      </c>
      <c r="N842" s="69">
        <v>0</v>
      </c>
      <c r="O842" s="69">
        <v>0</v>
      </c>
      <c r="P842" s="69">
        <v>0</v>
      </c>
      <c r="Q842" s="69">
        <v>0</v>
      </c>
      <c r="R842" s="69">
        <v>7.7377000000014968</v>
      </c>
      <c r="S842" s="69">
        <v>7.7377000000014968</v>
      </c>
      <c r="T842" s="69">
        <v>7.7377000000014968</v>
      </c>
      <c r="U842" s="69">
        <v>7.7377000000014968</v>
      </c>
      <c r="V842" s="69">
        <v>7.7377000000014968</v>
      </c>
      <c r="W842" s="69">
        <v>7.7377000000014968</v>
      </c>
      <c r="X842" s="69">
        <v>7.7377000000014968</v>
      </c>
      <c r="Y842" s="69">
        <v>7.7377000000014968</v>
      </c>
      <c r="Z842" s="69">
        <v>7.7377000000014968</v>
      </c>
      <c r="AA842" s="69">
        <v>7.7377000000014968</v>
      </c>
      <c r="AB842" s="69">
        <v>7.7377000000014968</v>
      </c>
      <c r="AC842" s="69">
        <v>7.7377000000014968</v>
      </c>
      <c r="AD842" s="69">
        <v>7.7377000000014968</v>
      </c>
      <c r="AE842" s="69">
        <v>7.7377000000014968</v>
      </c>
      <c r="AF842" s="69">
        <v>7.7377000000014968</v>
      </c>
      <c r="AG842" s="69">
        <v>7.7377000000014968</v>
      </c>
    </row>
    <row r="843" spans="1:33" ht="12.75" customHeight="1">
      <c r="A843" s="231" t="s">
        <v>2376</v>
      </c>
      <c r="B843" s="69" t="s">
        <v>467</v>
      </c>
      <c r="C843" s="69" t="s">
        <v>18</v>
      </c>
      <c r="D843" s="69" t="s">
        <v>325</v>
      </c>
      <c r="E843" s="69" t="s">
        <v>191</v>
      </c>
      <c r="F843" s="69" t="s">
        <v>181</v>
      </c>
      <c r="G843" s="69" t="s">
        <v>294</v>
      </c>
      <c r="H843" s="69" t="s">
        <v>2417</v>
      </c>
      <c r="I843" s="69">
        <v>3</v>
      </c>
      <c r="J843" s="238">
        <v>0.54</v>
      </c>
      <c r="K843" s="238">
        <v>0</v>
      </c>
      <c r="L843" s="69">
        <v>84.857369238408367</v>
      </c>
      <c r="M843" s="69">
        <v>0</v>
      </c>
      <c r="N843" s="69">
        <v>0</v>
      </c>
      <c r="O843" s="69">
        <v>0</v>
      </c>
      <c r="P843" s="69">
        <v>0</v>
      </c>
      <c r="Q843" s="69">
        <v>0</v>
      </c>
      <c r="R843" s="69">
        <v>7.4504000000015367</v>
      </c>
      <c r="S843" s="69">
        <v>7.4504000000015367</v>
      </c>
      <c r="T843" s="69">
        <v>7.4504000000015367</v>
      </c>
      <c r="U843" s="69">
        <v>7.4504000000015367</v>
      </c>
      <c r="V843" s="69">
        <v>7.4504000000015367</v>
      </c>
      <c r="W843" s="69">
        <v>7.4504000000015367</v>
      </c>
      <c r="X843" s="69">
        <v>7.4504000000015367</v>
      </c>
      <c r="Y843" s="69">
        <v>7.4504000000015367</v>
      </c>
      <c r="Z843" s="69">
        <v>7.4504000000015367</v>
      </c>
      <c r="AA843" s="69">
        <v>7.4504000000015367</v>
      </c>
      <c r="AB843" s="69">
        <v>7.4504000000015367</v>
      </c>
      <c r="AC843" s="69">
        <v>7.4504000000015367</v>
      </c>
      <c r="AD843" s="69">
        <v>7.4504000000015367</v>
      </c>
      <c r="AE843" s="69">
        <v>7.4504000000015367</v>
      </c>
      <c r="AF843" s="69">
        <v>7.4504000000015367</v>
      </c>
      <c r="AG843" s="69">
        <v>7.4504000000015367</v>
      </c>
    </row>
    <row r="844" spans="1:33" ht="12.75" customHeight="1">
      <c r="A844" s="231" t="s">
        <v>2376</v>
      </c>
      <c r="B844" s="69" t="s">
        <v>469</v>
      </c>
      <c r="C844" s="69" t="s">
        <v>18</v>
      </c>
      <c r="D844" s="69" t="s">
        <v>325</v>
      </c>
      <c r="E844" s="69" t="s">
        <v>191</v>
      </c>
      <c r="F844" s="69" t="s">
        <v>181</v>
      </c>
      <c r="G844" s="69" t="s">
        <v>294</v>
      </c>
      <c r="H844" s="69" t="s">
        <v>2417</v>
      </c>
      <c r="I844" s="69">
        <v>3</v>
      </c>
      <c r="J844" s="238">
        <v>0.56999999999999995</v>
      </c>
      <c r="K844" s="238">
        <v>0</v>
      </c>
      <c r="L844" s="69">
        <v>80.429924594077534</v>
      </c>
      <c r="M844" s="69">
        <v>0</v>
      </c>
      <c r="N844" s="69">
        <v>0</v>
      </c>
      <c r="O844" s="69">
        <v>0</v>
      </c>
      <c r="P844" s="69">
        <v>0</v>
      </c>
      <c r="Q844" s="69">
        <v>0</v>
      </c>
      <c r="R844" s="69">
        <v>2.9796999999998661</v>
      </c>
      <c r="S844" s="69">
        <v>2.9796999999998661</v>
      </c>
      <c r="T844" s="69">
        <v>2.9796999999998661</v>
      </c>
      <c r="U844" s="69">
        <v>2.9796999999998661</v>
      </c>
      <c r="V844" s="69">
        <v>2.9796999999998661</v>
      </c>
      <c r="W844" s="69">
        <v>2.9796999999998661</v>
      </c>
      <c r="X844" s="69">
        <v>2.9796999999998661</v>
      </c>
      <c r="Y844" s="69">
        <v>2.9796999999998661</v>
      </c>
      <c r="Z844" s="69">
        <v>2.9796999999998661</v>
      </c>
      <c r="AA844" s="69">
        <v>2.9796999999998661</v>
      </c>
      <c r="AB844" s="69">
        <v>2.9796999999998661</v>
      </c>
      <c r="AC844" s="69">
        <v>2.9796999999998661</v>
      </c>
      <c r="AD844" s="69">
        <v>2.9796999999998661</v>
      </c>
      <c r="AE844" s="69">
        <v>2.9796999999998661</v>
      </c>
      <c r="AF844" s="69">
        <v>2.9796999999998661</v>
      </c>
      <c r="AG844" s="69">
        <v>2.9796999999998661</v>
      </c>
    </row>
    <row r="845" spans="1:33" ht="12.75" customHeight="1">
      <c r="A845" s="231" t="s">
        <v>2376</v>
      </c>
      <c r="B845" s="69" t="s">
        <v>477</v>
      </c>
      <c r="C845" s="69" t="s">
        <v>137</v>
      </c>
      <c r="D845" s="69" t="s">
        <v>191</v>
      </c>
      <c r="E845" s="69" t="s">
        <v>191</v>
      </c>
      <c r="F845" s="69" t="s">
        <v>153</v>
      </c>
      <c r="G845" s="69" t="s">
        <v>201</v>
      </c>
      <c r="H845" s="69" t="s">
        <v>2417</v>
      </c>
      <c r="I845" s="69">
        <v>3</v>
      </c>
      <c r="J845" s="238">
        <v>0.28132191221424191</v>
      </c>
      <c r="K845" s="238">
        <v>0.19115206255806247</v>
      </c>
      <c r="L845" s="69">
        <v>94.811948631100549</v>
      </c>
      <c r="M845" s="69">
        <v>0</v>
      </c>
      <c r="N845" s="69">
        <v>0</v>
      </c>
      <c r="O845" s="69">
        <v>0</v>
      </c>
      <c r="P845" s="69">
        <v>0</v>
      </c>
      <c r="Q845" s="69">
        <v>0</v>
      </c>
      <c r="R845" s="69">
        <v>1433.8009000000018</v>
      </c>
      <c r="S845" s="69">
        <v>1433.8009000000018</v>
      </c>
      <c r="T845" s="69">
        <v>1433.8009000000018</v>
      </c>
      <c r="U845" s="69">
        <v>1433.8009000000018</v>
      </c>
      <c r="V845" s="69">
        <v>1433.8009000000018</v>
      </c>
      <c r="W845" s="69">
        <v>1433.8009000000018</v>
      </c>
      <c r="X845" s="69">
        <v>1433.8009000000018</v>
      </c>
      <c r="Y845" s="69">
        <v>1433.8009000000018</v>
      </c>
      <c r="Z845" s="69">
        <v>1433.8009000000018</v>
      </c>
      <c r="AA845" s="69">
        <v>1433.8009000000018</v>
      </c>
      <c r="AB845" s="69">
        <v>1433.8009000000018</v>
      </c>
      <c r="AC845" s="69">
        <v>1433.8009000000018</v>
      </c>
      <c r="AD845" s="69">
        <v>1433.8009000000018</v>
      </c>
      <c r="AE845" s="69">
        <v>1433.8009000000018</v>
      </c>
      <c r="AF845" s="69">
        <v>1433.8009000000018</v>
      </c>
      <c r="AG845" s="69">
        <v>1433.8009000000018</v>
      </c>
    </row>
    <row r="846" spans="1:33" ht="12.75" customHeight="1">
      <c r="A846" s="231" t="s">
        <v>2376</v>
      </c>
      <c r="B846" s="69" t="s">
        <v>479</v>
      </c>
      <c r="C846" s="69" t="s">
        <v>137</v>
      </c>
      <c r="D846" s="69" t="s">
        <v>191</v>
      </c>
      <c r="E846" s="69" t="s">
        <v>191</v>
      </c>
      <c r="F846" s="69" t="s">
        <v>156</v>
      </c>
      <c r="G846" s="69" t="s">
        <v>313</v>
      </c>
      <c r="H846" s="69" t="s">
        <v>2417</v>
      </c>
      <c r="I846" s="69">
        <v>3</v>
      </c>
      <c r="J846" s="238">
        <v>0.3229992325422778</v>
      </c>
      <c r="K846" s="238">
        <v>0.18058588251804827</v>
      </c>
      <c r="L846" s="69">
        <v>92.392208968430936</v>
      </c>
      <c r="M846" s="69">
        <v>0</v>
      </c>
      <c r="N846" s="69">
        <v>0</v>
      </c>
      <c r="O846" s="69">
        <v>0</v>
      </c>
      <c r="P846" s="69">
        <v>0</v>
      </c>
      <c r="Q846" s="69">
        <v>0</v>
      </c>
      <c r="R846" s="69">
        <v>510.7098074089518</v>
      </c>
      <c r="S846" s="69">
        <v>510.7098074089518</v>
      </c>
      <c r="T846" s="69">
        <v>510.7098074089518</v>
      </c>
      <c r="U846" s="69">
        <v>510.7098074089518</v>
      </c>
      <c r="V846" s="69">
        <v>510.7098074089518</v>
      </c>
      <c r="W846" s="69">
        <v>510.7098074089518</v>
      </c>
      <c r="X846" s="69">
        <v>510.7098074089518</v>
      </c>
      <c r="Y846" s="69">
        <v>510.7098074089518</v>
      </c>
      <c r="Z846" s="69">
        <v>510.7098074089518</v>
      </c>
      <c r="AA846" s="69">
        <v>510.7098074089518</v>
      </c>
      <c r="AB846" s="69">
        <v>510.7098074089518</v>
      </c>
      <c r="AC846" s="69">
        <v>510.7098074089518</v>
      </c>
      <c r="AD846" s="69">
        <v>510.7098074089518</v>
      </c>
      <c r="AE846" s="69">
        <v>510.7098074089518</v>
      </c>
      <c r="AF846" s="69">
        <v>510.7098074089518</v>
      </c>
      <c r="AG846" s="69">
        <v>510.7098074089518</v>
      </c>
    </row>
    <row r="847" spans="1:33" ht="12.75" customHeight="1">
      <c r="A847" s="231" t="s">
        <v>2376</v>
      </c>
      <c r="B847" s="69" t="s">
        <v>481</v>
      </c>
      <c r="C847" s="69" t="s">
        <v>137</v>
      </c>
      <c r="D847" s="69" t="s">
        <v>191</v>
      </c>
      <c r="E847" s="69" t="s">
        <v>191</v>
      </c>
      <c r="F847" s="69" t="s">
        <v>166</v>
      </c>
      <c r="G847" s="69" t="s">
        <v>236</v>
      </c>
      <c r="H847" s="69" t="s">
        <v>2417</v>
      </c>
      <c r="I847" s="69">
        <v>3</v>
      </c>
      <c r="J847" s="238">
        <v>0.3229992325422778</v>
      </c>
      <c r="K847" s="238">
        <v>0.18335451165254593</v>
      </c>
      <c r="L847" s="69">
        <v>80.121384416570578</v>
      </c>
      <c r="M847" s="69">
        <v>0</v>
      </c>
      <c r="N847" s="69">
        <v>0</v>
      </c>
      <c r="O847" s="69">
        <v>0</v>
      </c>
      <c r="P847" s="69">
        <v>0</v>
      </c>
      <c r="Q847" s="69">
        <v>0</v>
      </c>
      <c r="R847" s="69">
        <v>2533.1424935585019</v>
      </c>
      <c r="S847" s="69">
        <v>2533.1424935585019</v>
      </c>
      <c r="T847" s="69">
        <v>2533.1424935585019</v>
      </c>
      <c r="U847" s="69">
        <v>2533.1424935585019</v>
      </c>
      <c r="V847" s="69">
        <v>2533.1424935585019</v>
      </c>
      <c r="W847" s="69">
        <v>2533.1424935585019</v>
      </c>
      <c r="X847" s="69">
        <v>2533.1424935585019</v>
      </c>
      <c r="Y847" s="69">
        <v>2533.1424935585019</v>
      </c>
      <c r="Z847" s="69">
        <v>2533.1424935585019</v>
      </c>
      <c r="AA847" s="69">
        <v>2533.1424935585019</v>
      </c>
      <c r="AB847" s="69">
        <v>2533.1424935585019</v>
      </c>
      <c r="AC847" s="69">
        <v>2533.1424935585019</v>
      </c>
      <c r="AD847" s="69">
        <v>2533.1424935585019</v>
      </c>
      <c r="AE847" s="69">
        <v>2533.1424935585019</v>
      </c>
      <c r="AF847" s="69">
        <v>2533.1424935585019</v>
      </c>
      <c r="AG847" s="69">
        <v>2533.1424935585019</v>
      </c>
    </row>
    <row r="848" spans="1:33" ht="12.75" customHeight="1">
      <c r="A848" s="231" t="s">
        <v>2376</v>
      </c>
      <c r="B848" s="69" t="s">
        <v>482</v>
      </c>
      <c r="C848" s="69" t="s">
        <v>137</v>
      </c>
      <c r="D848" s="69" t="s">
        <v>191</v>
      </c>
      <c r="E848" s="69" t="s">
        <v>191</v>
      </c>
      <c r="F848" s="69" t="s">
        <v>183</v>
      </c>
      <c r="G848" s="69" t="s">
        <v>329</v>
      </c>
      <c r="H848" s="69" t="s">
        <v>2417</v>
      </c>
      <c r="I848" s="69">
        <v>3</v>
      </c>
      <c r="J848" s="238">
        <v>0.35425722278830468</v>
      </c>
      <c r="K848" s="238">
        <v>0.17884977722471748</v>
      </c>
      <c r="L848" s="69">
        <v>72.301236618554668</v>
      </c>
      <c r="M848" s="69">
        <v>0</v>
      </c>
      <c r="N848" s="69">
        <v>0</v>
      </c>
      <c r="O848" s="69">
        <v>0</v>
      </c>
      <c r="P848" s="69">
        <v>0</v>
      </c>
      <c r="Q848" s="69">
        <v>0</v>
      </c>
      <c r="R848" s="69">
        <v>1127.3288621889442</v>
      </c>
      <c r="S848" s="69">
        <v>1127.3288621889442</v>
      </c>
      <c r="T848" s="69">
        <v>1127.3288621889442</v>
      </c>
      <c r="U848" s="69">
        <v>1127.3288621889442</v>
      </c>
      <c r="V848" s="69">
        <v>1127.3288621889442</v>
      </c>
      <c r="W848" s="69">
        <v>1127.3288621889442</v>
      </c>
      <c r="X848" s="69">
        <v>1127.3288621889442</v>
      </c>
      <c r="Y848" s="69">
        <v>1127.3288621889442</v>
      </c>
      <c r="Z848" s="69">
        <v>1127.3288621889442</v>
      </c>
      <c r="AA848" s="69">
        <v>1127.3288621889442</v>
      </c>
      <c r="AB848" s="69">
        <v>1127.3288621889442</v>
      </c>
      <c r="AC848" s="69">
        <v>1127.3288621889442</v>
      </c>
      <c r="AD848" s="69">
        <v>1127.3288621889442</v>
      </c>
      <c r="AE848" s="69">
        <v>1127.3288621889442</v>
      </c>
      <c r="AF848" s="69">
        <v>1127.3288621889442</v>
      </c>
      <c r="AG848" s="69">
        <v>1127.3288621889442</v>
      </c>
    </row>
    <row r="849" spans="1:33" ht="12.75" customHeight="1">
      <c r="A849" s="231" t="s">
        <v>2377</v>
      </c>
      <c r="B849" s="69" t="s">
        <v>190</v>
      </c>
      <c r="C849" s="69" t="s">
        <v>137</v>
      </c>
      <c r="D849" s="69" t="s">
        <v>191</v>
      </c>
      <c r="E849" s="69" t="s">
        <v>191</v>
      </c>
      <c r="F849" s="69" t="s">
        <v>180</v>
      </c>
      <c r="G849" s="69" t="s">
        <v>192</v>
      </c>
      <c r="H849" s="69" t="s">
        <v>804</v>
      </c>
      <c r="I849" s="69">
        <v>1</v>
      </c>
      <c r="J849" s="238">
        <v>0.32235762917068039</v>
      </c>
      <c r="K849" s="238">
        <v>0.160195270625522</v>
      </c>
      <c r="L849" s="69">
        <v>96.038728079112801</v>
      </c>
      <c r="M849" s="69">
        <v>0</v>
      </c>
      <c r="N849" s="69">
        <v>0</v>
      </c>
      <c r="O849" s="69">
        <v>0</v>
      </c>
      <c r="P849" s="69">
        <v>0</v>
      </c>
      <c r="Q849" s="69">
        <v>0</v>
      </c>
      <c r="R849" s="69">
        <v>533.70818516014515</v>
      </c>
      <c r="S849" s="69">
        <v>533.70818516014515</v>
      </c>
      <c r="T849" s="69">
        <v>533.70818516014515</v>
      </c>
      <c r="U849" s="69">
        <v>533.70818516014515</v>
      </c>
      <c r="V849" s="69">
        <v>533.70818516014515</v>
      </c>
      <c r="W849" s="69">
        <v>533.70818516014515</v>
      </c>
      <c r="X849" s="69">
        <v>533.70818516014515</v>
      </c>
      <c r="Y849" s="69">
        <v>533.70818516014515</v>
      </c>
      <c r="Z849" s="69">
        <v>533.70818516014515</v>
      </c>
      <c r="AA849" s="69">
        <v>533.70818516014515</v>
      </c>
      <c r="AB849" s="69">
        <v>533.70818516014515</v>
      </c>
      <c r="AC849" s="69">
        <v>533.70818516014515</v>
      </c>
      <c r="AD849" s="69">
        <v>533.70818516014515</v>
      </c>
      <c r="AE849" s="69">
        <v>533.70818516014515</v>
      </c>
      <c r="AF849" s="69">
        <v>533.70818516014515</v>
      </c>
      <c r="AG849" s="69">
        <v>533.70818516014515</v>
      </c>
    </row>
    <row r="850" spans="1:33" ht="12.75" customHeight="1">
      <c r="A850" s="231" t="s">
        <v>2377</v>
      </c>
      <c r="B850" s="69" t="s">
        <v>195</v>
      </c>
      <c r="C850" s="69" t="s">
        <v>187</v>
      </c>
      <c r="D850" s="69" t="s">
        <v>191</v>
      </c>
      <c r="E850" s="69" t="s">
        <v>191</v>
      </c>
      <c r="F850" s="69" t="s">
        <v>162</v>
      </c>
      <c r="G850" s="69" t="s">
        <v>192</v>
      </c>
      <c r="H850" s="69" t="s">
        <v>804</v>
      </c>
      <c r="I850" s="69">
        <v>1</v>
      </c>
      <c r="J850" s="238">
        <v>0.2668262983999703</v>
      </c>
      <c r="K850" s="238">
        <v>0.80317779599171035</v>
      </c>
      <c r="L850" s="69">
        <v>192.38629588063705</v>
      </c>
      <c r="M850" s="69">
        <v>0</v>
      </c>
      <c r="N850" s="69">
        <v>0</v>
      </c>
      <c r="O850" s="69">
        <v>0</v>
      </c>
      <c r="P850" s="69">
        <v>0</v>
      </c>
      <c r="Q850" s="69">
        <v>0</v>
      </c>
      <c r="R850" s="69">
        <v>144.91869918699012</v>
      </c>
      <c r="S850" s="69">
        <v>144.91869918699012</v>
      </c>
      <c r="T850" s="69">
        <v>144.91869918699012</v>
      </c>
      <c r="U850" s="69">
        <v>144.91869918699012</v>
      </c>
      <c r="V850" s="69">
        <v>144.91869918699012</v>
      </c>
      <c r="W850" s="69">
        <v>144.91869918699012</v>
      </c>
      <c r="X850" s="69">
        <v>144.91869918699012</v>
      </c>
      <c r="Y850" s="69">
        <v>144.91869918699012</v>
      </c>
      <c r="Z850" s="69">
        <v>144.91869918699012</v>
      </c>
      <c r="AA850" s="69">
        <v>144.91869918699012</v>
      </c>
      <c r="AB850" s="69">
        <v>144.91869918699012</v>
      </c>
      <c r="AC850" s="69">
        <v>144.91869918699012</v>
      </c>
      <c r="AD850" s="69">
        <v>144.91869918699012</v>
      </c>
      <c r="AE850" s="69">
        <v>144.91869918699012</v>
      </c>
      <c r="AF850" s="69">
        <v>144.91869918699012</v>
      </c>
      <c r="AG850" s="69">
        <v>144.91869918699012</v>
      </c>
    </row>
    <row r="851" spans="1:33" ht="12.75" customHeight="1">
      <c r="A851" s="231" t="s">
        <v>2377</v>
      </c>
      <c r="B851" s="69" t="s">
        <v>196</v>
      </c>
      <c r="C851" s="69" t="s">
        <v>187</v>
      </c>
      <c r="D851" s="69" t="s">
        <v>191</v>
      </c>
      <c r="E851" s="69" t="s">
        <v>191</v>
      </c>
      <c r="F851" s="69" t="s">
        <v>175</v>
      </c>
      <c r="G851" s="69" t="s">
        <v>192</v>
      </c>
      <c r="H851" s="69" t="s">
        <v>804</v>
      </c>
      <c r="I851" s="69">
        <v>1</v>
      </c>
      <c r="J851" s="238">
        <v>0.2668262983999703</v>
      </c>
      <c r="K851" s="238">
        <v>0.69237077523038792</v>
      </c>
      <c r="L851" s="69">
        <v>192.38629588063705</v>
      </c>
      <c r="M851" s="69">
        <v>0</v>
      </c>
      <c r="N851" s="69">
        <v>0</v>
      </c>
      <c r="O851" s="69">
        <v>0</v>
      </c>
      <c r="P851" s="69">
        <v>0</v>
      </c>
      <c r="Q851" s="69">
        <v>292.17479674796778</v>
      </c>
      <c r="R851" s="69">
        <v>292.17479674796778</v>
      </c>
      <c r="S851" s="69">
        <v>292.17479674796778</v>
      </c>
      <c r="T851" s="69">
        <v>292.17479674796778</v>
      </c>
      <c r="U851" s="69">
        <v>292.17479674796778</v>
      </c>
      <c r="V851" s="69">
        <v>292.17479674796778</v>
      </c>
      <c r="W851" s="69">
        <v>292.17479674796778</v>
      </c>
      <c r="X851" s="69">
        <v>292.17479674796778</v>
      </c>
      <c r="Y851" s="69">
        <v>292.17479674796778</v>
      </c>
      <c r="Z851" s="69">
        <v>292.17479674796778</v>
      </c>
      <c r="AA851" s="69">
        <v>292.17479674796778</v>
      </c>
      <c r="AB851" s="69">
        <v>292.17479674796778</v>
      </c>
      <c r="AC851" s="69">
        <v>292.17479674796778</v>
      </c>
      <c r="AD851" s="69">
        <v>292.17479674796778</v>
      </c>
      <c r="AE851" s="69">
        <v>292.17479674796778</v>
      </c>
      <c r="AF851" s="69">
        <v>292.17479674796778</v>
      </c>
      <c r="AG851" s="69">
        <v>292.17479674796778</v>
      </c>
    </row>
    <row r="852" spans="1:33" ht="12.75" customHeight="1">
      <c r="A852" s="231" t="s">
        <v>2377</v>
      </c>
      <c r="B852" s="69" t="s">
        <v>197</v>
      </c>
      <c r="C852" s="69" t="s">
        <v>187</v>
      </c>
      <c r="D852" s="69" t="s">
        <v>191</v>
      </c>
      <c r="E852" s="69" t="s">
        <v>191</v>
      </c>
      <c r="F852" s="69" t="s">
        <v>175</v>
      </c>
      <c r="G852" s="69" t="s">
        <v>192</v>
      </c>
      <c r="H852" s="69" t="s">
        <v>804</v>
      </c>
      <c r="I852" s="69">
        <v>1</v>
      </c>
      <c r="J852" s="238">
        <v>0.2668262983999703</v>
      </c>
      <c r="K852" s="238">
        <v>0.69237077523038792</v>
      </c>
      <c r="L852" s="69">
        <v>192.38629588063705</v>
      </c>
      <c r="M852" s="69">
        <v>0</v>
      </c>
      <c r="N852" s="69">
        <v>0</v>
      </c>
      <c r="O852" s="69">
        <v>0</v>
      </c>
      <c r="P852" s="69">
        <v>0</v>
      </c>
      <c r="Q852" s="69">
        <v>0</v>
      </c>
      <c r="R852" s="69">
        <v>292.17479674796778</v>
      </c>
      <c r="S852" s="69">
        <v>292.17479674796778</v>
      </c>
      <c r="T852" s="69">
        <v>292.17479674796778</v>
      </c>
      <c r="U852" s="69">
        <v>292.17479674796778</v>
      </c>
      <c r="V852" s="69">
        <v>292.17479674796778</v>
      </c>
      <c r="W852" s="69">
        <v>292.17479674796778</v>
      </c>
      <c r="X852" s="69">
        <v>292.17479674796778</v>
      </c>
      <c r="Y852" s="69">
        <v>292.17479674796778</v>
      </c>
      <c r="Z852" s="69">
        <v>292.17479674796778</v>
      </c>
      <c r="AA852" s="69">
        <v>292.17479674796778</v>
      </c>
      <c r="AB852" s="69">
        <v>292.17479674796778</v>
      </c>
      <c r="AC852" s="69">
        <v>292.17479674796778</v>
      </c>
      <c r="AD852" s="69">
        <v>292.17479674796778</v>
      </c>
      <c r="AE852" s="69">
        <v>292.17479674796778</v>
      </c>
      <c r="AF852" s="69">
        <v>292.17479674796778</v>
      </c>
      <c r="AG852" s="69">
        <v>292.17479674796778</v>
      </c>
    </row>
    <row r="853" spans="1:33" ht="12.75" customHeight="1">
      <c r="A853" s="231" t="s">
        <v>2377</v>
      </c>
      <c r="B853" s="69" t="s">
        <v>198</v>
      </c>
      <c r="C853" s="69" t="s">
        <v>137</v>
      </c>
      <c r="D853" s="69" t="s">
        <v>191</v>
      </c>
      <c r="E853" s="69" t="s">
        <v>191</v>
      </c>
      <c r="F853" s="69" t="s">
        <v>168</v>
      </c>
      <c r="G853" s="69" t="s">
        <v>199</v>
      </c>
      <c r="H853" s="69" t="s">
        <v>2417</v>
      </c>
      <c r="I853" s="69">
        <v>1</v>
      </c>
      <c r="J853" s="238">
        <v>0.29204999999999998</v>
      </c>
      <c r="K853" s="238">
        <v>0.18436399478639695</v>
      </c>
      <c r="L853" s="69">
        <v>95.155627725733936</v>
      </c>
      <c r="M853" s="69">
        <v>0</v>
      </c>
      <c r="N853" s="69">
        <v>230.25221999999997</v>
      </c>
      <c r="O853" s="69">
        <v>230.25221999999997</v>
      </c>
      <c r="P853" s="69">
        <v>230.25221999999997</v>
      </c>
      <c r="Q853" s="69">
        <v>230.25221999999997</v>
      </c>
      <c r="R853" s="69">
        <v>230.25221999999997</v>
      </c>
      <c r="S853" s="69">
        <v>230.25221999999997</v>
      </c>
      <c r="T853" s="69">
        <v>230.25221999999997</v>
      </c>
      <c r="U853" s="69">
        <v>230.25221999999997</v>
      </c>
      <c r="V853" s="69">
        <v>230.25221999999997</v>
      </c>
      <c r="W853" s="69">
        <v>230.25221999999997</v>
      </c>
      <c r="X853" s="69">
        <v>230.25221999999997</v>
      </c>
      <c r="Y853" s="69">
        <v>230.25221999999997</v>
      </c>
      <c r="Z853" s="69">
        <v>230.25221999999997</v>
      </c>
      <c r="AA853" s="69">
        <v>230.25221999999997</v>
      </c>
      <c r="AB853" s="69">
        <v>230.25221999999997</v>
      </c>
      <c r="AC853" s="69">
        <v>230.25221999999997</v>
      </c>
      <c r="AD853" s="69">
        <v>230.25221999999997</v>
      </c>
      <c r="AE853" s="69">
        <v>230.25221999999997</v>
      </c>
      <c r="AF853" s="69">
        <v>230.25221999999997</v>
      </c>
      <c r="AG853" s="69">
        <v>230.25221999999997</v>
      </c>
    </row>
    <row r="854" spans="1:33" ht="12.75" customHeight="1">
      <c r="A854" s="231" t="s">
        <v>2377</v>
      </c>
      <c r="B854" s="69" t="s">
        <v>200</v>
      </c>
      <c r="C854" s="69" t="s">
        <v>185</v>
      </c>
      <c r="D854" s="69" t="s">
        <v>193</v>
      </c>
      <c r="E854" s="69" t="s">
        <v>194</v>
      </c>
      <c r="F854" s="69" t="s">
        <v>153</v>
      </c>
      <c r="G854" s="69" t="s">
        <v>201</v>
      </c>
      <c r="H854" s="69" t="s">
        <v>2417</v>
      </c>
      <c r="I854" s="69">
        <v>1</v>
      </c>
      <c r="J854" s="238">
        <v>0.28999999999999998</v>
      </c>
      <c r="K854" s="238">
        <v>0.621244203313703</v>
      </c>
      <c r="L854" s="69">
        <v>144.14559944117298</v>
      </c>
      <c r="M854" s="69">
        <v>0</v>
      </c>
      <c r="N854" s="69">
        <v>0</v>
      </c>
      <c r="O854" s="69">
        <v>0</v>
      </c>
      <c r="P854" s="69">
        <v>0</v>
      </c>
      <c r="Q854" s="69">
        <v>0</v>
      </c>
      <c r="R854" s="69">
        <v>736.71599999999853</v>
      </c>
      <c r="S854" s="69">
        <v>736.71599999999853</v>
      </c>
      <c r="T854" s="69">
        <v>736.71599999999853</v>
      </c>
      <c r="U854" s="69">
        <v>736.71599999999853</v>
      </c>
      <c r="V854" s="69">
        <v>736.71599999999853</v>
      </c>
      <c r="W854" s="69">
        <v>736.71599999999853</v>
      </c>
      <c r="X854" s="69">
        <v>736.71599999999853</v>
      </c>
      <c r="Y854" s="69">
        <v>736.71599999999853</v>
      </c>
      <c r="Z854" s="69">
        <v>736.71599999999853</v>
      </c>
      <c r="AA854" s="69">
        <v>736.71599999999853</v>
      </c>
      <c r="AB854" s="69">
        <v>736.71599999999853</v>
      </c>
      <c r="AC854" s="69">
        <v>736.71599999999853</v>
      </c>
      <c r="AD854" s="69">
        <v>736.71599999999853</v>
      </c>
      <c r="AE854" s="69">
        <v>736.71599999999853</v>
      </c>
      <c r="AF854" s="69">
        <v>736.71599999999853</v>
      </c>
      <c r="AG854" s="69">
        <v>736.71599999999853</v>
      </c>
    </row>
    <row r="855" spans="1:33" ht="12.75" customHeight="1">
      <c r="A855" s="231" t="s">
        <v>2377</v>
      </c>
      <c r="B855" s="69" t="s">
        <v>202</v>
      </c>
      <c r="C855" s="69" t="s">
        <v>185</v>
      </c>
      <c r="D855" s="69" t="s">
        <v>193</v>
      </c>
      <c r="E855" s="69" t="s">
        <v>203</v>
      </c>
      <c r="F855" s="69" t="s">
        <v>167</v>
      </c>
      <c r="G855" s="69" t="s">
        <v>192</v>
      </c>
      <c r="H855" s="69" t="s">
        <v>805</v>
      </c>
      <c r="I855" s="69">
        <v>1</v>
      </c>
      <c r="J855" s="238">
        <v>0.26649999999999996</v>
      </c>
      <c r="K855" s="238">
        <v>0.65</v>
      </c>
      <c r="L855" s="69">
        <v>173.91260768823273</v>
      </c>
      <c r="M855" s="69">
        <v>0</v>
      </c>
      <c r="N855" s="69">
        <v>0</v>
      </c>
      <c r="O855" s="69">
        <v>0</v>
      </c>
      <c r="P855" s="69">
        <v>0</v>
      </c>
      <c r="Q855" s="69">
        <v>116.72700000000079</v>
      </c>
      <c r="R855" s="69">
        <v>116.72700000000079</v>
      </c>
      <c r="S855" s="69">
        <v>116.72700000000079</v>
      </c>
      <c r="T855" s="69">
        <v>116.72700000000079</v>
      </c>
      <c r="U855" s="69">
        <v>116.72700000000079</v>
      </c>
      <c r="V855" s="69">
        <v>116.72700000000079</v>
      </c>
      <c r="W855" s="69">
        <v>116.72700000000079</v>
      </c>
      <c r="X855" s="69">
        <v>116.72700000000079</v>
      </c>
      <c r="Y855" s="69">
        <v>116.72700000000079</v>
      </c>
      <c r="Z855" s="69">
        <v>116.72700000000079</v>
      </c>
      <c r="AA855" s="69">
        <v>116.72700000000079</v>
      </c>
      <c r="AB855" s="69">
        <v>116.72700000000079</v>
      </c>
      <c r="AC855" s="69">
        <v>116.72700000000079</v>
      </c>
      <c r="AD855" s="69">
        <v>116.72700000000079</v>
      </c>
      <c r="AE855" s="69">
        <v>116.72700000000079</v>
      </c>
      <c r="AF855" s="69">
        <v>116.72700000000079</v>
      </c>
      <c r="AG855" s="69">
        <v>116.72700000000079</v>
      </c>
    </row>
    <row r="856" spans="1:33" ht="12.75" customHeight="1">
      <c r="A856" s="231" t="s">
        <v>2377</v>
      </c>
      <c r="B856" s="69" t="s">
        <v>204</v>
      </c>
      <c r="C856" s="69" t="s">
        <v>185</v>
      </c>
      <c r="D856" s="69" t="s">
        <v>205</v>
      </c>
      <c r="E856" s="69" t="s">
        <v>194</v>
      </c>
      <c r="F856" s="69" t="s">
        <v>175</v>
      </c>
      <c r="G856" s="69" t="s">
        <v>192</v>
      </c>
      <c r="H856" s="69" t="s">
        <v>804</v>
      </c>
      <c r="I856" s="69">
        <v>1</v>
      </c>
      <c r="J856" s="238">
        <v>0.26624999999999999</v>
      </c>
      <c r="K856" s="238">
        <v>0.50027165852802347</v>
      </c>
      <c r="L856" s="69">
        <v>147.69233230629843</v>
      </c>
      <c r="M856" s="69">
        <v>0</v>
      </c>
      <c r="N856" s="69">
        <v>0</v>
      </c>
      <c r="O856" s="69">
        <v>0</v>
      </c>
      <c r="P856" s="69">
        <v>0</v>
      </c>
      <c r="Q856" s="69">
        <v>0</v>
      </c>
      <c r="R856" s="69">
        <v>0</v>
      </c>
      <c r="S856" s="69">
        <v>699.70500000000175</v>
      </c>
      <c r="T856" s="69">
        <v>699.70500000000175</v>
      </c>
      <c r="U856" s="69">
        <v>699.70500000000175</v>
      </c>
      <c r="V856" s="69">
        <v>699.70500000000175</v>
      </c>
      <c r="W856" s="69">
        <v>699.70500000000175</v>
      </c>
      <c r="X856" s="69">
        <v>699.70500000000175</v>
      </c>
      <c r="Y856" s="69">
        <v>699.70500000000175</v>
      </c>
      <c r="Z856" s="69">
        <v>699.70500000000175</v>
      </c>
      <c r="AA856" s="69">
        <v>699.70500000000175</v>
      </c>
      <c r="AB856" s="69">
        <v>699.70500000000175</v>
      </c>
      <c r="AC856" s="69">
        <v>699.70500000000175</v>
      </c>
      <c r="AD856" s="69">
        <v>699.70500000000175</v>
      </c>
      <c r="AE856" s="69">
        <v>699.70500000000175</v>
      </c>
      <c r="AF856" s="69">
        <v>699.70500000000175</v>
      </c>
      <c r="AG856" s="69">
        <v>699.70500000000175</v>
      </c>
    </row>
    <row r="857" spans="1:33" ht="12.75" customHeight="1">
      <c r="A857" s="231" t="s">
        <v>2377</v>
      </c>
      <c r="B857" s="69" t="s">
        <v>206</v>
      </c>
      <c r="C857" s="69" t="s">
        <v>185</v>
      </c>
      <c r="D857" s="69" t="s">
        <v>193</v>
      </c>
      <c r="E857" s="69" t="s">
        <v>203</v>
      </c>
      <c r="F857" s="69" t="s">
        <v>155</v>
      </c>
      <c r="G857" s="69" t="s">
        <v>192</v>
      </c>
      <c r="H857" s="69" t="s">
        <v>805</v>
      </c>
      <c r="I857" s="69">
        <v>1</v>
      </c>
      <c r="J857" s="238">
        <v>0.26649999999999996</v>
      </c>
      <c r="K857" s="238">
        <v>0.63277303047366895</v>
      </c>
      <c r="L857" s="69">
        <v>173.91260768823275</v>
      </c>
      <c r="M857" s="69">
        <v>0</v>
      </c>
      <c r="N857" s="69">
        <v>0</v>
      </c>
      <c r="O857" s="69">
        <v>0</v>
      </c>
      <c r="P857" s="69">
        <v>93.381599999999708</v>
      </c>
      <c r="Q857" s="69">
        <v>93.381599999999708</v>
      </c>
      <c r="R857" s="69">
        <v>93.381599999999708</v>
      </c>
      <c r="S857" s="69">
        <v>93.381599999999708</v>
      </c>
      <c r="T857" s="69">
        <v>93.381599999999708</v>
      </c>
      <c r="U857" s="69">
        <v>93.381599999999708</v>
      </c>
      <c r="V857" s="69">
        <v>93.381599999999708</v>
      </c>
      <c r="W857" s="69">
        <v>93.381599999999708</v>
      </c>
      <c r="X857" s="69">
        <v>93.381599999999708</v>
      </c>
      <c r="Y857" s="69">
        <v>93.381599999999708</v>
      </c>
      <c r="Z857" s="69">
        <v>93.381599999999708</v>
      </c>
      <c r="AA857" s="69">
        <v>93.381599999999708</v>
      </c>
      <c r="AB857" s="69">
        <v>93.381599999999708</v>
      </c>
      <c r="AC857" s="69">
        <v>93.381599999999708</v>
      </c>
      <c r="AD857" s="69">
        <v>93.381599999999708</v>
      </c>
      <c r="AE857" s="69">
        <v>93.381599999999708</v>
      </c>
      <c r="AF857" s="69">
        <v>93.381599999999708</v>
      </c>
      <c r="AG857" s="69">
        <v>93.381599999999708</v>
      </c>
    </row>
    <row r="858" spans="1:33" ht="12.75" customHeight="1">
      <c r="A858" s="231" t="s">
        <v>2377</v>
      </c>
      <c r="B858" s="69" t="s">
        <v>207</v>
      </c>
      <c r="C858" s="69" t="s">
        <v>139</v>
      </c>
      <c r="D858" s="69" t="s">
        <v>191</v>
      </c>
      <c r="E858" s="69" t="s">
        <v>191</v>
      </c>
      <c r="F858" s="69" t="s">
        <v>167</v>
      </c>
      <c r="G858" s="69" t="s">
        <v>192</v>
      </c>
      <c r="H858" s="69" t="s">
        <v>805</v>
      </c>
      <c r="I858" s="69">
        <v>1</v>
      </c>
      <c r="J858" s="238">
        <v>0.85</v>
      </c>
      <c r="K858" s="238">
        <v>0.66</v>
      </c>
      <c r="L858" s="69">
        <v>127.99027888971092</v>
      </c>
      <c r="M858" s="69">
        <v>0</v>
      </c>
      <c r="N858" s="69">
        <v>0</v>
      </c>
      <c r="O858" s="69">
        <v>0</v>
      </c>
      <c r="P858" s="69">
        <v>0</v>
      </c>
      <c r="Q858" s="69">
        <v>335.06999999999971</v>
      </c>
      <c r="R858" s="69">
        <v>335.06999999999971</v>
      </c>
      <c r="S858" s="69">
        <v>335.06999999999971</v>
      </c>
      <c r="T858" s="69">
        <v>335.06999999999971</v>
      </c>
      <c r="U858" s="69">
        <v>335.06999999999971</v>
      </c>
      <c r="V858" s="69">
        <v>335.06999999999971</v>
      </c>
      <c r="W858" s="69">
        <v>335.06999999999971</v>
      </c>
      <c r="X858" s="69">
        <v>335.06999999999971</v>
      </c>
      <c r="Y858" s="69">
        <v>335.06999999999971</v>
      </c>
      <c r="Z858" s="69">
        <v>335.06999999999971</v>
      </c>
      <c r="AA858" s="69">
        <v>335.06999999999971</v>
      </c>
      <c r="AB858" s="69">
        <v>335.06999999999971</v>
      </c>
      <c r="AC858" s="69">
        <v>335.06999999999971</v>
      </c>
      <c r="AD858" s="69">
        <v>335.06999999999971</v>
      </c>
      <c r="AE858" s="69">
        <v>335.06999999999971</v>
      </c>
      <c r="AF858" s="69">
        <v>335.06999999999971</v>
      </c>
      <c r="AG858" s="69">
        <v>335.06999999999971</v>
      </c>
    </row>
    <row r="859" spans="1:33" ht="12.75" customHeight="1">
      <c r="A859" s="231" t="s">
        <v>2377</v>
      </c>
      <c r="B859" s="69" t="s">
        <v>208</v>
      </c>
      <c r="C859" s="69" t="s">
        <v>187</v>
      </c>
      <c r="D859" s="69" t="s">
        <v>209</v>
      </c>
      <c r="E859" s="69" t="s">
        <v>191</v>
      </c>
      <c r="F859" s="69" t="s">
        <v>167</v>
      </c>
      <c r="G859" s="69" t="s">
        <v>192</v>
      </c>
      <c r="H859" s="69" t="s">
        <v>804</v>
      </c>
      <c r="I859" s="69">
        <v>1</v>
      </c>
      <c r="J859" s="238">
        <v>0.36</v>
      </c>
      <c r="K859" s="238">
        <v>1</v>
      </c>
      <c r="L859" s="69">
        <v>191.5297352118086</v>
      </c>
      <c r="M859" s="69">
        <v>0</v>
      </c>
      <c r="N859" s="69">
        <v>0</v>
      </c>
      <c r="O859" s="69">
        <v>0</v>
      </c>
      <c r="P859" s="69">
        <v>0</v>
      </c>
      <c r="Q859" s="69">
        <v>473.04000000000093</v>
      </c>
      <c r="R859" s="69">
        <v>473.04000000000093</v>
      </c>
      <c r="S859" s="69">
        <v>473.04000000000093</v>
      </c>
      <c r="T859" s="69">
        <v>473.04000000000093</v>
      </c>
      <c r="U859" s="69">
        <v>473.04000000000093</v>
      </c>
      <c r="V859" s="69">
        <v>473.04000000000093</v>
      </c>
      <c r="W859" s="69">
        <v>473.04000000000093</v>
      </c>
      <c r="X859" s="69">
        <v>473.04000000000093</v>
      </c>
      <c r="Y859" s="69">
        <v>473.04000000000093</v>
      </c>
      <c r="Z859" s="69">
        <v>473.04000000000093</v>
      </c>
      <c r="AA859" s="69">
        <v>473.04000000000093</v>
      </c>
      <c r="AB859" s="69">
        <v>473.04000000000093</v>
      </c>
      <c r="AC859" s="69">
        <v>473.04000000000093</v>
      </c>
      <c r="AD859" s="69">
        <v>473.04000000000093</v>
      </c>
      <c r="AE859" s="69">
        <v>473.04000000000093</v>
      </c>
      <c r="AF859" s="69">
        <v>473.04000000000093</v>
      </c>
      <c r="AG859" s="69">
        <v>473.04000000000093</v>
      </c>
    </row>
    <row r="860" spans="1:33" ht="12.75" customHeight="1">
      <c r="A860" s="231" t="s">
        <v>2377</v>
      </c>
      <c r="B860" s="69" t="s">
        <v>211</v>
      </c>
      <c r="C860" s="69" t="s">
        <v>184</v>
      </c>
      <c r="D860" s="69" t="s">
        <v>140</v>
      </c>
      <c r="E860" s="69" t="s">
        <v>191</v>
      </c>
      <c r="F860" s="69" t="s">
        <v>167</v>
      </c>
      <c r="G860" s="69" t="s">
        <v>192</v>
      </c>
      <c r="H860" s="69" t="s">
        <v>804</v>
      </c>
      <c r="I860" s="69">
        <v>1</v>
      </c>
      <c r="J860" s="238">
        <v>0.8</v>
      </c>
      <c r="K860" s="238">
        <v>0</v>
      </c>
      <c r="L860" s="69">
        <v>114.19797366361543</v>
      </c>
      <c r="M860" s="69">
        <v>0</v>
      </c>
      <c r="N860" s="69">
        <v>0</v>
      </c>
      <c r="O860" s="69">
        <v>0</v>
      </c>
      <c r="P860" s="69">
        <v>0</v>
      </c>
      <c r="Q860" s="69">
        <v>0</v>
      </c>
      <c r="R860" s="69">
        <v>70.079999999999927</v>
      </c>
      <c r="S860" s="69">
        <v>70.079999999999927</v>
      </c>
      <c r="T860" s="69">
        <v>70.079999999999927</v>
      </c>
      <c r="U860" s="69">
        <v>70.079999999999927</v>
      </c>
      <c r="V860" s="69">
        <v>70.079999999999927</v>
      </c>
      <c r="W860" s="69">
        <v>70.079999999999927</v>
      </c>
      <c r="X860" s="69">
        <v>70.079999999999927</v>
      </c>
      <c r="Y860" s="69">
        <v>70.079999999999927</v>
      </c>
      <c r="Z860" s="69">
        <v>70.079999999999927</v>
      </c>
      <c r="AA860" s="69">
        <v>70.079999999999927</v>
      </c>
      <c r="AB860" s="69">
        <v>70.079999999999927</v>
      </c>
      <c r="AC860" s="69">
        <v>70.079999999999927</v>
      </c>
      <c r="AD860" s="69">
        <v>70.079999999999927</v>
      </c>
      <c r="AE860" s="69">
        <v>70.079999999999927</v>
      </c>
      <c r="AF860" s="69">
        <v>70.079999999999927</v>
      </c>
      <c r="AG860" s="69">
        <v>70.079999999999927</v>
      </c>
    </row>
    <row r="861" spans="1:33" ht="12.75" customHeight="1">
      <c r="A861" s="231" t="s">
        <v>2377</v>
      </c>
      <c r="B861" s="69" t="s">
        <v>212</v>
      </c>
      <c r="C861" s="69" t="s">
        <v>137</v>
      </c>
      <c r="D861" s="69" t="s">
        <v>191</v>
      </c>
      <c r="E861" s="69" t="s">
        <v>213</v>
      </c>
      <c r="F861" s="69" t="s">
        <v>152</v>
      </c>
      <c r="G861" s="69" t="s">
        <v>214</v>
      </c>
      <c r="H861" s="69" t="s">
        <v>2417</v>
      </c>
      <c r="I861" s="69">
        <v>1</v>
      </c>
      <c r="J861" s="238">
        <v>0.312</v>
      </c>
      <c r="K861" s="238">
        <v>0.17064699981121567</v>
      </c>
      <c r="L861" s="69">
        <v>118.33197577111784</v>
      </c>
      <c r="M861" s="69">
        <v>0</v>
      </c>
      <c r="N861" s="69">
        <v>0</v>
      </c>
      <c r="O861" s="69">
        <v>409.96799999999985</v>
      </c>
      <c r="P861" s="69">
        <v>409.96799999999985</v>
      </c>
      <c r="Q861" s="69">
        <v>409.96799999999985</v>
      </c>
      <c r="R861" s="69">
        <v>409.96799999999985</v>
      </c>
      <c r="S861" s="69">
        <v>409.96799999999985</v>
      </c>
      <c r="T861" s="69">
        <v>409.96799999999985</v>
      </c>
      <c r="U861" s="69">
        <v>409.96799999999985</v>
      </c>
      <c r="V861" s="69">
        <v>409.96799999999985</v>
      </c>
      <c r="W861" s="69">
        <v>409.96799999999985</v>
      </c>
      <c r="X861" s="69">
        <v>409.96799999999985</v>
      </c>
      <c r="Y861" s="69">
        <v>409.96799999999985</v>
      </c>
      <c r="Z861" s="69">
        <v>409.96799999999985</v>
      </c>
      <c r="AA861" s="69">
        <v>409.96799999999985</v>
      </c>
      <c r="AB861" s="69">
        <v>409.96799999999985</v>
      </c>
      <c r="AC861" s="69">
        <v>409.96799999999985</v>
      </c>
      <c r="AD861" s="69">
        <v>409.96799999999985</v>
      </c>
      <c r="AE861" s="69">
        <v>409.96799999999985</v>
      </c>
      <c r="AF861" s="69">
        <v>409.96799999999985</v>
      </c>
      <c r="AG861" s="69">
        <v>409.96799999999985</v>
      </c>
    </row>
    <row r="862" spans="1:33" ht="12.75" customHeight="1">
      <c r="A862" s="231" t="s">
        <v>2377</v>
      </c>
      <c r="B862" s="69" t="s">
        <v>215</v>
      </c>
      <c r="C862" s="69" t="s">
        <v>137</v>
      </c>
      <c r="D862" s="69" t="s">
        <v>191</v>
      </c>
      <c r="E862" s="69" t="s">
        <v>213</v>
      </c>
      <c r="F862" s="69" t="s">
        <v>152</v>
      </c>
      <c r="G862" s="69" t="s">
        <v>214</v>
      </c>
      <c r="H862" s="69" t="s">
        <v>2417</v>
      </c>
      <c r="I862" s="69">
        <v>1</v>
      </c>
      <c r="J862" s="238">
        <v>0.312</v>
      </c>
      <c r="K862" s="238">
        <v>0.17064699981121567</v>
      </c>
      <c r="L862" s="69">
        <v>118.33197577111784</v>
      </c>
      <c r="M862" s="69">
        <v>0</v>
      </c>
      <c r="N862" s="69">
        <v>0</v>
      </c>
      <c r="O862" s="69">
        <v>0</v>
      </c>
      <c r="P862" s="69">
        <v>409.96799999999985</v>
      </c>
      <c r="Q862" s="69">
        <v>409.96799999999985</v>
      </c>
      <c r="R862" s="69">
        <v>409.96799999999985</v>
      </c>
      <c r="S862" s="69">
        <v>409.96799999999985</v>
      </c>
      <c r="T862" s="69">
        <v>409.96799999999985</v>
      </c>
      <c r="U862" s="69">
        <v>409.96799999999985</v>
      </c>
      <c r="V862" s="69">
        <v>409.96799999999985</v>
      </c>
      <c r="W862" s="69">
        <v>409.96799999999985</v>
      </c>
      <c r="X862" s="69">
        <v>409.96799999999985</v>
      </c>
      <c r="Y862" s="69">
        <v>409.96799999999985</v>
      </c>
      <c r="Z862" s="69">
        <v>409.96799999999985</v>
      </c>
      <c r="AA862" s="69">
        <v>409.96799999999985</v>
      </c>
      <c r="AB862" s="69">
        <v>409.96799999999985</v>
      </c>
      <c r="AC862" s="69">
        <v>409.96799999999985</v>
      </c>
      <c r="AD862" s="69">
        <v>409.96799999999985</v>
      </c>
      <c r="AE862" s="69">
        <v>409.96799999999985</v>
      </c>
      <c r="AF862" s="69">
        <v>409.96799999999985</v>
      </c>
      <c r="AG862" s="69">
        <v>409.96799999999985</v>
      </c>
    </row>
    <row r="863" spans="1:33" ht="12.75" customHeight="1">
      <c r="A863" s="231" t="s">
        <v>2377</v>
      </c>
      <c r="B863" s="69" t="s">
        <v>216</v>
      </c>
      <c r="C863" s="69" t="s">
        <v>137</v>
      </c>
      <c r="D863" s="69" t="s">
        <v>191</v>
      </c>
      <c r="E863" s="69" t="s">
        <v>213</v>
      </c>
      <c r="F863" s="69" t="s">
        <v>152</v>
      </c>
      <c r="G863" s="69" t="s">
        <v>214</v>
      </c>
      <c r="H863" s="69" t="s">
        <v>2417</v>
      </c>
      <c r="I863" s="69">
        <v>1</v>
      </c>
      <c r="J863" s="238">
        <v>0.312</v>
      </c>
      <c r="K863" s="238">
        <v>0.17064699981121567</v>
      </c>
      <c r="L863" s="69">
        <v>118.33197577111784</v>
      </c>
      <c r="M863" s="69">
        <v>0</v>
      </c>
      <c r="N863" s="69">
        <v>0</v>
      </c>
      <c r="O863" s="69">
        <v>0</v>
      </c>
      <c r="P863" s="69">
        <v>409.96799999999985</v>
      </c>
      <c r="Q863" s="69">
        <v>409.96799999999985</v>
      </c>
      <c r="R863" s="69">
        <v>409.96799999999985</v>
      </c>
      <c r="S863" s="69">
        <v>409.96799999999985</v>
      </c>
      <c r="T863" s="69">
        <v>409.96799999999985</v>
      </c>
      <c r="U863" s="69">
        <v>409.96799999999985</v>
      </c>
      <c r="V863" s="69">
        <v>409.96799999999985</v>
      </c>
      <c r="W863" s="69">
        <v>409.96799999999985</v>
      </c>
      <c r="X863" s="69">
        <v>409.96799999999985</v>
      </c>
      <c r="Y863" s="69">
        <v>409.96799999999985</v>
      </c>
      <c r="Z863" s="69">
        <v>409.96799999999985</v>
      </c>
      <c r="AA863" s="69">
        <v>409.96799999999985</v>
      </c>
      <c r="AB863" s="69">
        <v>409.96799999999985</v>
      </c>
      <c r="AC863" s="69">
        <v>409.96799999999985</v>
      </c>
      <c r="AD863" s="69">
        <v>409.96799999999985</v>
      </c>
      <c r="AE863" s="69">
        <v>409.96799999999985</v>
      </c>
      <c r="AF863" s="69">
        <v>409.96799999999985</v>
      </c>
      <c r="AG863" s="69">
        <v>409.96799999999985</v>
      </c>
    </row>
    <row r="864" spans="1:33" ht="12.75" customHeight="1">
      <c r="A864" s="231" t="s">
        <v>2377</v>
      </c>
      <c r="B864" s="69" t="s">
        <v>217</v>
      </c>
      <c r="C864" s="69" t="s">
        <v>186</v>
      </c>
      <c r="D864" s="69" t="s">
        <v>218</v>
      </c>
      <c r="E864" s="69" t="s">
        <v>203</v>
      </c>
      <c r="F864" s="69" t="s">
        <v>157</v>
      </c>
      <c r="G864" s="69" t="s">
        <v>192</v>
      </c>
      <c r="H864" s="69" t="s">
        <v>805</v>
      </c>
      <c r="I864" s="69">
        <v>1</v>
      </c>
      <c r="J864" s="238">
        <v>0.23561922263058244</v>
      </c>
      <c r="K864" s="238">
        <v>0</v>
      </c>
      <c r="L864" s="69">
        <v>200.17205317577552</v>
      </c>
      <c r="M864" s="69">
        <v>-4.8449039881831615</v>
      </c>
      <c r="N864" s="69">
        <v>0</v>
      </c>
      <c r="O864" s="69">
        <v>0</v>
      </c>
      <c r="P864" s="69">
        <v>41.280487804878241</v>
      </c>
      <c r="Q864" s="69">
        <v>41.280487804878241</v>
      </c>
      <c r="R864" s="69">
        <v>41.280487804878241</v>
      </c>
      <c r="S864" s="69">
        <v>41.280487804878241</v>
      </c>
      <c r="T864" s="69">
        <v>41.280487804878241</v>
      </c>
      <c r="U864" s="69">
        <v>41.280487804878241</v>
      </c>
      <c r="V864" s="69">
        <v>41.280487804878241</v>
      </c>
      <c r="W864" s="69">
        <v>41.280487804878241</v>
      </c>
      <c r="X864" s="69">
        <v>41.280487804878241</v>
      </c>
      <c r="Y864" s="69">
        <v>41.280487804878241</v>
      </c>
      <c r="Z864" s="69">
        <v>41.280487804878241</v>
      </c>
      <c r="AA864" s="69">
        <v>41.280487804878241</v>
      </c>
      <c r="AB864" s="69">
        <v>41.280487804878241</v>
      </c>
      <c r="AC864" s="69">
        <v>41.280487804878241</v>
      </c>
      <c r="AD864" s="69">
        <v>41.280487804878241</v>
      </c>
      <c r="AE864" s="69">
        <v>41.280487804878241</v>
      </c>
      <c r="AF864" s="69">
        <v>41.280487804878241</v>
      </c>
      <c r="AG864" s="69">
        <v>41.280487804878241</v>
      </c>
    </row>
    <row r="865" spans="1:33" ht="12.75" customHeight="1">
      <c r="A865" s="231" t="s">
        <v>2377</v>
      </c>
      <c r="B865" s="69" t="s">
        <v>219</v>
      </c>
      <c r="C865" s="69" t="s">
        <v>186</v>
      </c>
      <c r="D865" s="69" t="s">
        <v>218</v>
      </c>
      <c r="E865" s="69" t="s">
        <v>203</v>
      </c>
      <c r="F865" s="69" t="s">
        <v>157</v>
      </c>
      <c r="G865" s="69" t="s">
        <v>192</v>
      </c>
      <c r="H865" s="69" t="s">
        <v>805</v>
      </c>
      <c r="I865" s="69">
        <v>1</v>
      </c>
      <c r="J865" s="238">
        <v>0.23561922263058244</v>
      </c>
      <c r="K865" s="238">
        <v>0</v>
      </c>
      <c r="L865" s="69">
        <v>200.17205317577552</v>
      </c>
      <c r="M865" s="69">
        <v>-4.8449039881831615</v>
      </c>
      <c r="N865" s="69">
        <v>0</v>
      </c>
      <c r="O865" s="69">
        <v>0</v>
      </c>
      <c r="P865" s="69">
        <v>41.280487804878241</v>
      </c>
      <c r="Q865" s="69">
        <v>41.280487804878241</v>
      </c>
      <c r="R865" s="69">
        <v>41.280487804878241</v>
      </c>
      <c r="S865" s="69">
        <v>41.280487804878241</v>
      </c>
      <c r="T865" s="69">
        <v>41.280487804878241</v>
      </c>
      <c r="U865" s="69">
        <v>41.280487804878241</v>
      </c>
      <c r="V865" s="69">
        <v>41.280487804878241</v>
      </c>
      <c r="W865" s="69">
        <v>41.280487804878241</v>
      </c>
      <c r="X865" s="69">
        <v>41.280487804878241</v>
      </c>
      <c r="Y865" s="69">
        <v>41.280487804878241</v>
      </c>
      <c r="Z865" s="69">
        <v>41.280487804878241</v>
      </c>
      <c r="AA865" s="69">
        <v>41.280487804878241</v>
      </c>
      <c r="AB865" s="69">
        <v>41.280487804878241</v>
      </c>
      <c r="AC865" s="69">
        <v>41.280487804878241</v>
      </c>
      <c r="AD865" s="69">
        <v>41.280487804878241</v>
      </c>
      <c r="AE865" s="69">
        <v>41.280487804878241</v>
      </c>
      <c r="AF865" s="69">
        <v>41.280487804878241</v>
      </c>
      <c r="AG865" s="69">
        <v>41.280487804878241</v>
      </c>
    </row>
    <row r="866" spans="1:33" ht="12.75" customHeight="1">
      <c r="A866" s="231" t="s">
        <v>2377</v>
      </c>
      <c r="B866" s="69" t="s">
        <v>220</v>
      </c>
      <c r="C866" s="69" t="s">
        <v>186</v>
      </c>
      <c r="D866" s="69" t="s">
        <v>218</v>
      </c>
      <c r="E866" s="69" t="s">
        <v>203</v>
      </c>
      <c r="F866" s="69" t="s">
        <v>157</v>
      </c>
      <c r="G866" s="69" t="s">
        <v>192</v>
      </c>
      <c r="H866" s="69" t="s">
        <v>805</v>
      </c>
      <c r="I866" s="69">
        <v>1</v>
      </c>
      <c r="J866" s="238">
        <v>0.23561922263058244</v>
      </c>
      <c r="K866" s="238">
        <v>0</v>
      </c>
      <c r="L866" s="69">
        <v>200.17205317577552</v>
      </c>
      <c r="M866" s="69">
        <v>-4.8449039881831615</v>
      </c>
      <c r="N866" s="69">
        <v>0</v>
      </c>
      <c r="O866" s="69">
        <v>0</v>
      </c>
      <c r="P866" s="69">
        <v>41.280487804878241</v>
      </c>
      <c r="Q866" s="69">
        <v>41.280487804878241</v>
      </c>
      <c r="R866" s="69">
        <v>41.280487804878241</v>
      </c>
      <c r="S866" s="69">
        <v>41.280487804878241</v>
      </c>
      <c r="T866" s="69">
        <v>41.280487804878241</v>
      </c>
      <c r="U866" s="69">
        <v>41.280487804878241</v>
      </c>
      <c r="V866" s="69">
        <v>41.280487804878241</v>
      </c>
      <c r="W866" s="69">
        <v>41.280487804878241</v>
      </c>
      <c r="X866" s="69">
        <v>41.280487804878241</v>
      </c>
      <c r="Y866" s="69">
        <v>41.280487804878241</v>
      </c>
      <c r="Z866" s="69">
        <v>41.280487804878241</v>
      </c>
      <c r="AA866" s="69">
        <v>41.280487804878241</v>
      </c>
      <c r="AB866" s="69">
        <v>41.280487804878241</v>
      </c>
      <c r="AC866" s="69">
        <v>41.280487804878241</v>
      </c>
      <c r="AD866" s="69">
        <v>41.280487804878241</v>
      </c>
      <c r="AE866" s="69">
        <v>41.280487804878241</v>
      </c>
      <c r="AF866" s="69">
        <v>41.280487804878241</v>
      </c>
      <c r="AG866" s="69">
        <v>41.280487804878241</v>
      </c>
    </row>
    <row r="867" spans="1:33" ht="12.75" customHeight="1">
      <c r="A867" s="231" t="s">
        <v>2377</v>
      </c>
      <c r="B867" s="69" t="s">
        <v>221</v>
      </c>
      <c r="C867" s="69" t="s">
        <v>186</v>
      </c>
      <c r="D867" s="69" t="s">
        <v>218</v>
      </c>
      <c r="E867" s="69" t="s">
        <v>203</v>
      </c>
      <c r="F867" s="69" t="s">
        <v>157</v>
      </c>
      <c r="G867" s="69" t="s">
        <v>192</v>
      </c>
      <c r="H867" s="69" t="s">
        <v>805</v>
      </c>
      <c r="I867" s="69">
        <v>1</v>
      </c>
      <c r="J867" s="238">
        <v>0.23561922263058244</v>
      </c>
      <c r="K867" s="238">
        <v>0</v>
      </c>
      <c r="L867" s="69">
        <v>200.17205317577552</v>
      </c>
      <c r="M867" s="69">
        <v>-4.8449039881831615</v>
      </c>
      <c r="N867" s="69">
        <v>0</v>
      </c>
      <c r="O867" s="69">
        <v>0</v>
      </c>
      <c r="P867" s="69">
        <v>41.280487804878241</v>
      </c>
      <c r="Q867" s="69">
        <v>41.280487804878241</v>
      </c>
      <c r="R867" s="69">
        <v>41.280487804878241</v>
      </c>
      <c r="S867" s="69">
        <v>41.280487804878241</v>
      </c>
      <c r="T867" s="69">
        <v>41.280487804878241</v>
      </c>
      <c r="U867" s="69">
        <v>41.280487804878241</v>
      </c>
      <c r="V867" s="69">
        <v>41.280487804878241</v>
      </c>
      <c r="W867" s="69">
        <v>41.280487804878241</v>
      </c>
      <c r="X867" s="69">
        <v>41.280487804878241</v>
      </c>
      <c r="Y867" s="69">
        <v>41.280487804878241</v>
      </c>
      <c r="Z867" s="69">
        <v>41.280487804878241</v>
      </c>
      <c r="AA867" s="69">
        <v>41.280487804878241</v>
      </c>
      <c r="AB867" s="69">
        <v>41.280487804878241</v>
      </c>
      <c r="AC867" s="69">
        <v>41.280487804878241</v>
      </c>
      <c r="AD867" s="69">
        <v>41.280487804878241</v>
      </c>
      <c r="AE867" s="69">
        <v>41.280487804878241</v>
      </c>
      <c r="AF867" s="69">
        <v>41.280487804878241</v>
      </c>
      <c r="AG867" s="69">
        <v>41.280487804878241</v>
      </c>
    </row>
    <row r="868" spans="1:33" ht="12.75" customHeight="1">
      <c r="A868" s="231" t="s">
        <v>2377</v>
      </c>
      <c r="B868" s="69" t="s">
        <v>222</v>
      </c>
      <c r="C868" s="69" t="s">
        <v>186</v>
      </c>
      <c r="D868" s="69" t="s">
        <v>218</v>
      </c>
      <c r="E868" s="69" t="s">
        <v>203</v>
      </c>
      <c r="F868" s="69" t="s">
        <v>157</v>
      </c>
      <c r="G868" s="69" t="s">
        <v>192</v>
      </c>
      <c r="H868" s="69" t="s">
        <v>805</v>
      </c>
      <c r="I868" s="69">
        <v>1</v>
      </c>
      <c r="J868" s="238">
        <v>0.23561922263058249</v>
      </c>
      <c r="K868" s="238">
        <v>0</v>
      </c>
      <c r="L868" s="69">
        <v>200.17205317577549</v>
      </c>
      <c r="M868" s="69">
        <v>-4.8449039881831615</v>
      </c>
      <c r="N868" s="69">
        <v>0</v>
      </c>
      <c r="O868" s="69">
        <v>18.576219512195166</v>
      </c>
      <c r="P868" s="69">
        <v>18.576219512195166</v>
      </c>
      <c r="Q868" s="69">
        <v>18.576219512195166</v>
      </c>
      <c r="R868" s="69">
        <v>18.576219512195166</v>
      </c>
      <c r="S868" s="69">
        <v>18.576219512195166</v>
      </c>
      <c r="T868" s="69">
        <v>18.576219512195166</v>
      </c>
      <c r="U868" s="69">
        <v>18.576219512195166</v>
      </c>
      <c r="V868" s="69">
        <v>18.576219512195166</v>
      </c>
      <c r="W868" s="69">
        <v>18.576219512195166</v>
      </c>
      <c r="X868" s="69">
        <v>18.576219512195166</v>
      </c>
      <c r="Y868" s="69">
        <v>18.576219512195166</v>
      </c>
      <c r="Z868" s="69">
        <v>18.576219512195166</v>
      </c>
      <c r="AA868" s="69">
        <v>18.576219512195166</v>
      </c>
      <c r="AB868" s="69">
        <v>18.576219512195166</v>
      </c>
      <c r="AC868" s="69">
        <v>18.576219512195166</v>
      </c>
      <c r="AD868" s="69">
        <v>18.576219512195166</v>
      </c>
      <c r="AE868" s="69">
        <v>18.576219512195166</v>
      </c>
      <c r="AF868" s="69">
        <v>18.576219512195166</v>
      </c>
      <c r="AG868" s="69">
        <v>18.576219512195166</v>
      </c>
    </row>
    <row r="869" spans="1:33" ht="12.75" customHeight="1">
      <c r="A869" s="231" t="s">
        <v>2377</v>
      </c>
      <c r="B869" s="69" t="s">
        <v>223</v>
      </c>
      <c r="C869" s="69" t="s">
        <v>186</v>
      </c>
      <c r="D869" s="69" t="s">
        <v>218</v>
      </c>
      <c r="E869" s="69" t="s">
        <v>203</v>
      </c>
      <c r="F869" s="69" t="s">
        <v>157</v>
      </c>
      <c r="G869" s="69" t="s">
        <v>192</v>
      </c>
      <c r="H869" s="69" t="s">
        <v>805</v>
      </c>
      <c r="I869" s="69">
        <v>1</v>
      </c>
      <c r="J869" s="238">
        <v>0.23561922263058244</v>
      </c>
      <c r="K869" s="238">
        <v>0</v>
      </c>
      <c r="L869" s="69">
        <v>200.17205317577552</v>
      </c>
      <c r="M869" s="69">
        <v>-4.8449039881831615</v>
      </c>
      <c r="N869" s="69">
        <v>0</v>
      </c>
      <c r="O869" s="69">
        <v>41.280487804878021</v>
      </c>
      <c r="P869" s="69">
        <v>41.280487804878021</v>
      </c>
      <c r="Q869" s="69">
        <v>41.280487804878021</v>
      </c>
      <c r="R869" s="69">
        <v>41.280487804878021</v>
      </c>
      <c r="S869" s="69">
        <v>41.280487804878021</v>
      </c>
      <c r="T869" s="69">
        <v>41.280487804878021</v>
      </c>
      <c r="U869" s="69">
        <v>41.280487804878021</v>
      </c>
      <c r="V869" s="69">
        <v>41.280487804878021</v>
      </c>
      <c r="W869" s="69">
        <v>41.280487804878021</v>
      </c>
      <c r="X869" s="69">
        <v>41.280487804878021</v>
      </c>
      <c r="Y869" s="69">
        <v>41.280487804878021</v>
      </c>
      <c r="Z869" s="69">
        <v>41.280487804878021</v>
      </c>
      <c r="AA869" s="69">
        <v>41.280487804878021</v>
      </c>
      <c r="AB869" s="69">
        <v>41.280487804878021</v>
      </c>
      <c r="AC869" s="69">
        <v>41.280487804878021</v>
      </c>
      <c r="AD869" s="69">
        <v>41.280487804878021</v>
      </c>
      <c r="AE869" s="69">
        <v>41.280487804878021</v>
      </c>
      <c r="AF869" s="69">
        <v>41.280487804878021</v>
      </c>
      <c r="AG869" s="69">
        <v>41.280487804878021</v>
      </c>
    </row>
    <row r="870" spans="1:33" ht="12.75" customHeight="1">
      <c r="A870" s="231" t="s">
        <v>2377</v>
      </c>
      <c r="B870" s="69" t="s">
        <v>224</v>
      </c>
      <c r="C870" s="69" t="s">
        <v>186</v>
      </c>
      <c r="D870" s="69" t="s">
        <v>218</v>
      </c>
      <c r="E870" s="69" t="s">
        <v>203</v>
      </c>
      <c r="F870" s="69" t="s">
        <v>157</v>
      </c>
      <c r="G870" s="69" t="s">
        <v>192</v>
      </c>
      <c r="H870" s="69" t="s">
        <v>805</v>
      </c>
      <c r="I870" s="69">
        <v>1</v>
      </c>
      <c r="J870" s="238">
        <v>0.23561922263058244</v>
      </c>
      <c r="K870" s="238">
        <v>0</v>
      </c>
      <c r="L870" s="69">
        <v>200.17205317577549</v>
      </c>
      <c r="M870" s="69">
        <v>-4.8449039881831615</v>
      </c>
      <c r="N870" s="69">
        <v>0</v>
      </c>
      <c r="O870" s="69">
        <v>39.216463414634063</v>
      </c>
      <c r="P870" s="69">
        <v>39.216463414634063</v>
      </c>
      <c r="Q870" s="69">
        <v>39.216463414634063</v>
      </c>
      <c r="R870" s="69">
        <v>39.216463414634063</v>
      </c>
      <c r="S870" s="69">
        <v>39.216463414634063</v>
      </c>
      <c r="T870" s="69">
        <v>39.216463414634063</v>
      </c>
      <c r="U870" s="69">
        <v>39.216463414634063</v>
      </c>
      <c r="V870" s="69">
        <v>39.216463414634063</v>
      </c>
      <c r="W870" s="69">
        <v>39.216463414634063</v>
      </c>
      <c r="X870" s="69">
        <v>39.216463414634063</v>
      </c>
      <c r="Y870" s="69">
        <v>39.216463414634063</v>
      </c>
      <c r="Z870" s="69">
        <v>39.216463414634063</v>
      </c>
      <c r="AA870" s="69">
        <v>39.216463414634063</v>
      </c>
      <c r="AB870" s="69">
        <v>39.216463414634063</v>
      </c>
      <c r="AC870" s="69">
        <v>39.216463414634063</v>
      </c>
      <c r="AD870" s="69">
        <v>39.216463414634063</v>
      </c>
      <c r="AE870" s="69">
        <v>39.216463414634063</v>
      </c>
      <c r="AF870" s="69">
        <v>39.216463414634063</v>
      </c>
      <c r="AG870" s="69">
        <v>39.216463414634063</v>
      </c>
    </row>
    <row r="871" spans="1:33" ht="12.75" customHeight="1">
      <c r="A871" s="231" t="s">
        <v>2377</v>
      </c>
      <c r="B871" s="69" t="s">
        <v>227</v>
      </c>
      <c r="C871" s="69" t="s">
        <v>187</v>
      </c>
      <c r="D871" s="69" t="s">
        <v>191</v>
      </c>
      <c r="E871" s="69" t="s">
        <v>191</v>
      </c>
      <c r="F871" s="69" t="s">
        <v>175</v>
      </c>
      <c r="G871" s="69" t="s">
        <v>192</v>
      </c>
      <c r="H871" s="69" t="s">
        <v>804</v>
      </c>
      <c r="I871" s="69">
        <v>1</v>
      </c>
      <c r="J871" s="238">
        <v>0.2668262983999703</v>
      </c>
      <c r="K871" s="238">
        <v>0.69237077523038804</v>
      </c>
      <c r="L871" s="69">
        <v>192.38629588063705</v>
      </c>
      <c r="M871" s="69">
        <v>0</v>
      </c>
      <c r="N871" s="69">
        <v>0</v>
      </c>
      <c r="O871" s="69">
        <v>0</v>
      </c>
      <c r="P871" s="69">
        <v>565.65040650406536</v>
      </c>
      <c r="Q871" s="69">
        <v>565.65040650406536</v>
      </c>
      <c r="R871" s="69">
        <v>565.65040650406536</v>
      </c>
      <c r="S871" s="69">
        <v>565.65040650406536</v>
      </c>
      <c r="T871" s="69">
        <v>565.65040650406536</v>
      </c>
      <c r="U871" s="69">
        <v>565.65040650406536</v>
      </c>
      <c r="V871" s="69">
        <v>565.65040650406536</v>
      </c>
      <c r="W871" s="69">
        <v>565.65040650406536</v>
      </c>
      <c r="X871" s="69">
        <v>565.65040650406536</v>
      </c>
      <c r="Y871" s="69">
        <v>565.65040650406536</v>
      </c>
      <c r="Z871" s="69">
        <v>565.65040650406536</v>
      </c>
      <c r="AA871" s="69">
        <v>565.65040650406536</v>
      </c>
      <c r="AB871" s="69">
        <v>565.65040650406536</v>
      </c>
      <c r="AC871" s="69">
        <v>565.65040650406536</v>
      </c>
      <c r="AD871" s="69">
        <v>565.65040650406536</v>
      </c>
      <c r="AE871" s="69">
        <v>565.65040650406536</v>
      </c>
      <c r="AF871" s="69">
        <v>565.65040650406536</v>
      </c>
      <c r="AG871" s="69">
        <v>565.65040650406536</v>
      </c>
    </row>
    <row r="872" spans="1:33" ht="12.75" customHeight="1">
      <c r="A872" s="231" t="s">
        <v>2377</v>
      </c>
      <c r="B872" s="69" t="s">
        <v>235</v>
      </c>
      <c r="C872" s="69" t="s">
        <v>139</v>
      </c>
      <c r="D872" s="69" t="s">
        <v>191</v>
      </c>
      <c r="E872" s="69" t="s">
        <v>191</v>
      </c>
      <c r="F872" s="69" t="s">
        <v>166</v>
      </c>
      <c r="G872" s="69" t="s">
        <v>236</v>
      </c>
      <c r="H872" s="69" t="s">
        <v>2417</v>
      </c>
      <c r="I872" s="69">
        <v>1</v>
      </c>
      <c r="J872" s="238">
        <v>0.85</v>
      </c>
      <c r="K872" s="238">
        <v>0.60506988845340159</v>
      </c>
      <c r="L872" s="69">
        <v>123.91348598076651</v>
      </c>
      <c r="M872" s="69">
        <v>0</v>
      </c>
      <c r="N872" s="69">
        <v>0</v>
      </c>
      <c r="O872" s="69">
        <v>0</v>
      </c>
      <c r="P872" s="69">
        <v>0</v>
      </c>
      <c r="Q872" s="69">
        <v>238.27199999999993</v>
      </c>
      <c r="R872" s="69">
        <v>238.27199999999993</v>
      </c>
      <c r="S872" s="69">
        <v>238.27199999999993</v>
      </c>
      <c r="T872" s="69">
        <v>238.27199999999993</v>
      </c>
      <c r="U872" s="69">
        <v>238.27199999999993</v>
      </c>
      <c r="V872" s="69">
        <v>238.27199999999993</v>
      </c>
      <c r="W872" s="69">
        <v>238.27199999999993</v>
      </c>
      <c r="X872" s="69">
        <v>238.27199999999993</v>
      </c>
      <c r="Y872" s="69">
        <v>238.27199999999993</v>
      </c>
      <c r="Z872" s="69">
        <v>238.27199999999993</v>
      </c>
      <c r="AA872" s="69">
        <v>238.27199999999993</v>
      </c>
      <c r="AB872" s="69">
        <v>238.27199999999993</v>
      </c>
      <c r="AC872" s="69">
        <v>238.27199999999993</v>
      </c>
      <c r="AD872" s="69">
        <v>238.27199999999993</v>
      </c>
      <c r="AE872" s="69">
        <v>238.27199999999993</v>
      </c>
      <c r="AF872" s="69">
        <v>238.27199999999993</v>
      </c>
      <c r="AG872" s="69">
        <v>238.27199999999993</v>
      </c>
    </row>
    <row r="873" spans="1:33" ht="12.75" customHeight="1">
      <c r="A873" s="231" t="s">
        <v>2377</v>
      </c>
      <c r="B873" s="69" t="s">
        <v>237</v>
      </c>
      <c r="C873" s="69" t="s">
        <v>185</v>
      </c>
      <c r="D873" s="69" t="s">
        <v>205</v>
      </c>
      <c r="E873" s="69" t="s">
        <v>194</v>
      </c>
      <c r="F873" s="69" t="s">
        <v>175</v>
      </c>
      <c r="G873" s="69" t="s">
        <v>192</v>
      </c>
      <c r="H873" s="69" t="s">
        <v>804</v>
      </c>
      <c r="I873" s="69">
        <v>1</v>
      </c>
      <c r="J873" s="238">
        <v>0.26624999999999999</v>
      </c>
      <c r="K873" s="238">
        <v>0.50027165852802347</v>
      </c>
      <c r="L873" s="69">
        <v>147.69233230629843</v>
      </c>
      <c r="M873" s="69">
        <v>0</v>
      </c>
      <c r="N873" s="69">
        <v>0</v>
      </c>
      <c r="O873" s="69">
        <v>0</v>
      </c>
      <c r="P873" s="69">
        <v>0</v>
      </c>
      <c r="Q873" s="69">
        <v>0</v>
      </c>
      <c r="R873" s="69">
        <v>0</v>
      </c>
      <c r="S873" s="69">
        <v>583.08750000000146</v>
      </c>
      <c r="T873" s="69">
        <v>583.08750000000146</v>
      </c>
      <c r="U873" s="69">
        <v>583.08750000000146</v>
      </c>
      <c r="V873" s="69">
        <v>583.08750000000146</v>
      </c>
      <c r="W873" s="69">
        <v>583.08750000000146</v>
      </c>
      <c r="X873" s="69">
        <v>583.08750000000146</v>
      </c>
      <c r="Y873" s="69">
        <v>583.08750000000146</v>
      </c>
      <c r="Z873" s="69">
        <v>583.08750000000146</v>
      </c>
      <c r="AA873" s="69">
        <v>583.08750000000146</v>
      </c>
      <c r="AB873" s="69">
        <v>583.08750000000146</v>
      </c>
      <c r="AC873" s="69">
        <v>583.08750000000146</v>
      </c>
      <c r="AD873" s="69">
        <v>583.08750000000146</v>
      </c>
      <c r="AE873" s="69">
        <v>583.08750000000146</v>
      </c>
      <c r="AF873" s="69">
        <v>583.08750000000146</v>
      </c>
      <c r="AG873" s="69">
        <v>583.08750000000146</v>
      </c>
    </row>
    <row r="874" spans="1:33" ht="12.75" customHeight="1">
      <c r="A874" s="231" t="s">
        <v>2377</v>
      </c>
      <c r="B874" s="69" t="s">
        <v>239</v>
      </c>
      <c r="C874" s="69" t="s">
        <v>137</v>
      </c>
      <c r="D874" s="69" t="s">
        <v>191</v>
      </c>
      <c r="E874" s="69" t="s">
        <v>191</v>
      </c>
      <c r="F874" s="69" t="s">
        <v>180</v>
      </c>
      <c r="G874" s="69" t="s">
        <v>192</v>
      </c>
      <c r="H874" s="69" t="s">
        <v>804</v>
      </c>
      <c r="I874" s="69">
        <v>2</v>
      </c>
      <c r="J874" s="238">
        <v>0.32235762917068039</v>
      </c>
      <c r="K874" s="238">
        <v>0.160195270625522</v>
      </c>
      <c r="L874" s="69">
        <v>96.038728079112801</v>
      </c>
      <c r="M874" s="69">
        <v>0</v>
      </c>
      <c r="N874" s="69">
        <v>0</v>
      </c>
      <c r="O874" s="69">
        <v>0</v>
      </c>
      <c r="P874" s="69">
        <v>0</v>
      </c>
      <c r="Q874" s="69">
        <v>0</v>
      </c>
      <c r="R874" s="69">
        <v>56.477056630701554</v>
      </c>
      <c r="S874" s="69">
        <v>56.477056630701554</v>
      </c>
      <c r="T874" s="69">
        <v>56.477056630701554</v>
      </c>
      <c r="U874" s="69">
        <v>56.477056630701554</v>
      </c>
      <c r="V874" s="69">
        <v>56.477056630701554</v>
      </c>
      <c r="W874" s="69">
        <v>56.477056630701554</v>
      </c>
      <c r="X874" s="69">
        <v>56.477056630701554</v>
      </c>
      <c r="Y874" s="69">
        <v>56.477056630701554</v>
      </c>
      <c r="Z874" s="69">
        <v>56.477056630701554</v>
      </c>
      <c r="AA874" s="69">
        <v>56.477056630701554</v>
      </c>
      <c r="AB874" s="69">
        <v>56.477056630701554</v>
      </c>
      <c r="AC874" s="69">
        <v>56.477056630701554</v>
      </c>
      <c r="AD874" s="69">
        <v>56.477056630701554</v>
      </c>
      <c r="AE874" s="69">
        <v>56.477056630701554</v>
      </c>
      <c r="AF874" s="69">
        <v>56.477056630701554</v>
      </c>
      <c r="AG874" s="69">
        <v>56.477056630701554</v>
      </c>
    </row>
    <row r="875" spans="1:33" ht="12.75" customHeight="1">
      <c r="A875" s="231" t="s">
        <v>2377</v>
      </c>
      <c r="B875" s="69" t="s">
        <v>240</v>
      </c>
      <c r="C875" s="69" t="s">
        <v>137</v>
      </c>
      <c r="D875" s="69" t="s">
        <v>191</v>
      </c>
      <c r="E875" s="69" t="s">
        <v>191</v>
      </c>
      <c r="F875" s="69" t="s">
        <v>180</v>
      </c>
      <c r="G875" s="69" t="s">
        <v>192</v>
      </c>
      <c r="H875" s="69" t="s">
        <v>804</v>
      </c>
      <c r="I875" s="69">
        <v>2</v>
      </c>
      <c r="J875" s="238">
        <v>0.32235762917068039</v>
      </c>
      <c r="K875" s="238">
        <v>0.160195270625522</v>
      </c>
      <c r="L875" s="69">
        <v>96.038728079112801</v>
      </c>
      <c r="M875" s="69">
        <v>0</v>
      </c>
      <c r="N875" s="69">
        <v>0</v>
      </c>
      <c r="O875" s="69">
        <v>0</v>
      </c>
      <c r="P875" s="69">
        <v>0</v>
      </c>
      <c r="Q875" s="69">
        <v>0</v>
      </c>
      <c r="R875" s="69">
        <v>11.295411326140311</v>
      </c>
      <c r="S875" s="69">
        <v>11.295411326140311</v>
      </c>
      <c r="T875" s="69">
        <v>11.295411326140311</v>
      </c>
      <c r="U875" s="69">
        <v>11.295411326140311</v>
      </c>
      <c r="V875" s="69">
        <v>11.295411326140311</v>
      </c>
      <c r="W875" s="69">
        <v>11.295411326140311</v>
      </c>
      <c r="X875" s="69">
        <v>11.295411326140311</v>
      </c>
      <c r="Y875" s="69">
        <v>11.295411326140311</v>
      </c>
      <c r="Z875" s="69">
        <v>11.295411326140311</v>
      </c>
      <c r="AA875" s="69">
        <v>11.295411326140311</v>
      </c>
      <c r="AB875" s="69">
        <v>11.295411326140311</v>
      </c>
      <c r="AC875" s="69">
        <v>11.295411326140311</v>
      </c>
      <c r="AD875" s="69">
        <v>11.295411326140311</v>
      </c>
      <c r="AE875" s="69">
        <v>11.295411326140311</v>
      </c>
      <c r="AF875" s="69">
        <v>11.295411326140311</v>
      </c>
      <c r="AG875" s="69">
        <v>11.295411326140311</v>
      </c>
    </row>
    <row r="876" spans="1:33" ht="12.75" customHeight="1">
      <c r="A876" s="231" t="s">
        <v>2377</v>
      </c>
      <c r="B876" s="69" t="s">
        <v>241</v>
      </c>
      <c r="C876" s="69" t="s">
        <v>186</v>
      </c>
      <c r="D876" s="69" t="s">
        <v>218</v>
      </c>
      <c r="E876" s="69" t="s">
        <v>242</v>
      </c>
      <c r="F876" s="69" t="s">
        <v>158</v>
      </c>
      <c r="G876" s="69" t="s">
        <v>192</v>
      </c>
      <c r="H876" s="69" t="s">
        <v>804</v>
      </c>
      <c r="I876" s="69">
        <v>1</v>
      </c>
      <c r="J876" s="238">
        <v>0.24339198871440765</v>
      </c>
      <c r="K876" s="238">
        <v>0</v>
      </c>
      <c r="L876" s="69">
        <v>193.77952335557677</v>
      </c>
      <c r="M876" s="69">
        <v>-4.6901811248808389</v>
      </c>
      <c r="N876" s="69">
        <v>0</v>
      </c>
      <c r="O876" s="69">
        <v>0</v>
      </c>
      <c r="P876" s="69">
        <v>0</v>
      </c>
      <c r="Q876" s="69">
        <v>42.642276422764553</v>
      </c>
      <c r="R876" s="69">
        <v>42.642276422764553</v>
      </c>
      <c r="S876" s="69">
        <v>42.642276422764553</v>
      </c>
      <c r="T876" s="69">
        <v>42.642276422764553</v>
      </c>
      <c r="U876" s="69">
        <v>42.642276422764553</v>
      </c>
      <c r="V876" s="69">
        <v>42.642276422764553</v>
      </c>
      <c r="W876" s="69">
        <v>42.642276422764553</v>
      </c>
      <c r="X876" s="69">
        <v>42.642276422764553</v>
      </c>
      <c r="Y876" s="69">
        <v>42.642276422764553</v>
      </c>
      <c r="Z876" s="69">
        <v>42.642276422764553</v>
      </c>
      <c r="AA876" s="69">
        <v>42.642276422764553</v>
      </c>
      <c r="AB876" s="69">
        <v>42.642276422764553</v>
      </c>
      <c r="AC876" s="69">
        <v>42.642276422764553</v>
      </c>
      <c r="AD876" s="69">
        <v>42.642276422764553</v>
      </c>
      <c r="AE876" s="69">
        <v>42.642276422764553</v>
      </c>
      <c r="AF876" s="69">
        <v>42.642276422764553</v>
      </c>
      <c r="AG876" s="69">
        <v>42.642276422764553</v>
      </c>
    </row>
    <row r="877" spans="1:33" ht="12.75" customHeight="1">
      <c r="A877" s="231" t="s">
        <v>2377</v>
      </c>
      <c r="B877" s="69" t="s">
        <v>243</v>
      </c>
      <c r="C877" s="69" t="s">
        <v>186</v>
      </c>
      <c r="D877" s="69" t="s">
        <v>218</v>
      </c>
      <c r="E877" s="69" t="s">
        <v>244</v>
      </c>
      <c r="F877" s="69" t="s">
        <v>158</v>
      </c>
      <c r="G877" s="69" t="s">
        <v>192</v>
      </c>
      <c r="H877" s="69" t="s">
        <v>804</v>
      </c>
      <c r="I877" s="69">
        <v>1</v>
      </c>
      <c r="J877" s="238">
        <v>0.2668262983999703</v>
      </c>
      <c r="K877" s="238">
        <v>0</v>
      </c>
      <c r="L877" s="69">
        <v>176.76062608695653</v>
      </c>
      <c r="M877" s="69">
        <v>-4.2782608695652176</v>
      </c>
      <c r="N877" s="69">
        <v>46.747967479674791</v>
      </c>
      <c r="O877" s="69">
        <v>46.747967479674791</v>
      </c>
      <c r="P877" s="69">
        <v>46.747967479674791</v>
      </c>
      <c r="Q877" s="69">
        <v>46.747967479674791</v>
      </c>
      <c r="R877" s="69">
        <v>46.747967479674791</v>
      </c>
      <c r="S877" s="69">
        <v>46.747967479674791</v>
      </c>
      <c r="T877" s="69">
        <v>46.747967479674791</v>
      </c>
      <c r="U877" s="69">
        <v>46.747967479674791</v>
      </c>
      <c r="V877" s="69">
        <v>46.747967479674791</v>
      </c>
      <c r="W877" s="69">
        <v>46.747967479674791</v>
      </c>
      <c r="X877" s="69">
        <v>46.747967479674791</v>
      </c>
      <c r="Y877" s="69">
        <v>46.747967479674791</v>
      </c>
      <c r="Z877" s="69">
        <v>46.747967479674791</v>
      </c>
      <c r="AA877" s="69">
        <v>46.747967479674791</v>
      </c>
      <c r="AB877" s="69">
        <v>46.747967479674791</v>
      </c>
      <c r="AC877" s="69">
        <v>46.747967479674791</v>
      </c>
      <c r="AD877" s="69">
        <v>46.747967479674791</v>
      </c>
      <c r="AE877" s="69">
        <v>46.747967479674791</v>
      </c>
      <c r="AF877" s="69">
        <v>46.747967479674791</v>
      </c>
      <c r="AG877" s="69">
        <v>46.747967479674791</v>
      </c>
    </row>
    <row r="878" spans="1:33" ht="12.75" customHeight="1">
      <c r="A878" s="231" t="s">
        <v>2377</v>
      </c>
      <c r="B878" s="69" t="s">
        <v>245</v>
      </c>
      <c r="C878" s="69" t="s">
        <v>137</v>
      </c>
      <c r="D878" s="69" t="s">
        <v>191</v>
      </c>
      <c r="E878" s="69" t="s">
        <v>191</v>
      </c>
      <c r="F878" s="69" t="s">
        <v>180</v>
      </c>
      <c r="G878" s="69" t="s">
        <v>192</v>
      </c>
      <c r="H878" s="69" t="s">
        <v>804</v>
      </c>
      <c r="I878" s="69">
        <v>2</v>
      </c>
      <c r="J878" s="238">
        <v>0.32235762917068039</v>
      </c>
      <c r="K878" s="238">
        <v>0.160195270625522</v>
      </c>
      <c r="L878" s="69">
        <v>96.038728079112801</v>
      </c>
      <c r="M878" s="69">
        <v>0</v>
      </c>
      <c r="N878" s="69">
        <v>0</v>
      </c>
      <c r="O878" s="69">
        <v>0</v>
      </c>
      <c r="P878" s="69">
        <v>0</v>
      </c>
      <c r="Q878" s="69">
        <v>0</v>
      </c>
      <c r="R878" s="69">
        <v>56.477056630701554</v>
      </c>
      <c r="S878" s="69">
        <v>56.477056630701554</v>
      </c>
      <c r="T878" s="69">
        <v>56.477056630701554</v>
      </c>
      <c r="U878" s="69">
        <v>56.477056630701554</v>
      </c>
      <c r="V878" s="69">
        <v>56.477056630701554</v>
      </c>
      <c r="W878" s="69">
        <v>56.477056630701554</v>
      </c>
      <c r="X878" s="69">
        <v>56.477056630701554</v>
      </c>
      <c r="Y878" s="69">
        <v>56.477056630701554</v>
      </c>
      <c r="Z878" s="69">
        <v>56.477056630701554</v>
      </c>
      <c r="AA878" s="69">
        <v>56.477056630701554</v>
      </c>
      <c r="AB878" s="69">
        <v>56.477056630701554</v>
      </c>
      <c r="AC878" s="69">
        <v>56.477056630701554</v>
      </c>
      <c r="AD878" s="69">
        <v>56.477056630701554</v>
      </c>
      <c r="AE878" s="69">
        <v>56.477056630701554</v>
      </c>
      <c r="AF878" s="69">
        <v>56.477056630701554</v>
      </c>
      <c r="AG878" s="69">
        <v>56.477056630701554</v>
      </c>
    </row>
    <row r="879" spans="1:33" ht="12.75" customHeight="1">
      <c r="A879" s="231" t="s">
        <v>2377</v>
      </c>
      <c r="B879" s="69" t="s">
        <v>246</v>
      </c>
      <c r="C879" s="69" t="s">
        <v>186</v>
      </c>
      <c r="D879" s="69" t="s">
        <v>218</v>
      </c>
      <c r="E879" s="69" t="s">
        <v>244</v>
      </c>
      <c r="F879" s="69" t="s">
        <v>158</v>
      </c>
      <c r="G879" s="69" t="s">
        <v>192</v>
      </c>
      <c r="H879" s="69" t="s">
        <v>804</v>
      </c>
      <c r="I879" s="69">
        <v>1</v>
      </c>
      <c r="J879" s="238">
        <v>0.2668262983999703</v>
      </c>
      <c r="K879" s="238">
        <v>0</v>
      </c>
      <c r="L879" s="69">
        <v>176.76062608695653</v>
      </c>
      <c r="M879" s="69">
        <v>-4.2782608695652176</v>
      </c>
      <c r="N879" s="69">
        <v>0</v>
      </c>
      <c r="O879" s="69">
        <v>0</v>
      </c>
      <c r="P879" s="69">
        <v>0</v>
      </c>
      <c r="Q879" s="69">
        <v>11.686991869918529</v>
      </c>
      <c r="R879" s="69">
        <v>11.686991869918529</v>
      </c>
      <c r="S879" s="69">
        <v>11.686991869918529</v>
      </c>
      <c r="T879" s="69">
        <v>11.686991869918529</v>
      </c>
      <c r="U879" s="69">
        <v>11.686991869918529</v>
      </c>
      <c r="V879" s="69">
        <v>11.686991869918529</v>
      </c>
      <c r="W879" s="69">
        <v>11.686991869918529</v>
      </c>
      <c r="X879" s="69">
        <v>11.686991869918529</v>
      </c>
      <c r="Y879" s="69">
        <v>11.686991869918529</v>
      </c>
      <c r="Z879" s="69">
        <v>11.686991869918529</v>
      </c>
      <c r="AA879" s="69">
        <v>11.686991869918529</v>
      </c>
      <c r="AB879" s="69">
        <v>11.686991869918529</v>
      </c>
      <c r="AC879" s="69">
        <v>11.686991869918529</v>
      </c>
      <c r="AD879" s="69">
        <v>11.686991869918529</v>
      </c>
      <c r="AE879" s="69">
        <v>11.686991869918529</v>
      </c>
      <c r="AF879" s="69">
        <v>11.686991869918529</v>
      </c>
      <c r="AG879" s="69">
        <v>11.686991869918529</v>
      </c>
    </row>
    <row r="880" spans="1:33" ht="12.75" customHeight="1">
      <c r="A880" s="231" t="s">
        <v>2377</v>
      </c>
      <c r="B880" s="69" t="s">
        <v>247</v>
      </c>
      <c r="C880" s="69" t="s">
        <v>186</v>
      </c>
      <c r="D880" s="69" t="s">
        <v>218</v>
      </c>
      <c r="E880" s="69" t="s">
        <v>244</v>
      </c>
      <c r="F880" s="69" t="s">
        <v>158</v>
      </c>
      <c r="G880" s="69" t="s">
        <v>192</v>
      </c>
      <c r="H880" s="69" t="s">
        <v>804</v>
      </c>
      <c r="I880" s="69">
        <v>1</v>
      </c>
      <c r="J880" s="238">
        <v>0.2668262983999703</v>
      </c>
      <c r="K880" s="238">
        <v>0</v>
      </c>
      <c r="L880" s="69">
        <v>176.76062608695653</v>
      </c>
      <c r="M880" s="69">
        <v>-4.2782608695652176</v>
      </c>
      <c r="N880" s="69">
        <v>0</v>
      </c>
      <c r="O880" s="69">
        <v>0</v>
      </c>
      <c r="P880" s="69">
        <v>0</v>
      </c>
      <c r="Q880" s="69">
        <v>46.747967479675033</v>
      </c>
      <c r="R880" s="69">
        <v>46.747967479675033</v>
      </c>
      <c r="S880" s="69">
        <v>46.747967479675033</v>
      </c>
      <c r="T880" s="69">
        <v>46.747967479675033</v>
      </c>
      <c r="U880" s="69">
        <v>46.747967479675033</v>
      </c>
      <c r="V880" s="69">
        <v>46.747967479675033</v>
      </c>
      <c r="W880" s="69">
        <v>46.747967479675033</v>
      </c>
      <c r="X880" s="69">
        <v>46.747967479675033</v>
      </c>
      <c r="Y880" s="69">
        <v>46.747967479675033</v>
      </c>
      <c r="Z880" s="69">
        <v>46.747967479675033</v>
      </c>
      <c r="AA880" s="69">
        <v>46.747967479675033</v>
      </c>
      <c r="AB880" s="69">
        <v>46.747967479675033</v>
      </c>
      <c r="AC880" s="69">
        <v>46.747967479675033</v>
      </c>
      <c r="AD880" s="69">
        <v>46.747967479675033</v>
      </c>
      <c r="AE880" s="69">
        <v>46.747967479675033</v>
      </c>
      <c r="AF880" s="69">
        <v>46.747967479675033</v>
      </c>
      <c r="AG880" s="69">
        <v>46.747967479675033</v>
      </c>
    </row>
    <row r="881" spans="1:33" ht="12.75" customHeight="1">
      <c r="A881" s="231" t="s">
        <v>2377</v>
      </c>
      <c r="B881" s="69" t="s">
        <v>248</v>
      </c>
      <c r="C881" s="69" t="s">
        <v>186</v>
      </c>
      <c r="D881" s="69" t="s">
        <v>218</v>
      </c>
      <c r="E881" s="69" t="s">
        <v>244</v>
      </c>
      <c r="F881" s="69" t="s">
        <v>158</v>
      </c>
      <c r="G881" s="69" t="s">
        <v>192</v>
      </c>
      <c r="H881" s="69" t="s">
        <v>804</v>
      </c>
      <c r="I881" s="69">
        <v>1</v>
      </c>
      <c r="J881" s="238">
        <v>0.2668262983999703</v>
      </c>
      <c r="K881" s="238">
        <v>0</v>
      </c>
      <c r="L881" s="69">
        <v>176.76062608695653</v>
      </c>
      <c r="M881" s="69">
        <v>-4.2782608695652176</v>
      </c>
      <c r="N881" s="69">
        <v>0</v>
      </c>
      <c r="O881" s="69">
        <v>0</v>
      </c>
      <c r="P881" s="69">
        <v>0</v>
      </c>
      <c r="Q881" s="69">
        <v>46.747967479675033</v>
      </c>
      <c r="R881" s="69">
        <v>46.747967479675033</v>
      </c>
      <c r="S881" s="69">
        <v>46.747967479675033</v>
      </c>
      <c r="T881" s="69">
        <v>46.747967479675033</v>
      </c>
      <c r="U881" s="69">
        <v>46.747967479675033</v>
      </c>
      <c r="V881" s="69">
        <v>46.747967479675033</v>
      </c>
      <c r="W881" s="69">
        <v>46.747967479675033</v>
      </c>
      <c r="X881" s="69">
        <v>46.747967479675033</v>
      </c>
      <c r="Y881" s="69">
        <v>46.747967479675033</v>
      </c>
      <c r="Z881" s="69">
        <v>46.747967479675033</v>
      </c>
      <c r="AA881" s="69">
        <v>46.747967479675033</v>
      </c>
      <c r="AB881" s="69">
        <v>46.747967479675033</v>
      </c>
      <c r="AC881" s="69">
        <v>46.747967479675033</v>
      </c>
      <c r="AD881" s="69">
        <v>46.747967479675033</v>
      </c>
      <c r="AE881" s="69">
        <v>46.747967479675033</v>
      </c>
      <c r="AF881" s="69">
        <v>46.747967479675033</v>
      </c>
      <c r="AG881" s="69">
        <v>46.747967479675033</v>
      </c>
    </row>
    <row r="882" spans="1:33" ht="12.75" customHeight="1">
      <c r="A882" s="231" t="s">
        <v>2377</v>
      </c>
      <c r="B882" s="69" t="s">
        <v>249</v>
      </c>
      <c r="C882" s="69" t="s">
        <v>186</v>
      </c>
      <c r="D882" s="69" t="s">
        <v>218</v>
      </c>
      <c r="E882" s="69" t="s">
        <v>244</v>
      </c>
      <c r="F882" s="69" t="s">
        <v>158</v>
      </c>
      <c r="G882" s="69" t="s">
        <v>192</v>
      </c>
      <c r="H882" s="69" t="s">
        <v>804</v>
      </c>
      <c r="I882" s="69">
        <v>1</v>
      </c>
      <c r="J882" s="238">
        <v>0.2668262983999703</v>
      </c>
      <c r="K882" s="238">
        <v>0</v>
      </c>
      <c r="L882" s="69">
        <v>176.76062608695653</v>
      </c>
      <c r="M882" s="69">
        <v>-4.2782608695652176</v>
      </c>
      <c r="N882" s="69">
        <v>0</v>
      </c>
      <c r="O882" s="69">
        <v>0</v>
      </c>
      <c r="P882" s="69">
        <v>0</v>
      </c>
      <c r="Q882" s="69">
        <v>0</v>
      </c>
      <c r="R882" s="69">
        <v>46.747967479674116</v>
      </c>
      <c r="S882" s="69">
        <v>46.747967479674116</v>
      </c>
      <c r="T882" s="69">
        <v>46.747967479674116</v>
      </c>
      <c r="U882" s="69">
        <v>46.747967479674116</v>
      </c>
      <c r="V882" s="69">
        <v>46.747967479674116</v>
      </c>
      <c r="W882" s="69">
        <v>46.747967479674116</v>
      </c>
      <c r="X882" s="69">
        <v>46.747967479674116</v>
      </c>
      <c r="Y882" s="69">
        <v>46.747967479674116</v>
      </c>
      <c r="Z882" s="69">
        <v>46.747967479674116</v>
      </c>
      <c r="AA882" s="69">
        <v>46.747967479674116</v>
      </c>
      <c r="AB882" s="69">
        <v>46.747967479674116</v>
      </c>
      <c r="AC882" s="69">
        <v>46.747967479674116</v>
      </c>
      <c r="AD882" s="69">
        <v>46.747967479674116</v>
      </c>
      <c r="AE882" s="69">
        <v>46.747967479674116</v>
      </c>
      <c r="AF882" s="69">
        <v>46.747967479674116</v>
      </c>
      <c r="AG882" s="69">
        <v>46.747967479674116</v>
      </c>
    </row>
    <row r="883" spans="1:33" ht="12.75" customHeight="1">
      <c r="A883" s="231" t="s">
        <v>2377</v>
      </c>
      <c r="B883" s="69" t="s">
        <v>250</v>
      </c>
      <c r="C883" s="69" t="s">
        <v>186</v>
      </c>
      <c r="D883" s="69" t="s">
        <v>218</v>
      </c>
      <c r="E883" s="69" t="s">
        <v>244</v>
      </c>
      <c r="F883" s="69" t="s">
        <v>158</v>
      </c>
      <c r="G883" s="69" t="s">
        <v>192</v>
      </c>
      <c r="H883" s="69" t="s">
        <v>804</v>
      </c>
      <c r="I883" s="69">
        <v>1</v>
      </c>
      <c r="J883" s="238">
        <v>0.2668262983999703</v>
      </c>
      <c r="K883" s="238">
        <v>0</v>
      </c>
      <c r="L883" s="69">
        <v>176.76062608695653</v>
      </c>
      <c r="M883" s="69">
        <v>-4.2782608695652176</v>
      </c>
      <c r="N883" s="69">
        <v>0</v>
      </c>
      <c r="O883" s="69">
        <v>0</v>
      </c>
      <c r="P883" s="69">
        <v>0</v>
      </c>
      <c r="Q883" s="69">
        <v>0</v>
      </c>
      <c r="R883" s="69">
        <v>46.747967479674116</v>
      </c>
      <c r="S883" s="69">
        <v>46.747967479674116</v>
      </c>
      <c r="T883" s="69">
        <v>46.747967479674116</v>
      </c>
      <c r="U883" s="69">
        <v>46.747967479674116</v>
      </c>
      <c r="V883" s="69">
        <v>46.747967479674116</v>
      </c>
      <c r="W883" s="69">
        <v>46.747967479674116</v>
      </c>
      <c r="X883" s="69">
        <v>46.747967479674116</v>
      </c>
      <c r="Y883" s="69">
        <v>46.747967479674116</v>
      </c>
      <c r="Z883" s="69">
        <v>46.747967479674116</v>
      </c>
      <c r="AA883" s="69">
        <v>46.747967479674116</v>
      </c>
      <c r="AB883" s="69">
        <v>46.747967479674116</v>
      </c>
      <c r="AC883" s="69">
        <v>46.747967479674116</v>
      </c>
      <c r="AD883" s="69">
        <v>46.747967479674116</v>
      </c>
      <c r="AE883" s="69">
        <v>46.747967479674116</v>
      </c>
      <c r="AF883" s="69">
        <v>46.747967479674116</v>
      </c>
      <c r="AG883" s="69">
        <v>46.747967479674116</v>
      </c>
    </row>
    <row r="884" spans="1:33" ht="12.75" customHeight="1">
      <c r="A884" s="231" t="s">
        <v>2377</v>
      </c>
      <c r="B884" s="69" t="s">
        <v>251</v>
      </c>
      <c r="C884" s="69" t="s">
        <v>186</v>
      </c>
      <c r="D884" s="69" t="s">
        <v>218</v>
      </c>
      <c r="E884" s="69" t="s">
        <v>244</v>
      </c>
      <c r="F884" s="69" t="s">
        <v>158</v>
      </c>
      <c r="G884" s="69" t="s">
        <v>192</v>
      </c>
      <c r="H884" s="69" t="s">
        <v>804</v>
      </c>
      <c r="I884" s="69">
        <v>1</v>
      </c>
      <c r="J884" s="238">
        <v>0.2668262983999703</v>
      </c>
      <c r="K884" s="238">
        <v>0</v>
      </c>
      <c r="L884" s="69">
        <v>176.76062608695653</v>
      </c>
      <c r="M884" s="69">
        <v>-4.2782608695652176</v>
      </c>
      <c r="N884" s="69">
        <v>0</v>
      </c>
      <c r="O884" s="69">
        <v>0</v>
      </c>
      <c r="P884" s="69">
        <v>0</v>
      </c>
      <c r="Q884" s="69">
        <v>0</v>
      </c>
      <c r="R884" s="69">
        <v>35.060975609756497</v>
      </c>
      <c r="S884" s="69">
        <v>35.060975609756497</v>
      </c>
      <c r="T884" s="69">
        <v>35.060975609756497</v>
      </c>
      <c r="U884" s="69">
        <v>35.060975609756497</v>
      </c>
      <c r="V884" s="69">
        <v>35.060975609756497</v>
      </c>
      <c r="W884" s="69">
        <v>35.060975609756497</v>
      </c>
      <c r="X884" s="69">
        <v>35.060975609756497</v>
      </c>
      <c r="Y884" s="69">
        <v>35.060975609756497</v>
      </c>
      <c r="Z884" s="69">
        <v>35.060975609756497</v>
      </c>
      <c r="AA884" s="69">
        <v>35.060975609756497</v>
      </c>
      <c r="AB884" s="69">
        <v>35.060975609756497</v>
      </c>
      <c r="AC884" s="69">
        <v>35.060975609756497</v>
      </c>
      <c r="AD884" s="69">
        <v>35.060975609756497</v>
      </c>
      <c r="AE884" s="69">
        <v>35.060975609756497</v>
      </c>
      <c r="AF884" s="69">
        <v>35.060975609756497</v>
      </c>
      <c r="AG884" s="69">
        <v>35.060975609756497</v>
      </c>
    </row>
    <row r="885" spans="1:33" ht="12.75" customHeight="1">
      <c r="A885" s="231" t="s">
        <v>2377</v>
      </c>
      <c r="B885" s="69" t="s">
        <v>252</v>
      </c>
      <c r="C885" s="69" t="s">
        <v>137</v>
      </c>
      <c r="D885" s="69" t="s">
        <v>191</v>
      </c>
      <c r="E885" s="69" t="s">
        <v>191</v>
      </c>
      <c r="F885" s="69" t="s">
        <v>169</v>
      </c>
      <c r="G885" s="69" t="s">
        <v>192</v>
      </c>
      <c r="H885" s="69" t="s">
        <v>804</v>
      </c>
      <c r="I885" s="69">
        <v>1</v>
      </c>
      <c r="J885" s="238">
        <v>0.32235762917068039</v>
      </c>
      <c r="K885" s="238">
        <v>0.16115831843295012</v>
      </c>
      <c r="L885" s="69">
        <v>96.038728079112801</v>
      </c>
      <c r="M885" s="69">
        <v>0</v>
      </c>
      <c r="N885" s="69">
        <v>0</v>
      </c>
      <c r="O885" s="69">
        <v>112.95411326140653</v>
      </c>
      <c r="P885" s="69">
        <v>112.95411326140653</v>
      </c>
      <c r="Q885" s="69">
        <v>112.95411326140653</v>
      </c>
      <c r="R885" s="69">
        <v>112.95411326140653</v>
      </c>
      <c r="S885" s="69">
        <v>112.95411326140653</v>
      </c>
      <c r="T885" s="69">
        <v>112.95411326140653</v>
      </c>
      <c r="U885" s="69">
        <v>112.95411326140653</v>
      </c>
      <c r="V885" s="69">
        <v>112.95411326140653</v>
      </c>
      <c r="W885" s="69">
        <v>112.95411326140653</v>
      </c>
      <c r="X885" s="69">
        <v>112.95411326140653</v>
      </c>
      <c r="Y885" s="69">
        <v>112.95411326140653</v>
      </c>
      <c r="Z885" s="69">
        <v>112.95411326140653</v>
      </c>
      <c r="AA885" s="69">
        <v>112.95411326140653</v>
      </c>
      <c r="AB885" s="69">
        <v>112.95411326140653</v>
      </c>
      <c r="AC885" s="69">
        <v>112.95411326140653</v>
      </c>
      <c r="AD885" s="69">
        <v>112.95411326140653</v>
      </c>
      <c r="AE885" s="69">
        <v>112.95411326140653</v>
      </c>
      <c r="AF885" s="69">
        <v>112.95411326140653</v>
      </c>
      <c r="AG885" s="69">
        <v>112.95411326140653</v>
      </c>
    </row>
    <row r="886" spans="1:33" ht="12.75" customHeight="1">
      <c r="A886" s="231" t="s">
        <v>2377</v>
      </c>
      <c r="B886" s="69" t="s">
        <v>255</v>
      </c>
      <c r="C886" s="69" t="s">
        <v>139</v>
      </c>
      <c r="D886" s="69" t="s">
        <v>191</v>
      </c>
      <c r="E886" s="69" t="s">
        <v>191</v>
      </c>
      <c r="F886" s="69" t="s">
        <v>167</v>
      </c>
      <c r="G886" s="69" t="s">
        <v>192</v>
      </c>
      <c r="H886" s="69" t="s">
        <v>805</v>
      </c>
      <c r="I886" s="69">
        <v>1</v>
      </c>
      <c r="J886" s="238">
        <v>0.85</v>
      </c>
      <c r="K886" s="238">
        <v>0.66</v>
      </c>
      <c r="L886" s="69">
        <v>127.99027888971092</v>
      </c>
      <c r="M886" s="69">
        <v>0</v>
      </c>
      <c r="N886" s="69">
        <v>0</v>
      </c>
      <c r="O886" s="69">
        <v>0</v>
      </c>
      <c r="P886" s="69">
        <v>0</v>
      </c>
      <c r="Q886" s="69">
        <v>37.229999999999563</v>
      </c>
      <c r="R886" s="69">
        <v>37.229999999999563</v>
      </c>
      <c r="S886" s="69">
        <v>37.229999999999563</v>
      </c>
      <c r="T886" s="69">
        <v>37.229999999999563</v>
      </c>
      <c r="U886" s="69">
        <v>37.229999999999563</v>
      </c>
      <c r="V886" s="69">
        <v>37.229999999999563</v>
      </c>
      <c r="W886" s="69">
        <v>37.229999999999563</v>
      </c>
      <c r="X886" s="69">
        <v>37.229999999999563</v>
      </c>
      <c r="Y886" s="69">
        <v>37.229999999999563</v>
      </c>
      <c r="Z886" s="69">
        <v>37.229999999999563</v>
      </c>
      <c r="AA886" s="69">
        <v>37.229999999999563</v>
      </c>
      <c r="AB886" s="69">
        <v>37.229999999999563</v>
      </c>
      <c r="AC886" s="69">
        <v>37.229999999999563</v>
      </c>
      <c r="AD886" s="69">
        <v>37.229999999999563</v>
      </c>
      <c r="AE886" s="69">
        <v>37.229999999999563</v>
      </c>
      <c r="AF886" s="69">
        <v>37.229999999999563</v>
      </c>
      <c r="AG886" s="69">
        <v>37.229999999999563</v>
      </c>
    </row>
    <row r="887" spans="1:33" ht="12.75" customHeight="1">
      <c r="A887" s="231" t="s">
        <v>2377</v>
      </c>
      <c r="B887" s="69" t="s">
        <v>257</v>
      </c>
      <c r="C887" s="69" t="s">
        <v>137</v>
      </c>
      <c r="D887" s="69" t="s">
        <v>191</v>
      </c>
      <c r="E887" s="69" t="s">
        <v>191</v>
      </c>
      <c r="F887" s="69" t="s">
        <v>176</v>
      </c>
      <c r="G887" s="69" t="s">
        <v>192</v>
      </c>
      <c r="H887" s="69" t="s">
        <v>805</v>
      </c>
      <c r="I887" s="69">
        <v>1</v>
      </c>
      <c r="J887" s="238">
        <v>0.32235762917068039</v>
      </c>
      <c r="K887" s="238">
        <v>0.16099729857063147</v>
      </c>
      <c r="L887" s="69">
        <v>96.038728079112801</v>
      </c>
      <c r="M887" s="69">
        <v>0</v>
      </c>
      <c r="N887" s="69">
        <v>220.8252914260496</v>
      </c>
      <c r="O887" s="69">
        <v>220.8252914260496</v>
      </c>
      <c r="P887" s="69">
        <v>220.8252914260496</v>
      </c>
      <c r="Q887" s="69">
        <v>220.8252914260496</v>
      </c>
      <c r="R887" s="69">
        <v>220.8252914260496</v>
      </c>
      <c r="S887" s="69">
        <v>220.8252914260496</v>
      </c>
      <c r="T887" s="69">
        <v>220.8252914260496</v>
      </c>
      <c r="U887" s="69">
        <v>220.8252914260496</v>
      </c>
      <c r="V887" s="69">
        <v>220.8252914260496</v>
      </c>
      <c r="W887" s="69">
        <v>220.8252914260496</v>
      </c>
      <c r="X887" s="69">
        <v>220.8252914260496</v>
      </c>
      <c r="Y887" s="69">
        <v>220.8252914260496</v>
      </c>
      <c r="Z887" s="69">
        <v>220.8252914260496</v>
      </c>
      <c r="AA887" s="69">
        <v>220.8252914260496</v>
      </c>
      <c r="AB887" s="69">
        <v>220.8252914260496</v>
      </c>
      <c r="AC887" s="69">
        <v>220.8252914260496</v>
      </c>
      <c r="AD887" s="69">
        <v>220.8252914260496</v>
      </c>
      <c r="AE887" s="69">
        <v>220.8252914260496</v>
      </c>
      <c r="AF887" s="69">
        <v>220.8252914260496</v>
      </c>
      <c r="AG887" s="69">
        <v>220.8252914260496</v>
      </c>
    </row>
    <row r="888" spans="1:33" ht="12.75" customHeight="1">
      <c r="A888" s="231" t="s">
        <v>2377</v>
      </c>
      <c r="B888" s="69" t="s">
        <v>258</v>
      </c>
      <c r="C888" s="69" t="s">
        <v>186</v>
      </c>
      <c r="D888" s="69" t="s">
        <v>259</v>
      </c>
      <c r="E888" s="69" t="s">
        <v>260</v>
      </c>
      <c r="F888" s="69" t="s">
        <v>157</v>
      </c>
      <c r="G888" s="69" t="s">
        <v>192</v>
      </c>
      <c r="H888" s="69" t="s">
        <v>805</v>
      </c>
      <c r="I888" s="69">
        <v>1</v>
      </c>
      <c r="J888" s="238">
        <v>0.21868155325388869</v>
      </c>
      <c r="K888" s="238">
        <v>0</v>
      </c>
      <c r="L888" s="69">
        <v>224.75395225464192</v>
      </c>
      <c r="M888" s="69">
        <v>-5.2201591511936343</v>
      </c>
      <c r="N888" s="69">
        <v>0</v>
      </c>
      <c r="O888" s="69">
        <v>0</v>
      </c>
      <c r="P888" s="69">
        <v>0</v>
      </c>
      <c r="Q888" s="69">
        <v>3.8313008130080561</v>
      </c>
      <c r="R888" s="69">
        <v>3.8313008130080561</v>
      </c>
      <c r="S888" s="69">
        <v>3.8313008130080561</v>
      </c>
      <c r="T888" s="69">
        <v>3.8313008130080561</v>
      </c>
      <c r="U888" s="69">
        <v>3.8313008130080561</v>
      </c>
      <c r="V888" s="69">
        <v>3.8313008130080561</v>
      </c>
      <c r="W888" s="69">
        <v>3.8313008130080561</v>
      </c>
      <c r="X888" s="69">
        <v>3.8313008130080561</v>
      </c>
      <c r="Y888" s="69">
        <v>3.8313008130080561</v>
      </c>
      <c r="Z888" s="69">
        <v>3.8313008130080561</v>
      </c>
      <c r="AA888" s="69">
        <v>3.8313008130080561</v>
      </c>
      <c r="AB888" s="69">
        <v>3.8313008130080561</v>
      </c>
      <c r="AC888" s="69">
        <v>3.8313008130080561</v>
      </c>
      <c r="AD888" s="69">
        <v>3.8313008130080561</v>
      </c>
      <c r="AE888" s="69">
        <v>3.8313008130080561</v>
      </c>
      <c r="AF888" s="69">
        <v>3.8313008130080561</v>
      </c>
      <c r="AG888" s="69">
        <v>3.8313008130080561</v>
      </c>
    </row>
    <row r="889" spans="1:33" ht="12.75" customHeight="1">
      <c r="A889" s="231" t="s">
        <v>2377</v>
      </c>
      <c r="B889" s="69" t="s">
        <v>261</v>
      </c>
      <c r="C889" s="69" t="s">
        <v>186</v>
      </c>
      <c r="D889" s="69" t="s">
        <v>259</v>
      </c>
      <c r="E889" s="69" t="s">
        <v>203</v>
      </c>
      <c r="F889" s="69" t="s">
        <v>157</v>
      </c>
      <c r="G889" s="69" t="s">
        <v>192</v>
      </c>
      <c r="H889" s="69" t="s">
        <v>805</v>
      </c>
      <c r="I889" s="69">
        <v>1</v>
      </c>
      <c r="J889" s="238">
        <v>0.23561922263058244</v>
      </c>
      <c r="K889" s="238">
        <v>0</v>
      </c>
      <c r="L889" s="69">
        <v>208.59734121122602</v>
      </c>
      <c r="M889" s="69">
        <v>-4.8449039881831615</v>
      </c>
      <c r="N889" s="69">
        <v>10.320121951219512</v>
      </c>
      <c r="O889" s="69">
        <v>10.320121951219512</v>
      </c>
      <c r="P889" s="69">
        <v>10.320121951219512</v>
      </c>
      <c r="Q889" s="69">
        <v>10.320121951219512</v>
      </c>
      <c r="R889" s="69">
        <v>10.320121951219512</v>
      </c>
      <c r="S889" s="69">
        <v>10.320121951219512</v>
      </c>
      <c r="T889" s="69">
        <v>10.320121951219512</v>
      </c>
      <c r="U889" s="69">
        <v>10.320121951219512</v>
      </c>
      <c r="V889" s="69">
        <v>10.320121951219512</v>
      </c>
      <c r="W889" s="69">
        <v>10.320121951219512</v>
      </c>
      <c r="X889" s="69">
        <v>10.320121951219512</v>
      </c>
      <c r="Y889" s="69">
        <v>10.320121951219512</v>
      </c>
      <c r="Z889" s="69">
        <v>10.320121951219512</v>
      </c>
      <c r="AA889" s="69">
        <v>10.320121951219512</v>
      </c>
      <c r="AB889" s="69">
        <v>10.320121951219512</v>
      </c>
      <c r="AC889" s="69">
        <v>10.320121951219512</v>
      </c>
      <c r="AD889" s="69">
        <v>10.320121951219512</v>
      </c>
      <c r="AE889" s="69">
        <v>10.320121951219512</v>
      </c>
      <c r="AF889" s="69">
        <v>10.320121951219512</v>
      </c>
      <c r="AG889" s="69">
        <v>10.320121951219512</v>
      </c>
    </row>
    <row r="890" spans="1:33" ht="12.75" customHeight="1">
      <c r="A890" s="231" t="s">
        <v>2377</v>
      </c>
      <c r="B890" s="69" t="s">
        <v>263</v>
      </c>
      <c r="C890" s="69" t="s">
        <v>187</v>
      </c>
      <c r="D890" s="69" t="s">
        <v>191</v>
      </c>
      <c r="E890" s="69" t="s">
        <v>191</v>
      </c>
      <c r="F890" s="69" t="s">
        <v>165</v>
      </c>
      <c r="G890" s="69" t="s">
        <v>201</v>
      </c>
      <c r="H890" s="69" t="s">
        <v>2417</v>
      </c>
      <c r="I890" s="69">
        <v>1</v>
      </c>
      <c r="J890" s="238">
        <v>0.2668262983999703</v>
      </c>
      <c r="K890" s="238">
        <v>0.75151071165035721</v>
      </c>
      <c r="L890" s="69">
        <v>173.23511247417511</v>
      </c>
      <c r="M890" s="69">
        <v>0</v>
      </c>
      <c r="N890" s="69">
        <v>0</v>
      </c>
      <c r="O890" s="69">
        <v>0</v>
      </c>
      <c r="P890" s="69">
        <v>0</v>
      </c>
      <c r="Q890" s="69">
        <v>0</v>
      </c>
      <c r="R890" s="69">
        <v>467.47967479674838</v>
      </c>
      <c r="S890" s="69">
        <v>467.47967479674838</v>
      </c>
      <c r="T890" s="69">
        <v>467.47967479674838</v>
      </c>
      <c r="U890" s="69">
        <v>467.47967479674838</v>
      </c>
      <c r="V890" s="69">
        <v>467.47967479674838</v>
      </c>
      <c r="W890" s="69">
        <v>467.47967479674838</v>
      </c>
      <c r="X890" s="69">
        <v>467.47967479674838</v>
      </c>
      <c r="Y890" s="69">
        <v>467.47967479674838</v>
      </c>
      <c r="Z890" s="69">
        <v>467.47967479674838</v>
      </c>
      <c r="AA890" s="69">
        <v>467.47967479674838</v>
      </c>
      <c r="AB890" s="69">
        <v>467.47967479674838</v>
      </c>
      <c r="AC890" s="69">
        <v>467.47967479674838</v>
      </c>
      <c r="AD890" s="69">
        <v>467.47967479674838</v>
      </c>
      <c r="AE890" s="69">
        <v>467.47967479674838</v>
      </c>
      <c r="AF890" s="69">
        <v>467.47967479674838</v>
      </c>
      <c r="AG890" s="69">
        <v>467.47967479674838</v>
      </c>
    </row>
    <row r="891" spans="1:33" ht="12.75" customHeight="1">
      <c r="A891" s="231" t="s">
        <v>2377</v>
      </c>
      <c r="B891" s="69" t="s">
        <v>265</v>
      </c>
      <c r="C891" s="69" t="s">
        <v>187</v>
      </c>
      <c r="D891" s="69" t="s">
        <v>191</v>
      </c>
      <c r="E891" s="69" t="s">
        <v>191</v>
      </c>
      <c r="F891" s="69" t="s">
        <v>165</v>
      </c>
      <c r="G891" s="69" t="s">
        <v>201</v>
      </c>
      <c r="H891" s="69" t="s">
        <v>2417</v>
      </c>
      <c r="I891" s="69">
        <v>1</v>
      </c>
      <c r="J891" s="238">
        <v>0.2668262983999703</v>
      </c>
      <c r="K891" s="238">
        <v>0.75151071165035721</v>
      </c>
      <c r="L891" s="69">
        <v>173.23511247417511</v>
      </c>
      <c r="M891" s="69">
        <v>0</v>
      </c>
      <c r="N891" s="69">
        <v>0</v>
      </c>
      <c r="O891" s="69">
        <v>0</v>
      </c>
      <c r="P891" s="69">
        <v>0</v>
      </c>
      <c r="Q891" s="69">
        <v>0</v>
      </c>
      <c r="R891" s="69">
        <v>0</v>
      </c>
      <c r="S891" s="69">
        <v>467.47967479674838</v>
      </c>
      <c r="T891" s="69">
        <v>467.47967479674838</v>
      </c>
      <c r="U891" s="69">
        <v>467.47967479674838</v>
      </c>
      <c r="V891" s="69">
        <v>467.47967479674838</v>
      </c>
      <c r="W891" s="69">
        <v>467.47967479674838</v>
      </c>
      <c r="X891" s="69">
        <v>467.47967479674838</v>
      </c>
      <c r="Y891" s="69">
        <v>467.47967479674838</v>
      </c>
      <c r="Z891" s="69">
        <v>467.47967479674838</v>
      </c>
      <c r="AA891" s="69">
        <v>467.47967479674838</v>
      </c>
      <c r="AB891" s="69">
        <v>467.47967479674838</v>
      </c>
      <c r="AC891" s="69">
        <v>467.47967479674838</v>
      </c>
      <c r="AD891" s="69">
        <v>467.47967479674838</v>
      </c>
      <c r="AE891" s="69">
        <v>467.47967479674838</v>
      </c>
      <c r="AF891" s="69">
        <v>467.47967479674838</v>
      </c>
      <c r="AG891" s="69">
        <v>467.47967479674838</v>
      </c>
    </row>
    <row r="892" spans="1:33" ht="12.75" customHeight="1">
      <c r="A892" s="231" t="s">
        <v>2377</v>
      </c>
      <c r="B892" s="69" t="s">
        <v>266</v>
      </c>
      <c r="C892" s="69" t="s">
        <v>184</v>
      </c>
      <c r="D892" s="69" t="s">
        <v>140</v>
      </c>
      <c r="E892" s="69" t="s">
        <v>191</v>
      </c>
      <c r="F892" s="69" t="s">
        <v>167</v>
      </c>
      <c r="G892" s="69" t="s">
        <v>192</v>
      </c>
      <c r="H892" s="69" t="s">
        <v>806</v>
      </c>
      <c r="I892" s="69">
        <v>1</v>
      </c>
      <c r="J892" s="238">
        <v>0.8</v>
      </c>
      <c r="K892" s="238">
        <v>0</v>
      </c>
      <c r="L892" s="69">
        <v>114.19797366361543</v>
      </c>
      <c r="M892" s="69">
        <v>0</v>
      </c>
      <c r="N892" s="69">
        <v>0</v>
      </c>
      <c r="O892" s="69">
        <v>14.016000000000078</v>
      </c>
      <c r="P892" s="69">
        <v>14.016000000000078</v>
      </c>
      <c r="Q892" s="69">
        <v>14.016000000000078</v>
      </c>
      <c r="R892" s="69">
        <v>14.016000000000078</v>
      </c>
      <c r="S892" s="69">
        <v>14.016000000000078</v>
      </c>
      <c r="T892" s="69">
        <v>14.016000000000078</v>
      </c>
      <c r="U892" s="69">
        <v>14.016000000000078</v>
      </c>
      <c r="V892" s="69">
        <v>14.016000000000078</v>
      </c>
      <c r="W892" s="69">
        <v>14.016000000000078</v>
      </c>
      <c r="X892" s="69">
        <v>14.016000000000078</v>
      </c>
      <c r="Y892" s="69">
        <v>14.016000000000078</v>
      </c>
      <c r="Z892" s="69">
        <v>14.016000000000078</v>
      </c>
      <c r="AA892" s="69">
        <v>14.016000000000078</v>
      </c>
      <c r="AB892" s="69">
        <v>14.016000000000078</v>
      </c>
      <c r="AC892" s="69">
        <v>14.016000000000078</v>
      </c>
      <c r="AD892" s="69">
        <v>14.016000000000078</v>
      </c>
      <c r="AE892" s="69">
        <v>14.016000000000078</v>
      </c>
      <c r="AF892" s="69">
        <v>14.016000000000078</v>
      </c>
      <c r="AG892" s="69">
        <v>14.016000000000078</v>
      </c>
    </row>
    <row r="893" spans="1:33" ht="12.75" customHeight="1">
      <c r="A893" s="231" t="s">
        <v>2377</v>
      </c>
      <c r="B893" s="69" t="s">
        <v>267</v>
      </c>
      <c r="C893" s="69" t="s">
        <v>185</v>
      </c>
      <c r="D893" s="69" t="s">
        <v>205</v>
      </c>
      <c r="E893" s="69" t="s">
        <v>203</v>
      </c>
      <c r="F893" s="69" t="s">
        <v>155</v>
      </c>
      <c r="G893" s="69" t="s">
        <v>192</v>
      </c>
      <c r="H893" s="69" t="s">
        <v>805</v>
      </c>
      <c r="I893" s="69">
        <v>1</v>
      </c>
      <c r="J893" s="238">
        <v>0.23499999999999996</v>
      </c>
      <c r="K893" s="238">
        <v>0.49648345467934024</v>
      </c>
      <c r="L893" s="69">
        <v>166.98446712238427</v>
      </c>
      <c r="M893" s="69">
        <v>0</v>
      </c>
      <c r="N893" s="69">
        <v>0</v>
      </c>
      <c r="O893" s="69">
        <v>308.78999999999996</v>
      </c>
      <c r="P893" s="69">
        <v>308.78999999999996</v>
      </c>
      <c r="Q893" s="69">
        <v>308.78999999999996</v>
      </c>
      <c r="R893" s="69">
        <v>308.78999999999996</v>
      </c>
      <c r="S893" s="69">
        <v>308.78999999999996</v>
      </c>
      <c r="T893" s="69">
        <v>308.78999999999996</v>
      </c>
      <c r="U893" s="69">
        <v>308.78999999999996</v>
      </c>
      <c r="V893" s="69">
        <v>308.78999999999996</v>
      </c>
      <c r="W893" s="69">
        <v>308.78999999999996</v>
      </c>
      <c r="X893" s="69">
        <v>308.78999999999996</v>
      </c>
      <c r="Y893" s="69">
        <v>308.78999999999996</v>
      </c>
      <c r="Z893" s="69">
        <v>308.78999999999996</v>
      </c>
      <c r="AA893" s="69">
        <v>308.78999999999996</v>
      </c>
      <c r="AB893" s="69">
        <v>308.78999999999996</v>
      </c>
      <c r="AC893" s="69">
        <v>308.78999999999996</v>
      </c>
      <c r="AD893" s="69">
        <v>308.78999999999996</v>
      </c>
      <c r="AE893" s="69">
        <v>308.78999999999996</v>
      </c>
      <c r="AF893" s="69">
        <v>308.78999999999996</v>
      </c>
      <c r="AG893" s="69">
        <v>308.78999999999996</v>
      </c>
    </row>
    <row r="894" spans="1:33" ht="12.75" customHeight="1">
      <c r="A894" s="231" t="s">
        <v>2377</v>
      </c>
      <c r="B894" s="69" t="s">
        <v>268</v>
      </c>
      <c r="C894" s="69" t="s">
        <v>185</v>
      </c>
      <c r="D894" s="69" t="s">
        <v>205</v>
      </c>
      <c r="E894" s="69" t="s">
        <v>203</v>
      </c>
      <c r="F894" s="69" t="s">
        <v>155</v>
      </c>
      <c r="G894" s="69" t="s">
        <v>192</v>
      </c>
      <c r="H894" s="69" t="s">
        <v>805</v>
      </c>
      <c r="I894" s="69">
        <v>1</v>
      </c>
      <c r="J894" s="238">
        <v>0.23499999999999999</v>
      </c>
      <c r="K894" s="238">
        <v>0.49648345467934019</v>
      </c>
      <c r="L894" s="69">
        <v>166.98446712238427</v>
      </c>
      <c r="M894" s="69">
        <v>0</v>
      </c>
      <c r="N894" s="69">
        <v>0</v>
      </c>
      <c r="O894" s="69">
        <v>0</v>
      </c>
      <c r="P894" s="69">
        <v>0</v>
      </c>
      <c r="Q894" s="69">
        <v>53.523600000000449</v>
      </c>
      <c r="R894" s="69">
        <v>53.523600000000449</v>
      </c>
      <c r="S894" s="69">
        <v>823.43999999999971</v>
      </c>
      <c r="T894" s="69">
        <v>823.43999999999971</v>
      </c>
      <c r="U894" s="69">
        <v>823.43999999999971</v>
      </c>
      <c r="V894" s="69">
        <v>823.43999999999971</v>
      </c>
      <c r="W894" s="69">
        <v>823.43999999999971</v>
      </c>
      <c r="X894" s="69">
        <v>823.43999999999971</v>
      </c>
      <c r="Y894" s="69">
        <v>823.43999999999971</v>
      </c>
      <c r="Z894" s="69">
        <v>823.43999999999971</v>
      </c>
      <c r="AA894" s="69">
        <v>823.43999999999971</v>
      </c>
      <c r="AB894" s="69">
        <v>823.43999999999971</v>
      </c>
      <c r="AC894" s="69">
        <v>823.43999999999971</v>
      </c>
      <c r="AD894" s="69">
        <v>823.43999999999971</v>
      </c>
      <c r="AE894" s="69">
        <v>823.43999999999971</v>
      </c>
      <c r="AF894" s="69">
        <v>823.43999999999971</v>
      </c>
      <c r="AG894" s="69">
        <v>823.43999999999971</v>
      </c>
    </row>
    <row r="895" spans="1:33" ht="12.75" customHeight="1">
      <c r="A895" s="231" t="s">
        <v>2377</v>
      </c>
      <c r="B895" s="69" t="s">
        <v>269</v>
      </c>
      <c r="C895" s="69" t="s">
        <v>185</v>
      </c>
      <c r="D895" s="69" t="s">
        <v>193</v>
      </c>
      <c r="E895" s="69" t="s">
        <v>203</v>
      </c>
      <c r="F895" s="69" t="s">
        <v>155</v>
      </c>
      <c r="G895" s="69" t="s">
        <v>192</v>
      </c>
      <c r="H895" s="69" t="s">
        <v>805</v>
      </c>
      <c r="I895" s="69">
        <v>1</v>
      </c>
      <c r="J895" s="238">
        <v>0.26649999999999996</v>
      </c>
      <c r="K895" s="238">
        <v>0.63277303047366895</v>
      </c>
      <c r="L895" s="69">
        <v>173.91260768823273</v>
      </c>
      <c r="M895" s="69">
        <v>0</v>
      </c>
      <c r="N895" s="69">
        <v>0</v>
      </c>
      <c r="O895" s="69">
        <v>49.025340000000142</v>
      </c>
      <c r="P895" s="69">
        <v>49.025340000000142</v>
      </c>
      <c r="Q895" s="69">
        <v>49.025340000000142</v>
      </c>
      <c r="R895" s="69">
        <v>49.025340000000142</v>
      </c>
      <c r="S895" s="69">
        <v>49.025340000000142</v>
      </c>
      <c r="T895" s="69">
        <v>49.025340000000142</v>
      </c>
      <c r="U895" s="69">
        <v>49.025340000000142</v>
      </c>
      <c r="V895" s="69">
        <v>49.025340000000142</v>
      </c>
      <c r="W895" s="69">
        <v>49.025340000000142</v>
      </c>
      <c r="X895" s="69">
        <v>49.025340000000142</v>
      </c>
      <c r="Y895" s="69">
        <v>49.025340000000142</v>
      </c>
      <c r="Z895" s="69">
        <v>49.025340000000142</v>
      </c>
      <c r="AA895" s="69">
        <v>49.025340000000142</v>
      </c>
      <c r="AB895" s="69">
        <v>49.025340000000142</v>
      </c>
      <c r="AC895" s="69">
        <v>49.025340000000142</v>
      </c>
      <c r="AD895" s="69">
        <v>49.025340000000142</v>
      </c>
      <c r="AE895" s="69">
        <v>49.025340000000142</v>
      </c>
      <c r="AF895" s="69">
        <v>49.025340000000142</v>
      </c>
      <c r="AG895" s="69">
        <v>49.025340000000142</v>
      </c>
    </row>
    <row r="896" spans="1:33" ht="12.75" customHeight="1">
      <c r="A896" s="231" t="s">
        <v>2377</v>
      </c>
      <c r="B896" s="69" t="s">
        <v>270</v>
      </c>
      <c r="C896" s="69" t="s">
        <v>185</v>
      </c>
      <c r="D896" s="69" t="s">
        <v>193</v>
      </c>
      <c r="E896" s="69" t="s">
        <v>203</v>
      </c>
      <c r="F896" s="69" t="s">
        <v>155</v>
      </c>
      <c r="G896" s="69" t="s">
        <v>192</v>
      </c>
      <c r="H896" s="69" t="s">
        <v>805</v>
      </c>
      <c r="I896" s="69">
        <v>1</v>
      </c>
      <c r="J896" s="238">
        <v>0.26649999999999996</v>
      </c>
      <c r="K896" s="238">
        <v>0.63277303047366895</v>
      </c>
      <c r="L896" s="69">
        <v>173.91260768823275</v>
      </c>
      <c r="M896" s="69">
        <v>0</v>
      </c>
      <c r="N896" s="69">
        <v>0</v>
      </c>
      <c r="O896" s="69">
        <v>0</v>
      </c>
      <c r="P896" s="69">
        <v>147.07602000000043</v>
      </c>
      <c r="Q896" s="69">
        <v>147.07602000000043</v>
      </c>
      <c r="R896" s="69">
        <v>147.07602000000043</v>
      </c>
      <c r="S896" s="69">
        <v>147.07602000000043</v>
      </c>
      <c r="T896" s="69">
        <v>147.07602000000043</v>
      </c>
      <c r="U896" s="69">
        <v>147.07602000000043</v>
      </c>
      <c r="V896" s="69">
        <v>147.07602000000043</v>
      </c>
      <c r="W896" s="69">
        <v>147.07602000000043</v>
      </c>
      <c r="X896" s="69">
        <v>147.07602000000043</v>
      </c>
      <c r="Y896" s="69">
        <v>147.07602000000043</v>
      </c>
      <c r="Z896" s="69">
        <v>147.07602000000043</v>
      </c>
      <c r="AA896" s="69">
        <v>147.07602000000043</v>
      </c>
      <c r="AB896" s="69">
        <v>147.07602000000043</v>
      </c>
      <c r="AC896" s="69">
        <v>147.07602000000043</v>
      </c>
      <c r="AD896" s="69">
        <v>147.07602000000043</v>
      </c>
      <c r="AE896" s="69">
        <v>147.07602000000043</v>
      </c>
      <c r="AF896" s="69">
        <v>147.07602000000043</v>
      </c>
      <c r="AG896" s="69">
        <v>147.07602000000043</v>
      </c>
    </row>
    <row r="897" spans="1:33" ht="12.75" customHeight="1">
      <c r="A897" s="231" t="s">
        <v>2377</v>
      </c>
      <c r="B897" s="69" t="s">
        <v>271</v>
      </c>
      <c r="C897" s="69" t="s">
        <v>185</v>
      </c>
      <c r="D897" s="69" t="s">
        <v>193</v>
      </c>
      <c r="E897" s="69" t="s">
        <v>203</v>
      </c>
      <c r="F897" s="69" t="s">
        <v>155</v>
      </c>
      <c r="G897" s="69" t="s">
        <v>192</v>
      </c>
      <c r="H897" s="69" t="s">
        <v>805</v>
      </c>
      <c r="I897" s="69">
        <v>1</v>
      </c>
      <c r="J897" s="238">
        <v>0.26649999999999996</v>
      </c>
      <c r="K897" s="238">
        <v>0.63277303047366895</v>
      </c>
      <c r="L897" s="69">
        <v>173.91260768823275</v>
      </c>
      <c r="M897" s="69">
        <v>0</v>
      </c>
      <c r="N897" s="69">
        <v>0</v>
      </c>
      <c r="O897" s="69">
        <v>0</v>
      </c>
      <c r="P897" s="69">
        <v>0</v>
      </c>
      <c r="Q897" s="69">
        <v>0</v>
      </c>
      <c r="R897" s="69">
        <v>0</v>
      </c>
      <c r="S897" s="69">
        <v>294.15203999999966</v>
      </c>
      <c r="T897" s="69">
        <v>294.15203999999966</v>
      </c>
      <c r="U897" s="69">
        <v>294.15203999999966</v>
      </c>
      <c r="V897" s="69">
        <v>294.15203999999966</v>
      </c>
      <c r="W897" s="69">
        <v>294.15203999999966</v>
      </c>
      <c r="X897" s="69">
        <v>294.15203999999966</v>
      </c>
      <c r="Y897" s="69">
        <v>294.15203999999966</v>
      </c>
      <c r="Z897" s="69">
        <v>294.15203999999966</v>
      </c>
      <c r="AA897" s="69">
        <v>294.15203999999966</v>
      </c>
      <c r="AB897" s="69">
        <v>294.15203999999966</v>
      </c>
      <c r="AC897" s="69">
        <v>294.15203999999966</v>
      </c>
      <c r="AD897" s="69">
        <v>294.15203999999966</v>
      </c>
      <c r="AE897" s="69">
        <v>294.15203999999966</v>
      </c>
      <c r="AF897" s="69">
        <v>294.15203999999966</v>
      </c>
      <c r="AG897" s="69">
        <v>294.15203999999966</v>
      </c>
    </row>
    <row r="898" spans="1:33" ht="12.75" customHeight="1">
      <c r="A898" s="231" t="s">
        <v>2377</v>
      </c>
      <c r="B898" s="69" t="s">
        <v>272</v>
      </c>
      <c r="C898" s="69" t="s">
        <v>139</v>
      </c>
      <c r="D898" s="69" t="s">
        <v>191</v>
      </c>
      <c r="E898" s="69" t="s">
        <v>191</v>
      </c>
      <c r="F898" s="69" t="s">
        <v>167</v>
      </c>
      <c r="G898" s="69" t="s">
        <v>192</v>
      </c>
      <c r="H898" s="69" t="s">
        <v>805</v>
      </c>
      <c r="I898" s="69">
        <v>1</v>
      </c>
      <c r="J898" s="238">
        <v>0.84999999999999987</v>
      </c>
      <c r="K898" s="238">
        <v>0.66</v>
      </c>
      <c r="L898" s="69">
        <v>127.99027888971092</v>
      </c>
      <c r="M898" s="69">
        <v>0</v>
      </c>
      <c r="N898" s="69">
        <v>0</v>
      </c>
      <c r="O898" s="69">
        <v>0</v>
      </c>
      <c r="P898" s="69">
        <v>327.6239999999998</v>
      </c>
      <c r="Q898" s="69">
        <v>327.6239999999998</v>
      </c>
      <c r="R898" s="69">
        <v>327.6239999999998</v>
      </c>
      <c r="S898" s="69">
        <v>327.6239999999998</v>
      </c>
      <c r="T898" s="69">
        <v>327.6239999999998</v>
      </c>
      <c r="U898" s="69">
        <v>327.6239999999998</v>
      </c>
      <c r="V898" s="69">
        <v>327.6239999999998</v>
      </c>
      <c r="W898" s="69">
        <v>327.6239999999998</v>
      </c>
      <c r="X898" s="69">
        <v>327.6239999999998</v>
      </c>
      <c r="Y898" s="69">
        <v>327.6239999999998</v>
      </c>
      <c r="Z898" s="69">
        <v>327.6239999999998</v>
      </c>
      <c r="AA898" s="69">
        <v>327.6239999999998</v>
      </c>
      <c r="AB898" s="69">
        <v>327.6239999999998</v>
      </c>
      <c r="AC898" s="69">
        <v>327.6239999999998</v>
      </c>
      <c r="AD898" s="69">
        <v>327.6239999999998</v>
      </c>
      <c r="AE898" s="69">
        <v>327.6239999999998</v>
      </c>
      <c r="AF898" s="69">
        <v>327.6239999999998</v>
      </c>
      <c r="AG898" s="69">
        <v>327.6239999999998</v>
      </c>
    </row>
    <row r="899" spans="1:33" ht="12.75" customHeight="1">
      <c r="A899" s="231" t="s">
        <v>2377</v>
      </c>
      <c r="B899" s="69" t="s">
        <v>273</v>
      </c>
      <c r="C899" s="69" t="s">
        <v>185</v>
      </c>
      <c r="D899" s="69" t="s">
        <v>193</v>
      </c>
      <c r="E899" s="69" t="s">
        <v>194</v>
      </c>
      <c r="F899" s="69" t="s">
        <v>165</v>
      </c>
      <c r="G899" s="69" t="s">
        <v>201</v>
      </c>
      <c r="H899" s="69" t="s">
        <v>2417</v>
      </c>
      <c r="I899" s="69">
        <v>1</v>
      </c>
      <c r="J899" s="238">
        <v>0.28999999999999998</v>
      </c>
      <c r="K899" s="238">
        <v>0.63437109007818515</v>
      </c>
      <c r="L899" s="69">
        <v>144.14559944117298</v>
      </c>
      <c r="M899" s="69">
        <v>0</v>
      </c>
      <c r="N899" s="69">
        <v>101.61599999999999</v>
      </c>
      <c r="O899" s="69">
        <v>101.61599999999999</v>
      </c>
      <c r="P899" s="69">
        <v>101.61599999999999</v>
      </c>
      <c r="Q899" s="69">
        <v>101.61599999999999</v>
      </c>
      <c r="R899" s="69">
        <v>101.61599999999999</v>
      </c>
      <c r="S899" s="69">
        <v>101.61599999999999</v>
      </c>
      <c r="T899" s="69">
        <v>101.61599999999999</v>
      </c>
      <c r="U899" s="69">
        <v>101.61599999999999</v>
      </c>
      <c r="V899" s="69">
        <v>101.61599999999999</v>
      </c>
      <c r="W899" s="69">
        <v>101.61599999999999</v>
      </c>
      <c r="X899" s="69">
        <v>101.61599999999999</v>
      </c>
      <c r="Y899" s="69">
        <v>101.61599999999999</v>
      </c>
      <c r="Z899" s="69">
        <v>101.61599999999999</v>
      </c>
      <c r="AA899" s="69">
        <v>101.61599999999999</v>
      </c>
      <c r="AB899" s="69">
        <v>101.61599999999999</v>
      </c>
      <c r="AC899" s="69">
        <v>101.61599999999999</v>
      </c>
      <c r="AD899" s="69">
        <v>101.61599999999999</v>
      </c>
      <c r="AE899" s="69">
        <v>101.61599999999999</v>
      </c>
      <c r="AF899" s="69">
        <v>101.61599999999999</v>
      </c>
      <c r="AG899" s="69">
        <v>101.61599999999999</v>
      </c>
    </row>
    <row r="900" spans="1:33" ht="12.75" customHeight="1">
      <c r="A900" s="231" t="s">
        <v>2377</v>
      </c>
      <c r="B900" s="69" t="s">
        <v>274</v>
      </c>
      <c r="C900" s="69" t="s">
        <v>185</v>
      </c>
      <c r="D900" s="69" t="s">
        <v>193</v>
      </c>
      <c r="E900" s="69" t="s">
        <v>194</v>
      </c>
      <c r="F900" s="69" t="s">
        <v>165</v>
      </c>
      <c r="G900" s="69" t="s">
        <v>201</v>
      </c>
      <c r="H900" s="69" t="s">
        <v>2417</v>
      </c>
      <c r="I900" s="69">
        <v>1</v>
      </c>
      <c r="J900" s="238">
        <v>0.28999999999999998</v>
      </c>
      <c r="K900" s="238">
        <v>0.63437109007818515</v>
      </c>
      <c r="L900" s="69">
        <v>144.14559944117298</v>
      </c>
      <c r="M900" s="69">
        <v>0</v>
      </c>
      <c r="N900" s="69">
        <v>0</v>
      </c>
      <c r="O900" s="69">
        <v>25.403999999999996</v>
      </c>
      <c r="P900" s="69">
        <v>25.403999999999996</v>
      </c>
      <c r="Q900" s="69">
        <v>25.403999999999996</v>
      </c>
      <c r="R900" s="69">
        <v>25.403999999999996</v>
      </c>
      <c r="S900" s="69">
        <v>25.403999999999996</v>
      </c>
      <c r="T900" s="69">
        <v>25.403999999999996</v>
      </c>
      <c r="U900" s="69">
        <v>25.403999999999996</v>
      </c>
      <c r="V900" s="69">
        <v>25.403999999999996</v>
      </c>
      <c r="W900" s="69">
        <v>25.403999999999996</v>
      </c>
      <c r="X900" s="69">
        <v>25.403999999999996</v>
      </c>
      <c r="Y900" s="69">
        <v>25.403999999999996</v>
      </c>
      <c r="Z900" s="69">
        <v>25.403999999999996</v>
      </c>
      <c r="AA900" s="69">
        <v>25.403999999999996</v>
      </c>
      <c r="AB900" s="69">
        <v>25.403999999999996</v>
      </c>
      <c r="AC900" s="69">
        <v>25.403999999999996</v>
      </c>
      <c r="AD900" s="69">
        <v>25.403999999999996</v>
      </c>
      <c r="AE900" s="69">
        <v>25.403999999999996</v>
      </c>
      <c r="AF900" s="69">
        <v>25.403999999999996</v>
      </c>
      <c r="AG900" s="69">
        <v>25.403999999999996</v>
      </c>
    </row>
    <row r="901" spans="1:33" ht="12.75" customHeight="1">
      <c r="A901" s="231" t="s">
        <v>2377</v>
      </c>
      <c r="B901" s="69" t="s">
        <v>275</v>
      </c>
      <c r="C901" s="69" t="s">
        <v>137</v>
      </c>
      <c r="D901" s="69" t="s">
        <v>191</v>
      </c>
      <c r="E901" s="69" t="s">
        <v>191</v>
      </c>
      <c r="F901" s="69" t="s">
        <v>169</v>
      </c>
      <c r="G901" s="69" t="s">
        <v>192</v>
      </c>
      <c r="H901" s="69" t="s">
        <v>804</v>
      </c>
      <c r="I901" s="69">
        <v>1</v>
      </c>
      <c r="J901" s="238">
        <v>0.32235762917068039</v>
      </c>
      <c r="K901" s="238">
        <v>0.16115831843295012</v>
      </c>
      <c r="L901" s="69">
        <v>96.038728079112801</v>
      </c>
      <c r="M901" s="69">
        <v>0</v>
      </c>
      <c r="N901" s="69">
        <v>0</v>
      </c>
      <c r="O901" s="69">
        <v>0</v>
      </c>
      <c r="P901" s="69">
        <v>0</v>
      </c>
      <c r="Q901" s="69">
        <v>104.4825547668006</v>
      </c>
      <c r="R901" s="69">
        <v>104.4825547668006</v>
      </c>
      <c r="S901" s="69">
        <v>104.4825547668006</v>
      </c>
      <c r="T901" s="69">
        <v>104.4825547668006</v>
      </c>
      <c r="U901" s="69">
        <v>104.4825547668006</v>
      </c>
      <c r="V901" s="69">
        <v>104.4825547668006</v>
      </c>
      <c r="W901" s="69">
        <v>104.4825547668006</v>
      </c>
      <c r="X901" s="69">
        <v>104.4825547668006</v>
      </c>
      <c r="Y901" s="69">
        <v>104.4825547668006</v>
      </c>
      <c r="Z901" s="69">
        <v>104.4825547668006</v>
      </c>
      <c r="AA901" s="69">
        <v>104.4825547668006</v>
      </c>
      <c r="AB901" s="69">
        <v>104.4825547668006</v>
      </c>
      <c r="AC901" s="69">
        <v>104.4825547668006</v>
      </c>
      <c r="AD901" s="69">
        <v>104.4825547668006</v>
      </c>
      <c r="AE901" s="69">
        <v>104.4825547668006</v>
      </c>
      <c r="AF901" s="69">
        <v>104.4825547668006</v>
      </c>
      <c r="AG901" s="69">
        <v>104.4825547668006</v>
      </c>
    </row>
    <row r="902" spans="1:33" ht="12.75" customHeight="1">
      <c r="A902" s="231" t="s">
        <v>2377</v>
      </c>
      <c r="B902" s="69" t="s">
        <v>276</v>
      </c>
      <c r="C902" s="69" t="s">
        <v>187</v>
      </c>
      <c r="D902" s="69" t="s">
        <v>191</v>
      </c>
      <c r="E902" s="69" t="s">
        <v>191</v>
      </c>
      <c r="F902" s="69" t="s">
        <v>170</v>
      </c>
      <c r="G902" s="69" t="s">
        <v>192</v>
      </c>
      <c r="H902" s="69" t="s">
        <v>804</v>
      </c>
      <c r="I902" s="69">
        <v>1</v>
      </c>
      <c r="J902" s="238">
        <v>0.2668262983999703</v>
      </c>
      <c r="K902" s="238">
        <v>0.71679758500684321</v>
      </c>
      <c r="L902" s="69">
        <v>192.38629588063705</v>
      </c>
      <c r="M902" s="69">
        <v>0</v>
      </c>
      <c r="N902" s="69">
        <v>0</v>
      </c>
      <c r="O902" s="69">
        <v>0</v>
      </c>
      <c r="P902" s="69">
        <v>0</v>
      </c>
      <c r="Q902" s="69">
        <v>0</v>
      </c>
      <c r="R902" s="69">
        <v>0</v>
      </c>
      <c r="S902" s="69">
        <v>0</v>
      </c>
      <c r="T902" s="69">
        <v>642.78455284552911</v>
      </c>
      <c r="U902" s="69">
        <v>642.78455284552911</v>
      </c>
      <c r="V902" s="69">
        <v>642.78455284552911</v>
      </c>
      <c r="W902" s="69">
        <v>642.78455284552911</v>
      </c>
      <c r="X902" s="69">
        <v>642.78455284552911</v>
      </c>
      <c r="Y902" s="69">
        <v>642.78455284552911</v>
      </c>
      <c r="Z902" s="69">
        <v>642.78455284552911</v>
      </c>
      <c r="AA902" s="69">
        <v>642.78455284552911</v>
      </c>
      <c r="AB902" s="69">
        <v>642.78455284552911</v>
      </c>
      <c r="AC902" s="69">
        <v>642.78455284552911</v>
      </c>
      <c r="AD902" s="69">
        <v>642.78455284552911</v>
      </c>
      <c r="AE902" s="69">
        <v>642.78455284552911</v>
      </c>
      <c r="AF902" s="69">
        <v>642.78455284552911</v>
      </c>
      <c r="AG902" s="69">
        <v>642.78455284552911</v>
      </c>
    </row>
    <row r="903" spans="1:33" ht="12.75" customHeight="1">
      <c r="A903" s="231" t="s">
        <v>2377</v>
      </c>
      <c r="B903" s="69" t="s">
        <v>277</v>
      </c>
      <c r="C903" s="69" t="s">
        <v>137</v>
      </c>
      <c r="D903" s="69" t="s">
        <v>191</v>
      </c>
      <c r="E903" s="69" t="s">
        <v>191</v>
      </c>
      <c r="F903" s="69" t="s">
        <v>180</v>
      </c>
      <c r="G903" s="69" t="s">
        <v>192</v>
      </c>
      <c r="H903" s="69" t="s">
        <v>804</v>
      </c>
      <c r="I903" s="69">
        <v>1</v>
      </c>
      <c r="J903" s="238">
        <v>0.32235762917068039</v>
      </c>
      <c r="K903" s="238">
        <v>0.160195270625522</v>
      </c>
      <c r="L903" s="69">
        <v>96.038728079112801</v>
      </c>
      <c r="M903" s="69">
        <v>0</v>
      </c>
      <c r="N903" s="69">
        <v>0</v>
      </c>
      <c r="O903" s="69">
        <v>0</v>
      </c>
      <c r="P903" s="69">
        <v>0</v>
      </c>
      <c r="Q903" s="69">
        <v>0</v>
      </c>
      <c r="R903" s="69">
        <v>141.19264157675752</v>
      </c>
      <c r="S903" s="69">
        <v>141.19264157675752</v>
      </c>
      <c r="T903" s="69">
        <v>141.19264157675752</v>
      </c>
      <c r="U903" s="69">
        <v>141.19264157675752</v>
      </c>
      <c r="V903" s="69">
        <v>141.19264157675752</v>
      </c>
      <c r="W903" s="69">
        <v>141.19264157675752</v>
      </c>
      <c r="X903" s="69">
        <v>141.19264157675752</v>
      </c>
      <c r="Y903" s="69">
        <v>141.19264157675752</v>
      </c>
      <c r="Z903" s="69">
        <v>141.19264157675752</v>
      </c>
      <c r="AA903" s="69">
        <v>141.19264157675752</v>
      </c>
      <c r="AB903" s="69">
        <v>141.19264157675752</v>
      </c>
      <c r="AC903" s="69">
        <v>141.19264157675752</v>
      </c>
      <c r="AD903" s="69">
        <v>141.19264157675752</v>
      </c>
      <c r="AE903" s="69">
        <v>141.19264157675752</v>
      </c>
      <c r="AF903" s="69">
        <v>141.19264157675752</v>
      </c>
      <c r="AG903" s="69">
        <v>141.19264157675752</v>
      </c>
    </row>
    <row r="904" spans="1:33" ht="12.75" customHeight="1">
      <c r="A904" s="231" t="s">
        <v>2377</v>
      </c>
      <c r="B904" s="69" t="s">
        <v>278</v>
      </c>
      <c r="C904" s="69" t="s">
        <v>137</v>
      </c>
      <c r="D904" s="69" t="s">
        <v>191</v>
      </c>
      <c r="E904" s="69" t="s">
        <v>191</v>
      </c>
      <c r="F904" s="69" t="s">
        <v>180</v>
      </c>
      <c r="G904" s="69" t="s">
        <v>192</v>
      </c>
      <c r="H904" s="69" t="s">
        <v>804</v>
      </c>
      <c r="I904" s="69">
        <v>2</v>
      </c>
      <c r="J904" s="238">
        <v>0.32235762917068039</v>
      </c>
      <c r="K904" s="238">
        <v>0.160195270625522</v>
      </c>
      <c r="L904" s="69">
        <v>96.038728079112801</v>
      </c>
      <c r="M904" s="69">
        <v>0</v>
      </c>
      <c r="N904" s="69">
        <v>0</v>
      </c>
      <c r="O904" s="69">
        <v>0</v>
      </c>
      <c r="P904" s="69">
        <v>0</v>
      </c>
      <c r="Q904" s="69">
        <v>0</v>
      </c>
      <c r="R904" s="69">
        <v>51.591791232145624</v>
      </c>
      <c r="S904" s="69">
        <v>51.591791232145624</v>
      </c>
      <c r="T904" s="69">
        <v>51.591791232145624</v>
      </c>
      <c r="U904" s="69">
        <v>51.591791232145624</v>
      </c>
      <c r="V904" s="69">
        <v>51.591791232145624</v>
      </c>
      <c r="W904" s="69">
        <v>51.591791232145624</v>
      </c>
      <c r="X904" s="69">
        <v>51.591791232145624</v>
      </c>
      <c r="Y904" s="69">
        <v>51.591791232145624</v>
      </c>
      <c r="Z904" s="69">
        <v>51.591791232145624</v>
      </c>
      <c r="AA904" s="69">
        <v>51.591791232145624</v>
      </c>
      <c r="AB904" s="69">
        <v>51.591791232145624</v>
      </c>
      <c r="AC904" s="69">
        <v>51.591791232145624</v>
      </c>
      <c r="AD904" s="69">
        <v>51.591791232145624</v>
      </c>
      <c r="AE904" s="69">
        <v>51.591791232145624</v>
      </c>
      <c r="AF904" s="69">
        <v>51.591791232145624</v>
      </c>
      <c r="AG904" s="69">
        <v>51.591791232145624</v>
      </c>
    </row>
    <row r="905" spans="1:33" ht="12.75" customHeight="1">
      <c r="A905" s="231" t="s">
        <v>2377</v>
      </c>
      <c r="B905" s="69" t="s">
        <v>279</v>
      </c>
      <c r="C905" s="69" t="s">
        <v>137</v>
      </c>
      <c r="D905" s="69" t="s">
        <v>191</v>
      </c>
      <c r="E905" s="69" t="s">
        <v>191</v>
      </c>
      <c r="F905" s="69" t="s">
        <v>180</v>
      </c>
      <c r="G905" s="69" t="s">
        <v>192</v>
      </c>
      <c r="H905" s="69" t="s">
        <v>804</v>
      </c>
      <c r="I905" s="69">
        <v>1</v>
      </c>
      <c r="J905" s="238">
        <v>0.32235762917068039</v>
      </c>
      <c r="K905" s="238">
        <v>0.160195270625522</v>
      </c>
      <c r="L905" s="69">
        <v>96.038728079112801</v>
      </c>
      <c r="M905" s="69">
        <v>0</v>
      </c>
      <c r="N905" s="69">
        <v>0</v>
      </c>
      <c r="O905" s="69">
        <v>0</v>
      </c>
      <c r="P905" s="69">
        <v>0</v>
      </c>
      <c r="Q905" s="69">
        <v>0</v>
      </c>
      <c r="R905" s="69">
        <v>44.616874738256222</v>
      </c>
      <c r="S905" s="69">
        <v>44.616874738256222</v>
      </c>
      <c r="T905" s="69">
        <v>44.616874738256222</v>
      </c>
      <c r="U905" s="69">
        <v>44.616874738256222</v>
      </c>
      <c r="V905" s="69">
        <v>44.616874738256222</v>
      </c>
      <c r="W905" s="69">
        <v>44.616874738256222</v>
      </c>
      <c r="X905" s="69">
        <v>44.616874738256222</v>
      </c>
      <c r="Y905" s="69">
        <v>44.616874738256222</v>
      </c>
      <c r="Z905" s="69">
        <v>44.616874738256222</v>
      </c>
      <c r="AA905" s="69">
        <v>44.616874738256222</v>
      </c>
      <c r="AB905" s="69">
        <v>44.616874738256222</v>
      </c>
      <c r="AC905" s="69">
        <v>44.616874738256222</v>
      </c>
      <c r="AD905" s="69">
        <v>44.616874738256222</v>
      </c>
      <c r="AE905" s="69">
        <v>44.616874738256222</v>
      </c>
      <c r="AF905" s="69">
        <v>44.616874738256222</v>
      </c>
      <c r="AG905" s="69">
        <v>44.616874738256222</v>
      </c>
    </row>
    <row r="906" spans="1:33" ht="12.75" customHeight="1">
      <c r="A906" s="231" t="s">
        <v>2377</v>
      </c>
      <c r="B906" s="69" t="s">
        <v>280</v>
      </c>
      <c r="C906" s="69" t="s">
        <v>137</v>
      </c>
      <c r="D906" s="69" t="s">
        <v>191</v>
      </c>
      <c r="E906" s="69" t="s">
        <v>191</v>
      </c>
      <c r="F906" s="69" t="s">
        <v>180</v>
      </c>
      <c r="G906" s="69" t="s">
        <v>192</v>
      </c>
      <c r="H906" s="69" t="s">
        <v>804</v>
      </c>
      <c r="I906" s="69">
        <v>2</v>
      </c>
      <c r="J906" s="238">
        <v>0.32235762917068039</v>
      </c>
      <c r="K906" s="238">
        <v>0.160195270625522</v>
      </c>
      <c r="L906" s="69">
        <v>96.038728079112815</v>
      </c>
      <c r="M906" s="69">
        <v>0</v>
      </c>
      <c r="N906" s="69">
        <v>0</v>
      </c>
      <c r="O906" s="69">
        <v>0</v>
      </c>
      <c r="P906" s="69">
        <v>0</v>
      </c>
      <c r="Q906" s="69">
        <v>0</v>
      </c>
      <c r="R906" s="69">
        <v>49.869241004911601</v>
      </c>
      <c r="S906" s="69">
        <v>49.869241004911601</v>
      </c>
      <c r="T906" s="69">
        <v>49.869241004911601</v>
      </c>
      <c r="U906" s="69">
        <v>49.869241004911601</v>
      </c>
      <c r="V906" s="69">
        <v>49.869241004911601</v>
      </c>
      <c r="W906" s="69">
        <v>49.869241004911601</v>
      </c>
      <c r="X906" s="69">
        <v>49.869241004911601</v>
      </c>
      <c r="Y906" s="69">
        <v>49.869241004911601</v>
      </c>
      <c r="Z906" s="69">
        <v>49.869241004911601</v>
      </c>
      <c r="AA906" s="69">
        <v>49.869241004911601</v>
      </c>
      <c r="AB906" s="69">
        <v>49.869241004911601</v>
      </c>
      <c r="AC906" s="69">
        <v>49.869241004911601</v>
      </c>
      <c r="AD906" s="69">
        <v>49.869241004911601</v>
      </c>
      <c r="AE906" s="69">
        <v>49.869241004911601</v>
      </c>
      <c r="AF906" s="69">
        <v>49.869241004911601</v>
      </c>
      <c r="AG906" s="69">
        <v>49.869241004911601</v>
      </c>
    </row>
    <row r="907" spans="1:33" ht="12.75" customHeight="1">
      <c r="A907" s="231" t="s">
        <v>2377</v>
      </c>
      <c r="B907" s="69" t="s">
        <v>281</v>
      </c>
      <c r="C907" s="69" t="s">
        <v>137</v>
      </c>
      <c r="D907" s="69" t="s">
        <v>191</v>
      </c>
      <c r="E907" s="69" t="s">
        <v>191</v>
      </c>
      <c r="F907" s="69" t="s">
        <v>180</v>
      </c>
      <c r="G907" s="69" t="s">
        <v>192</v>
      </c>
      <c r="H907" s="69" t="s">
        <v>804</v>
      </c>
      <c r="I907" s="69">
        <v>1</v>
      </c>
      <c r="J907" s="238">
        <v>0.32235762917068039</v>
      </c>
      <c r="K907" s="238">
        <v>0.160195270625522</v>
      </c>
      <c r="L907" s="69">
        <v>96.038728079112801</v>
      </c>
      <c r="M907" s="69">
        <v>0</v>
      </c>
      <c r="N907" s="69">
        <v>0</v>
      </c>
      <c r="O907" s="69">
        <v>0</v>
      </c>
      <c r="P907" s="69">
        <v>0</v>
      </c>
      <c r="Q907" s="69">
        <v>0</v>
      </c>
      <c r="R907" s="69">
        <v>48.090213721043256</v>
      </c>
      <c r="S907" s="69">
        <v>48.090213721043256</v>
      </c>
      <c r="T907" s="69">
        <v>48.090213721043256</v>
      </c>
      <c r="U907" s="69">
        <v>48.090213721043256</v>
      </c>
      <c r="V907" s="69">
        <v>48.090213721043256</v>
      </c>
      <c r="W907" s="69">
        <v>48.090213721043256</v>
      </c>
      <c r="X907" s="69">
        <v>48.090213721043256</v>
      </c>
      <c r="Y907" s="69">
        <v>48.090213721043256</v>
      </c>
      <c r="Z907" s="69">
        <v>48.090213721043256</v>
      </c>
      <c r="AA907" s="69">
        <v>48.090213721043256</v>
      </c>
      <c r="AB907" s="69">
        <v>48.090213721043256</v>
      </c>
      <c r="AC907" s="69">
        <v>48.090213721043256</v>
      </c>
      <c r="AD907" s="69">
        <v>48.090213721043256</v>
      </c>
      <c r="AE907" s="69">
        <v>48.090213721043256</v>
      </c>
      <c r="AF907" s="69">
        <v>48.090213721043256</v>
      </c>
      <c r="AG907" s="69">
        <v>48.090213721043256</v>
      </c>
    </row>
    <row r="908" spans="1:33" ht="12.75" customHeight="1">
      <c r="A908" s="231" t="s">
        <v>2377</v>
      </c>
      <c r="B908" s="69" t="s">
        <v>282</v>
      </c>
      <c r="C908" s="69" t="s">
        <v>137</v>
      </c>
      <c r="D908" s="69" t="s">
        <v>191</v>
      </c>
      <c r="E908" s="69" t="s">
        <v>191</v>
      </c>
      <c r="F908" s="69" t="s">
        <v>180</v>
      </c>
      <c r="G908" s="69" t="s">
        <v>192</v>
      </c>
      <c r="H908" s="69" t="s">
        <v>804</v>
      </c>
      <c r="I908" s="69">
        <v>1</v>
      </c>
      <c r="J908" s="238">
        <v>0.32235762917068039</v>
      </c>
      <c r="K908" s="238">
        <v>0.160195270625522</v>
      </c>
      <c r="L908" s="69">
        <v>96.038728079112801</v>
      </c>
      <c r="M908" s="69">
        <v>0</v>
      </c>
      <c r="N908" s="69">
        <v>0</v>
      </c>
      <c r="O908" s="69">
        <v>0</v>
      </c>
      <c r="P908" s="69">
        <v>0</v>
      </c>
      <c r="Q908" s="69">
        <v>0</v>
      </c>
      <c r="R908" s="69">
        <v>4235.7792473027403</v>
      </c>
      <c r="S908" s="69">
        <v>4235.7792473027403</v>
      </c>
      <c r="T908" s="69">
        <v>4235.7792473027403</v>
      </c>
      <c r="U908" s="69">
        <v>4235.7792473027403</v>
      </c>
      <c r="V908" s="69">
        <v>4235.7792473027403</v>
      </c>
      <c r="W908" s="69">
        <v>4235.7792473027403</v>
      </c>
      <c r="X908" s="69">
        <v>4235.7792473027403</v>
      </c>
      <c r="Y908" s="69">
        <v>4235.7792473027403</v>
      </c>
      <c r="Z908" s="69">
        <v>4235.7792473027403</v>
      </c>
      <c r="AA908" s="69">
        <v>4235.7792473027403</v>
      </c>
      <c r="AB908" s="69">
        <v>4235.7792473027403</v>
      </c>
      <c r="AC908" s="69">
        <v>4235.7792473027403</v>
      </c>
      <c r="AD908" s="69">
        <v>4235.7792473027403</v>
      </c>
      <c r="AE908" s="69">
        <v>4235.7792473027403</v>
      </c>
      <c r="AF908" s="69">
        <v>4235.7792473027403</v>
      </c>
      <c r="AG908" s="69">
        <v>4235.7792473027403</v>
      </c>
    </row>
    <row r="909" spans="1:33" ht="12.75" customHeight="1">
      <c r="A909" s="231" t="s">
        <v>2377</v>
      </c>
      <c r="B909" s="69" t="s">
        <v>283</v>
      </c>
      <c r="C909" s="69" t="s">
        <v>184</v>
      </c>
      <c r="D909" s="69" t="s">
        <v>284</v>
      </c>
      <c r="E909" s="69" t="s">
        <v>191</v>
      </c>
      <c r="F909" s="69" t="s">
        <v>167</v>
      </c>
      <c r="G909" s="69" t="s">
        <v>192</v>
      </c>
      <c r="H909" s="69" t="s">
        <v>804</v>
      </c>
      <c r="I909" s="69">
        <v>2</v>
      </c>
      <c r="J909" s="238">
        <v>0.80000000000000016</v>
      </c>
      <c r="K909" s="238">
        <v>0</v>
      </c>
      <c r="L909" s="69">
        <v>92.42965494862176</v>
      </c>
      <c r="M909" s="69">
        <v>0</v>
      </c>
      <c r="N909" s="69">
        <v>0</v>
      </c>
      <c r="O909" s="69">
        <v>0</v>
      </c>
      <c r="P909" s="69">
        <v>0</v>
      </c>
      <c r="Q909" s="69">
        <v>11.212800000001153</v>
      </c>
      <c r="R909" s="69">
        <v>11.212800000001153</v>
      </c>
      <c r="S909" s="69">
        <v>11.212800000001153</v>
      </c>
      <c r="T909" s="69">
        <v>11.212800000001153</v>
      </c>
      <c r="U909" s="69">
        <v>11.212800000001153</v>
      </c>
      <c r="V909" s="69">
        <v>11.212800000001153</v>
      </c>
      <c r="W909" s="69">
        <v>11.212800000001153</v>
      </c>
      <c r="X909" s="69">
        <v>11.212800000001153</v>
      </c>
      <c r="Y909" s="69">
        <v>11.212800000001153</v>
      </c>
      <c r="Z909" s="69">
        <v>11.212800000001153</v>
      </c>
      <c r="AA909" s="69">
        <v>11.212800000001153</v>
      </c>
      <c r="AB909" s="69">
        <v>11.212800000001153</v>
      </c>
      <c r="AC909" s="69">
        <v>11.212800000001153</v>
      </c>
      <c r="AD909" s="69">
        <v>11.212800000001153</v>
      </c>
      <c r="AE909" s="69">
        <v>11.212800000001153</v>
      </c>
      <c r="AF909" s="69">
        <v>11.212800000001153</v>
      </c>
      <c r="AG909" s="69">
        <v>11.212800000001153</v>
      </c>
    </row>
    <row r="910" spans="1:33" ht="12.75" customHeight="1">
      <c r="A910" s="231" t="s">
        <v>2377</v>
      </c>
      <c r="B910" s="69" t="s">
        <v>285</v>
      </c>
      <c r="C910" s="69" t="s">
        <v>137</v>
      </c>
      <c r="D910" s="69" t="s">
        <v>191</v>
      </c>
      <c r="E910" s="69" t="s">
        <v>191</v>
      </c>
      <c r="F910" s="69" t="s">
        <v>177</v>
      </c>
      <c r="G910" s="69" t="s">
        <v>192</v>
      </c>
      <c r="H910" s="69" t="s">
        <v>804</v>
      </c>
      <c r="I910" s="69">
        <v>1</v>
      </c>
      <c r="J910" s="238">
        <v>0.32235762917068039</v>
      </c>
      <c r="K910" s="238">
        <v>0.16048337423926948</v>
      </c>
      <c r="L910" s="69">
        <v>96.038728079112801</v>
      </c>
      <c r="M910" s="69">
        <v>0</v>
      </c>
      <c r="N910" s="69">
        <v>0</v>
      </c>
      <c r="O910" s="69">
        <v>0</v>
      </c>
      <c r="P910" s="69">
        <v>0</v>
      </c>
      <c r="Q910" s="69">
        <v>118.60181892447689</v>
      </c>
      <c r="R910" s="69">
        <v>118.60181892447689</v>
      </c>
      <c r="S910" s="69">
        <v>118.60181892447689</v>
      </c>
      <c r="T910" s="69">
        <v>118.60181892447689</v>
      </c>
      <c r="U910" s="69">
        <v>118.60181892447689</v>
      </c>
      <c r="V910" s="69">
        <v>118.60181892447689</v>
      </c>
      <c r="W910" s="69">
        <v>118.60181892447689</v>
      </c>
      <c r="X910" s="69">
        <v>118.60181892447689</v>
      </c>
      <c r="Y910" s="69">
        <v>118.60181892447689</v>
      </c>
      <c r="Z910" s="69">
        <v>118.60181892447689</v>
      </c>
      <c r="AA910" s="69">
        <v>118.60181892447689</v>
      </c>
      <c r="AB910" s="69">
        <v>118.60181892447689</v>
      </c>
      <c r="AC910" s="69">
        <v>118.60181892447689</v>
      </c>
      <c r="AD910" s="69">
        <v>118.60181892447689</v>
      </c>
      <c r="AE910" s="69">
        <v>118.60181892447689</v>
      </c>
      <c r="AF910" s="69">
        <v>118.60181892447689</v>
      </c>
      <c r="AG910" s="69">
        <v>118.60181892447689</v>
      </c>
    </row>
    <row r="911" spans="1:33" ht="12.75" customHeight="1">
      <c r="A911" s="231" t="s">
        <v>2377</v>
      </c>
      <c r="B911" s="69" t="s">
        <v>287</v>
      </c>
      <c r="C911" s="69" t="s">
        <v>184</v>
      </c>
      <c r="D911" s="69" t="s">
        <v>140</v>
      </c>
      <c r="E911" s="69" t="s">
        <v>191</v>
      </c>
      <c r="F911" s="69" t="s">
        <v>167</v>
      </c>
      <c r="G911" s="69" t="s">
        <v>192</v>
      </c>
      <c r="H911" s="69" t="s">
        <v>804</v>
      </c>
      <c r="I911" s="69">
        <v>2</v>
      </c>
      <c r="J911" s="238">
        <v>0.8</v>
      </c>
      <c r="K911" s="238">
        <v>0</v>
      </c>
      <c r="L911" s="69">
        <v>114.19797366361543</v>
      </c>
      <c r="M911" s="69">
        <v>0</v>
      </c>
      <c r="N911" s="69">
        <v>0</v>
      </c>
      <c r="O911" s="69">
        <v>0</v>
      </c>
      <c r="P911" s="69">
        <v>14.015999999999622</v>
      </c>
      <c r="Q911" s="69">
        <v>14.015999999999622</v>
      </c>
      <c r="R911" s="69">
        <v>14.015999999999622</v>
      </c>
      <c r="S911" s="69">
        <v>14.015999999999622</v>
      </c>
      <c r="T911" s="69">
        <v>14.015999999999622</v>
      </c>
      <c r="U911" s="69">
        <v>14.015999999999622</v>
      </c>
      <c r="V911" s="69">
        <v>14.015999999999622</v>
      </c>
      <c r="W911" s="69">
        <v>14.015999999999622</v>
      </c>
      <c r="X911" s="69">
        <v>14.015999999999622</v>
      </c>
      <c r="Y911" s="69">
        <v>14.015999999999622</v>
      </c>
      <c r="Z911" s="69">
        <v>14.015999999999622</v>
      </c>
      <c r="AA911" s="69">
        <v>14.015999999999622</v>
      </c>
      <c r="AB911" s="69">
        <v>14.015999999999622</v>
      </c>
      <c r="AC911" s="69">
        <v>14.015999999999622</v>
      </c>
      <c r="AD911" s="69">
        <v>14.015999999999622</v>
      </c>
      <c r="AE911" s="69">
        <v>14.015999999999622</v>
      </c>
      <c r="AF911" s="69">
        <v>14.015999999999622</v>
      </c>
      <c r="AG911" s="69">
        <v>14.015999999999622</v>
      </c>
    </row>
    <row r="912" spans="1:33" ht="12.75" customHeight="1">
      <c r="A912" s="231" t="s">
        <v>2377</v>
      </c>
      <c r="B912" s="69" t="s">
        <v>288</v>
      </c>
      <c r="C912" s="69" t="s">
        <v>184</v>
      </c>
      <c r="D912" s="69" t="s">
        <v>140</v>
      </c>
      <c r="E912" s="69" t="s">
        <v>191</v>
      </c>
      <c r="F912" s="69" t="s">
        <v>177</v>
      </c>
      <c r="G912" s="69" t="s">
        <v>192</v>
      </c>
      <c r="H912" s="69" t="s">
        <v>804</v>
      </c>
      <c r="I912" s="69">
        <v>2</v>
      </c>
      <c r="J912" s="238">
        <v>0.8</v>
      </c>
      <c r="K912" s="238">
        <v>0</v>
      </c>
      <c r="L912" s="69">
        <v>114.19797366361543</v>
      </c>
      <c r="M912" s="69">
        <v>0</v>
      </c>
      <c r="N912" s="69">
        <v>0</v>
      </c>
      <c r="O912" s="69">
        <v>0</v>
      </c>
      <c r="P912" s="69">
        <v>14.015999999999622</v>
      </c>
      <c r="Q912" s="69">
        <v>14.015999999999622</v>
      </c>
      <c r="R912" s="69">
        <v>14.015999999999622</v>
      </c>
      <c r="S912" s="69">
        <v>14.015999999999622</v>
      </c>
      <c r="T912" s="69">
        <v>14.015999999999622</v>
      </c>
      <c r="U912" s="69">
        <v>14.015999999999622</v>
      </c>
      <c r="V912" s="69">
        <v>14.015999999999622</v>
      </c>
      <c r="W912" s="69">
        <v>14.015999999999622</v>
      </c>
      <c r="X912" s="69">
        <v>14.015999999999622</v>
      </c>
      <c r="Y912" s="69">
        <v>14.015999999999622</v>
      </c>
      <c r="Z912" s="69">
        <v>14.015999999999622</v>
      </c>
      <c r="AA912" s="69">
        <v>14.015999999999622</v>
      </c>
      <c r="AB912" s="69">
        <v>14.015999999999622</v>
      </c>
      <c r="AC912" s="69">
        <v>14.015999999999622</v>
      </c>
      <c r="AD912" s="69">
        <v>14.015999999999622</v>
      </c>
      <c r="AE912" s="69">
        <v>14.015999999999622</v>
      </c>
      <c r="AF912" s="69">
        <v>14.015999999999622</v>
      </c>
      <c r="AG912" s="69">
        <v>14.015999999999622</v>
      </c>
    </row>
    <row r="913" spans="1:33" ht="12.75" customHeight="1">
      <c r="A913" s="231" t="s">
        <v>2377</v>
      </c>
      <c r="B913" s="69" t="s">
        <v>289</v>
      </c>
      <c r="C913" s="69" t="s">
        <v>187</v>
      </c>
      <c r="D913" s="69" t="s">
        <v>191</v>
      </c>
      <c r="E913" s="69" t="s">
        <v>191</v>
      </c>
      <c r="F913" s="69" t="s">
        <v>180</v>
      </c>
      <c r="G913" s="69" t="s">
        <v>192</v>
      </c>
      <c r="H913" s="69" t="s">
        <v>804</v>
      </c>
      <c r="I913" s="69">
        <v>2</v>
      </c>
      <c r="J913" s="238">
        <v>0.2668262983999703</v>
      </c>
      <c r="K913" s="238">
        <v>0.82586438133842643</v>
      </c>
      <c r="L913" s="69">
        <v>192.38629588063705</v>
      </c>
      <c r="M913" s="69">
        <v>0</v>
      </c>
      <c r="N913" s="69">
        <v>0</v>
      </c>
      <c r="O913" s="69">
        <v>0</v>
      </c>
      <c r="P913" s="69">
        <v>0</v>
      </c>
      <c r="Q913" s="69">
        <v>0</v>
      </c>
      <c r="R913" s="69">
        <v>245.42682926829002</v>
      </c>
      <c r="S913" s="69">
        <v>245.42682926829002</v>
      </c>
      <c r="T913" s="69">
        <v>245.42682926829002</v>
      </c>
      <c r="U913" s="69">
        <v>245.42682926829002</v>
      </c>
      <c r="V913" s="69">
        <v>245.42682926829002</v>
      </c>
      <c r="W913" s="69">
        <v>245.42682926829002</v>
      </c>
      <c r="X913" s="69">
        <v>245.42682926829002</v>
      </c>
      <c r="Y913" s="69">
        <v>245.42682926829002</v>
      </c>
      <c r="Z913" s="69">
        <v>245.42682926829002</v>
      </c>
      <c r="AA913" s="69">
        <v>245.42682926829002</v>
      </c>
      <c r="AB913" s="69">
        <v>245.42682926829002</v>
      </c>
      <c r="AC913" s="69">
        <v>245.42682926829002</v>
      </c>
      <c r="AD913" s="69">
        <v>245.42682926829002</v>
      </c>
      <c r="AE913" s="69">
        <v>245.42682926829002</v>
      </c>
      <c r="AF913" s="69">
        <v>245.42682926829002</v>
      </c>
      <c r="AG913" s="69">
        <v>245.42682926829002</v>
      </c>
    </row>
    <row r="914" spans="1:33" ht="12.75" customHeight="1">
      <c r="A914" s="231" t="s">
        <v>2377</v>
      </c>
      <c r="B914" s="69" t="s">
        <v>290</v>
      </c>
      <c r="C914" s="69" t="s">
        <v>137</v>
      </c>
      <c r="D914" s="69" t="s">
        <v>191</v>
      </c>
      <c r="E914" s="69" t="s">
        <v>191</v>
      </c>
      <c r="F914" s="69" t="s">
        <v>168</v>
      </c>
      <c r="G914" s="69" t="s">
        <v>199</v>
      </c>
      <c r="H914" s="69" t="s">
        <v>2417</v>
      </c>
      <c r="I914" s="69">
        <v>1</v>
      </c>
      <c r="J914" s="238">
        <v>0.29204999999999998</v>
      </c>
      <c r="K914" s="238">
        <v>0.18436399478639695</v>
      </c>
      <c r="L914" s="69">
        <v>95.155627725733936</v>
      </c>
      <c r="M914" s="69">
        <v>0</v>
      </c>
      <c r="N914" s="69">
        <v>0</v>
      </c>
      <c r="O914" s="69">
        <v>0</v>
      </c>
      <c r="P914" s="69">
        <v>358.17011999999977</v>
      </c>
      <c r="Q914" s="69">
        <v>358.17011999999977</v>
      </c>
      <c r="R914" s="69">
        <v>358.17011999999977</v>
      </c>
      <c r="S914" s="69">
        <v>358.17011999999977</v>
      </c>
      <c r="T914" s="69">
        <v>358.17011999999977</v>
      </c>
      <c r="U914" s="69">
        <v>358.17011999999977</v>
      </c>
      <c r="V914" s="69">
        <v>358.17011999999977</v>
      </c>
      <c r="W914" s="69">
        <v>358.17011999999977</v>
      </c>
      <c r="X914" s="69">
        <v>358.17011999999977</v>
      </c>
      <c r="Y914" s="69">
        <v>358.17011999999977</v>
      </c>
      <c r="Z914" s="69">
        <v>358.17011999999977</v>
      </c>
      <c r="AA914" s="69">
        <v>358.17011999999977</v>
      </c>
      <c r="AB914" s="69">
        <v>358.17011999999977</v>
      </c>
      <c r="AC914" s="69">
        <v>358.17011999999977</v>
      </c>
      <c r="AD914" s="69">
        <v>358.17011999999977</v>
      </c>
      <c r="AE914" s="69">
        <v>358.17011999999977</v>
      </c>
      <c r="AF914" s="69">
        <v>358.17011999999977</v>
      </c>
      <c r="AG914" s="69">
        <v>358.17011999999977</v>
      </c>
    </row>
    <row r="915" spans="1:33" ht="12.75" customHeight="1">
      <c r="A915" s="231" t="s">
        <v>2377</v>
      </c>
      <c r="B915" s="69" t="s">
        <v>290</v>
      </c>
      <c r="C915" s="69" t="s">
        <v>137</v>
      </c>
      <c r="D915" s="69" t="s">
        <v>191</v>
      </c>
      <c r="E915" s="69" t="s">
        <v>191</v>
      </c>
      <c r="F915" s="69" t="s">
        <v>168</v>
      </c>
      <c r="G915" s="69" t="s">
        <v>199</v>
      </c>
      <c r="H915" s="69" t="s">
        <v>2417</v>
      </c>
      <c r="I915" s="69">
        <v>1</v>
      </c>
      <c r="J915" s="238">
        <v>0.29204999999999998</v>
      </c>
      <c r="K915" s="238">
        <v>0.18436399478639695</v>
      </c>
      <c r="L915" s="69">
        <v>95.155627725733936</v>
      </c>
      <c r="M915" s="69">
        <v>0</v>
      </c>
      <c r="N915" s="69">
        <v>0</v>
      </c>
      <c r="O915" s="69">
        <v>0</v>
      </c>
      <c r="P915" s="69">
        <v>358.17011999999977</v>
      </c>
      <c r="Q915" s="69">
        <v>358.17011999999977</v>
      </c>
      <c r="R915" s="69">
        <v>358.17011999999977</v>
      </c>
      <c r="S915" s="69">
        <v>358.17011999999977</v>
      </c>
      <c r="T915" s="69">
        <v>358.17011999999977</v>
      </c>
      <c r="U915" s="69">
        <v>358.17011999999977</v>
      </c>
      <c r="V915" s="69">
        <v>358.17011999999977</v>
      </c>
      <c r="W915" s="69">
        <v>358.17011999999977</v>
      </c>
      <c r="X915" s="69">
        <v>358.17011999999977</v>
      </c>
      <c r="Y915" s="69">
        <v>358.17011999999977</v>
      </c>
      <c r="Z915" s="69">
        <v>358.17011999999977</v>
      </c>
      <c r="AA915" s="69">
        <v>358.17011999999977</v>
      </c>
      <c r="AB915" s="69">
        <v>358.17011999999977</v>
      </c>
      <c r="AC915" s="69">
        <v>358.17011999999977</v>
      </c>
      <c r="AD915" s="69">
        <v>358.17011999999977</v>
      </c>
      <c r="AE915" s="69">
        <v>358.17011999999977</v>
      </c>
      <c r="AF915" s="69">
        <v>358.17011999999977</v>
      </c>
      <c r="AG915" s="69">
        <v>358.17011999999977</v>
      </c>
    </row>
    <row r="916" spans="1:33" ht="12.75" customHeight="1">
      <c r="A916" s="231" t="s">
        <v>2377</v>
      </c>
      <c r="B916" s="69" t="s">
        <v>290</v>
      </c>
      <c r="C916" s="69" t="s">
        <v>137</v>
      </c>
      <c r="D916" s="69" t="s">
        <v>191</v>
      </c>
      <c r="E916" s="69" t="s">
        <v>191</v>
      </c>
      <c r="F916" s="69" t="s">
        <v>168</v>
      </c>
      <c r="G916" s="69" t="s">
        <v>199</v>
      </c>
      <c r="H916" s="69" t="s">
        <v>2417</v>
      </c>
      <c r="I916" s="69">
        <v>1</v>
      </c>
      <c r="J916" s="238">
        <v>0.29204999999999998</v>
      </c>
      <c r="K916" s="238">
        <v>0.18436399478639695</v>
      </c>
      <c r="L916" s="69">
        <v>95.155627725733936</v>
      </c>
      <c r="M916" s="69">
        <v>0</v>
      </c>
      <c r="N916" s="69">
        <v>0</v>
      </c>
      <c r="O916" s="69">
        <v>0</v>
      </c>
      <c r="P916" s="69">
        <v>358.17011999999977</v>
      </c>
      <c r="Q916" s="69">
        <v>358.17011999999977</v>
      </c>
      <c r="R916" s="69">
        <v>358.17011999999977</v>
      </c>
      <c r="S916" s="69">
        <v>358.17011999999977</v>
      </c>
      <c r="T916" s="69">
        <v>358.17011999999977</v>
      </c>
      <c r="U916" s="69">
        <v>358.17011999999977</v>
      </c>
      <c r="V916" s="69">
        <v>358.17011999999977</v>
      </c>
      <c r="W916" s="69">
        <v>358.17011999999977</v>
      </c>
      <c r="X916" s="69">
        <v>358.17011999999977</v>
      </c>
      <c r="Y916" s="69">
        <v>358.17011999999977</v>
      </c>
      <c r="Z916" s="69">
        <v>358.17011999999977</v>
      </c>
      <c r="AA916" s="69">
        <v>358.17011999999977</v>
      </c>
      <c r="AB916" s="69">
        <v>358.17011999999977</v>
      </c>
      <c r="AC916" s="69">
        <v>358.17011999999977</v>
      </c>
      <c r="AD916" s="69">
        <v>358.17011999999977</v>
      </c>
      <c r="AE916" s="69">
        <v>358.17011999999977</v>
      </c>
      <c r="AF916" s="69">
        <v>358.17011999999977</v>
      </c>
      <c r="AG916" s="69">
        <v>358.17011999999977</v>
      </c>
    </row>
    <row r="917" spans="1:33" ht="12.75" customHeight="1">
      <c r="A917" s="231" t="s">
        <v>2377</v>
      </c>
      <c r="B917" s="69" t="s">
        <v>291</v>
      </c>
      <c r="C917" s="69" t="s">
        <v>184</v>
      </c>
      <c r="D917" s="69" t="s">
        <v>140</v>
      </c>
      <c r="E917" s="69" t="s">
        <v>191</v>
      </c>
      <c r="F917" s="69" t="s">
        <v>180</v>
      </c>
      <c r="G917" s="69" t="s">
        <v>192</v>
      </c>
      <c r="H917" s="69" t="s">
        <v>804</v>
      </c>
      <c r="I917" s="69">
        <v>2</v>
      </c>
      <c r="J917" s="238">
        <v>0.8</v>
      </c>
      <c r="K917" s="238">
        <v>0</v>
      </c>
      <c r="L917" s="69">
        <v>114.19797366361543</v>
      </c>
      <c r="M917" s="69">
        <v>0</v>
      </c>
      <c r="N917" s="69">
        <v>0</v>
      </c>
      <c r="O917" s="69">
        <v>0</v>
      </c>
      <c r="P917" s="69">
        <v>0</v>
      </c>
      <c r="Q917" s="69">
        <v>0</v>
      </c>
      <c r="R917" s="69">
        <v>14.015999999999622</v>
      </c>
      <c r="S917" s="69">
        <v>14.015999999999622</v>
      </c>
      <c r="T917" s="69">
        <v>14.015999999999622</v>
      </c>
      <c r="U917" s="69">
        <v>14.015999999999622</v>
      </c>
      <c r="V917" s="69">
        <v>14.015999999999622</v>
      </c>
      <c r="W917" s="69">
        <v>14.015999999999622</v>
      </c>
      <c r="X917" s="69">
        <v>14.015999999999622</v>
      </c>
      <c r="Y917" s="69">
        <v>14.015999999999622</v>
      </c>
      <c r="Z917" s="69">
        <v>14.015999999999622</v>
      </c>
      <c r="AA917" s="69">
        <v>14.015999999999622</v>
      </c>
      <c r="AB917" s="69">
        <v>14.015999999999622</v>
      </c>
      <c r="AC917" s="69">
        <v>14.015999999999622</v>
      </c>
      <c r="AD917" s="69">
        <v>14.015999999999622</v>
      </c>
      <c r="AE917" s="69">
        <v>14.015999999999622</v>
      </c>
      <c r="AF917" s="69">
        <v>14.015999999999622</v>
      </c>
      <c r="AG917" s="69">
        <v>14.015999999999622</v>
      </c>
    </row>
    <row r="918" spans="1:33" ht="12.75" customHeight="1">
      <c r="A918" s="231" t="s">
        <v>2377</v>
      </c>
      <c r="B918" s="69" t="s">
        <v>292</v>
      </c>
      <c r="C918" s="69" t="s">
        <v>184</v>
      </c>
      <c r="D918" s="69" t="s">
        <v>140</v>
      </c>
      <c r="E918" s="69" t="s">
        <v>191</v>
      </c>
      <c r="F918" s="69" t="s">
        <v>177</v>
      </c>
      <c r="G918" s="69" t="s">
        <v>192</v>
      </c>
      <c r="H918" s="69" t="s">
        <v>804</v>
      </c>
      <c r="I918" s="69">
        <v>2</v>
      </c>
      <c r="J918" s="238">
        <v>0.8</v>
      </c>
      <c r="K918" s="238">
        <v>0</v>
      </c>
      <c r="L918" s="69">
        <v>114.19797366361543</v>
      </c>
      <c r="M918" s="69">
        <v>0</v>
      </c>
      <c r="N918" s="69">
        <v>0</v>
      </c>
      <c r="O918" s="69">
        <v>0</v>
      </c>
      <c r="P918" s="69">
        <v>35.040000000000873</v>
      </c>
      <c r="Q918" s="69">
        <v>35.040000000000873</v>
      </c>
      <c r="R918" s="69">
        <v>35.040000000000873</v>
      </c>
      <c r="S918" s="69">
        <v>35.040000000000873</v>
      </c>
      <c r="T918" s="69">
        <v>35.040000000000873</v>
      </c>
      <c r="U918" s="69">
        <v>35.040000000000873</v>
      </c>
      <c r="V918" s="69">
        <v>35.040000000000873</v>
      </c>
      <c r="W918" s="69">
        <v>35.040000000000873</v>
      </c>
      <c r="X918" s="69">
        <v>35.040000000000873</v>
      </c>
      <c r="Y918" s="69">
        <v>35.040000000000873</v>
      </c>
      <c r="Z918" s="69">
        <v>35.040000000000873</v>
      </c>
      <c r="AA918" s="69">
        <v>35.040000000000873</v>
      </c>
      <c r="AB918" s="69">
        <v>35.040000000000873</v>
      </c>
      <c r="AC918" s="69">
        <v>35.040000000000873</v>
      </c>
      <c r="AD918" s="69">
        <v>35.040000000000873</v>
      </c>
      <c r="AE918" s="69">
        <v>35.040000000000873</v>
      </c>
      <c r="AF918" s="69">
        <v>35.040000000000873</v>
      </c>
      <c r="AG918" s="69">
        <v>35.040000000000873</v>
      </c>
    </row>
    <row r="919" spans="1:33" ht="12.75" customHeight="1">
      <c r="A919" s="231" t="s">
        <v>2377</v>
      </c>
      <c r="B919" s="69" t="s">
        <v>293</v>
      </c>
      <c r="C919" s="69" t="s">
        <v>137</v>
      </c>
      <c r="D919" s="69" t="s">
        <v>191</v>
      </c>
      <c r="E919" s="69" t="s">
        <v>191</v>
      </c>
      <c r="F919" s="69" t="s">
        <v>181</v>
      </c>
      <c r="G919" s="69" t="s">
        <v>294</v>
      </c>
      <c r="H919" s="69" t="s">
        <v>2417</v>
      </c>
      <c r="I919" s="69">
        <v>1</v>
      </c>
      <c r="J919" s="238">
        <v>0.28989999999999999</v>
      </c>
      <c r="K919" s="238">
        <v>0.18559014484515421</v>
      </c>
      <c r="L919" s="69">
        <v>91.706640833021837</v>
      </c>
      <c r="M919" s="69">
        <v>0</v>
      </c>
      <c r="N919" s="69">
        <v>228.55715999999995</v>
      </c>
      <c r="O919" s="69">
        <v>228.55715999999995</v>
      </c>
      <c r="P919" s="69">
        <v>228.55715999999995</v>
      </c>
      <c r="Q919" s="69">
        <v>228.55715999999995</v>
      </c>
      <c r="R919" s="69">
        <v>228.55715999999995</v>
      </c>
      <c r="S919" s="69">
        <v>228.55715999999995</v>
      </c>
      <c r="T919" s="69">
        <v>228.55715999999995</v>
      </c>
      <c r="U919" s="69">
        <v>228.55715999999995</v>
      </c>
      <c r="V919" s="69">
        <v>228.55715999999995</v>
      </c>
      <c r="W919" s="69">
        <v>228.55715999999995</v>
      </c>
      <c r="X919" s="69">
        <v>228.55715999999995</v>
      </c>
      <c r="Y919" s="69">
        <v>228.55715999999995</v>
      </c>
      <c r="Z919" s="69">
        <v>228.55715999999995</v>
      </c>
      <c r="AA919" s="69">
        <v>228.55715999999995</v>
      </c>
      <c r="AB919" s="69">
        <v>228.55715999999995</v>
      </c>
      <c r="AC919" s="69">
        <v>228.55715999999995</v>
      </c>
      <c r="AD919" s="69">
        <v>228.55715999999995</v>
      </c>
      <c r="AE919" s="69">
        <v>228.55715999999995</v>
      </c>
      <c r="AF919" s="69">
        <v>228.55715999999995</v>
      </c>
      <c r="AG919" s="69">
        <v>228.55715999999995</v>
      </c>
    </row>
    <row r="920" spans="1:33" ht="12.75" customHeight="1">
      <c r="A920" s="231" t="s">
        <v>2377</v>
      </c>
      <c r="B920" s="69" t="s">
        <v>295</v>
      </c>
      <c r="C920" s="69" t="s">
        <v>137</v>
      </c>
      <c r="D920" s="69" t="s">
        <v>191</v>
      </c>
      <c r="E920" s="69" t="s">
        <v>191</v>
      </c>
      <c r="F920" s="69" t="s">
        <v>168</v>
      </c>
      <c r="G920" s="69" t="s">
        <v>199</v>
      </c>
      <c r="H920" s="69" t="s">
        <v>2417</v>
      </c>
      <c r="I920" s="69">
        <v>1</v>
      </c>
      <c r="J920" s="238">
        <v>0.29204999999999998</v>
      </c>
      <c r="K920" s="238">
        <v>0.18436399478639695</v>
      </c>
      <c r="L920" s="69">
        <v>95.155627725733964</v>
      </c>
      <c r="M920" s="69">
        <v>0</v>
      </c>
      <c r="N920" s="69">
        <v>0</v>
      </c>
      <c r="O920" s="69">
        <v>266.06923199999983</v>
      </c>
      <c r="P920" s="69">
        <v>266.06923199999983</v>
      </c>
      <c r="Q920" s="69">
        <v>266.06923199999983</v>
      </c>
      <c r="R920" s="69">
        <v>266.06923199999983</v>
      </c>
      <c r="S920" s="69">
        <v>266.06923199999983</v>
      </c>
      <c r="T920" s="69">
        <v>266.06923199999983</v>
      </c>
      <c r="U920" s="69">
        <v>266.06923199999983</v>
      </c>
      <c r="V920" s="69">
        <v>266.06923199999983</v>
      </c>
      <c r="W920" s="69">
        <v>266.06923199999983</v>
      </c>
      <c r="X920" s="69">
        <v>266.06923199999983</v>
      </c>
      <c r="Y920" s="69">
        <v>266.06923199999983</v>
      </c>
      <c r="Z920" s="69">
        <v>266.06923199999983</v>
      </c>
      <c r="AA920" s="69">
        <v>266.06923199999983</v>
      </c>
      <c r="AB920" s="69">
        <v>266.06923199999983</v>
      </c>
      <c r="AC920" s="69">
        <v>266.06923199999983</v>
      </c>
      <c r="AD920" s="69">
        <v>266.06923199999983</v>
      </c>
      <c r="AE920" s="69">
        <v>266.06923199999983</v>
      </c>
      <c r="AF920" s="69">
        <v>266.06923199999983</v>
      </c>
      <c r="AG920" s="69">
        <v>266.06923199999983</v>
      </c>
    </row>
    <row r="921" spans="1:33" ht="12.75" customHeight="1">
      <c r="A921" s="231" t="s">
        <v>2377</v>
      </c>
      <c r="B921" s="69" t="s">
        <v>296</v>
      </c>
      <c r="C921" s="69" t="s">
        <v>184</v>
      </c>
      <c r="D921" s="69" t="s">
        <v>140</v>
      </c>
      <c r="E921" s="69" t="s">
        <v>191</v>
      </c>
      <c r="F921" s="69" t="s">
        <v>167</v>
      </c>
      <c r="G921" s="69" t="s">
        <v>192</v>
      </c>
      <c r="H921" s="69" t="s">
        <v>804</v>
      </c>
      <c r="I921" s="69">
        <v>2</v>
      </c>
      <c r="J921" s="238">
        <v>0.8</v>
      </c>
      <c r="K921" s="238">
        <v>0</v>
      </c>
      <c r="L921" s="69">
        <v>114.19797366361543</v>
      </c>
      <c r="M921" s="69">
        <v>0</v>
      </c>
      <c r="N921" s="69">
        <v>0</v>
      </c>
      <c r="O921" s="69">
        <v>0</v>
      </c>
      <c r="P921" s="69">
        <v>0</v>
      </c>
      <c r="Q921" s="69">
        <v>0</v>
      </c>
      <c r="R921" s="69">
        <v>21.024000000001251</v>
      </c>
      <c r="S921" s="69">
        <v>21.024000000001251</v>
      </c>
      <c r="T921" s="69">
        <v>21.024000000001251</v>
      </c>
      <c r="U921" s="69">
        <v>21.024000000001251</v>
      </c>
      <c r="V921" s="69">
        <v>21.024000000001251</v>
      </c>
      <c r="W921" s="69">
        <v>21.024000000001251</v>
      </c>
      <c r="X921" s="69">
        <v>21.024000000001251</v>
      </c>
      <c r="Y921" s="69">
        <v>21.024000000001251</v>
      </c>
      <c r="Z921" s="69">
        <v>21.024000000001251</v>
      </c>
      <c r="AA921" s="69">
        <v>21.024000000001251</v>
      </c>
      <c r="AB921" s="69">
        <v>21.024000000001251</v>
      </c>
      <c r="AC921" s="69">
        <v>21.024000000001251</v>
      </c>
      <c r="AD921" s="69">
        <v>21.024000000001251</v>
      </c>
      <c r="AE921" s="69">
        <v>21.024000000001251</v>
      </c>
      <c r="AF921" s="69">
        <v>21.024000000001251</v>
      </c>
      <c r="AG921" s="69">
        <v>21.024000000001251</v>
      </c>
    </row>
    <row r="922" spans="1:33" ht="12.75" customHeight="1">
      <c r="A922" s="231" t="s">
        <v>2377</v>
      </c>
      <c r="B922" s="69" t="s">
        <v>298</v>
      </c>
      <c r="C922" s="69" t="s">
        <v>137</v>
      </c>
      <c r="D922" s="69" t="s">
        <v>191</v>
      </c>
      <c r="E922" s="69" t="s">
        <v>191</v>
      </c>
      <c r="F922" s="69" t="s">
        <v>180</v>
      </c>
      <c r="G922" s="69" t="s">
        <v>192</v>
      </c>
      <c r="H922" s="69" t="s">
        <v>804</v>
      </c>
      <c r="I922" s="69">
        <v>1</v>
      </c>
      <c r="J922" s="238">
        <v>0.32235762917068039</v>
      </c>
      <c r="K922" s="238">
        <v>0.160195270625522</v>
      </c>
      <c r="L922" s="69">
        <v>96.038728079112815</v>
      </c>
      <c r="M922" s="69">
        <v>0</v>
      </c>
      <c r="N922" s="69">
        <v>0</v>
      </c>
      <c r="O922" s="69">
        <v>0</v>
      </c>
      <c r="P922" s="69">
        <v>0</v>
      </c>
      <c r="Q922" s="69">
        <v>0</v>
      </c>
      <c r="R922" s="69">
        <v>395.33939641492179</v>
      </c>
      <c r="S922" s="69">
        <v>395.33939641492179</v>
      </c>
      <c r="T922" s="69">
        <v>395.33939641492179</v>
      </c>
      <c r="U922" s="69">
        <v>395.33939641492179</v>
      </c>
      <c r="V922" s="69">
        <v>395.33939641492179</v>
      </c>
      <c r="W922" s="69">
        <v>395.33939641492179</v>
      </c>
      <c r="X922" s="69">
        <v>395.33939641492179</v>
      </c>
      <c r="Y922" s="69">
        <v>395.33939641492179</v>
      </c>
      <c r="Z922" s="69">
        <v>395.33939641492179</v>
      </c>
      <c r="AA922" s="69">
        <v>395.33939641492179</v>
      </c>
      <c r="AB922" s="69">
        <v>395.33939641492179</v>
      </c>
      <c r="AC922" s="69">
        <v>395.33939641492179</v>
      </c>
      <c r="AD922" s="69">
        <v>395.33939641492179</v>
      </c>
      <c r="AE922" s="69">
        <v>395.33939641492179</v>
      </c>
      <c r="AF922" s="69">
        <v>395.33939641492179</v>
      </c>
      <c r="AG922" s="69">
        <v>395.33939641492179</v>
      </c>
    </row>
    <row r="923" spans="1:33" ht="12.75" customHeight="1">
      <c r="A923" s="231" t="s">
        <v>2377</v>
      </c>
      <c r="B923" s="69" t="s">
        <v>300</v>
      </c>
      <c r="C923" s="69" t="s">
        <v>139</v>
      </c>
      <c r="D923" s="69" t="s">
        <v>191</v>
      </c>
      <c r="E923" s="69" t="s">
        <v>191</v>
      </c>
      <c r="F923" s="69" t="s">
        <v>178</v>
      </c>
      <c r="G923" s="69" t="s">
        <v>192</v>
      </c>
      <c r="H923" s="69" t="s">
        <v>2130</v>
      </c>
      <c r="I923" s="69">
        <v>1</v>
      </c>
      <c r="J923" s="238">
        <v>0.85000000000000009</v>
      </c>
      <c r="K923" s="238">
        <v>0.65417202707739608</v>
      </c>
      <c r="L923" s="69">
        <v>127.99027888971091</v>
      </c>
      <c r="M923" s="69">
        <v>0</v>
      </c>
      <c r="N923" s="69">
        <v>0</v>
      </c>
      <c r="O923" s="69">
        <v>0</v>
      </c>
      <c r="P923" s="69">
        <v>0</v>
      </c>
      <c r="Q923" s="69">
        <v>156.36599999999999</v>
      </c>
      <c r="R923" s="69">
        <v>156.36599999999999</v>
      </c>
      <c r="S923" s="69">
        <v>156.36599999999999</v>
      </c>
      <c r="T923" s="69">
        <v>156.36599999999999</v>
      </c>
      <c r="U923" s="69">
        <v>156.36599999999999</v>
      </c>
      <c r="V923" s="69">
        <v>156.36599999999999</v>
      </c>
      <c r="W923" s="69">
        <v>156.36599999999999</v>
      </c>
      <c r="X923" s="69">
        <v>156.36599999999999</v>
      </c>
      <c r="Y923" s="69">
        <v>156.36599999999999</v>
      </c>
      <c r="Z923" s="69">
        <v>156.36599999999999</v>
      </c>
      <c r="AA923" s="69">
        <v>156.36599999999999</v>
      </c>
      <c r="AB923" s="69">
        <v>156.36599999999999</v>
      </c>
      <c r="AC923" s="69">
        <v>156.36599999999999</v>
      </c>
      <c r="AD923" s="69">
        <v>156.36599999999999</v>
      </c>
      <c r="AE923" s="69">
        <v>156.36599999999999</v>
      </c>
      <c r="AF923" s="69">
        <v>156.36599999999999</v>
      </c>
      <c r="AG923" s="69">
        <v>156.36599999999999</v>
      </c>
    </row>
    <row r="924" spans="1:33" ht="12.75" customHeight="1">
      <c r="A924" s="231" t="s">
        <v>2377</v>
      </c>
      <c r="B924" s="69" t="s">
        <v>304</v>
      </c>
      <c r="C924" s="69" t="s">
        <v>139</v>
      </c>
      <c r="D924" s="69" t="s">
        <v>191</v>
      </c>
      <c r="E924" s="69" t="s">
        <v>191</v>
      </c>
      <c r="F924" s="69" t="s">
        <v>167</v>
      </c>
      <c r="G924" s="69" t="s">
        <v>192</v>
      </c>
      <c r="H924" s="69" t="s">
        <v>805</v>
      </c>
      <c r="I924" s="69">
        <v>1</v>
      </c>
      <c r="J924" s="238">
        <v>0.84999999999999987</v>
      </c>
      <c r="K924" s="238">
        <v>0.66</v>
      </c>
      <c r="L924" s="69">
        <v>127.99027888971092</v>
      </c>
      <c r="M924" s="69">
        <v>0</v>
      </c>
      <c r="N924" s="69">
        <v>81.906000000000006</v>
      </c>
      <c r="O924" s="69">
        <v>81.906000000000006</v>
      </c>
      <c r="P924" s="69">
        <v>81.906000000000006</v>
      </c>
      <c r="Q924" s="69">
        <v>81.906000000000006</v>
      </c>
      <c r="R924" s="69">
        <v>81.906000000000006</v>
      </c>
      <c r="S924" s="69">
        <v>81.906000000000006</v>
      </c>
      <c r="T924" s="69">
        <v>81.906000000000006</v>
      </c>
      <c r="U924" s="69">
        <v>81.906000000000006</v>
      </c>
      <c r="V924" s="69">
        <v>81.906000000000006</v>
      </c>
      <c r="W924" s="69">
        <v>81.906000000000006</v>
      </c>
      <c r="X924" s="69">
        <v>81.906000000000006</v>
      </c>
      <c r="Y924" s="69">
        <v>81.906000000000006</v>
      </c>
      <c r="Z924" s="69">
        <v>81.906000000000006</v>
      </c>
      <c r="AA924" s="69">
        <v>81.906000000000006</v>
      </c>
      <c r="AB924" s="69">
        <v>81.906000000000006</v>
      </c>
      <c r="AC924" s="69">
        <v>81.906000000000006</v>
      </c>
      <c r="AD924" s="69">
        <v>81.906000000000006</v>
      </c>
      <c r="AE924" s="69">
        <v>81.906000000000006</v>
      </c>
      <c r="AF924" s="69">
        <v>81.906000000000006</v>
      </c>
      <c r="AG924" s="69">
        <v>81.906000000000006</v>
      </c>
    </row>
    <row r="925" spans="1:33" ht="12.75" customHeight="1">
      <c r="A925" s="231" t="s">
        <v>2377</v>
      </c>
      <c r="B925" s="69" t="s">
        <v>305</v>
      </c>
      <c r="C925" s="69" t="s">
        <v>137</v>
      </c>
      <c r="D925" s="69" t="s">
        <v>191</v>
      </c>
      <c r="E925" s="69" t="s">
        <v>191</v>
      </c>
      <c r="F925" s="69" t="s">
        <v>163</v>
      </c>
      <c r="G925" s="69" t="s">
        <v>306</v>
      </c>
      <c r="H925" s="69" t="s">
        <v>2417</v>
      </c>
      <c r="I925" s="69">
        <v>1</v>
      </c>
      <c r="J925" s="238">
        <v>0.37809999999999999</v>
      </c>
      <c r="K925" s="238">
        <v>0.1774753372665249</v>
      </c>
      <c r="L925" s="69">
        <v>72.572266000309625</v>
      </c>
      <c r="M925" s="69">
        <v>0</v>
      </c>
      <c r="N925" s="69">
        <v>0</v>
      </c>
      <c r="O925" s="69">
        <v>993.64679999999998</v>
      </c>
      <c r="P925" s="69">
        <v>993.64679999999998</v>
      </c>
      <c r="Q925" s="69">
        <v>993.64679999999998</v>
      </c>
      <c r="R925" s="69">
        <v>993.64679999999998</v>
      </c>
      <c r="S925" s="69">
        <v>993.64679999999998</v>
      </c>
      <c r="T925" s="69">
        <v>993.64679999999998</v>
      </c>
      <c r="U925" s="69">
        <v>993.64679999999998</v>
      </c>
      <c r="V925" s="69">
        <v>993.64679999999998</v>
      </c>
      <c r="W925" s="69">
        <v>993.64679999999998</v>
      </c>
      <c r="X925" s="69">
        <v>993.64679999999998</v>
      </c>
      <c r="Y925" s="69">
        <v>993.64679999999998</v>
      </c>
      <c r="Z925" s="69">
        <v>993.64679999999998</v>
      </c>
      <c r="AA925" s="69">
        <v>993.64679999999998</v>
      </c>
      <c r="AB925" s="69">
        <v>993.64679999999998</v>
      </c>
      <c r="AC925" s="69">
        <v>993.64679999999998</v>
      </c>
      <c r="AD925" s="69">
        <v>993.64679999999998</v>
      </c>
      <c r="AE925" s="69">
        <v>993.64679999999998</v>
      </c>
      <c r="AF925" s="69">
        <v>993.64679999999998</v>
      </c>
      <c r="AG925" s="69">
        <v>993.64679999999998</v>
      </c>
    </row>
    <row r="926" spans="1:33" ht="12.75" customHeight="1">
      <c r="A926" s="231" t="s">
        <v>2377</v>
      </c>
      <c r="B926" s="69" t="s">
        <v>308</v>
      </c>
      <c r="C926" s="69" t="s">
        <v>185</v>
      </c>
      <c r="D926" s="69" t="s">
        <v>205</v>
      </c>
      <c r="E926" s="69" t="s">
        <v>203</v>
      </c>
      <c r="F926" s="69" t="s">
        <v>180</v>
      </c>
      <c r="G926" s="69" t="s">
        <v>192</v>
      </c>
      <c r="H926" s="69" t="s">
        <v>804</v>
      </c>
      <c r="I926" s="69">
        <v>2</v>
      </c>
      <c r="J926" s="238">
        <v>0.23499999999999999</v>
      </c>
      <c r="K926" s="238">
        <v>0.50535649574198227</v>
      </c>
      <c r="L926" s="69">
        <v>166.98446712238427</v>
      </c>
      <c r="M926" s="69">
        <v>0</v>
      </c>
      <c r="N926" s="69">
        <v>0</v>
      </c>
      <c r="O926" s="69">
        <v>0</v>
      </c>
      <c r="P926" s="69">
        <v>0</v>
      </c>
      <c r="Q926" s="69">
        <v>0</v>
      </c>
      <c r="R926" s="69">
        <v>1005.6302165351735</v>
      </c>
      <c r="S926" s="69">
        <v>1005.6302165351735</v>
      </c>
      <c r="T926" s="69">
        <v>1005.6302165351735</v>
      </c>
      <c r="U926" s="69">
        <v>1005.6302165351735</v>
      </c>
      <c r="V926" s="69">
        <v>1005.6302165351735</v>
      </c>
      <c r="W926" s="69">
        <v>1005.6302165351735</v>
      </c>
      <c r="X926" s="69">
        <v>1005.6302165351735</v>
      </c>
      <c r="Y926" s="69">
        <v>1005.6302165351735</v>
      </c>
      <c r="Z926" s="69">
        <v>1005.6302165351735</v>
      </c>
      <c r="AA926" s="69">
        <v>1005.6302165351735</v>
      </c>
      <c r="AB926" s="69">
        <v>1005.6302165351735</v>
      </c>
      <c r="AC926" s="69">
        <v>1005.6302165351735</v>
      </c>
      <c r="AD926" s="69">
        <v>1005.6302165351735</v>
      </c>
      <c r="AE926" s="69">
        <v>1005.6302165351735</v>
      </c>
      <c r="AF926" s="69">
        <v>1005.6302165351735</v>
      </c>
      <c r="AG926" s="69">
        <v>1005.6302165351735</v>
      </c>
    </row>
    <row r="927" spans="1:33" ht="12.75" customHeight="1">
      <c r="A927" s="231" t="s">
        <v>2377</v>
      </c>
      <c r="B927" s="69" t="s">
        <v>309</v>
      </c>
      <c r="C927" s="69" t="s">
        <v>137</v>
      </c>
      <c r="D927" s="69" t="s">
        <v>191</v>
      </c>
      <c r="E927" s="69" t="s">
        <v>191</v>
      </c>
      <c r="F927" s="69" t="s">
        <v>180</v>
      </c>
      <c r="G927" s="69" t="s">
        <v>192</v>
      </c>
      <c r="H927" s="69" t="s">
        <v>804</v>
      </c>
      <c r="I927" s="69">
        <v>2</v>
      </c>
      <c r="J927" s="238">
        <v>0.32235762917068039</v>
      </c>
      <c r="K927" s="238">
        <v>0.160195270625522</v>
      </c>
      <c r="L927" s="69">
        <v>96.038728079112815</v>
      </c>
      <c r="M927" s="69">
        <v>0</v>
      </c>
      <c r="N927" s="69">
        <v>0</v>
      </c>
      <c r="O927" s="69">
        <v>0</v>
      </c>
      <c r="P927" s="69">
        <v>0</v>
      </c>
      <c r="Q927" s="69">
        <v>0</v>
      </c>
      <c r="R927" s="69">
        <v>2006.3474368057325</v>
      </c>
      <c r="S927" s="69">
        <v>2006.3474368057325</v>
      </c>
      <c r="T927" s="69">
        <v>2006.3474368057325</v>
      </c>
      <c r="U927" s="69">
        <v>2006.3474368057325</v>
      </c>
      <c r="V927" s="69">
        <v>2006.3474368057325</v>
      </c>
      <c r="W927" s="69">
        <v>2006.3474368057325</v>
      </c>
      <c r="X927" s="69">
        <v>2006.3474368057325</v>
      </c>
      <c r="Y927" s="69">
        <v>2006.3474368057325</v>
      </c>
      <c r="Z927" s="69">
        <v>2006.3474368057325</v>
      </c>
      <c r="AA927" s="69">
        <v>2006.3474368057325</v>
      </c>
      <c r="AB927" s="69">
        <v>2006.3474368057325</v>
      </c>
      <c r="AC927" s="69">
        <v>2006.3474368057325</v>
      </c>
      <c r="AD927" s="69">
        <v>2006.3474368057325</v>
      </c>
      <c r="AE927" s="69">
        <v>2006.3474368057325</v>
      </c>
      <c r="AF927" s="69">
        <v>2006.3474368057325</v>
      </c>
      <c r="AG927" s="69">
        <v>2006.3474368057325</v>
      </c>
    </row>
    <row r="928" spans="1:33" ht="12.75" customHeight="1">
      <c r="A928" s="231" t="s">
        <v>2377</v>
      </c>
      <c r="B928" s="69" t="s">
        <v>310</v>
      </c>
      <c r="C928" s="69" t="s">
        <v>137</v>
      </c>
      <c r="D928" s="69" t="s">
        <v>191</v>
      </c>
      <c r="E928" s="69" t="s">
        <v>191</v>
      </c>
      <c r="F928" s="69" t="s">
        <v>168</v>
      </c>
      <c r="G928" s="69" t="s">
        <v>199</v>
      </c>
      <c r="H928" s="69" t="s">
        <v>2417</v>
      </c>
      <c r="I928" s="69">
        <v>2</v>
      </c>
      <c r="J928" s="238">
        <v>0.29204999999999998</v>
      </c>
      <c r="K928" s="238">
        <v>0.18436399478639695</v>
      </c>
      <c r="L928" s="69">
        <v>95.155627725733936</v>
      </c>
      <c r="M928" s="69">
        <v>0</v>
      </c>
      <c r="N928" s="69">
        <v>0</v>
      </c>
      <c r="O928" s="69">
        <v>0</v>
      </c>
      <c r="P928" s="69">
        <v>0</v>
      </c>
      <c r="Q928" s="69">
        <v>0</v>
      </c>
      <c r="R928" s="69">
        <v>1916.2101419999963</v>
      </c>
      <c r="S928" s="69">
        <v>1916.2101419999963</v>
      </c>
      <c r="T928" s="69">
        <v>1916.2101419999963</v>
      </c>
      <c r="U928" s="69">
        <v>1916.2101419999963</v>
      </c>
      <c r="V928" s="69">
        <v>1916.2101419999963</v>
      </c>
      <c r="W928" s="69">
        <v>1916.2101419999963</v>
      </c>
      <c r="X928" s="69">
        <v>1916.2101419999963</v>
      </c>
      <c r="Y928" s="69">
        <v>1916.2101419999963</v>
      </c>
      <c r="Z928" s="69">
        <v>1916.2101419999963</v>
      </c>
      <c r="AA928" s="69">
        <v>1916.2101419999963</v>
      </c>
      <c r="AB928" s="69">
        <v>1916.2101419999963</v>
      </c>
      <c r="AC928" s="69">
        <v>1916.2101419999963</v>
      </c>
      <c r="AD928" s="69">
        <v>1916.2101419999963</v>
      </c>
      <c r="AE928" s="69">
        <v>1916.2101419999963</v>
      </c>
      <c r="AF928" s="69">
        <v>1916.2101419999963</v>
      </c>
      <c r="AG928" s="69">
        <v>1916.2101419999963</v>
      </c>
    </row>
    <row r="929" spans="1:33" ht="12.75" customHeight="1">
      <c r="A929" s="231" t="s">
        <v>2377</v>
      </c>
      <c r="B929" s="69" t="s">
        <v>311</v>
      </c>
      <c r="C929" s="69" t="s">
        <v>137</v>
      </c>
      <c r="D929" s="69" t="s">
        <v>191</v>
      </c>
      <c r="E929" s="69" t="s">
        <v>191</v>
      </c>
      <c r="F929" s="69" t="s">
        <v>168</v>
      </c>
      <c r="G929" s="69" t="s">
        <v>199</v>
      </c>
      <c r="H929" s="69" t="s">
        <v>2417</v>
      </c>
      <c r="I929" s="69">
        <v>2</v>
      </c>
      <c r="J929" s="238">
        <v>0.29204999999999998</v>
      </c>
      <c r="K929" s="238">
        <v>0.18436399478639695</v>
      </c>
      <c r="L929" s="69">
        <v>95.155627725733936</v>
      </c>
      <c r="M929" s="69">
        <v>0</v>
      </c>
      <c r="N929" s="69">
        <v>0</v>
      </c>
      <c r="O929" s="69">
        <v>0</v>
      </c>
      <c r="P929" s="69">
        <v>0</v>
      </c>
      <c r="Q929" s="69">
        <v>0</v>
      </c>
      <c r="R929" s="69">
        <v>1130.2825643999968</v>
      </c>
      <c r="S929" s="69">
        <v>1130.2825643999968</v>
      </c>
      <c r="T929" s="69">
        <v>1130.2825643999968</v>
      </c>
      <c r="U929" s="69">
        <v>1130.2825643999968</v>
      </c>
      <c r="V929" s="69">
        <v>1130.2825643999968</v>
      </c>
      <c r="W929" s="69">
        <v>1130.2825643999968</v>
      </c>
      <c r="X929" s="69">
        <v>1130.2825643999968</v>
      </c>
      <c r="Y929" s="69">
        <v>1130.2825643999968</v>
      </c>
      <c r="Z929" s="69">
        <v>1130.2825643999968</v>
      </c>
      <c r="AA929" s="69">
        <v>1130.2825643999968</v>
      </c>
      <c r="AB929" s="69">
        <v>1130.2825643999968</v>
      </c>
      <c r="AC929" s="69">
        <v>1130.2825643999968</v>
      </c>
      <c r="AD929" s="69">
        <v>1130.2825643999968</v>
      </c>
      <c r="AE929" s="69">
        <v>1130.2825643999968</v>
      </c>
      <c r="AF929" s="69">
        <v>1130.2825643999968</v>
      </c>
      <c r="AG929" s="69">
        <v>1130.2825643999968</v>
      </c>
    </row>
    <row r="930" spans="1:33" ht="12.75" customHeight="1">
      <c r="A930" s="231" t="s">
        <v>2377</v>
      </c>
      <c r="B930" s="69" t="s">
        <v>312</v>
      </c>
      <c r="C930" s="69" t="s">
        <v>137</v>
      </c>
      <c r="D930" s="69" t="s">
        <v>191</v>
      </c>
      <c r="E930" s="69" t="s">
        <v>191</v>
      </c>
      <c r="F930" s="69" t="s">
        <v>156</v>
      </c>
      <c r="G930" s="69" t="s">
        <v>313</v>
      </c>
      <c r="H930" s="69" t="s">
        <v>2417</v>
      </c>
      <c r="I930" s="69">
        <v>2</v>
      </c>
      <c r="J930" s="238">
        <v>0.31759999999999999</v>
      </c>
      <c r="K930" s="238">
        <v>0.18058588251804827</v>
      </c>
      <c r="L930" s="69">
        <v>86.538452901949512</v>
      </c>
      <c r="M930" s="69">
        <v>0</v>
      </c>
      <c r="N930" s="69">
        <v>0</v>
      </c>
      <c r="O930" s="69">
        <v>0</v>
      </c>
      <c r="P930" s="69">
        <v>0</v>
      </c>
      <c r="Q930" s="69">
        <v>0</v>
      </c>
      <c r="R930" s="69">
        <v>1168.5139199999976</v>
      </c>
      <c r="S930" s="69">
        <v>1168.5139199999976</v>
      </c>
      <c r="T930" s="69">
        <v>1168.5139199999976</v>
      </c>
      <c r="U930" s="69">
        <v>1168.5139199999976</v>
      </c>
      <c r="V930" s="69">
        <v>1168.5139199999976</v>
      </c>
      <c r="W930" s="69">
        <v>1168.5139199999976</v>
      </c>
      <c r="X930" s="69">
        <v>1168.5139199999976</v>
      </c>
      <c r="Y930" s="69">
        <v>1168.5139199999976</v>
      </c>
      <c r="Z930" s="69">
        <v>1168.5139199999976</v>
      </c>
      <c r="AA930" s="69">
        <v>1168.5139199999976</v>
      </c>
      <c r="AB930" s="69">
        <v>1168.5139199999976</v>
      </c>
      <c r="AC930" s="69">
        <v>1168.5139199999976</v>
      </c>
      <c r="AD930" s="69">
        <v>1168.5139199999976</v>
      </c>
      <c r="AE930" s="69">
        <v>1168.5139199999976</v>
      </c>
      <c r="AF930" s="69">
        <v>1168.5139199999976</v>
      </c>
      <c r="AG930" s="69">
        <v>1168.5139199999976</v>
      </c>
    </row>
    <row r="931" spans="1:33" ht="12.75" customHeight="1">
      <c r="A931" s="231" t="s">
        <v>2377</v>
      </c>
      <c r="B931" s="69" t="s">
        <v>314</v>
      </c>
      <c r="C931" s="69" t="s">
        <v>137</v>
      </c>
      <c r="D931" s="69" t="s">
        <v>191</v>
      </c>
      <c r="E931" s="69" t="s">
        <v>213</v>
      </c>
      <c r="F931" s="69" t="s">
        <v>152</v>
      </c>
      <c r="G931" s="69" t="s">
        <v>214</v>
      </c>
      <c r="H931" s="69" t="s">
        <v>2417</v>
      </c>
      <c r="I931" s="69">
        <v>2</v>
      </c>
      <c r="J931" s="238">
        <v>0.312</v>
      </c>
      <c r="K931" s="238">
        <v>0.17064699981121567</v>
      </c>
      <c r="L931" s="69">
        <v>118.33197577111784</v>
      </c>
      <c r="M931" s="69">
        <v>0</v>
      </c>
      <c r="N931" s="69">
        <v>0</v>
      </c>
      <c r="O931" s="69">
        <v>0</v>
      </c>
      <c r="P931" s="69">
        <v>0</v>
      </c>
      <c r="Q931" s="69">
        <v>0</v>
      </c>
      <c r="R931" s="69">
        <v>1191.6403199999986</v>
      </c>
      <c r="S931" s="69">
        <v>1191.6403199999986</v>
      </c>
      <c r="T931" s="69">
        <v>1191.6403199999986</v>
      </c>
      <c r="U931" s="69">
        <v>1191.6403199999986</v>
      </c>
      <c r="V931" s="69">
        <v>1191.6403199999986</v>
      </c>
      <c r="W931" s="69">
        <v>1191.6403199999986</v>
      </c>
      <c r="X931" s="69">
        <v>1191.6403199999986</v>
      </c>
      <c r="Y931" s="69">
        <v>1191.6403199999986</v>
      </c>
      <c r="Z931" s="69">
        <v>1191.6403199999986</v>
      </c>
      <c r="AA931" s="69">
        <v>1191.6403199999986</v>
      </c>
      <c r="AB931" s="69">
        <v>1191.6403199999986</v>
      </c>
      <c r="AC931" s="69">
        <v>1191.6403199999986</v>
      </c>
      <c r="AD931" s="69">
        <v>1191.6403199999986</v>
      </c>
      <c r="AE931" s="69">
        <v>1191.6403199999986</v>
      </c>
      <c r="AF931" s="69">
        <v>1191.6403199999986</v>
      </c>
      <c r="AG931" s="69">
        <v>1191.6403199999986</v>
      </c>
    </row>
    <row r="932" spans="1:33" ht="12.75" customHeight="1">
      <c r="A932" s="231" t="s">
        <v>2377</v>
      </c>
      <c r="B932" s="69" t="s">
        <v>317</v>
      </c>
      <c r="C932" s="69" t="s">
        <v>137</v>
      </c>
      <c r="D932" s="69" t="s">
        <v>191</v>
      </c>
      <c r="E932" s="69" t="s">
        <v>191</v>
      </c>
      <c r="F932" s="69" t="s">
        <v>178</v>
      </c>
      <c r="G932" s="69" t="s">
        <v>192</v>
      </c>
      <c r="H932" s="69" t="s">
        <v>2130</v>
      </c>
      <c r="I932" s="69">
        <v>2</v>
      </c>
      <c r="J932" s="238">
        <v>0.32235762917068039</v>
      </c>
      <c r="K932" s="238">
        <v>0.16023967225809357</v>
      </c>
      <c r="L932" s="69">
        <v>96.038728079112801</v>
      </c>
      <c r="M932" s="69">
        <v>0</v>
      </c>
      <c r="N932" s="69">
        <v>0</v>
      </c>
      <c r="O932" s="69">
        <v>0</v>
      </c>
      <c r="P932" s="69">
        <v>0</v>
      </c>
      <c r="Q932" s="69">
        <v>0</v>
      </c>
      <c r="R932" s="69">
        <v>1070.2402231518245</v>
      </c>
      <c r="S932" s="69">
        <v>1070.2402231518245</v>
      </c>
      <c r="T932" s="69">
        <v>1070.2402231518245</v>
      </c>
      <c r="U932" s="69">
        <v>1070.2402231518245</v>
      </c>
      <c r="V932" s="69">
        <v>1070.2402231518245</v>
      </c>
      <c r="W932" s="69">
        <v>1070.2402231518245</v>
      </c>
      <c r="X932" s="69">
        <v>1070.2402231518245</v>
      </c>
      <c r="Y932" s="69">
        <v>1070.2402231518245</v>
      </c>
      <c r="Z932" s="69">
        <v>1070.2402231518245</v>
      </c>
      <c r="AA932" s="69">
        <v>1070.2402231518245</v>
      </c>
      <c r="AB932" s="69">
        <v>1070.2402231518245</v>
      </c>
      <c r="AC932" s="69">
        <v>1070.2402231518245</v>
      </c>
      <c r="AD932" s="69">
        <v>1070.2402231518245</v>
      </c>
      <c r="AE932" s="69">
        <v>1070.2402231518245</v>
      </c>
      <c r="AF932" s="69">
        <v>1070.2402231518245</v>
      </c>
      <c r="AG932" s="69">
        <v>1070.2402231518245</v>
      </c>
    </row>
    <row r="933" spans="1:33" ht="12.75" customHeight="1">
      <c r="A933" s="231" t="s">
        <v>2377</v>
      </c>
      <c r="B933" s="69" t="s">
        <v>318</v>
      </c>
      <c r="C933" s="69" t="s">
        <v>186</v>
      </c>
      <c r="D933" s="69" t="s">
        <v>218</v>
      </c>
      <c r="E933" s="69" t="s">
        <v>203</v>
      </c>
      <c r="F933" s="69" t="s">
        <v>157</v>
      </c>
      <c r="G933" s="69" t="s">
        <v>192</v>
      </c>
      <c r="H933" s="69" t="s">
        <v>805</v>
      </c>
      <c r="I933" s="69">
        <v>1</v>
      </c>
      <c r="J933" s="238">
        <v>0.23561922263058246</v>
      </c>
      <c r="K933" s="238">
        <v>0</v>
      </c>
      <c r="L933" s="69">
        <v>200.17205317577552</v>
      </c>
      <c r="M933" s="69">
        <v>-4.8449039881831615</v>
      </c>
      <c r="N933" s="69">
        <v>0</v>
      </c>
      <c r="O933" s="69">
        <v>0</v>
      </c>
      <c r="P933" s="69">
        <v>0</v>
      </c>
      <c r="Q933" s="69">
        <v>224.9786585365855</v>
      </c>
      <c r="R933" s="69">
        <v>224.9786585365855</v>
      </c>
      <c r="S933" s="69">
        <v>224.9786585365855</v>
      </c>
      <c r="T933" s="69">
        <v>224.9786585365855</v>
      </c>
      <c r="U933" s="69">
        <v>224.9786585365855</v>
      </c>
      <c r="V933" s="69">
        <v>224.9786585365855</v>
      </c>
      <c r="W933" s="69">
        <v>224.9786585365855</v>
      </c>
      <c r="X933" s="69">
        <v>224.9786585365855</v>
      </c>
      <c r="Y933" s="69">
        <v>224.9786585365855</v>
      </c>
      <c r="Z933" s="69">
        <v>224.9786585365855</v>
      </c>
      <c r="AA933" s="69">
        <v>224.9786585365855</v>
      </c>
      <c r="AB933" s="69">
        <v>224.9786585365855</v>
      </c>
      <c r="AC933" s="69">
        <v>224.9786585365855</v>
      </c>
      <c r="AD933" s="69">
        <v>224.9786585365855</v>
      </c>
      <c r="AE933" s="69">
        <v>224.9786585365855</v>
      </c>
      <c r="AF933" s="69">
        <v>224.9786585365855</v>
      </c>
      <c r="AG933" s="69">
        <v>224.9786585365855</v>
      </c>
    </row>
    <row r="934" spans="1:33" ht="12.75" customHeight="1">
      <c r="A934" s="231" t="s">
        <v>2377</v>
      </c>
      <c r="B934" s="69" t="s">
        <v>319</v>
      </c>
      <c r="C934" s="69" t="s">
        <v>184</v>
      </c>
      <c r="D934" s="69" t="s">
        <v>140</v>
      </c>
      <c r="E934" s="69" t="s">
        <v>191</v>
      </c>
      <c r="F934" s="69" t="s">
        <v>167</v>
      </c>
      <c r="G934" s="69" t="s">
        <v>192</v>
      </c>
      <c r="H934" s="69" t="s">
        <v>148</v>
      </c>
      <c r="I934" s="69">
        <v>4</v>
      </c>
      <c r="J934" s="238">
        <v>0.8</v>
      </c>
      <c r="K934" s="238">
        <v>0</v>
      </c>
      <c r="L934" s="69">
        <v>114.19797366361543</v>
      </c>
      <c r="M934" s="69">
        <v>0</v>
      </c>
      <c r="N934" s="69">
        <v>0</v>
      </c>
      <c r="O934" s="69">
        <v>0</v>
      </c>
      <c r="P934" s="69">
        <v>0</v>
      </c>
      <c r="Q934" s="69">
        <v>0</v>
      </c>
      <c r="R934" s="69">
        <v>1013</v>
      </c>
      <c r="S934" s="69">
        <v>1013</v>
      </c>
      <c r="T934" s="69">
        <v>1013</v>
      </c>
      <c r="U934" s="69">
        <v>1013</v>
      </c>
      <c r="V934" s="69">
        <v>1013</v>
      </c>
      <c r="W934" s="69">
        <v>1013</v>
      </c>
      <c r="X934" s="69">
        <v>1013</v>
      </c>
      <c r="Y934" s="69">
        <v>1013</v>
      </c>
      <c r="Z934" s="69">
        <v>1013</v>
      </c>
      <c r="AA934" s="69">
        <v>1013</v>
      </c>
      <c r="AB934" s="69">
        <v>1013</v>
      </c>
      <c r="AC934" s="69">
        <v>1013</v>
      </c>
      <c r="AD934" s="69">
        <v>1013</v>
      </c>
      <c r="AE934" s="69">
        <v>1013</v>
      </c>
      <c r="AF934" s="69">
        <v>1013</v>
      </c>
      <c r="AG934" s="69">
        <v>1013</v>
      </c>
    </row>
    <row r="935" spans="1:33" ht="12.75" customHeight="1">
      <c r="A935" s="231" t="s">
        <v>2377</v>
      </c>
      <c r="B935" s="69" t="s">
        <v>320</v>
      </c>
      <c r="C935" s="69" t="s">
        <v>139</v>
      </c>
      <c r="D935" s="69" t="s">
        <v>191</v>
      </c>
      <c r="E935" s="69" t="s">
        <v>213</v>
      </c>
      <c r="F935" s="69" t="s">
        <v>154</v>
      </c>
      <c r="G935" s="69" t="s">
        <v>225</v>
      </c>
      <c r="H935" s="69" t="s">
        <v>148</v>
      </c>
      <c r="I935" s="69">
        <v>4</v>
      </c>
      <c r="J935" s="238">
        <v>0.85</v>
      </c>
      <c r="K935" s="238">
        <v>0.58204398831457249</v>
      </c>
      <c r="L935" s="69">
        <v>139.86106095076619</v>
      </c>
      <c r="M935" s="69">
        <v>0</v>
      </c>
      <c r="N935" s="69">
        <v>0</v>
      </c>
      <c r="O935" s="69">
        <v>0</v>
      </c>
      <c r="P935" s="69">
        <v>0</v>
      </c>
      <c r="Q935" s="69">
        <v>0</v>
      </c>
      <c r="R935" s="69">
        <v>12</v>
      </c>
      <c r="S935" s="69">
        <v>12</v>
      </c>
      <c r="T935" s="69">
        <v>12</v>
      </c>
      <c r="U935" s="69">
        <v>12</v>
      </c>
      <c r="V935" s="69">
        <v>12</v>
      </c>
      <c r="W935" s="69">
        <v>12</v>
      </c>
      <c r="X935" s="69">
        <v>12</v>
      </c>
      <c r="Y935" s="69">
        <v>12</v>
      </c>
      <c r="Z935" s="69">
        <v>12</v>
      </c>
      <c r="AA935" s="69">
        <v>12</v>
      </c>
      <c r="AB935" s="69">
        <v>12</v>
      </c>
      <c r="AC935" s="69">
        <v>12</v>
      </c>
      <c r="AD935" s="69">
        <v>12</v>
      </c>
      <c r="AE935" s="69">
        <v>12</v>
      </c>
      <c r="AF935" s="69">
        <v>12</v>
      </c>
      <c r="AG935" s="69">
        <v>12</v>
      </c>
    </row>
    <row r="936" spans="1:33" ht="12.75" customHeight="1">
      <c r="A936" s="231" t="s">
        <v>2377</v>
      </c>
      <c r="B936" s="69" t="s">
        <v>323</v>
      </c>
      <c r="C936" s="69" t="s">
        <v>136</v>
      </c>
      <c r="D936" s="69" t="s">
        <v>191</v>
      </c>
      <c r="E936" s="69" t="s">
        <v>191</v>
      </c>
      <c r="F936" s="69" t="s">
        <v>181</v>
      </c>
      <c r="G936" s="69" t="s">
        <v>294</v>
      </c>
      <c r="H936" s="69" t="s">
        <v>148</v>
      </c>
      <c r="I936" s="69">
        <v>4</v>
      </c>
      <c r="J936" s="238">
        <v>0.82499999999999996</v>
      </c>
      <c r="K936" s="238">
        <v>0.66812452144255507</v>
      </c>
      <c r="L936" s="69">
        <v>97.919965869917917</v>
      </c>
      <c r="M936" s="69">
        <v>0</v>
      </c>
      <c r="N936" s="69">
        <v>0</v>
      </c>
      <c r="O936" s="69">
        <v>0</v>
      </c>
      <c r="P936" s="69">
        <v>0</v>
      </c>
      <c r="Q936" s="69">
        <v>0</v>
      </c>
      <c r="R936" s="69">
        <v>305.95348837209531</v>
      </c>
      <c r="S936" s="69">
        <v>305.95348837209531</v>
      </c>
      <c r="T936" s="69">
        <v>305.95348837209531</v>
      </c>
      <c r="U936" s="69">
        <v>305.95348837209531</v>
      </c>
      <c r="V936" s="69">
        <v>305.95348837209531</v>
      </c>
      <c r="W936" s="69">
        <v>305.95348837209531</v>
      </c>
      <c r="X936" s="69">
        <v>305.95348837209531</v>
      </c>
      <c r="Y936" s="69">
        <v>305.95348837209531</v>
      </c>
      <c r="Z936" s="69">
        <v>305.95348837209531</v>
      </c>
      <c r="AA936" s="69">
        <v>305.95348837209531</v>
      </c>
      <c r="AB936" s="69">
        <v>305.95348837209531</v>
      </c>
      <c r="AC936" s="69">
        <v>305.95348837209531</v>
      </c>
      <c r="AD936" s="69">
        <v>305.95348837209531</v>
      </c>
      <c r="AE936" s="69">
        <v>305.95348837209531</v>
      </c>
      <c r="AF936" s="69">
        <v>305.95348837209531</v>
      </c>
      <c r="AG936" s="69">
        <v>305.95348837209531</v>
      </c>
    </row>
    <row r="937" spans="1:33" ht="12.75" customHeight="1">
      <c r="A937" s="231" t="s">
        <v>2377</v>
      </c>
      <c r="B937" s="69" t="s">
        <v>324</v>
      </c>
      <c r="C937" s="69" t="s">
        <v>18</v>
      </c>
      <c r="D937" s="69" t="s">
        <v>325</v>
      </c>
      <c r="E937" s="69" t="s">
        <v>191</v>
      </c>
      <c r="F937" s="69" t="s">
        <v>168</v>
      </c>
      <c r="G937" s="69" t="s">
        <v>199</v>
      </c>
      <c r="H937" s="69" t="s">
        <v>148</v>
      </c>
      <c r="I937" s="69">
        <v>4</v>
      </c>
      <c r="J937" s="238">
        <v>0.35</v>
      </c>
      <c r="K937" s="238">
        <v>0</v>
      </c>
      <c r="L937" s="69">
        <v>138.77253590202551</v>
      </c>
      <c r="M937" s="69">
        <v>0</v>
      </c>
      <c r="N937" s="69">
        <v>0</v>
      </c>
      <c r="O937" s="69">
        <v>0</v>
      </c>
      <c r="P937" s="69">
        <v>0</v>
      </c>
      <c r="Q937" s="69">
        <v>0</v>
      </c>
      <c r="R937" s="69">
        <v>48</v>
      </c>
      <c r="S937" s="69">
        <v>48</v>
      </c>
      <c r="T937" s="69">
        <v>48</v>
      </c>
      <c r="U937" s="69">
        <v>48</v>
      </c>
      <c r="V937" s="69">
        <v>48</v>
      </c>
      <c r="W937" s="69">
        <v>48</v>
      </c>
      <c r="X937" s="69">
        <v>48</v>
      </c>
      <c r="Y937" s="69">
        <v>48</v>
      </c>
      <c r="Z937" s="69">
        <v>48</v>
      </c>
      <c r="AA937" s="69">
        <v>48</v>
      </c>
      <c r="AB937" s="69">
        <v>48</v>
      </c>
      <c r="AC937" s="69">
        <v>48</v>
      </c>
      <c r="AD937" s="69">
        <v>48</v>
      </c>
      <c r="AE937" s="69">
        <v>48</v>
      </c>
      <c r="AF937" s="69">
        <v>48</v>
      </c>
      <c r="AG937" s="69">
        <v>48</v>
      </c>
    </row>
    <row r="938" spans="1:33" ht="12.75" customHeight="1">
      <c r="A938" s="231" t="s">
        <v>2377</v>
      </c>
      <c r="B938" s="69" t="s">
        <v>327</v>
      </c>
      <c r="C938" s="69" t="s">
        <v>137</v>
      </c>
      <c r="D938" s="69" t="s">
        <v>191</v>
      </c>
      <c r="E938" s="69" t="s">
        <v>191</v>
      </c>
      <c r="F938" s="69" t="s">
        <v>181</v>
      </c>
      <c r="G938" s="69" t="s">
        <v>294</v>
      </c>
      <c r="H938" s="69" t="s">
        <v>148</v>
      </c>
      <c r="I938" s="69">
        <v>4</v>
      </c>
      <c r="J938" s="238">
        <v>0.28989999999999999</v>
      </c>
      <c r="K938" s="238">
        <v>0.18559014484515421</v>
      </c>
      <c r="L938" s="69">
        <v>91.706640833021837</v>
      </c>
      <c r="M938" s="69">
        <v>0</v>
      </c>
      <c r="N938" s="69">
        <v>0</v>
      </c>
      <c r="O938" s="69">
        <v>0</v>
      </c>
      <c r="P938" s="69">
        <v>0</v>
      </c>
      <c r="Q938" s="69">
        <v>34.329100170620222</v>
      </c>
      <c r="R938" s="69">
        <v>34.329100170620222</v>
      </c>
      <c r="S938" s="69">
        <v>34.329100170620222</v>
      </c>
      <c r="T938" s="69">
        <v>34.329100170620222</v>
      </c>
      <c r="U938" s="69">
        <v>34.329100170620222</v>
      </c>
      <c r="V938" s="69">
        <v>34.329100170620222</v>
      </c>
      <c r="W938" s="69">
        <v>34.329100170620222</v>
      </c>
      <c r="X938" s="69">
        <v>34.329100170620222</v>
      </c>
      <c r="Y938" s="69">
        <v>34.329100170620222</v>
      </c>
      <c r="Z938" s="69">
        <v>34.329100170620222</v>
      </c>
      <c r="AA938" s="69">
        <v>34.329100170620222</v>
      </c>
      <c r="AB938" s="69">
        <v>34.329100170620222</v>
      </c>
      <c r="AC938" s="69">
        <v>34.329100170620222</v>
      </c>
      <c r="AD938" s="69">
        <v>34.329100170620222</v>
      </c>
      <c r="AE938" s="69">
        <v>34.329100170620222</v>
      </c>
      <c r="AF938" s="69">
        <v>34.329100170620222</v>
      </c>
      <c r="AG938" s="69">
        <v>34.329100170620222</v>
      </c>
    </row>
    <row r="939" spans="1:33" ht="12.75" customHeight="1">
      <c r="A939" s="231" t="s">
        <v>2377</v>
      </c>
      <c r="B939" s="69" t="s">
        <v>328</v>
      </c>
      <c r="C939" s="69" t="s">
        <v>137</v>
      </c>
      <c r="D939" s="69" t="s">
        <v>191</v>
      </c>
      <c r="E939" s="69" t="s">
        <v>191</v>
      </c>
      <c r="F939" s="69" t="s">
        <v>183</v>
      </c>
      <c r="G939" s="69" t="s">
        <v>329</v>
      </c>
      <c r="H939" s="69" t="s">
        <v>148</v>
      </c>
      <c r="I939" s="69">
        <v>4</v>
      </c>
      <c r="J939" s="238">
        <v>0.37659999999999999</v>
      </c>
      <c r="K939" s="238">
        <v>0.17884977722471748</v>
      </c>
      <c r="L939" s="69">
        <v>70.728535467115464</v>
      </c>
      <c r="M939" s="69">
        <v>0</v>
      </c>
      <c r="N939" s="69">
        <v>0</v>
      </c>
      <c r="O939" s="69">
        <v>0</v>
      </c>
      <c r="P939" s="69">
        <v>0</v>
      </c>
      <c r="Q939" s="69">
        <v>0</v>
      </c>
      <c r="R939" s="69">
        <v>316.74493746021471</v>
      </c>
      <c r="S939" s="69">
        <v>316.74493746021471</v>
      </c>
      <c r="T939" s="69">
        <v>316.74493746021471</v>
      </c>
      <c r="U939" s="69">
        <v>316.74493746021471</v>
      </c>
      <c r="V939" s="69">
        <v>316.74493746021471</v>
      </c>
      <c r="W939" s="69">
        <v>316.74493746021471</v>
      </c>
      <c r="X939" s="69">
        <v>316.74493746021471</v>
      </c>
      <c r="Y939" s="69">
        <v>316.74493746021471</v>
      </c>
      <c r="Z939" s="69">
        <v>316.74493746021471</v>
      </c>
      <c r="AA939" s="69">
        <v>316.74493746021471</v>
      </c>
      <c r="AB939" s="69">
        <v>316.74493746021471</v>
      </c>
      <c r="AC939" s="69">
        <v>316.74493746021471</v>
      </c>
      <c r="AD939" s="69">
        <v>316.74493746021471</v>
      </c>
      <c r="AE939" s="69">
        <v>316.74493746021471</v>
      </c>
      <c r="AF939" s="69">
        <v>316.74493746021471</v>
      </c>
      <c r="AG939" s="69">
        <v>316.74493746021471</v>
      </c>
    </row>
    <row r="940" spans="1:33" ht="12.75" customHeight="1">
      <c r="A940" s="231" t="s">
        <v>2377</v>
      </c>
      <c r="B940" s="69" t="s">
        <v>330</v>
      </c>
      <c r="C940" s="69" t="s">
        <v>137</v>
      </c>
      <c r="D940" s="69" t="s">
        <v>191</v>
      </c>
      <c r="E940" s="69" t="s">
        <v>191</v>
      </c>
      <c r="F940" s="69" t="s">
        <v>168</v>
      </c>
      <c r="G940" s="69" t="s">
        <v>199</v>
      </c>
      <c r="H940" s="69" t="s">
        <v>148</v>
      </c>
      <c r="I940" s="69">
        <v>4</v>
      </c>
      <c r="J940" s="238">
        <v>0.29204999999999998</v>
      </c>
      <c r="K940" s="238">
        <v>0.18436399478639695</v>
      </c>
      <c r="L940" s="69">
        <v>95.155627725733936</v>
      </c>
      <c r="M940" s="69">
        <v>0</v>
      </c>
      <c r="N940" s="69">
        <v>0</v>
      </c>
      <c r="O940" s="69">
        <v>0</v>
      </c>
      <c r="P940" s="69">
        <v>0</v>
      </c>
      <c r="Q940" s="69">
        <v>0</v>
      </c>
      <c r="R940" s="69">
        <v>980.1420188088523</v>
      </c>
      <c r="S940" s="69">
        <v>980.1420188088523</v>
      </c>
      <c r="T940" s="69">
        <v>980.1420188088523</v>
      </c>
      <c r="U940" s="69">
        <v>980.1420188088523</v>
      </c>
      <c r="V940" s="69">
        <v>980.1420188088523</v>
      </c>
      <c r="W940" s="69">
        <v>980.1420188088523</v>
      </c>
      <c r="X940" s="69">
        <v>980.1420188088523</v>
      </c>
      <c r="Y940" s="69">
        <v>980.1420188088523</v>
      </c>
      <c r="Z940" s="69">
        <v>980.1420188088523</v>
      </c>
      <c r="AA940" s="69">
        <v>980.1420188088523</v>
      </c>
      <c r="AB940" s="69">
        <v>980.1420188088523</v>
      </c>
      <c r="AC940" s="69">
        <v>980.1420188088523</v>
      </c>
      <c r="AD940" s="69">
        <v>980.1420188088523</v>
      </c>
      <c r="AE940" s="69">
        <v>980.1420188088523</v>
      </c>
      <c r="AF940" s="69">
        <v>980.1420188088523</v>
      </c>
      <c r="AG940" s="69">
        <v>980.1420188088523</v>
      </c>
    </row>
    <row r="941" spans="1:33" ht="12.75" customHeight="1">
      <c r="A941" s="231" t="s">
        <v>2377</v>
      </c>
      <c r="B941" s="69" t="s">
        <v>331</v>
      </c>
      <c r="C941" s="69" t="s">
        <v>137</v>
      </c>
      <c r="D941" s="69" t="s">
        <v>191</v>
      </c>
      <c r="E941" s="69" t="s">
        <v>191</v>
      </c>
      <c r="F941" s="69" t="s">
        <v>180</v>
      </c>
      <c r="G941" s="69" t="s">
        <v>192</v>
      </c>
      <c r="H941" s="69" t="s">
        <v>148</v>
      </c>
      <c r="I941" s="69">
        <v>4</v>
      </c>
      <c r="J941" s="238">
        <v>0.32235762917068039</v>
      </c>
      <c r="K941" s="238">
        <v>0.160195270625522</v>
      </c>
      <c r="L941" s="69">
        <v>96.038728079112815</v>
      </c>
      <c r="M941" s="69">
        <v>0</v>
      </c>
      <c r="N941" s="69">
        <v>0</v>
      </c>
      <c r="O941" s="69">
        <v>0</v>
      </c>
      <c r="P941" s="69">
        <v>0</v>
      </c>
      <c r="Q941" s="69">
        <v>0</v>
      </c>
      <c r="R941" s="69">
        <v>768.34665922935528</v>
      </c>
      <c r="S941" s="69">
        <v>768.34665922935528</v>
      </c>
      <c r="T941" s="69">
        <v>768.34665922935528</v>
      </c>
      <c r="U941" s="69">
        <v>768.34665922935528</v>
      </c>
      <c r="V941" s="69">
        <v>768.34665922935528</v>
      </c>
      <c r="W941" s="69">
        <v>768.34665922935528</v>
      </c>
      <c r="X941" s="69">
        <v>768.34665922935528</v>
      </c>
      <c r="Y941" s="69">
        <v>768.34665922935528</v>
      </c>
      <c r="Z941" s="69">
        <v>768.34665922935528</v>
      </c>
      <c r="AA941" s="69">
        <v>768.34665922935528</v>
      </c>
      <c r="AB941" s="69">
        <v>768.34665922935528</v>
      </c>
      <c r="AC941" s="69">
        <v>768.34665922935528</v>
      </c>
      <c r="AD941" s="69">
        <v>768.34665922935528</v>
      </c>
      <c r="AE941" s="69">
        <v>768.34665922935528</v>
      </c>
      <c r="AF941" s="69">
        <v>768.34665922935528</v>
      </c>
      <c r="AG941" s="69">
        <v>768.34665922935528</v>
      </c>
    </row>
    <row r="942" spans="1:33" ht="12.75" customHeight="1">
      <c r="A942" s="231" t="s">
        <v>2377</v>
      </c>
      <c r="B942" s="69" t="s">
        <v>333</v>
      </c>
      <c r="C942" s="69" t="s">
        <v>186</v>
      </c>
      <c r="D942" s="69" t="s">
        <v>334</v>
      </c>
      <c r="E942" s="69" t="s">
        <v>260</v>
      </c>
      <c r="F942" s="69" t="s">
        <v>157</v>
      </c>
      <c r="G942" s="69" t="s">
        <v>192</v>
      </c>
      <c r="H942" s="69" t="s">
        <v>805</v>
      </c>
      <c r="I942" s="69">
        <v>1</v>
      </c>
      <c r="J942" s="238">
        <v>0.19559527787058692</v>
      </c>
      <c r="K942" s="238">
        <v>0</v>
      </c>
      <c r="L942" s="69">
        <v>307.09437722419932</v>
      </c>
      <c r="M942" s="69">
        <v>-26.263345195729539</v>
      </c>
      <c r="N942" s="69">
        <v>6.1682926829268254</v>
      </c>
      <c r="O942" s="69">
        <v>6.1682926829268254</v>
      </c>
      <c r="P942" s="69">
        <v>6.1682926829268254</v>
      </c>
      <c r="Q942" s="69">
        <v>6.1682926829268254</v>
      </c>
      <c r="R942" s="69">
        <v>6.1682926829268254</v>
      </c>
      <c r="S942" s="69">
        <v>6.1682926829268254</v>
      </c>
      <c r="T942" s="69">
        <v>6.1682926829268254</v>
      </c>
      <c r="U942" s="69">
        <v>6.1682926829268254</v>
      </c>
      <c r="V942" s="69">
        <v>6.1682926829268254</v>
      </c>
      <c r="W942" s="69">
        <v>6.1682926829268254</v>
      </c>
      <c r="X942" s="69">
        <v>6.1682926829268254</v>
      </c>
      <c r="Y942" s="69">
        <v>6.1682926829268254</v>
      </c>
      <c r="Z942" s="69">
        <v>6.1682926829268254</v>
      </c>
      <c r="AA942" s="69">
        <v>6.1682926829268254</v>
      </c>
      <c r="AB942" s="69">
        <v>6.1682926829268254</v>
      </c>
      <c r="AC942" s="69">
        <v>6.1682926829268254</v>
      </c>
      <c r="AD942" s="69">
        <v>6.1682926829268254</v>
      </c>
      <c r="AE942" s="69">
        <v>6.1682926829268254</v>
      </c>
      <c r="AF942" s="69">
        <v>6.1682926829268254</v>
      </c>
      <c r="AG942" s="69">
        <v>6.1682926829268254</v>
      </c>
    </row>
    <row r="943" spans="1:33" ht="12.75" customHeight="1">
      <c r="A943" s="231" t="s">
        <v>2377</v>
      </c>
      <c r="B943" s="69" t="s">
        <v>335</v>
      </c>
      <c r="C943" s="69" t="s">
        <v>186</v>
      </c>
      <c r="D943" s="69" t="s">
        <v>334</v>
      </c>
      <c r="E943" s="69" t="s">
        <v>260</v>
      </c>
      <c r="F943" s="69" t="s">
        <v>157</v>
      </c>
      <c r="G943" s="69" t="s">
        <v>192</v>
      </c>
      <c r="H943" s="69" t="s">
        <v>805</v>
      </c>
      <c r="I943" s="69">
        <v>1</v>
      </c>
      <c r="J943" s="238">
        <v>0.19559527787058692</v>
      </c>
      <c r="K943" s="238">
        <v>0</v>
      </c>
      <c r="L943" s="69">
        <v>307.09437722419932</v>
      </c>
      <c r="M943" s="69">
        <v>-26.263345195729539</v>
      </c>
      <c r="N943" s="69">
        <v>0</v>
      </c>
      <c r="O943" s="69">
        <v>6.1682926829269045</v>
      </c>
      <c r="P943" s="69">
        <v>6.1682926829269045</v>
      </c>
      <c r="Q943" s="69">
        <v>6.1682926829269045</v>
      </c>
      <c r="R943" s="69">
        <v>6.1682926829269045</v>
      </c>
      <c r="S943" s="69">
        <v>6.1682926829269045</v>
      </c>
      <c r="T943" s="69">
        <v>6.1682926829269045</v>
      </c>
      <c r="U943" s="69">
        <v>6.1682926829269045</v>
      </c>
      <c r="V943" s="69">
        <v>6.1682926829269045</v>
      </c>
      <c r="W943" s="69">
        <v>6.1682926829269045</v>
      </c>
      <c r="X943" s="69">
        <v>6.1682926829269045</v>
      </c>
      <c r="Y943" s="69">
        <v>6.1682926829269045</v>
      </c>
      <c r="Z943" s="69">
        <v>6.1682926829269045</v>
      </c>
      <c r="AA943" s="69">
        <v>6.1682926829269045</v>
      </c>
      <c r="AB943" s="69">
        <v>6.1682926829269045</v>
      </c>
      <c r="AC943" s="69">
        <v>6.1682926829269045</v>
      </c>
      <c r="AD943" s="69">
        <v>6.1682926829269045</v>
      </c>
      <c r="AE943" s="69">
        <v>6.1682926829269045</v>
      </c>
      <c r="AF943" s="69">
        <v>6.1682926829269045</v>
      </c>
      <c r="AG943" s="69">
        <v>6.1682926829269045</v>
      </c>
    </row>
    <row r="944" spans="1:33" ht="12.75" customHeight="1">
      <c r="A944" s="231" t="s">
        <v>2377</v>
      </c>
      <c r="B944" s="69" t="s">
        <v>336</v>
      </c>
      <c r="C944" s="69" t="s">
        <v>186</v>
      </c>
      <c r="D944" s="69" t="s">
        <v>334</v>
      </c>
      <c r="E944" s="69" t="s">
        <v>260</v>
      </c>
      <c r="F944" s="69" t="s">
        <v>157</v>
      </c>
      <c r="G944" s="69" t="s">
        <v>192</v>
      </c>
      <c r="H944" s="69" t="s">
        <v>805</v>
      </c>
      <c r="I944" s="69">
        <v>1</v>
      </c>
      <c r="J944" s="238">
        <v>0.19559527787058692</v>
      </c>
      <c r="K944" s="238">
        <v>0</v>
      </c>
      <c r="L944" s="69">
        <v>307.09437722419932</v>
      </c>
      <c r="M944" s="69">
        <v>-26.263345195729539</v>
      </c>
      <c r="N944" s="69">
        <v>0</v>
      </c>
      <c r="O944" s="69">
        <v>0</v>
      </c>
      <c r="P944" s="69">
        <v>6.1682926829266762</v>
      </c>
      <c r="Q944" s="69">
        <v>6.1682926829266762</v>
      </c>
      <c r="R944" s="69">
        <v>6.1682926829266762</v>
      </c>
      <c r="S944" s="69">
        <v>6.1682926829266762</v>
      </c>
      <c r="T944" s="69">
        <v>6.1682926829266762</v>
      </c>
      <c r="U944" s="69">
        <v>6.1682926829266762</v>
      </c>
      <c r="V944" s="69">
        <v>6.1682926829266762</v>
      </c>
      <c r="W944" s="69">
        <v>6.1682926829266762</v>
      </c>
      <c r="X944" s="69">
        <v>6.1682926829266762</v>
      </c>
      <c r="Y944" s="69">
        <v>6.1682926829266762</v>
      </c>
      <c r="Z944" s="69">
        <v>6.1682926829266762</v>
      </c>
      <c r="AA944" s="69">
        <v>6.1682926829266762</v>
      </c>
      <c r="AB944" s="69">
        <v>6.1682926829266762</v>
      </c>
      <c r="AC944" s="69">
        <v>6.1682926829266762</v>
      </c>
      <c r="AD944" s="69">
        <v>6.1682926829266762</v>
      </c>
      <c r="AE944" s="69">
        <v>6.1682926829266762</v>
      </c>
      <c r="AF944" s="69">
        <v>6.1682926829266762</v>
      </c>
      <c r="AG944" s="69">
        <v>6.1682926829266762</v>
      </c>
    </row>
    <row r="945" spans="1:33" ht="12.75" customHeight="1">
      <c r="A945" s="231" t="s">
        <v>2377</v>
      </c>
      <c r="B945" s="69" t="s">
        <v>337</v>
      </c>
      <c r="C945" s="69" t="s">
        <v>186</v>
      </c>
      <c r="D945" s="69" t="s">
        <v>334</v>
      </c>
      <c r="E945" s="69" t="s">
        <v>260</v>
      </c>
      <c r="F945" s="69" t="s">
        <v>157</v>
      </c>
      <c r="G945" s="69" t="s">
        <v>192</v>
      </c>
      <c r="H945" s="69" t="s">
        <v>805</v>
      </c>
      <c r="I945" s="69">
        <v>1</v>
      </c>
      <c r="J945" s="238">
        <v>0.19559527787058692</v>
      </c>
      <c r="K945" s="238">
        <v>0</v>
      </c>
      <c r="L945" s="69">
        <v>307.09437722419932</v>
      </c>
      <c r="M945" s="69">
        <v>-26.263345195729539</v>
      </c>
      <c r="N945" s="69">
        <v>0</v>
      </c>
      <c r="O945" s="69">
        <v>0</v>
      </c>
      <c r="P945" s="69">
        <v>0</v>
      </c>
      <c r="Q945" s="69">
        <v>6.1682926829271318</v>
      </c>
      <c r="R945" s="69">
        <v>6.1682926829271318</v>
      </c>
      <c r="S945" s="69">
        <v>6.1682926829271318</v>
      </c>
      <c r="T945" s="69">
        <v>6.1682926829271318</v>
      </c>
      <c r="U945" s="69">
        <v>6.1682926829271318</v>
      </c>
      <c r="V945" s="69">
        <v>6.1682926829271318</v>
      </c>
      <c r="W945" s="69">
        <v>6.1682926829271318</v>
      </c>
      <c r="X945" s="69">
        <v>6.1682926829271318</v>
      </c>
      <c r="Y945" s="69">
        <v>6.1682926829271318</v>
      </c>
      <c r="Z945" s="69">
        <v>6.1682926829271318</v>
      </c>
      <c r="AA945" s="69">
        <v>6.1682926829271318</v>
      </c>
      <c r="AB945" s="69">
        <v>6.1682926829271318</v>
      </c>
      <c r="AC945" s="69">
        <v>6.1682926829271318</v>
      </c>
      <c r="AD945" s="69">
        <v>6.1682926829271318</v>
      </c>
      <c r="AE945" s="69">
        <v>6.1682926829271318</v>
      </c>
      <c r="AF945" s="69">
        <v>6.1682926829271318</v>
      </c>
      <c r="AG945" s="69">
        <v>6.1682926829271318</v>
      </c>
    </row>
    <row r="946" spans="1:33" ht="12.75" customHeight="1">
      <c r="A946" s="231" t="s">
        <v>2377</v>
      </c>
      <c r="B946" s="69" t="s">
        <v>338</v>
      </c>
      <c r="C946" s="69" t="s">
        <v>186</v>
      </c>
      <c r="D946" s="69" t="s">
        <v>334</v>
      </c>
      <c r="E946" s="69" t="s">
        <v>260</v>
      </c>
      <c r="F946" s="69" t="s">
        <v>157</v>
      </c>
      <c r="G946" s="69" t="s">
        <v>192</v>
      </c>
      <c r="H946" s="69" t="s">
        <v>805</v>
      </c>
      <c r="I946" s="69">
        <v>1</v>
      </c>
      <c r="J946" s="238">
        <v>0.19559527787058692</v>
      </c>
      <c r="K946" s="238">
        <v>0</v>
      </c>
      <c r="L946" s="69">
        <v>307.09437722419932</v>
      </c>
      <c r="M946" s="69">
        <v>-26.263345195729539</v>
      </c>
      <c r="N946" s="69">
        <v>0</v>
      </c>
      <c r="O946" s="69">
        <v>0</v>
      </c>
      <c r="P946" s="69">
        <v>0</v>
      </c>
      <c r="Q946" s="69">
        <v>0</v>
      </c>
      <c r="R946" s="69">
        <v>6.1682926829271318</v>
      </c>
      <c r="S946" s="69">
        <v>6.1682926829271318</v>
      </c>
      <c r="T946" s="69">
        <v>6.1682926829271318</v>
      </c>
      <c r="U946" s="69">
        <v>6.1682926829271318</v>
      </c>
      <c r="V946" s="69">
        <v>6.1682926829271318</v>
      </c>
      <c r="W946" s="69">
        <v>6.1682926829271318</v>
      </c>
      <c r="X946" s="69">
        <v>6.1682926829271318</v>
      </c>
      <c r="Y946" s="69">
        <v>6.1682926829271318</v>
      </c>
      <c r="Z946" s="69">
        <v>6.1682926829271318</v>
      </c>
      <c r="AA946" s="69">
        <v>6.1682926829271318</v>
      </c>
      <c r="AB946" s="69">
        <v>6.1682926829271318</v>
      </c>
      <c r="AC946" s="69">
        <v>6.1682926829271318</v>
      </c>
      <c r="AD946" s="69">
        <v>6.1682926829271318</v>
      </c>
      <c r="AE946" s="69">
        <v>6.1682926829271318</v>
      </c>
      <c r="AF946" s="69">
        <v>6.1682926829271318</v>
      </c>
      <c r="AG946" s="69">
        <v>6.1682926829271318</v>
      </c>
    </row>
    <row r="947" spans="1:33" ht="12.75" customHeight="1">
      <c r="A947" s="231" t="s">
        <v>2377</v>
      </c>
      <c r="B947" s="69" t="s">
        <v>339</v>
      </c>
      <c r="C947" s="69" t="s">
        <v>186</v>
      </c>
      <c r="D947" s="69" t="s">
        <v>218</v>
      </c>
      <c r="E947" s="69" t="s">
        <v>260</v>
      </c>
      <c r="F947" s="69" t="s">
        <v>157</v>
      </c>
      <c r="G947" s="69" t="s">
        <v>192</v>
      </c>
      <c r="H947" s="69" t="s">
        <v>805</v>
      </c>
      <c r="I947" s="69">
        <v>1</v>
      </c>
      <c r="J947" s="238">
        <v>0.21868155325388869</v>
      </c>
      <c r="K947" s="238">
        <v>0</v>
      </c>
      <c r="L947" s="69">
        <v>215.67609549071619</v>
      </c>
      <c r="M947" s="69">
        <v>-5.2201591511936343</v>
      </c>
      <c r="N947" s="69">
        <v>26.249425539017544</v>
      </c>
      <c r="O947" s="69">
        <v>26.249425539017544</v>
      </c>
      <c r="P947" s="69">
        <v>26.249425539017544</v>
      </c>
      <c r="Q947" s="69">
        <v>26.249425539017544</v>
      </c>
      <c r="R947" s="69">
        <v>26.249425539017544</v>
      </c>
      <c r="S947" s="69">
        <v>26.249425539017544</v>
      </c>
      <c r="T947" s="69">
        <v>26.249425539017544</v>
      </c>
      <c r="U947" s="69">
        <v>26.249425539017544</v>
      </c>
      <c r="V947" s="69">
        <v>26.249425539017544</v>
      </c>
      <c r="W947" s="69">
        <v>26.249425539017544</v>
      </c>
      <c r="X947" s="69">
        <v>26.249425539017544</v>
      </c>
      <c r="Y947" s="69">
        <v>26.249425539017544</v>
      </c>
      <c r="Z947" s="69">
        <v>26.249425539017544</v>
      </c>
      <c r="AA947" s="69">
        <v>26.249425539017544</v>
      </c>
      <c r="AB947" s="69">
        <v>26.249425539017544</v>
      </c>
      <c r="AC947" s="69">
        <v>26.249425539017544</v>
      </c>
      <c r="AD947" s="69">
        <v>26.249425539017544</v>
      </c>
      <c r="AE947" s="69">
        <v>26.249425539017544</v>
      </c>
      <c r="AF947" s="69">
        <v>26.249425539017544</v>
      </c>
      <c r="AG947" s="69">
        <v>26.249425539017544</v>
      </c>
    </row>
    <row r="948" spans="1:33" ht="12.75" customHeight="1">
      <c r="A948" s="231" t="s">
        <v>2377</v>
      </c>
      <c r="B948" s="69" t="s">
        <v>340</v>
      </c>
      <c r="C948" s="69" t="s">
        <v>186</v>
      </c>
      <c r="D948" s="69" t="s">
        <v>218</v>
      </c>
      <c r="E948" s="69" t="s">
        <v>203</v>
      </c>
      <c r="F948" s="69" t="s">
        <v>157</v>
      </c>
      <c r="G948" s="69" t="s">
        <v>192</v>
      </c>
      <c r="H948" s="69" t="s">
        <v>805</v>
      </c>
      <c r="I948" s="69">
        <v>1</v>
      </c>
      <c r="J948" s="238">
        <v>0.23561922263058244</v>
      </c>
      <c r="K948" s="238">
        <v>0</v>
      </c>
      <c r="L948" s="69">
        <v>200.17205317577549</v>
      </c>
      <c r="M948" s="69">
        <v>-4.8449039881831615</v>
      </c>
      <c r="N948" s="69">
        <v>69.965023431978636</v>
      </c>
      <c r="O948" s="69">
        <v>69.965023431978636</v>
      </c>
      <c r="P948" s="69">
        <v>69.965023431978636</v>
      </c>
      <c r="Q948" s="69">
        <v>69.965023431978636</v>
      </c>
      <c r="R948" s="69">
        <v>69.965023431978636</v>
      </c>
      <c r="S948" s="69">
        <v>69.965023431978636</v>
      </c>
      <c r="T948" s="69">
        <v>69.965023431978636</v>
      </c>
      <c r="U948" s="69">
        <v>69.965023431978636</v>
      </c>
      <c r="V948" s="69">
        <v>69.965023431978636</v>
      </c>
      <c r="W948" s="69">
        <v>69.965023431978636</v>
      </c>
      <c r="X948" s="69">
        <v>69.965023431978636</v>
      </c>
      <c r="Y948" s="69">
        <v>69.965023431978636</v>
      </c>
      <c r="Z948" s="69">
        <v>69.965023431978636</v>
      </c>
      <c r="AA948" s="69">
        <v>69.965023431978636</v>
      </c>
      <c r="AB948" s="69">
        <v>69.965023431978636</v>
      </c>
      <c r="AC948" s="69">
        <v>69.965023431978636</v>
      </c>
      <c r="AD948" s="69">
        <v>69.965023431978636</v>
      </c>
      <c r="AE948" s="69">
        <v>69.965023431978636</v>
      </c>
      <c r="AF948" s="69">
        <v>69.965023431978636</v>
      </c>
      <c r="AG948" s="69">
        <v>69.965023431978636</v>
      </c>
    </row>
    <row r="949" spans="1:33" ht="12.75" customHeight="1">
      <c r="A949" s="231" t="s">
        <v>2377</v>
      </c>
      <c r="B949" s="69" t="s">
        <v>341</v>
      </c>
      <c r="C949" s="69" t="s">
        <v>186</v>
      </c>
      <c r="D949" s="69" t="s">
        <v>218</v>
      </c>
      <c r="E949" s="69" t="s">
        <v>260</v>
      </c>
      <c r="F949" s="69" t="s">
        <v>157</v>
      </c>
      <c r="G949" s="69" t="s">
        <v>192</v>
      </c>
      <c r="H949" s="69" t="s">
        <v>805</v>
      </c>
      <c r="I949" s="69">
        <v>1</v>
      </c>
      <c r="J949" s="238">
        <v>0.21868155325388869</v>
      </c>
      <c r="K949" s="238">
        <v>0</v>
      </c>
      <c r="L949" s="69">
        <v>215.67609549071619</v>
      </c>
      <c r="M949" s="69">
        <v>-5.2201591511936343</v>
      </c>
      <c r="N949" s="69">
        <v>0</v>
      </c>
      <c r="O949" s="69">
        <v>26.249425539017466</v>
      </c>
      <c r="P949" s="69">
        <v>26.249425539017466</v>
      </c>
      <c r="Q949" s="69">
        <v>26.249425539017466</v>
      </c>
      <c r="R949" s="69">
        <v>26.249425539017466</v>
      </c>
      <c r="S949" s="69">
        <v>26.249425539017466</v>
      </c>
      <c r="T949" s="69">
        <v>26.249425539017466</v>
      </c>
      <c r="U949" s="69">
        <v>26.249425539017466</v>
      </c>
      <c r="V949" s="69">
        <v>26.249425539017466</v>
      </c>
      <c r="W949" s="69">
        <v>26.249425539017466</v>
      </c>
      <c r="X949" s="69">
        <v>26.249425539017466</v>
      </c>
      <c r="Y949" s="69">
        <v>26.249425539017466</v>
      </c>
      <c r="Z949" s="69">
        <v>26.249425539017466</v>
      </c>
      <c r="AA949" s="69">
        <v>26.249425539017466</v>
      </c>
      <c r="AB949" s="69">
        <v>26.249425539017466</v>
      </c>
      <c r="AC949" s="69">
        <v>26.249425539017466</v>
      </c>
      <c r="AD949" s="69">
        <v>26.249425539017466</v>
      </c>
      <c r="AE949" s="69">
        <v>26.249425539017466</v>
      </c>
      <c r="AF949" s="69">
        <v>26.249425539017466</v>
      </c>
      <c r="AG949" s="69">
        <v>26.249425539017466</v>
      </c>
    </row>
    <row r="950" spans="1:33" ht="12.75" customHeight="1">
      <c r="A950" s="231" t="s">
        <v>2377</v>
      </c>
      <c r="B950" s="69" t="s">
        <v>342</v>
      </c>
      <c r="C950" s="69" t="s">
        <v>186</v>
      </c>
      <c r="D950" s="69" t="s">
        <v>218</v>
      </c>
      <c r="E950" s="69" t="s">
        <v>203</v>
      </c>
      <c r="F950" s="69" t="s">
        <v>157</v>
      </c>
      <c r="G950" s="69" t="s">
        <v>192</v>
      </c>
      <c r="H950" s="69" t="s">
        <v>805</v>
      </c>
      <c r="I950" s="69">
        <v>1</v>
      </c>
      <c r="J950" s="238">
        <v>0.23561922263058244</v>
      </c>
      <c r="K950" s="238">
        <v>0</v>
      </c>
      <c r="L950" s="69">
        <v>200.17205317577549</v>
      </c>
      <c r="M950" s="69">
        <v>-4.8449039881831615</v>
      </c>
      <c r="N950" s="69">
        <v>0</v>
      </c>
      <c r="O950" s="69">
        <v>69.96502343197858</v>
      </c>
      <c r="P950" s="69">
        <v>69.96502343197858</v>
      </c>
      <c r="Q950" s="69">
        <v>69.96502343197858</v>
      </c>
      <c r="R950" s="69">
        <v>69.96502343197858</v>
      </c>
      <c r="S950" s="69">
        <v>69.96502343197858</v>
      </c>
      <c r="T950" s="69">
        <v>69.96502343197858</v>
      </c>
      <c r="U950" s="69">
        <v>69.96502343197858</v>
      </c>
      <c r="V950" s="69">
        <v>69.96502343197858</v>
      </c>
      <c r="W950" s="69">
        <v>69.96502343197858</v>
      </c>
      <c r="X950" s="69">
        <v>69.96502343197858</v>
      </c>
      <c r="Y950" s="69">
        <v>69.96502343197858</v>
      </c>
      <c r="Z950" s="69">
        <v>69.96502343197858</v>
      </c>
      <c r="AA950" s="69">
        <v>69.96502343197858</v>
      </c>
      <c r="AB950" s="69">
        <v>69.96502343197858</v>
      </c>
      <c r="AC950" s="69">
        <v>69.96502343197858</v>
      </c>
      <c r="AD950" s="69">
        <v>69.96502343197858</v>
      </c>
      <c r="AE950" s="69">
        <v>69.96502343197858</v>
      </c>
      <c r="AF950" s="69">
        <v>69.96502343197858</v>
      </c>
      <c r="AG950" s="69">
        <v>69.96502343197858</v>
      </c>
    </row>
    <row r="951" spans="1:33" ht="12.75" customHeight="1">
      <c r="A951" s="231" t="s">
        <v>2377</v>
      </c>
      <c r="B951" s="69" t="s">
        <v>343</v>
      </c>
      <c r="C951" s="69" t="s">
        <v>186</v>
      </c>
      <c r="D951" s="69" t="s">
        <v>218</v>
      </c>
      <c r="E951" s="69" t="s">
        <v>260</v>
      </c>
      <c r="F951" s="69" t="s">
        <v>157</v>
      </c>
      <c r="G951" s="69" t="s">
        <v>192</v>
      </c>
      <c r="H951" s="69" t="s">
        <v>805</v>
      </c>
      <c r="I951" s="69">
        <v>1</v>
      </c>
      <c r="J951" s="238">
        <v>0.21868155325388869</v>
      </c>
      <c r="K951" s="238">
        <v>0</v>
      </c>
      <c r="L951" s="69">
        <v>215.67609549071619</v>
      </c>
      <c r="M951" s="69">
        <v>-5.2201591511936343</v>
      </c>
      <c r="N951" s="69">
        <v>0</v>
      </c>
      <c r="O951" s="69">
        <v>0</v>
      </c>
      <c r="P951" s="69">
        <v>26.249425539017466</v>
      </c>
      <c r="Q951" s="69">
        <v>26.249425539017466</v>
      </c>
      <c r="R951" s="69">
        <v>26.249425539017466</v>
      </c>
      <c r="S951" s="69">
        <v>26.249425539017466</v>
      </c>
      <c r="T951" s="69">
        <v>26.249425539017466</v>
      </c>
      <c r="U951" s="69">
        <v>26.249425539017466</v>
      </c>
      <c r="V951" s="69">
        <v>26.249425539017466</v>
      </c>
      <c r="W951" s="69">
        <v>26.249425539017466</v>
      </c>
      <c r="X951" s="69">
        <v>26.249425539017466</v>
      </c>
      <c r="Y951" s="69">
        <v>26.249425539017466</v>
      </c>
      <c r="Z951" s="69">
        <v>26.249425539017466</v>
      </c>
      <c r="AA951" s="69">
        <v>26.249425539017466</v>
      </c>
      <c r="AB951" s="69">
        <v>26.249425539017466</v>
      </c>
      <c r="AC951" s="69">
        <v>26.249425539017466</v>
      </c>
      <c r="AD951" s="69">
        <v>26.249425539017466</v>
      </c>
      <c r="AE951" s="69">
        <v>26.249425539017466</v>
      </c>
      <c r="AF951" s="69">
        <v>26.249425539017466</v>
      </c>
      <c r="AG951" s="69">
        <v>26.249425539017466</v>
      </c>
    </row>
    <row r="952" spans="1:33" ht="12.75" customHeight="1">
      <c r="A952" s="231" t="s">
        <v>2377</v>
      </c>
      <c r="B952" s="69" t="s">
        <v>344</v>
      </c>
      <c r="C952" s="69" t="s">
        <v>186</v>
      </c>
      <c r="D952" s="69" t="s">
        <v>218</v>
      </c>
      <c r="E952" s="69" t="s">
        <v>203</v>
      </c>
      <c r="F952" s="69" t="s">
        <v>157</v>
      </c>
      <c r="G952" s="69" t="s">
        <v>192</v>
      </c>
      <c r="H952" s="69" t="s">
        <v>805</v>
      </c>
      <c r="I952" s="69">
        <v>1</v>
      </c>
      <c r="J952" s="238">
        <v>0.23561922263058244</v>
      </c>
      <c r="K952" s="238">
        <v>0</v>
      </c>
      <c r="L952" s="69">
        <v>200.17205317577549</v>
      </c>
      <c r="M952" s="69">
        <v>-4.8449039881831615</v>
      </c>
      <c r="N952" s="69">
        <v>0</v>
      </c>
      <c r="O952" s="69">
        <v>0</v>
      </c>
      <c r="P952" s="69">
        <v>69.965023431978807</v>
      </c>
      <c r="Q952" s="69">
        <v>69.965023431978807</v>
      </c>
      <c r="R952" s="69">
        <v>69.965023431978807</v>
      </c>
      <c r="S952" s="69">
        <v>69.965023431978807</v>
      </c>
      <c r="T952" s="69">
        <v>69.965023431978807</v>
      </c>
      <c r="U952" s="69">
        <v>69.965023431978807</v>
      </c>
      <c r="V952" s="69">
        <v>69.965023431978807</v>
      </c>
      <c r="W952" s="69">
        <v>69.965023431978807</v>
      </c>
      <c r="X952" s="69">
        <v>69.965023431978807</v>
      </c>
      <c r="Y952" s="69">
        <v>69.965023431978807</v>
      </c>
      <c r="Z952" s="69">
        <v>69.965023431978807</v>
      </c>
      <c r="AA952" s="69">
        <v>69.965023431978807</v>
      </c>
      <c r="AB952" s="69">
        <v>69.965023431978807</v>
      </c>
      <c r="AC952" s="69">
        <v>69.965023431978807</v>
      </c>
      <c r="AD952" s="69">
        <v>69.965023431978807</v>
      </c>
      <c r="AE952" s="69">
        <v>69.965023431978807</v>
      </c>
      <c r="AF952" s="69">
        <v>69.965023431978807</v>
      </c>
      <c r="AG952" s="69">
        <v>69.965023431978807</v>
      </c>
    </row>
    <row r="953" spans="1:33" ht="12.75" customHeight="1">
      <c r="A953" s="231" t="s">
        <v>2377</v>
      </c>
      <c r="B953" s="69" t="s">
        <v>345</v>
      </c>
      <c r="C953" s="69" t="s">
        <v>186</v>
      </c>
      <c r="D953" s="69" t="s">
        <v>218</v>
      </c>
      <c r="E953" s="69" t="s">
        <v>260</v>
      </c>
      <c r="F953" s="69" t="s">
        <v>157</v>
      </c>
      <c r="G953" s="69" t="s">
        <v>192</v>
      </c>
      <c r="H953" s="69" t="s">
        <v>805</v>
      </c>
      <c r="I953" s="69">
        <v>1</v>
      </c>
      <c r="J953" s="238">
        <v>0.21868155325388869</v>
      </c>
      <c r="K953" s="238">
        <v>0</v>
      </c>
      <c r="L953" s="69">
        <v>215.67609549071619</v>
      </c>
      <c r="M953" s="69">
        <v>-5.2201591511936343</v>
      </c>
      <c r="N953" s="69">
        <v>0</v>
      </c>
      <c r="O953" s="69">
        <v>0</v>
      </c>
      <c r="P953" s="69">
        <v>0</v>
      </c>
      <c r="Q953" s="69">
        <v>26.249425539017466</v>
      </c>
      <c r="R953" s="69">
        <v>26.249425539017466</v>
      </c>
      <c r="S953" s="69">
        <v>26.249425539017466</v>
      </c>
      <c r="T953" s="69">
        <v>26.249425539017466</v>
      </c>
      <c r="U953" s="69">
        <v>26.249425539017466</v>
      </c>
      <c r="V953" s="69">
        <v>26.249425539017466</v>
      </c>
      <c r="W953" s="69">
        <v>26.249425539017466</v>
      </c>
      <c r="X953" s="69">
        <v>26.249425539017466</v>
      </c>
      <c r="Y953" s="69">
        <v>26.249425539017466</v>
      </c>
      <c r="Z953" s="69">
        <v>26.249425539017466</v>
      </c>
      <c r="AA953" s="69">
        <v>26.249425539017466</v>
      </c>
      <c r="AB953" s="69">
        <v>26.249425539017466</v>
      </c>
      <c r="AC953" s="69">
        <v>26.249425539017466</v>
      </c>
      <c r="AD953" s="69">
        <v>26.249425539017466</v>
      </c>
      <c r="AE953" s="69">
        <v>26.249425539017466</v>
      </c>
      <c r="AF953" s="69">
        <v>26.249425539017466</v>
      </c>
      <c r="AG953" s="69">
        <v>26.249425539017466</v>
      </c>
    </row>
    <row r="954" spans="1:33" ht="12.75" customHeight="1">
      <c r="A954" s="231" t="s">
        <v>2377</v>
      </c>
      <c r="B954" s="69" t="s">
        <v>346</v>
      </c>
      <c r="C954" s="69" t="s">
        <v>186</v>
      </c>
      <c r="D954" s="69" t="s">
        <v>218</v>
      </c>
      <c r="E954" s="69" t="s">
        <v>203</v>
      </c>
      <c r="F954" s="69" t="s">
        <v>157</v>
      </c>
      <c r="G954" s="69" t="s">
        <v>192</v>
      </c>
      <c r="H954" s="69" t="s">
        <v>805</v>
      </c>
      <c r="I954" s="69">
        <v>1</v>
      </c>
      <c r="J954" s="238">
        <v>0.23561922263058244</v>
      </c>
      <c r="K954" s="238">
        <v>0</v>
      </c>
      <c r="L954" s="69">
        <v>200.17205317577549</v>
      </c>
      <c r="M954" s="69">
        <v>-4.8449039881831615</v>
      </c>
      <c r="N954" s="69">
        <v>0</v>
      </c>
      <c r="O954" s="69">
        <v>0</v>
      </c>
      <c r="P954" s="69">
        <v>0</v>
      </c>
      <c r="Q954" s="69">
        <v>69.965023431978807</v>
      </c>
      <c r="R954" s="69">
        <v>69.965023431978807</v>
      </c>
      <c r="S954" s="69">
        <v>69.965023431978807</v>
      </c>
      <c r="T954" s="69">
        <v>69.965023431978807</v>
      </c>
      <c r="U954" s="69">
        <v>69.965023431978807</v>
      </c>
      <c r="V954" s="69">
        <v>69.965023431978807</v>
      </c>
      <c r="W954" s="69">
        <v>69.965023431978807</v>
      </c>
      <c r="X954" s="69">
        <v>69.965023431978807</v>
      </c>
      <c r="Y954" s="69">
        <v>69.965023431978807</v>
      </c>
      <c r="Z954" s="69">
        <v>69.965023431978807</v>
      </c>
      <c r="AA954" s="69">
        <v>69.965023431978807</v>
      </c>
      <c r="AB954" s="69">
        <v>69.965023431978807</v>
      </c>
      <c r="AC954" s="69">
        <v>69.965023431978807</v>
      </c>
      <c r="AD954" s="69">
        <v>69.965023431978807</v>
      </c>
      <c r="AE954" s="69">
        <v>69.965023431978807</v>
      </c>
      <c r="AF954" s="69">
        <v>69.965023431978807</v>
      </c>
      <c r="AG954" s="69">
        <v>69.965023431978807</v>
      </c>
    </row>
    <row r="955" spans="1:33" ht="12.75" customHeight="1">
      <c r="A955" s="231" t="s">
        <v>2377</v>
      </c>
      <c r="B955" s="69" t="s">
        <v>347</v>
      </c>
      <c r="C955" s="69" t="s">
        <v>186</v>
      </c>
      <c r="D955" s="69" t="s">
        <v>218</v>
      </c>
      <c r="E955" s="69" t="s">
        <v>260</v>
      </c>
      <c r="F955" s="69" t="s">
        <v>157</v>
      </c>
      <c r="G955" s="69" t="s">
        <v>192</v>
      </c>
      <c r="H955" s="69" t="s">
        <v>805</v>
      </c>
      <c r="I955" s="69">
        <v>1</v>
      </c>
      <c r="J955" s="238">
        <v>0.21868155325388869</v>
      </c>
      <c r="K955" s="238">
        <v>0</v>
      </c>
      <c r="L955" s="69">
        <v>215.67609549071619</v>
      </c>
      <c r="M955" s="69">
        <v>-5.2201591511936343</v>
      </c>
      <c r="N955" s="69">
        <v>0</v>
      </c>
      <c r="O955" s="69">
        <v>0</v>
      </c>
      <c r="P955" s="69">
        <v>0</v>
      </c>
      <c r="Q955" s="69">
        <v>0</v>
      </c>
      <c r="R955" s="69">
        <v>26.249425539017466</v>
      </c>
      <c r="S955" s="69">
        <v>26.249425539017466</v>
      </c>
      <c r="T955" s="69">
        <v>26.249425539017466</v>
      </c>
      <c r="U955" s="69">
        <v>26.249425539017466</v>
      </c>
      <c r="V955" s="69">
        <v>26.249425539017466</v>
      </c>
      <c r="W955" s="69">
        <v>26.249425539017466</v>
      </c>
      <c r="X955" s="69">
        <v>26.249425539017466</v>
      </c>
      <c r="Y955" s="69">
        <v>26.249425539017466</v>
      </c>
      <c r="Z955" s="69">
        <v>26.249425539017466</v>
      </c>
      <c r="AA955" s="69">
        <v>26.249425539017466</v>
      </c>
      <c r="AB955" s="69">
        <v>26.249425539017466</v>
      </c>
      <c r="AC955" s="69">
        <v>26.249425539017466</v>
      </c>
      <c r="AD955" s="69">
        <v>26.249425539017466</v>
      </c>
      <c r="AE955" s="69">
        <v>26.249425539017466</v>
      </c>
      <c r="AF955" s="69">
        <v>26.249425539017466</v>
      </c>
      <c r="AG955" s="69">
        <v>26.249425539017466</v>
      </c>
    </row>
    <row r="956" spans="1:33" ht="12.75" customHeight="1">
      <c r="A956" s="231" t="s">
        <v>2377</v>
      </c>
      <c r="B956" s="69" t="s">
        <v>348</v>
      </c>
      <c r="C956" s="69" t="s">
        <v>186</v>
      </c>
      <c r="D956" s="69" t="s">
        <v>218</v>
      </c>
      <c r="E956" s="69" t="s">
        <v>203</v>
      </c>
      <c r="F956" s="69" t="s">
        <v>157</v>
      </c>
      <c r="G956" s="69" t="s">
        <v>192</v>
      </c>
      <c r="H956" s="69" t="s">
        <v>805</v>
      </c>
      <c r="I956" s="69">
        <v>1</v>
      </c>
      <c r="J956" s="238">
        <v>0.23561922263058244</v>
      </c>
      <c r="K956" s="238">
        <v>0</v>
      </c>
      <c r="L956" s="69">
        <v>200.17205317577549</v>
      </c>
      <c r="M956" s="69">
        <v>-4.8449039881831615</v>
      </c>
      <c r="N956" s="69">
        <v>0</v>
      </c>
      <c r="O956" s="69">
        <v>0</v>
      </c>
      <c r="P956" s="69">
        <v>0</v>
      </c>
      <c r="Q956" s="69">
        <v>0</v>
      </c>
      <c r="R956" s="69">
        <v>69.965023431977897</v>
      </c>
      <c r="S956" s="69">
        <v>69.965023431977897</v>
      </c>
      <c r="T956" s="69">
        <v>69.965023431977897</v>
      </c>
      <c r="U956" s="69">
        <v>69.965023431977897</v>
      </c>
      <c r="V956" s="69">
        <v>69.965023431977897</v>
      </c>
      <c r="W956" s="69">
        <v>69.965023431977897</v>
      </c>
      <c r="X956" s="69">
        <v>69.965023431977897</v>
      </c>
      <c r="Y956" s="69">
        <v>69.965023431977897</v>
      </c>
      <c r="Z956" s="69">
        <v>69.965023431977897</v>
      </c>
      <c r="AA956" s="69">
        <v>69.965023431977897</v>
      </c>
      <c r="AB956" s="69">
        <v>69.965023431977897</v>
      </c>
      <c r="AC956" s="69">
        <v>69.965023431977897</v>
      </c>
      <c r="AD956" s="69">
        <v>69.965023431977897</v>
      </c>
      <c r="AE956" s="69">
        <v>69.965023431977897</v>
      </c>
      <c r="AF956" s="69">
        <v>69.965023431977897</v>
      </c>
      <c r="AG956" s="69">
        <v>69.965023431977897</v>
      </c>
    </row>
    <row r="957" spans="1:33" ht="12.75" customHeight="1">
      <c r="A957" s="231" t="s">
        <v>2377</v>
      </c>
      <c r="B957" s="69" t="s">
        <v>349</v>
      </c>
      <c r="C957" s="69" t="s">
        <v>186</v>
      </c>
      <c r="D957" s="69" t="s">
        <v>334</v>
      </c>
      <c r="E957" s="69" t="s">
        <v>242</v>
      </c>
      <c r="F957" s="69" t="s">
        <v>158</v>
      </c>
      <c r="G957" s="69" t="s">
        <v>192</v>
      </c>
      <c r="H957" s="69" t="s">
        <v>804</v>
      </c>
      <c r="I957" s="69">
        <v>1</v>
      </c>
      <c r="J957" s="238">
        <v>0.21172086720867206</v>
      </c>
      <c r="K957" s="238">
        <v>0</v>
      </c>
      <c r="L957" s="69">
        <v>283.70472328767124</v>
      </c>
      <c r="M957" s="69">
        <v>-24.263013698630136</v>
      </c>
      <c r="N957" s="69">
        <v>133.53658536585363</v>
      </c>
      <c r="O957" s="69">
        <v>133.53658536585363</v>
      </c>
      <c r="P957" s="69">
        <v>133.53658536585363</v>
      </c>
      <c r="Q957" s="69">
        <v>133.53658536585363</v>
      </c>
      <c r="R957" s="69">
        <v>133.53658536585363</v>
      </c>
      <c r="S957" s="69">
        <v>133.53658536585363</v>
      </c>
      <c r="T957" s="69">
        <v>133.53658536585363</v>
      </c>
      <c r="U957" s="69">
        <v>133.53658536585363</v>
      </c>
      <c r="V957" s="69">
        <v>133.53658536585363</v>
      </c>
      <c r="W957" s="69">
        <v>133.53658536585363</v>
      </c>
      <c r="X957" s="69">
        <v>133.53658536585363</v>
      </c>
      <c r="Y957" s="69">
        <v>133.53658536585363</v>
      </c>
      <c r="Z957" s="69">
        <v>133.53658536585363</v>
      </c>
      <c r="AA957" s="69">
        <v>133.53658536585363</v>
      </c>
      <c r="AB957" s="69">
        <v>133.53658536585363</v>
      </c>
      <c r="AC957" s="69">
        <v>133.53658536585363</v>
      </c>
      <c r="AD957" s="69">
        <v>133.53658536585363</v>
      </c>
      <c r="AE957" s="69">
        <v>133.53658536585363</v>
      </c>
      <c r="AF957" s="69">
        <v>133.53658536585363</v>
      </c>
      <c r="AG957" s="69">
        <v>133.53658536585363</v>
      </c>
    </row>
    <row r="958" spans="1:33" ht="12.75" customHeight="1">
      <c r="A958" s="231" t="s">
        <v>2377</v>
      </c>
      <c r="B958" s="69" t="s">
        <v>350</v>
      </c>
      <c r="C958" s="69" t="s">
        <v>186</v>
      </c>
      <c r="D958" s="69" t="s">
        <v>334</v>
      </c>
      <c r="E958" s="69" t="s">
        <v>242</v>
      </c>
      <c r="F958" s="69" t="s">
        <v>158</v>
      </c>
      <c r="G958" s="69" t="s">
        <v>192</v>
      </c>
      <c r="H958" s="69" t="s">
        <v>804</v>
      </c>
      <c r="I958" s="69">
        <v>1</v>
      </c>
      <c r="J958" s="238">
        <v>0.21172086720867206</v>
      </c>
      <c r="K958" s="238">
        <v>0</v>
      </c>
      <c r="L958" s="69">
        <v>283.70472328767124</v>
      </c>
      <c r="M958" s="69">
        <v>-24.263013698630136</v>
      </c>
      <c r="N958" s="69">
        <v>0</v>
      </c>
      <c r="O958" s="69">
        <v>133.53658536585363</v>
      </c>
      <c r="P958" s="69">
        <v>133.53658536585363</v>
      </c>
      <c r="Q958" s="69">
        <v>133.53658536585363</v>
      </c>
      <c r="R958" s="69">
        <v>133.53658536585363</v>
      </c>
      <c r="S958" s="69">
        <v>133.53658536585363</v>
      </c>
      <c r="T958" s="69">
        <v>133.53658536585363</v>
      </c>
      <c r="U958" s="69">
        <v>133.53658536585363</v>
      </c>
      <c r="V958" s="69">
        <v>133.53658536585363</v>
      </c>
      <c r="W958" s="69">
        <v>133.53658536585363</v>
      </c>
      <c r="X958" s="69">
        <v>133.53658536585363</v>
      </c>
      <c r="Y958" s="69">
        <v>133.53658536585363</v>
      </c>
      <c r="Z958" s="69">
        <v>133.53658536585363</v>
      </c>
      <c r="AA958" s="69">
        <v>133.53658536585363</v>
      </c>
      <c r="AB958" s="69">
        <v>133.53658536585363</v>
      </c>
      <c r="AC958" s="69">
        <v>133.53658536585363</v>
      </c>
      <c r="AD958" s="69">
        <v>133.53658536585363</v>
      </c>
      <c r="AE958" s="69">
        <v>133.53658536585363</v>
      </c>
      <c r="AF958" s="69">
        <v>133.53658536585363</v>
      </c>
      <c r="AG958" s="69">
        <v>133.53658536585363</v>
      </c>
    </row>
    <row r="959" spans="1:33" ht="12.75" customHeight="1">
      <c r="A959" s="231" t="s">
        <v>2377</v>
      </c>
      <c r="B959" s="69" t="s">
        <v>351</v>
      </c>
      <c r="C959" s="69" t="s">
        <v>186</v>
      </c>
      <c r="D959" s="69" t="s">
        <v>334</v>
      </c>
      <c r="E959" s="69" t="s">
        <v>242</v>
      </c>
      <c r="F959" s="69" t="s">
        <v>158</v>
      </c>
      <c r="G959" s="69" t="s">
        <v>192</v>
      </c>
      <c r="H959" s="69" t="s">
        <v>804</v>
      </c>
      <c r="I959" s="69">
        <v>1</v>
      </c>
      <c r="J959" s="238">
        <v>0.21172086720867206</v>
      </c>
      <c r="K959" s="238">
        <v>0</v>
      </c>
      <c r="L959" s="69">
        <v>283.70472328767124</v>
      </c>
      <c r="M959" s="69">
        <v>-24.263013698630136</v>
      </c>
      <c r="N959" s="69">
        <v>0</v>
      </c>
      <c r="O959" s="69">
        <v>0</v>
      </c>
      <c r="P959" s="69">
        <v>133.53658536585408</v>
      </c>
      <c r="Q959" s="69">
        <v>133.53658536585408</v>
      </c>
      <c r="R959" s="69">
        <v>133.53658536585408</v>
      </c>
      <c r="S959" s="69">
        <v>133.53658536585408</v>
      </c>
      <c r="T959" s="69">
        <v>133.53658536585408</v>
      </c>
      <c r="U959" s="69">
        <v>133.53658536585408</v>
      </c>
      <c r="V959" s="69">
        <v>133.53658536585408</v>
      </c>
      <c r="W959" s="69">
        <v>133.53658536585408</v>
      </c>
      <c r="X959" s="69">
        <v>133.53658536585408</v>
      </c>
      <c r="Y959" s="69">
        <v>133.53658536585408</v>
      </c>
      <c r="Z959" s="69">
        <v>133.53658536585408</v>
      </c>
      <c r="AA959" s="69">
        <v>133.53658536585408</v>
      </c>
      <c r="AB959" s="69">
        <v>133.53658536585408</v>
      </c>
      <c r="AC959" s="69">
        <v>133.53658536585408</v>
      </c>
      <c r="AD959" s="69">
        <v>133.53658536585408</v>
      </c>
      <c r="AE959" s="69">
        <v>133.53658536585408</v>
      </c>
      <c r="AF959" s="69">
        <v>133.53658536585408</v>
      </c>
      <c r="AG959" s="69">
        <v>133.53658536585408</v>
      </c>
    </row>
    <row r="960" spans="1:33" ht="12.75" customHeight="1">
      <c r="A960" s="231" t="s">
        <v>2377</v>
      </c>
      <c r="B960" s="69" t="s">
        <v>352</v>
      </c>
      <c r="C960" s="69" t="s">
        <v>186</v>
      </c>
      <c r="D960" s="69" t="s">
        <v>334</v>
      </c>
      <c r="E960" s="69" t="s">
        <v>242</v>
      </c>
      <c r="F960" s="69" t="s">
        <v>158</v>
      </c>
      <c r="G960" s="69" t="s">
        <v>192</v>
      </c>
      <c r="H960" s="69" t="s">
        <v>804</v>
      </c>
      <c r="I960" s="69">
        <v>1</v>
      </c>
      <c r="J960" s="238">
        <v>0.21172086720867206</v>
      </c>
      <c r="K960" s="238">
        <v>0</v>
      </c>
      <c r="L960" s="69">
        <v>283.70472328767124</v>
      </c>
      <c r="M960" s="69">
        <v>-24.263013698630136</v>
      </c>
      <c r="N960" s="69">
        <v>0</v>
      </c>
      <c r="O960" s="69">
        <v>0</v>
      </c>
      <c r="P960" s="69">
        <v>0</v>
      </c>
      <c r="Q960" s="69">
        <v>133.53658536585408</v>
      </c>
      <c r="R960" s="69">
        <v>133.53658536585408</v>
      </c>
      <c r="S960" s="69">
        <v>133.53658536585408</v>
      </c>
      <c r="T960" s="69">
        <v>133.53658536585408</v>
      </c>
      <c r="U960" s="69">
        <v>133.53658536585408</v>
      </c>
      <c r="V960" s="69">
        <v>133.53658536585408</v>
      </c>
      <c r="W960" s="69">
        <v>133.53658536585408</v>
      </c>
      <c r="X960" s="69">
        <v>133.53658536585408</v>
      </c>
      <c r="Y960" s="69">
        <v>133.53658536585408</v>
      </c>
      <c r="Z960" s="69">
        <v>133.53658536585408</v>
      </c>
      <c r="AA960" s="69">
        <v>133.53658536585408</v>
      </c>
      <c r="AB960" s="69">
        <v>133.53658536585408</v>
      </c>
      <c r="AC960" s="69">
        <v>133.53658536585408</v>
      </c>
      <c r="AD960" s="69">
        <v>133.53658536585408</v>
      </c>
      <c r="AE960" s="69">
        <v>133.53658536585408</v>
      </c>
      <c r="AF960" s="69">
        <v>133.53658536585408</v>
      </c>
      <c r="AG960" s="69">
        <v>133.53658536585408</v>
      </c>
    </row>
    <row r="961" spans="1:33" ht="12.75" customHeight="1">
      <c r="A961" s="231" t="s">
        <v>2377</v>
      </c>
      <c r="B961" s="69" t="s">
        <v>353</v>
      </c>
      <c r="C961" s="69" t="s">
        <v>186</v>
      </c>
      <c r="D961" s="69" t="s">
        <v>334</v>
      </c>
      <c r="E961" s="69" t="s">
        <v>242</v>
      </c>
      <c r="F961" s="69" t="s">
        <v>158</v>
      </c>
      <c r="G961" s="69" t="s">
        <v>192</v>
      </c>
      <c r="H961" s="69" t="s">
        <v>804</v>
      </c>
      <c r="I961" s="69">
        <v>1</v>
      </c>
      <c r="J961" s="238">
        <v>0.21172086720867206</v>
      </c>
      <c r="K961" s="238">
        <v>0</v>
      </c>
      <c r="L961" s="69">
        <v>283.70472328767124</v>
      </c>
      <c r="M961" s="69">
        <v>-24.263013698630136</v>
      </c>
      <c r="N961" s="69">
        <v>0</v>
      </c>
      <c r="O961" s="69">
        <v>0</v>
      </c>
      <c r="P961" s="69">
        <v>0</v>
      </c>
      <c r="Q961" s="69">
        <v>0</v>
      </c>
      <c r="R961" s="69">
        <v>133.53658536585317</v>
      </c>
      <c r="S961" s="69">
        <v>133.53658536585317</v>
      </c>
      <c r="T961" s="69">
        <v>133.53658536585317</v>
      </c>
      <c r="U961" s="69">
        <v>133.53658536585317</v>
      </c>
      <c r="V961" s="69">
        <v>133.53658536585317</v>
      </c>
      <c r="W961" s="69">
        <v>133.53658536585317</v>
      </c>
      <c r="X961" s="69">
        <v>133.53658536585317</v>
      </c>
      <c r="Y961" s="69">
        <v>133.53658536585317</v>
      </c>
      <c r="Z961" s="69">
        <v>133.53658536585317</v>
      </c>
      <c r="AA961" s="69">
        <v>133.53658536585317</v>
      </c>
      <c r="AB961" s="69">
        <v>133.53658536585317</v>
      </c>
      <c r="AC961" s="69">
        <v>133.53658536585317</v>
      </c>
      <c r="AD961" s="69">
        <v>133.53658536585317</v>
      </c>
      <c r="AE961" s="69">
        <v>133.53658536585317</v>
      </c>
      <c r="AF961" s="69">
        <v>133.53658536585317</v>
      </c>
      <c r="AG961" s="69">
        <v>133.53658536585317</v>
      </c>
    </row>
    <row r="962" spans="1:33" ht="12.75" customHeight="1">
      <c r="A962" s="231" t="s">
        <v>2377</v>
      </c>
      <c r="B962" s="69" t="s">
        <v>354</v>
      </c>
      <c r="C962" s="69" t="s">
        <v>186</v>
      </c>
      <c r="D962" s="69" t="s">
        <v>334</v>
      </c>
      <c r="E962" s="69" t="s">
        <v>242</v>
      </c>
      <c r="F962" s="69" t="s">
        <v>159</v>
      </c>
      <c r="G962" s="69" t="s">
        <v>192</v>
      </c>
      <c r="H962" s="69" t="s">
        <v>2130</v>
      </c>
      <c r="I962" s="69">
        <v>1</v>
      </c>
      <c r="J962" s="238">
        <v>0.21172086720867209</v>
      </c>
      <c r="K962" s="238">
        <v>0</v>
      </c>
      <c r="L962" s="69">
        <v>283.7047232876713</v>
      </c>
      <c r="M962" s="69">
        <v>-24.263013698630136</v>
      </c>
      <c r="N962" s="69">
        <v>12.67537746806039</v>
      </c>
      <c r="O962" s="69">
        <v>12.67537746806039</v>
      </c>
      <c r="P962" s="69">
        <v>12.67537746806039</v>
      </c>
      <c r="Q962" s="69">
        <v>12.67537746806039</v>
      </c>
      <c r="R962" s="69">
        <v>12.67537746806039</v>
      </c>
      <c r="S962" s="69">
        <v>12.67537746806039</v>
      </c>
      <c r="T962" s="69">
        <v>12.67537746806039</v>
      </c>
      <c r="U962" s="69">
        <v>12.67537746806039</v>
      </c>
      <c r="V962" s="69">
        <v>12.67537746806039</v>
      </c>
      <c r="W962" s="69">
        <v>12.67537746806039</v>
      </c>
      <c r="X962" s="69">
        <v>12.67537746806039</v>
      </c>
      <c r="Y962" s="69">
        <v>12.67537746806039</v>
      </c>
      <c r="Z962" s="69">
        <v>12.67537746806039</v>
      </c>
      <c r="AA962" s="69">
        <v>12.67537746806039</v>
      </c>
      <c r="AB962" s="69">
        <v>12.67537746806039</v>
      </c>
      <c r="AC962" s="69">
        <v>12.67537746806039</v>
      </c>
      <c r="AD962" s="69">
        <v>12.67537746806039</v>
      </c>
      <c r="AE962" s="69">
        <v>12.67537746806039</v>
      </c>
      <c r="AF962" s="69">
        <v>12.67537746806039</v>
      </c>
      <c r="AG962" s="69">
        <v>12.67537746806039</v>
      </c>
    </row>
    <row r="963" spans="1:33" ht="12.75" customHeight="1">
      <c r="A963" s="231" t="s">
        <v>2377</v>
      </c>
      <c r="B963" s="69" t="s">
        <v>355</v>
      </c>
      <c r="C963" s="69" t="s">
        <v>186</v>
      </c>
      <c r="D963" s="69" t="s">
        <v>334</v>
      </c>
      <c r="E963" s="69" t="s">
        <v>244</v>
      </c>
      <c r="F963" s="69" t="s">
        <v>159</v>
      </c>
      <c r="G963" s="69" t="s">
        <v>192</v>
      </c>
      <c r="H963" s="69" t="s">
        <v>2130</v>
      </c>
      <c r="I963" s="69">
        <v>1</v>
      </c>
      <c r="J963" s="238">
        <v>0.22877454801945279</v>
      </c>
      <c r="K963" s="238">
        <v>0</v>
      </c>
      <c r="L963" s="69">
        <v>262.55634888438135</v>
      </c>
      <c r="M963" s="69">
        <v>-22.454361054766736</v>
      </c>
      <c r="N963" s="69">
        <v>7.1459233449477324</v>
      </c>
      <c r="O963" s="69">
        <v>7.1459233449477324</v>
      </c>
      <c r="P963" s="69">
        <v>7.1459233449477324</v>
      </c>
      <c r="Q963" s="69">
        <v>7.1459233449477324</v>
      </c>
      <c r="R963" s="69">
        <v>7.1459233449477324</v>
      </c>
      <c r="S963" s="69">
        <v>7.1459233449477324</v>
      </c>
      <c r="T963" s="69">
        <v>7.1459233449477324</v>
      </c>
      <c r="U963" s="69">
        <v>7.1459233449477324</v>
      </c>
      <c r="V963" s="69">
        <v>7.1459233449477324</v>
      </c>
      <c r="W963" s="69">
        <v>7.1459233449477324</v>
      </c>
      <c r="X963" s="69">
        <v>7.1459233449477324</v>
      </c>
      <c r="Y963" s="69">
        <v>7.1459233449477324</v>
      </c>
      <c r="Z963" s="69">
        <v>7.1459233449477324</v>
      </c>
      <c r="AA963" s="69">
        <v>7.1459233449477324</v>
      </c>
      <c r="AB963" s="69">
        <v>7.1459233449477324</v>
      </c>
      <c r="AC963" s="69">
        <v>7.1459233449477324</v>
      </c>
      <c r="AD963" s="69">
        <v>7.1459233449477324</v>
      </c>
      <c r="AE963" s="69">
        <v>7.1459233449477324</v>
      </c>
      <c r="AF963" s="69">
        <v>7.1459233449477324</v>
      </c>
      <c r="AG963" s="69">
        <v>7.1459233449477324</v>
      </c>
    </row>
    <row r="964" spans="1:33" ht="12.75" customHeight="1">
      <c r="A964" s="231" t="s">
        <v>2377</v>
      </c>
      <c r="B964" s="69" t="s">
        <v>356</v>
      </c>
      <c r="C964" s="69" t="s">
        <v>186</v>
      </c>
      <c r="D964" s="69" t="s">
        <v>334</v>
      </c>
      <c r="E964" s="69" t="s">
        <v>242</v>
      </c>
      <c r="F964" s="69" t="s">
        <v>159</v>
      </c>
      <c r="G964" s="69" t="s">
        <v>192</v>
      </c>
      <c r="H964" s="69" t="s">
        <v>2130</v>
      </c>
      <c r="I964" s="69">
        <v>1</v>
      </c>
      <c r="J964" s="238">
        <v>0.21172086720867209</v>
      </c>
      <c r="K964" s="238">
        <v>0</v>
      </c>
      <c r="L964" s="69">
        <v>283.7047232876713</v>
      </c>
      <c r="M964" s="69">
        <v>-24.263013698630136</v>
      </c>
      <c r="N964" s="69">
        <v>0</v>
      </c>
      <c r="O964" s="69">
        <v>12.675377468060333</v>
      </c>
      <c r="P964" s="69">
        <v>12.675377468060333</v>
      </c>
      <c r="Q964" s="69">
        <v>12.675377468060333</v>
      </c>
      <c r="R964" s="69">
        <v>12.675377468060333</v>
      </c>
      <c r="S964" s="69">
        <v>12.675377468060333</v>
      </c>
      <c r="T964" s="69">
        <v>12.675377468060333</v>
      </c>
      <c r="U964" s="69">
        <v>12.675377468060333</v>
      </c>
      <c r="V964" s="69">
        <v>12.675377468060333</v>
      </c>
      <c r="W964" s="69">
        <v>12.675377468060333</v>
      </c>
      <c r="X964" s="69">
        <v>12.675377468060333</v>
      </c>
      <c r="Y964" s="69">
        <v>12.675377468060333</v>
      </c>
      <c r="Z964" s="69">
        <v>12.675377468060333</v>
      </c>
      <c r="AA964" s="69">
        <v>12.675377468060333</v>
      </c>
      <c r="AB964" s="69">
        <v>12.675377468060333</v>
      </c>
      <c r="AC964" s="69">
        <v>12.675377468060333</v>
      </c>
      <c r="AD964" s="69">
        <v>12.675377468060333</v>
      </c>
      <c r="AE964" s="69">
        <v>12.675377468060333</v>
      </c>
      <c r="AF964" s="69">
        <v>12.675377468060333</v>
      </c>
      <c r="AG964" s="69">
        <v>12.675377468060333</v>
      </c>
    </row>
    <row r="965" spans="1:33" ht="12.75" customHeight="1">
      <c r="A965" s="231" t="s">
        <v>2377</v>
      </c>
      <c r="B965" s="69" t="s">
        <v>357</v>
      </c>
      <c r="C965" s="69" t="s">
        <v>186</v>
      </c>
      <c r="D965" s="69" t="s">
        <v>334</v>
      </c>
      <c r="E965" s="69" t="s">
        <v>244</v>
      </c>
      <c r="F965" s="69" t="s">
        <v>159</v>
      </c>
      <c r="G965" s="69" t="s">
        <v>192</v>
      </c>
      <c r="H965" s="69" t="s">
        <v>2130</v>
      </c>
      <c r="I965" s="69">
        <v>1</v>
      </c>
      <c r="J965" s="238">
        <v>0.22877454801945279</v>
      </c>
      <c r="K965" s="238">
        <v>0</v>
      </c>
      <c r="L965" s="69">
        <v>262.55634888438135</v>
      </c>
      <c r="M965" s="69">
        <v>-22.454361054766736</v>
      </c>
      <c r="N965" s="69">
        <v>0</v>
      </c>
      <c r="O965" s="69">
        <v>7.1459233449477324</v>
      </c>
      <c r="P965" s="69">
        <v>7.1459233449477324</v>
      </c>
      <c r="Q965" s="69">
        <v>7.1459233449477324</v>
      </c>
      <c r="R965" s="69">
        <v>7.1459233449477324</v>
      </c>
      <c r="S965" s="69">
        <v>7.1459233449477324</v>
      </c>
      <c r="T965" s="69">
        <v>7.1459233449477324</v>
      </c>
      <c r="U965" s="69">
        <v>7.1459233449477324</v>
      </c>
      <c r="V965" s="69">
        <v>7.1459233449477324</v>
      </c>
      <c r="W965" s="69">
        <v>7.1459233449477324</v>
      </c>
      <c r="X965" s="69">
        <v>7.1459233449477324</v>
      </c>
      <c r="Y965" s="69">
        <v>7.1459233449477324</v>
      </c>
      <c r="Z965" s="69">
        <v>7.1459233449477324</v>
      </c>
      <c r="AA965" s="69">
        <v>7.1459233449477324</v>
      </c>
      <c r="AB965" s="69">
        <v>7.1459233449477324</v>
      </c>
      <c r="AC965" s="69">
        <v>7.1459233449477324</v>
      </c>
      <c r="AD965" s="69">
        <v>7.1459233449477324</v>
      </c>
      <c r="AE965" s="69">
        <v>7.1459233449477324</v>
      </c>
      <c r="AF965" s="69">
        <v>7.1459233449477324</v>
      </c>
      <c r="AG965" s="69">
        <v>7.1459233449477324</v>
      </c>
    </row>
    <row r="966" spans="1:33" ht="12.75" customHeight="1">
      <c r="A966" s="231" t="s">
        <v>2377</v>
      </c>
      <c r="B966" s="69" t="s">
        <v>358</v>
      </c>
      <c r="C966" s="69" t="s">
        <v>186</v>
      </c>
      <c r="D966" s="69" t="s">
        <v>334</v>
      </c>
      <c r="E966" s="69" t="s">
        <v>242</v>
      </c>
      <c r="F966" s="69" t="s">
        <v>159</v>
      </c>
      <c r="G966" s="69" t="s">
        <v>192</v>
      </c>
      <c r="H966" s="69" t="s">
        <v>2130</v>
      </c>
      <c r="I966" s="69">
        <v>1</v>
      </c>
      <c r="J966" s="238">
        <v>0.21172086720867209</v>
      </c>
      <c r="K966" s="238">
        <v>0</v>
      </c>
      <c r="L966" s="69">
        <v>283.7047232876713</v>
      </c>
      <c r="M966" s="69">
        <v>-24.263013698630136</v>
      </c>
      <c r="N966" s="69">
        <v>0</v>
      </c>
      <c r="O966" s="69">
        <v>0</v>
      </c>
      <c r="P966" s="69">
        <v>12.675377468060105</v>
      </c>
      <c r="Q966" s="69">
        <v>12.675377468060105</v>
      </c>
      <c r="R966" s="69">
        <v>12.675377468060105</v>
      </c>
      <c r="S966" s="69">
        <v>12.675377468060105</v>
      </c>
      <c r="T966" s="69">
        <v>12.675377468060105</v>
      </c>
      <c r="U966" s="69">
        <v>12.675377468060105</v>
      </c>
      <c r="V966" s="69">
        <v>12.675377468060105</v>
      </c>
      <c r="W966" s="69">
        <v>12.675377468060105</v>
      </c>
      <c r="X966" s="69">
        <v>12.675377468060105</v>
      </c>
      <c r="Y966" s="69">
        <v>12.675377468060105</v>
      </c>
      <c r="Z966" s="69">
        <v>12.675377468060105</v>
      </c>
      <c r="AA966" s="69">
        <v>12.675377468060105</v>
      </c>
      <c r="AB966" s="69">
        <v>12.675377468060105</v>
      </c>
      <c r="AC966" s="69">
        <v>12.675377468060105</v>
      </c>
      <c r="AD966" s="69">
        <v>12.675377468060105</v>
      </c>
      <c r="AE966" s="69">
        <v>12.675377468060105</v>
      </c>
      <c r="AF966" s="69">
        <v>12.675377468060105</v>
      </c>
      <c r="AG966" s="69">
        <v>12.675377468060105</v>
      </c>
    </row>
    <row r="967" spans="1:33" ht="12.75" customHeight="1">
      <c r="A967" s="231" t="s">
        <v>2377</v>
      </c>
      <c r="B967" s="69" t="s">
        <v>359</v>
      </c>
      <c r="C967" s="69" t="s">
        <v>186</v>
      </c>
      <c r="D967" s="69" t="s">
        <v>334</v>
      </c>
      <c r="E967" s="69" t="s">
        <v>244</v>
      </c>
      <c r="F967" s="69" t="s">
        <v>159</v>
      </c>
      <c r="G967" s="69" t="s">
        <v>192</v>
      </c>
      <c r="H967" s="69" t="s">
        <v>2130</v>
      </c>
      <c r="I967" s="69">
        <v>1</v>
      </c>
      <c r="J967" s="238">
        <v>0.22877454801945279</v>
      </c>
      <c r="K967" s="238">
        <v>0</v>
      </c>
      <c r="L967" s="69">
        <v>262.55634888438135</v>
      </c>
      <c r="M967" s="69">
        <v>-22.454361054766736</v>
      </c>
      <c r="N967" s="69">
        <v>0</v>
      </c>
      <c r="O967" s="69">
        <v>0</v>
      </c>
      <c r="P967" s="69">
        <v>7.1459233449477324</v>
      </c>
      <c r="Q967" s="69">
        <v>7.1459233449477324</v>
      </c>
      <c r="R967" s="69">
        <v>7.1459233449477324</v>
      </c>
      <c r="S967" s="69">
        <v>7.1459233449477324</v>
      </c>
      <c r="T967" s="69">
        <v>7.1459233449477324</v>
      </c>
      <c r="U967" s="69">
        <v>7.1459233449477324</v>
      </c>
      <c r="V967" s="69">
        <v>7.1459233449477324</v>
      </c>
      <c r="W967" s="69">
        <v>7.1459233449477324</v>
      </c>
      <c r="X967" s="69">
        <v>7.1459233449477324</v>
      </c>
      <c r="Y967" s="69">
        <v>7.1459233449477324</v>
      </c>
      <c r="Z967" s="69">
        <v>7.1459233449477324</v>
      </c>
      <c r="AA967" s="69">
        <v>7.1459233449477324</v>
      </c>
      <c r="AB967" s="69">
        <v>7.1459233449477324</v>
      </c>
      <c r="AC967" s="69">
        <v>7.1459233449477324</v>
      </c>
      <c r="AD967" s="69">
        <v>7.1459233449477324</v>
      </c>
      <c r="AE967" s="69">
        <v>7.1459233449477324</v>
      </c>
      <c r="AF967" s="69">
        <v>7.1459233449477324</v>
      </c>
      <c r="AG967" s="69">
        <v>7.1459233449477324</v>
      </c>
    </row>
    <row r="968" spans="1:33" ht="12.75" customHeight="1">
      <c r="A968" s="231" t="s">
        <v>2377</v>
      </c>
      <c r="B968" s="69" t="s">
        <v>360</v>
      </c>
      <c r="C968" s="69" t="s">
        <v>186</v>
      </c>
      <c r="D968" s="69" t="s">
        <v>334</v>
      </c>
      <c r="E968" s="69" t="s">
        <v>242</v>
      </c>
      <c r="F968" s="69" t="s">
        <v>159</v>
      </c>
      <c r="G968" s="69" t="s">
        <v>192</v>
      </c>
      <c r="H968" s="69" t="s">
        <v>2130</v>
      </c>
      <c r="I968" s="69">
        <v>1</v>
      </c>
      <c r="J968" s="238">
        <v>0.21172086720867209</v>
      </c>
      <c r="K968" s="238">
        <v>0</v>
      </c>
      <c r="L968" s="69">
        <v>283.7047232876713</v>
      </c>
      <c r="M968" s="69">
        <v>-24.263013698630136</v>
      </c>
      <c r="N968" s="69">
        <v>0</v>
      </c>
      <c r="O968" s="69">
        <v>0</v>
      </c>
      <c r="P968" s="69">
        <v>0</v>
      </c>
      <c r="Q968" s="69">
        <v>12.675377468060105</v>
      </c>
      <c r="R968" s="69">
        <v>12.675377468060105</v>
      </c>
      <c r="S968" s="69">
        <v>12.675377468060105</v>
      </c>
      <c r="T968" s="69">
        <v>12.675377468060105</v>
      </c>
      <c r="U968" s="69">
        <v>12.675377468060105</v>
      </c>
      <c r="V968" s="69">
        <v>12.675377468060105</v>
      </c>
      <c r="W968" s="69">
        <v>12.675377468060105</v>
      </c>
      <c r="X968" s="69">
        <v>12.675377468060105</v>
      </c>
      <c r="Y968" s="69">
        <v>12.675377468060105</v>
      </c>
      <c r="Z968" s="69">
        <v>12.675377468060105</v>
      </c>
      <c r="AA968" s="69">
        <v>12.675377468060105</v>
      </c>
      <c r="AB968" s="69">
        <v>12.675377468060105</v>
      </c>
      <c r="AC968" s="69">
        <v>12.675377468060105</v>
      </c>
      <c r="AD968" s="69">
        <v>12.675377468060105</v>
      </c>
      <c r="AE968" s="69">
        <v>12.675377468060105</v>
      </c>
      <c r="AF968" s="69">
        <v>12.675377468060105</v>
      </c>
      <c r="AG968" s="69">
        <v>12.675377468060105</v>
      </c>
    </row>
    <row r="969" spans="1:33" ht="12.75" customHeight="1">
      <c r="A969" s="231" t="s">
        <v>2377</v>
      </c>
      <c r="B969" s="69" t="s">
        <v>361</v>
      </c>
      <c r="C969" s="69" t="s">
        <v>186</v>
      </c>
      <c r="D969" s="69" t="s">
        <v>334</v>
      </c>
      <c r="E969" s="69" t="s">
        <v>244</v>
      </c>
      <c r="F969" s="69" t="s">
        <v>159</v>
      </c>
      <c r="G969" s="69" t="s">
        <v>192</v>
      </c>
      <c r="H969" s="69" t="s">
        <v>2130</v>
      </c>
      <c r="I969" s="69">
        <v>1</v>
      </c>
      <c r="J969" s="238">
        <v>0.22877454801945279</v>
      </c>
      <c r="K969" s="238">
        <v>0</v>
      </c>
      <c r="L969" s="69">
        <v>262.55634888438135</v>
      </c>
      <c r="M969" s="69">
        <v>-22.454361054766736</v>
      </c>
      <c r="N969" s="69">
        <v>0</v>
      </c>
      <c r="O969" s="69">
        <v>0</v>
      </c>
      <c r="P969" s="69">
        <v>0</v>
      </c>
      <c r="Q969" s="69">
        <v>7.1459233449477324</v>
      </c>
      <c r="R969" s="69">
        <v>7.1459233449477324</v>
      </c>
      <c r="S969" s="69">
        <v>7.1459233449477324</v>
      </c>
      <c r="T969" s="69">
        <v>7.1459233449477324</v>
      </c>
      <c r="U969" s="69">
        <v>7.1459233449477324</v>
      </c>
      <c r="V969" s="69">
        <v>7.1459233449477324</v>
      </c>
      <c r="W969" s="69">
        <v>7.1459233449477324</v>
      </c>
      <c r="X969" s="69">
        <v>7.1459233449477324</v>
      </c>
      <c r="Y969" s="69">
        <v>7.1459233449477324</v>
      </c>
      <c r="Z969" s="69">
        <v>7.1459233449477324</v>
      </c>
      <c r="AA969" s="69">
        <v>7.1459233449477324</v>
      </c>
      <c r="AB969" s="69">
        <v>7.1459233449477324</v>
      </c>
      <c r="AC969" s="69">
        <v>7.1459233449477324</v>
      </c>
      <c r="AD969" s="69">
        <v>7.1459233449477324</v>
      </c>
      <c r="AE969" s="69">
        <v>7.1459233449477324</v>
      </c>
      <c r="AF969" s="69">
        <v>7.1459233449477324</v>
      </c>
      <c r="AG969" s="69">
        <v>7.1459233449477324</v>
      </c>
    </row>
    <row r="970" spans="1:33" ht="12.75" customHeight="1">
      <c r="A970" s="231" t="s">
        <v>2377</v>
      </c>
      <c r="B970" s="69" t="s">
        <v>362</v>
      </c>
      <c r="C970" s="69" t="s">
        <v>186</v>
      </c>
      <c r="D970" s="69" t="s">
        <v>334</v>
      </c>
      <c r="E970" s="69" t="s">
        <v>242</v>
      </c>
      <c r="F970" s="69" t="s">
        <v>159</v>
      </c>
      <c r="G970" s="69" t="s">
        <v>192</v>
      </c>
      <c r="H970" s="69" t="s">
        <v>2130</v>
      </c>
      <c r="I970" s="69">
        <v>1</v>
      </c>
      <c r="J970" s="238">
        <v>0.21172086720867209</v>
      </c>
      <c r="K970" s="238">
        <v>0</v>
      </c>
      <c r="L970" s="69">
        <v>283.7047232876713</v>
      </c>
      <c r="M970" s="69">
        <v>-24.263013698630136</v>
      </c>
      <c r="N970" s="69">
        <v>0</v>
      </c>
      <c r="O970" s="69">
        <v>0</v>
      </c>
      <c r="P970" s="69">
        <v>0</v>
      </c>
      <c r="Q970" s="69">
        <v>0</v>
      </c>
      <c r="R970" s="69">
        <v>12.675377468060105</v>
      </c>
      <c r="S970" s="69">
        <v>12.675377468060105</v>
      </c>
      <c r="T970" s="69">
        <v>12.675377468060105</v>
      </c>
      <c r="U970" s="69">
        <v>12.675377468060105</v>
      </c>
      <c r="V970" s="69">
        <v>12.675377468060105</v>
      </c>
      <c r="W970" s="69">
        <v>12.675377468060105</v>
      </c>
      <c r="X970" s="69">
        <v>12.675377468060105</v>
      </c>
      <c r="Y970" s="69">
        <v>12.675377468060105</v>
      </c>
      <c r="Z970" s="69">
        <v>12.675377468060105</v>
      </c>
      <c r="AA970" s="69">
        <v>12.675377468060105</v>
      </c>
      <c r="AB970" s="69">
        <v>12.675377468060105</v>
      </c>
      <c r="AC970" s="69">
        <v>12.675377468060105</v>
      </c>
      <c r="AD970" s="69">
        <v>12.675377468060105</v>
      </c>
      <c r="AE970" s="69">
        <v>12.675377468060105</v>
      </c>
      <c r="AF970" s="69">
        <v>12.675377468060105</v>
      </c>
      <c r="AG970" s="69">
        <v>12.675377468060105</v>
      </c>
    </row>
    <row r="971" spans="1:33" ht="12.75" customHeight="1">
      <c r="A971" s="231" t="s">
        <v>2377</v>
      </c>
      <c r="B971" s="69" t="s">
        <v>363</v>
      </c>
      <c r="C971" s="69" t="s">
        <v>186</v>
      </c>
      <c r="D971" s="69" t="s">
        <v>334</v>
      </c>
      <c r="E971" s="69" t="s">
        <v>244</v>
      </c>
      <c r="F971" s="69" t="s">
        <v>159</v>
      </c>
      <c r="G971" s="69" t="s">
        <v>192</v>
      </c>
      <c r="H971" s="69" t="s">
        <v>2130</v>
      </c>
      <c r="I971" s="69">
        <v>1</v>
      </c>
      <c r="J971" s="238">
        <v>0.22877454801945279</v>
      </c>
      <c r="K971" s="238">
        <v>0</v>
      </c>
      <c r="L971" s="69">
        <v>262.55634888438135</v>
      </c>
      <c r="M971" s="69">
        <v>-22.454361054766736</v>
      </c>
      <c r="N971" s="69">
        <v>0</v>
      </c>
      <c r="O971" s="69">
        <v>0</v>
      </c>
      <c r="P971" s="69">
        <v>0</v>
      </c>
      <c r="Q971" s="69">
        <v>0</v>
      </c>
      <c r="R971" s="69">
        <v>7.1459233449477324</v>
      </c>
      <c r="S971" s="69">
        <v>7.1459233449477324</v>
      </c>
      <c r="T971" s="69">
        <v>7.1459233449477324</v>
      </c>
      <c r="U971" s="69">
        <v>7.1459233449477324</v>
      </c>
      <c r="V971" s="69">
        <v>7.1459233449477324</v>
      </c>
      <c r="W971" s="69">
        <v>7.1459233449477324</v>
      </c>
      <c r="X971" s="69">
        <v>7.1459233449477324</v>
      </c>
      <c r="Y971" s="69">
        <v>7.1459233449477324</v>
      </c>
      <c r="Z971" s="69">
        <v>7.1459233449477324</v>
      </c>
      <c r="AA971" s="69">
        <v>7.1459233449477324</v>
      </c>
      <c r="AB971" s="69">
        <v>7.1459233449477324</v>
      </c>
      <c r="AC971" s="69">
        <v>7.1459233449477324</v>
      </c>
      <c r="AD971" s="69">
        <v>7.1459233449477324</v>
      </c>
      <c r="AE971" s="69">
        <v>7.1459233449477324</v>
      </c>
      <c r="AF971" s="69">
        <v>7.1459233449477324</v>
      </c>
      <c r="AG971" s="69">
        <v>7.1459233449477324</v>
      </c>
    </row>
    <row r="972" spans="1:33" ht="12.75" customHeight="1">
      <c r="A972" s="231" t="s">
        <v>2377</v>
      </c>
      <c r="B972" s="69" t="s">
        <v>369</v>
      </c>
      <c r="C972" s="69" t="s">
        <v>139</v>
      </c>
      <c r="D972" s="69" t="s">
        <v>191</v>
      </c>
      <c r="E972" s="69" t="s">
        <v>191</v>
      </c>
      <c r="F972" s="69" t="s">
        <v>177</v>
      </c>
      <c r="G972" s="69" t="s">
        <v>192</v>
      </c>
      <c r="H972" s="69" t="s">
        <v>804</v>
      </c>
      <c r="I972" s="69">
        <v>3</v>
      </c>
      <c r="J972" s="238">
        <v>0.85000000000000075</v>
      </c>
      <c r="K972" s="238">
        <v>0.65516693062894504</v>
      </c>
      <c r="L972" s="69">
        <v>117.10148745690974</v>
      </c>
      <c r="M972" s="69">
        <v>0</v>
      </c>
      <c r="N972" s="69">
        <v>0</v>
      </c>
      <c r="O972" s="69">
        <v>0</v>
      </c>
      <c r="P972" s="69">
        <v>0</v>
      </c>
      <c r="Q972" s="69">
        <v>0</v>
      </c>
      <c r="R972" s="69">
        <v>201.04200000000128</v>
      </c>
      <c r="S972" s="69">
        <v>201.04200000000128</v>
      </c>
      <c r="T972" s="69">
        <v>201.04200000000128</v>
      </c>
      <c r="U972" s="69">
        <v>201.04200000000128</v>
      </c>
      <c r="V972" s="69">
        <v>201.04200000000128</v>
      </c>
      <c r="W972" s="69">
        <v>201.04200000000128</v>
      </c>
      <c r="X972" s="69">
        <v>201.04200000000128</v>
      </c>
      <c r="Y972" s="69">
        <v>201.04200000000128</v>
      </c>
      <c r="Z972" s="69">
        <v>201.04200000000128</v>
      </c>
      <c r="AA972" s="69">
        <v>201.04200000000128</v>
      </c>
      <c r="AB972" s="69">
        <v>201.04200000000128</v>
      </c>
      <c r="AC972" s="69">
        <v>201.04200000000128</v>
      </c>
      <c r="AD972" s="69">
        <v>201.04200000000128</v>
      </c>
      <c r="AE972" s="69">
        <v>201.04200000000128</v>
      </c>
      <c r="AF972" s="69">
        <v>201.04200000000128</v>
      </c>
      <c r="AG972" s="69">
        <v>201.04200000000128</v>
      </c>
    </row>
    <row r="973" spans="1:33" ht="12.75" customHeight="1">
      <c r="A973" s="231" t="s">
        <v>2377</v>
      </c>
      <c r="B973" s="69" t="s">
        <v>370</v>
      </c>
      <c r="C973" s="69" t="s">
        <v>139</v>
      </c>
      <c r="D973" s="69" t="s">
        <v>191</v>
      </c>
      <c r="E973" s="69" t="s">
        <v>191</v>
      </c>
      <c r="F973" s="69" t="s">
        <v>176</v>
      </c>
      <c r="G973" s="69" t="s">
        <v>192</v>
      </c>
      <c r="H973" s="69" t="s">
        <v>805</v>
      </c>
      <c r="I973" s="69">
        <v>3</v>
      </c>
      <c r="J973" s="238">
        <v>0.85000000000000075</v>
      </c>
      <c r="K973" s="238">
        <v>0.65726500607352012</v>
      </c>
      <c r="L973" s="69">
        <v>123.98046373454474</v>
      </c>
      <c r="M973" s="69">
        <v>0</v>
      </c>
      <c r="N973" s="69">
        <v>0</v>
      </c>
      <c r="O973" s="69">
        <v>0</v>
      </c>
      <c r="P973" s="69">
        <v>0</v>
      </c>
      <c r="Q973" s="69">
        <v>0</v>
      </c>
      <c r="R973" s="69">
        <v>162.32280000000173</v>
      </c>
      <c r="S973" s="69">
        <v>162.32280000000173</v>
      </c>
      <c r="T973" s="69">
        <v>162.32280000000173</v>
      </c>
      <c r="U973" s="69">
        <v>162.32280000000173</v>
      </c>
      <c r="V973" s="69">
        <v>162.32280000000173</v>
      </c>
      <c r="W973" s="69">
        <v>162.32280000000173</v>
      </c>
      <c r="X973" s="69">
        <v>162.32280000000173</v>
      </c>
      <c r="Y973" s="69">
        <v>162.32280000000173</v>
      </c>
      <c r="Z973" s="69">
        <v>162.32280000000173</v>
      </c>
      <c r="AA973" s="69">
        <v>162.32280000000173</v>
      </c>
      <c r="AB973" s="69">
        <v>162.32280000000173</v>
      </c>
      <c r="AC973" s="69">
        <v>162.32280000000173</v>
      </c>
      <c r="AD973" s="69">
        <v>162.32280000000173</v>
      </c>
      <c r="AE973" s="69">
        <v>162.32280000000173</v>
      </c>
      <c r="AF973" s="69">
        <v>162.32280000000173</v>
      </c>
      <c r="AG973" s="69">
        <v>162.32280000000173</v>
      </c>
    </row>
    <row r="974" spans="1:33" ht="12.75" customHeight="1">
      <c r="A974" s="231" t="s">
        <v>2377</v>
      </c>
      <c r="B974" s="69" t="s">
        <v>371</v>
      </c>
      <c r="C974" s="69" t="s">
        <v>139</v>
      </c>
      <c r="D974" s="69" t="s">
        <v>191</v>
      </c>
      <c r="E974" s="69" t="s">
        <v>191</v>
      </c>
      <c r="F974" s="69" t="s">
        <v>180</v>
      </c>
      <c r="G974" s="69" t="s">
        <v>192</v>
      </c>
      <c r="H974" s="69" t="s">
        <v>804</v>
      </c>
      <c r="I974" s="69">
        <v>3</v>
      </c>
      <c r="J974" s="238">
        <v>0.85000000000000075</v>
      </c>
      <c r="K974" s="238">
        <v>0.65399075919550653</v>
      </c>
      <c r="L974" s="69">
        <v>121.96317245599877</v>
      </c>
      <c r="M974" s="69">
        <v>0</v>
      </c>
      <c r="N974" s="69">
        <v>0</v>
      </c>
      <c r="O974" s="69">
        <v>0</v>
      </c>
      <c r="P974" s="69">
        <v>0</v>
      </c>
      <c r="Q974" s="69">
        <v>0</v>
      </c>
      <c r="R974" s="69">
        <v>275.50200000000041</v>
      </c>
      <c r="S974" s="69">
        <v>275.50200000000041</v>
      </c>
      <c r="T974" s="69">
        <v>275.50200000000041</v>
      </c>
      <c r="U974" s="69">
        <v>275.50200000000041</v>
      </c>
      <c r="V974" s="69">
        <v>275.50200000000041</v>
      </c>
      <c r="W974" s="69">
        <v>275.50200000000041</v>
      </c>
      <c r="X974" s="69">
        <v>275.50200000000041</v>
      </c>
      <c r="Y974" s="69">
        <v>275.50200000000041</v>
      </c>
      <c r="Z974" s="69">
        <v>275.50200000000041</v>
      </c>
      <c r="AA974" s="69">
        <v>275.50200000000041</v>
      </c>
      <c r="AB974" s="69">
        <v>275.50200000000041</v>
      </c>
      <c r="AC974" s="69">
        <v>275.50200000000041</v>
      </c>
      <c r="AD974" s="69">
        <v>275.50200000000041</v>
      </c>
      <c r="AE974" s="69">
        <v>275.50200000000041</v>
      </c>
      <c r="AF974" s="69">
        <v>275.50200000000041</v>
      </c>
      <c r="AG974" s="69">
        <v>275.50200000000041</v>
      </c>
    </row>
    <row r="975" spans="1:33" ht="12.75" customHeight="1">
      <c r="A975" s="231" t="s">
        <v>2377</v>
      </c>
      <c r="B975" s="69" t="s">
        <v>372</v>
      </c>
      <c r="C975" s="69" t="s">
        <v>139</v>
      </c>
      <c r="D975" s="69" t="s">
        <v>191</v>
      </c>
      <c r="E975" s="69" t="s">
        <v>191</v>
      </c>
      <c r="F975" s="69" t="s">
        <v>168</v>
      </c>
      <c r="G975" s="69" t="s">
        <v>199</v>
      </c>
      <c r="H975" s="69" t="s">
        <v>2417</v>
      </c>
      <c r="I975" s="69">
        <v>3</v>
      </c>
      <c r="J975" s="238">
        <v>0.85000000000000087</v>
      </c>
      <c r="K975" s="238">
        <v>0.60840118279510991</v>
      </c>
      <c r="L975" s="69">
        <v>118.30264535948425</v>
      </c>
      <c r="M975" s="69">
        <v>0</v>
      </c>
      <c r="N975" s="69">
        <v>0</v>
      </c>
      <c r="O975" s="69">
        <v>0</v>
      </c>
      <c r="P975" s="69">
        <v>0</v>
      </c>
      <c r="Q975" s="69">
        <v>0</v>
      </c>
      <c r="R975" s="69">
        <v>156.36600000000183</v>
      </c>
      <c r="S975" s="69">
        <v>156.36600000000183</v>
      </c>
      <c r="T975" s="69">
        <v>156.36600000000183</v>
      </c>
      <c r="U975" s="69">
        <v>156.36600000000183</v>
      </c>
      <c r="V975" s="69">
        <v>156.36600000000183</v>
      </c>
      <c r="W975" s="69">
        <v>156.36600000000183</v>
      </c>
      <c r="X975" s="69">
        <v>156.36600000000183</v>
      </c>
      <c r="Y975" s="69">
        <v>156.36600000000183</v>
      </c>
      <c r="Z975" s="69">
        <v>156.36600000000183</v>
      </c>
      <c r="AA975" s="69">
        <v>156.36600000000183</v>
      </c>
      <c r="AB975" s="69">
        <v>156.36600000000183</v>
      </c>
      <c r="AC975" s="69">
        <v>156.36600000000183</v>
      </c>
      <c r="AD975" s="69">
        <v>156.36600000000183</v>
      </c>
      <c r="AE975" s="69">
        <v>156.36600000000183</v>
      </c>
      <c r="AF975" s="69">
        <v>156.36600000000183</v>
      </c>
      <c r="AG975" s="69">
        <v>156.36600000000183</v>
      </c>
    </row>
    <row r="976" spans="1:33" ht="12.75" customHeight="1">
      <c r="A976" s="231" t="s">
        <v>2377</v>
      </c>
      <c r="B976" s="69" t="s">
        <v>373</v>
      </c>
      <c r="C976" s="69" t="s">
        <v>139</v>
      </c>
      <c r="D976" s="69" t="s">
        <v>191</v>
      </c>
      <c r="E976" s="69" t="s">
        <v>191</v>
      </c>
      <c r="F976" s="69" t="s">
        <v>168</v>
      </c>
      <c r="G976" s="69" t="s">
        <v>199</v>
      </c>
      <c r="H976" s="69" t="s">
        <v>2417</v>
      </c>
      <c r="I976" s="69">
        <v>3</v>
      </c>
      <c r="J976" s="238">
        <v>0.85000000000000075</v>
      </c>
      <c r="K976" s="238">
        <v>0.60840118279510991</v>
      </c>
      <c r="L976" s="69">
        <v>116.99547033873785</v>
      </c>
      <c r="M976" s="69">
        <v>0</v>
      </c>
      <c r="N976" s="69">
        <v>0</v>
      </c>
      <c r="O976" s="69">
        <v>0</v>
      </c>
      <c r="P976" s="69">
        <v>0</v>
      </c>
      <c r="Q976" s="69">
        <v>0</v>
      </c>
      <c r="R976" s="69">
        <v>171.25800000000166</v>
      </c>
      <c r="S976" s="69">
        <v>171.25800000000166</v>
      </c>
      <c r="T976" s="69">
        <v>171.25800000000166</v>
      </c>
      <c r="U976" s="69">
        <v>171.25800000000166</v>
      </c>
      <c r="V976" s="69">
        <v>171.25800000000166</v>
      </c>
      <c r="W976" s="69">
        <v>171.25800000000166</v>
      </c>
      <c r="X976" s="69">
        <v>171.25800000000166</v>
      </c>
      <c r="Y976" s="69">
        <v>171.25800000000166</v>
      </c>
      <c r="Z976" s="69">
        <v>171.25800000000166</v>
      </c>
      <c r="AA976" s="69">
        <v>171.25800000000166</v>
      </c>
      <c r="AB976" s="69">
        <v>171.25800000000166</v>
      </c>
      <c r="AC976" s="69">
        <v>171.25800000000166</v>
      </c>
      <c r="AD976" s="69">
        <v>171.25800000000166</v>
      </c>
      <c r="AE976" s="69">
        <v>171.25800000000166</v>
      </c>
      <c r="AF976" s="69">
        <v>171.25800000000166</v>
      </c>
      <c r="AG976" s="69">
        <v>171.25800000000166</v>
      </c>
    </row>
    <row r="977" spans="1:33" ht="12.75" customHeight="1">
      <c r="A977" s="231" t="s">
        <v>2377</v>
      </c>
      <c r="B977" s="69" t="s">
        <v>380</v>
      </c>
      <c r="C977" s="69" t="s">
        <v>136</v>
      </c>
      <c r="D977" s="69" t="s">
        <v>191</v>
      </c>
      <c r="E977" s="69" t="s">
        <v>191</v>
      </c>
      <c r="F977" s="69" t="s">
        <v>165</v>
      </c>
      <c r="G977" s="69" t="s">
        <v>201</v>
      </c>
      <c r="H977" s="69" t="s">
        <v>2417</v>
      </c>
      <c r="I977" s="69">
        <v>3</v>
      </c>
      <c r="J977" s="238">
        <v>0.8</v>
      </c>
      <c r="K977" s="238">
        <v>0.70268797670198968</v>
      </c>
      <c r="L977" s="69">
        <v>122.93150444352236</v>
      </c>
      <c r="M977" s="69">
        <v>0</v>
      </c>
      <c r="N977" s="69">
        <v>0</v>
      </c>
      <c r="O977" s="69">
        <v>0</v>
      </c>
      <c r="P977" s="69">
        <v>0</v>
      </c>
      <c r="Q977" s="69">
        <v>0</v>
      </c>
      <c r="R977" s="69">
        <v>56.063999999998487</v>
      </c>
      <c r="S977" s="69">
        <v>56.063999999998487</v>
      </c>
      <c r="T977" s="69">
        <v>56.063999999998487</v>
      </c>
      <c r="U977" s="69">
        <v>56.063999999998487</v>
      </c>
      <c r="V977" s="69">
        <v>56.063999999998487</v>
      </c>
      <c r="W977" s="69">
        <v>56.063999999998487</v>
      </c>
      <c r="X977" s="69">
        <v>56.063999999998487</v>
      </c>
      <c r="Y977" s="69">
        <v>56.063999999998487</v>
      </c>
      <c r="Z977" s="69">
        <v>56.063999999998487</v>
      </c>
      <c r="AA977" s="69">
        <v>56.063999999998487</v>
      </c>
      <c r="AB977" s="69">
        <v>56.063999999998487</v>
      </c>
      <c r="AC977" s="69">
        <v>56.063999999998487</v>
      </c>
      <c r="AD977" s="69">
        <v>56.063999999998487</v>
      </c>
      <c r="AE977" s="69">
        <v>56.063999999998487</v>
      </c>
      <c r="AF977" s="69">
        <v>56.063999999998487</v>
      </c>
      <c r="AG977" s="69">
        <v>56.063999999998487</v>
      </c>
    </row>
    <row r="978" spans="1:33" ht="12.75" customHeight="1">
      <c r="A978" s="231" t="s">
        <v>2377</v>
      </c>
      <c r="B978" s="69" t="s">
        <v>381</v>
      </c>
      <c r="C978" s="69" t="s">
        <v>136</v>
      </c>
      <c r="D978" s="69" t="s">
        <v>191</v>
      </c>
      <c r="E978" s="69" t="s">
        <v>191</v>
      </c>
      <c r="F978" s="69" t="s">
        <v>165</v>
      </c>
      <c r="G978" s="69" t="s">
        <v>201</v>
      </c>
      <c r="H978" s="69" t="s">
        <v>2417</v>
      </c>
      <c r="I978" s="69">
        <v>3</v>
      </c>
      <c r="J978" s="238">
        <v>0.8</v>
      </c>
      <c r="K978" s="238">
        <v>0.70268797670198968</v>
      </c>
      <c r="L978" s="69">
        <v>142.65493367312166</v>
      </c>
      <c r="M978" s="69">
        <v>0</v>
      </c>
      <c r="N978" s="69">
        <v>0</v>
      </c>
      <c r="O978" s="69">
        <v>0</v>
      </c>
      <c r="P978" s="69">
        <v>0</v>
      </c>
      <c r="Q978" s="69">
        <v>0</v>
      </c>
      <c r="R978" s="69">
        <v>56.063999999998487</v>
      </c>
      <c r="S978" s="69">
        <v>56.063999999998487</v>
      </c>
      <c r="T978" s="69">
        <v>56.063999999998487</v>
      </c>
      <c r="U978" s="69">
        <v>56.063999999998487</v>
      </c>
      <c r="V978" s="69">
        <v>56.063999999998487</v>
      </c>
      <c r="W978" s="69">
        <v>56.063999999998487</v>
      </c>
      <c r="X978" s="69">
        <v>56.063999999998487</v>
      </c>
      <c r="Y978" s="69">
        <v>56.063999999998487</v>
      </c>
      <c r="Z978" s="69">
        <v>56.063999999998487</v>
      </c>
      <c r="AA978" s="69">
        <v>56.063999999998487</v>
      </c>
      <c r="AB978" s="69">
        <v>56.063999999998487</v>
      </c>
      <c r="AC978" s="69">
        <v>56.063999999998487</v>
      </c>
      <c r="AD978" s="69">
        <v>56.063999999998487</v>
      </c>
      <c r="AE978" s="69">
        <v>56.063999999998487</v>
      </c>
      <c r="AF978" s="69">
        <v>56.063999999998487</v>
      </c>
      <c r="AG978" s="69">
        <v>56.063999999998487</v>
      </c>
    </row>
    <row r="979" spans="1:33" ht="12.75" customHeight="1">
      <c r="A979" s="231" t="s">
        <v>2377</v>
      </c>
      <c r="B979" s="69" t="s">
        <v>382</v>
      </c>
      <c r="C979" s="69" t="s">
        <v>136</v>
      </c>
      <c r="D979" s="69" t="s">
        <v>191</v>
      </c>
      <c r="E979" s="69" t="s">
        <v>191</v>
      </c>
      <c r="F979" s="69" t="s">
        <v>165</v>
      </c>
      <c r="G979" s="69" t="s">
        <v>201</v>
      </c>
      <c r="H979" s="69" t="s">
        <v>2417</v>
      </c>
      <c r="I979" s="69">
        <v>3</v>
      </c>
      <c r="J979" s="238">
        <v>0.8</v>
      </c>
      <c r="K979" s="238">
        <v>0.70268797670198968</v>
      </c>
      <c r="L979" s="69">
        <v>122.39168784760062</v>
      </c>
      <c r="M979" s="69">
        <v>0</v>
      </c>
      <c r="N979" s="69">
        <v>0</v>
      </c>
      <c r="O979" s="69">
        <v>0</v>
      </c>
      <c r="P979" s="69">
        <v>0</v>
      </c>
      <c r="Q979" s="69">
        <v>0</v>
      </c>
      <c r="R979" s="69">
        <v>56.063999999998487</v>
      </c>
      <c r="S979" s="69">
        <v>56.063999999998487</v>
      </c>
      <c r="T979" s="69">
        <v>56.063999999998487</v>
      </c>
      <c r="U979" s="69">
        <v>56.063999999998487</v>
      </c>
      <c r="V979" s="69">
        <v>56.063999999998487</v>
      </c>
      <c r="W979" s="69">
        <v>56.063999999998487</v>
      </c>
      <c r="X979" s="69">
        <v>56.063999999998487</v>
      </c>
      <c r="Y979" s="69">
        <v>56.063999999998487</v>
      </c>
      <c r="Z979" s="69">
        <v>56.063999999998487</v>
      </c>
      <c r="AA979" s="69">
        <v>56.063999999998487</v>
      </c>
      <c r="AB979" s="69">
        <v>56.063999999998487</v>
      </c>
      <c r="AC979" s="69">
        <v>56.063999999998487</v>
      </c>
      <c r="AD979" s="69">
        <v>56.063999999998487</v>
      </c>
      <c r="AE979" s="69">
        <v>56.063999999998487</v>
      </c>
      <c r="AF979" s="69">
        <v>56.063999999998487</v>
      </c>
      <c r="AG979" s="69">
        <v>56.063999999998487</v>
      </c>
    </row>
    <row r="980" spans="1:33" ht="12.75" customHeight="1">
      <c r="A980" s="231" t="s">
        <v>2377</v>
      </c>
      <c r="B980" s="69" t="s">
        <v>383</v>
      </c>
      <c r="C980" s="69" t="s">
        <v>136</v>
      </c>
      <c r="D980" s="69" t="s">
        <v>191</v>
      </c>
      <c r="E980" s="69" t="s">
        <v>191</v>
      </c>
      <c r="F980" s="69" t="s">
        <v>165</v>
      </c>
      <c r="G980" s="69" t="s">
        <v>201</v>
      </c>
      <c r="H980" s="69" t="s">
        <v>2417</v>
      </c>
      <c r="I980" s="69">
        <v>3</v>
      </c>
      <c r="J980" s="238">
        <v>0.8</v>
      </c>
      <c r="K980" s="238">
        <v>0.70268797670198968</v>
      </c>
      <c r="L980" s="69">
        <v>148.96555894505323</v>
      </c>
      <c r="M980" s="69">
        <v>0</v>
      </c>
      <c r="N980" s="69">
        <v>0</v>
      </c>
      <c r="O980" s="69">
        <v>0</v>
      </c>
      <c r="P980" s="69">
        <v>0</v>
      </c>
      <c r="Q980" s="69">
        <v>0</v>
      </c>
      <c r="R980" s="69">
        <v>56.063999999998487</v>
      </c>
      <c r="S980" s="69">
        <v>56.063999999998487</v>
      </c>
      <c r="T980" s="69">
        <v>56.063999999998487</v>
      </c>
      <c r="U980" s="69">
        <v>56.063999999998487</v>
      </c>
      <c r="V980" s="69">
        <v>56.063999999998487</v>
      </c>
      <c r="W980" s="69">
        <v>56.063999999998487</v>
      </c>
      <c r="X980" s="69">
        <v>56.063999999998487</v>
      </c>
      <c r="Y980" s="69">
        <v>56.063999999998487</v>
      </c>
      <c r="Z980" s="69">
        <v>56.063999999998487</v>
      </c>
      <c r="AA980" s="69">
        <v>56.063999999998487</v>
      </c>
      <c r="AB980" s="69">
        <v>56.063999999998487</v>
      </c>
      <c r="AC980" s="69">
        <v>56.063999999998487</v>
      </c>
      <c r="AD980" s="69">
        <v>56.063999999998487</v>
      </c>
      <c r="AE980" s="69">
        <v>56.063999999998487</v>
      </c>
      <c r="AF980" s="69">
        <v>56.063999999998487</v>
      </c>
      <c r="AG980" s="69">
        <v>56.063999999998487</v>
      </c>
    </row>
    <row r="981" spans="1:33" ht="12.75" customHeight="1">
      <c r="A981" s="231" t="s">
        <v>2377</v>
      </c>
      <c r="B981" s="69" t="s">
        <v>384</v>
      </c>
      <c r="C981" s="69" t="s">
        <v>136</v>
      </c>
      <c r="D981" s="69" t="s">
        <v>191</v>
      </c>
      <c r="E981" s="69" t="s">
        <v>191</v>
      </c>
      <c r="F981" s="69" t="s">
        <v>165</v>
      </c>
      <c r="G981" s="69" t="s">
        <v>201</v>
      </c>
      <c r="H981" s="69" t="s">
        <v>2417</v>
      </c>
      <c r="I981" s="69">
        <v>3</v>
      </c>
      <c r="J981" s="238">
        <v>0.8</v>
      </c>
      <c r="K981" s="238">
        <v>0.70268797670198968</v>
      </c>
      <c r="L981" s="69">
        <v>130.41195553392456</v>
      </c>
      <c r="M981" s="69">
        <v>0</v>
      </c>
      <c r="N981" s="69">
        <v>0</v>
      </c>
      <c r="O981" s="69">
        <v>0</v>
      </c>
      <c r="P981" s="69">
        <v>0</v>
      </c>
      <c r="Q981" s="69">
        <v>0</v>
      </c>
      <c r="R981" s="69">
        <v>56.063999999998487</v>
      </c>
      <c r="S981" s="69">
        <v>56.063999999998487</v>
      </c>
      <c r="T981" s="69">
        <v>56.063999999998487</v>
      </c>
      <c r="U981" s="69">
        <v>56.063999999998487</v>
      </c>
      <c r="V981" s="69">
        <v>56.063999999998487</v>
      </c>
      <c r="W981" s="69">
        <v>56.063999999998487</v>
      </c>
      <c r="X981" s="69">
        <v>56.063999999998487</v>
      </c>
      <c r="Y981" s="69">
        <v>56.063999999998487</v>
      </c>
      <c r="Z981" s="69">
        <v>56.063999999998487</v>
      </c>
      <c r="AA981" s="69">
        <v>56.063999999998487</v>
      </c>
      <c r="AB981" s="69">
        <v>56.063999999998487</v>
      </c>
      <c r="AC981" s="69">
        <v>56.063999999998487</v>
      </c>
      <c r="AD981" s="69">
        <v>56.063999999998487</v>
      </c>
      <c r="AE981" s="69">
        <v>56.063999999998487</v>
      </c>
      <c r="AF981" s="69">
        <v>56.063999999998487</v>
      </c>
      <c r="AG981" s="69">
        <v>56.063999999998487</v>
      </c>
    </row>
    <row r="982" spans="1:33" ht="12.75" customHeight="1">
      <c r="A982" s="231" t="s">
        <v>2377</v>
      </c>
      <c r="B982" s="69" t="s">
        <v>385</v>
      </c>
      <c r="C982" s="69" t="s">
        <v>136</v>
      </c>
      <c r="D982" s="69" t="s">
        <v>191</v>
      </c>
      <c r="E982" s="69" t="s">
        <v>191</v>
      </c>
      <c r="F982" s="69" t="s">
        <v>165</v>
      </c>
      <c r="G982" s="69" t="s">
        <v>201</v>
      </c>
      <c r="H982" s="69" t="s">
        <v>2417</v>
      </c>
      <c r="I982" s="69">
        <v>3</v>
      </c>
      <c r="J982" s="238">
        <v>0.8</v>
      </c>
      <c r="K982" s="238">
        <v>0.70268797670198968</v>
      </c>
      <c r="L982" s="69">
        <v>123.52311376460064</v>
      </c>
      <c r="M982" s="69">
        <v>0</v>
      </c>
      <c r="N982" s="69">
        <v>0</v>
      </c>
      <c r="O982" s="69">
        <v>0</v>
      </c>
      <c r="P982" s="69">
        <v>0</v>
      </c>
      <c r="Q982" s="69">
        <v>0</v>
      </c>
      <c r="R982" s="69">
        <v>56.063999999998487</v>
      </c>
      <c r="S982" s="69">
        <v>56.063999999998487</v>
      </c>
      <c r="T982" s="69">
        <v>56.063999999998487</v>
      </c>
      <c r="U982" s="69">
        <v>56.063999999998487</v>
      </c>
      <c r="V982" s="69">
        <v>56.063999999998487</v>
      </c>
      <c r="W982" s="69">
        <v>56.063999999998487</v>
      </c>
      <c r="X982" s="69">
        <v>56.063999999998487</v>
      </c>
      <c r="Y982" s="69">
        <v>56.063999999998487</v>
      </c>
      <c r="Z982" s="69">
        <v>56.063999999998487</v>
      </c>
      <c r="AA982" s="69">
        <v>56.063999999998487</v>
      </c>
      <c r="AB982" s="69">
        <v>56.063999999998487</v>
      </c>
      <c r="AC982" s="69">
        <v>56.063999999998487</v>
      </c>
      <c r="AD982" s="69">
        <v>56.063999999998487</v>
      </c>
      <c r="AE982" s="69">
        <v>56.063999999998487</v>
      </c>
      <c r="AF982" s="69">
        <v>56.063999999998487</v>
      </c>
      <c r="AG982" s="69">
        <v>56.063999999998487</v>
      </c>
    </row>
    <row r="983" spans="1:33" ht="12.75" customHeight="1">
      <c r="A983" s="231" t="s">
        <v>2377</v>
      </c>
      <c r="B983" s="69" t="s">
        <v>386</v>
      </c>
      <c r="C983" s="69" t="s">
        <v>136</v>
      </c>
      <c r="D983" s="69" t="s">
        <v>191</v>
      </c>
      <c r="E983" s="69" t="s">
        <v>191</v>
      </c>
      <c r="F983" s="69" t="s">
        <v>165</v>
      </c>
      <c r="G983" s="69" t="s">
        <v>201</v>
      </c>
      <c r="H983" s="69" t="s">
        <v>2417</v>
      </c>
      <c r="I983" s="69">
        <v>3</v>
      </c>
      <c r="J983" s="238">
        <v>0.8</v>
      </c>
      <c r="K983" s="238">
        <v>0.70268797670198968</v>
      </c>
      <c r="L983" s="69">
        <v>123.83894383258892</v>
      </c>
      <c r="M983" s="69">
        <v>0</v>
      </c>
      <c r="N983" s="69">
        <v>0</v>
      </c>
      <c r="O983" s="69">
        <v>0</v>
      </c>
      <c r="P983" s="69">
        <v>0</v>
      </c>
      <c r="Q983" s="69">
        <v>0</v>
      </c>
      <c r="R983" s="69">
        <v>56.063999999998487</v>
      </c>
      <c r="S983" s="69">
        <v>56.063999999998487</v>
      </c>
      <c r="T983" s="69">
        <v>56.063999999998487</v>
      </c>
      <c r="U983" s="69">
        <v>56.063999999998487</v>
      </c>
      <c r="V983" s="69">
        <v>56.063999999998487</v>
      </c>
      <c r="W983" s="69">
        <v>56.063999999998487</v>
      </c>
      <c r="X983" s="69">
        <v>56.063999999998487</v>
      </c>
      <c r="Y983" s="69">
        <v>56.063999999998487</v>
      </c>
      <c r="Z983" s="69">
        <v>56.063999999998487</v>
      </c>
      <c r="AA983" s="69">
        <v>56.063999999998487</v>
      </c>
      <c r="AB983" s="69">
        <v>56.063999999998487</v>
      </c>
      <c r="AC983" s="69">
        <v>56.063999999998487</v>
      </c>
      <c r="AD983" s="69">
        <v>56.063999999998487</v>
      </c>
      <c r="AE983" s="69">
        <v>56.063999999998487</v>
      </c>
      <c r="AF983" s="69">
        <v>56.063999999998487</v>
      </c>
      <c r="AG983" s="69">
        <v>56.063999999998487</v>
      </c>
    </row>
    <row r="984" spans="1:33" ht="12.75" customHeight="1">
      <c r="A984" s="231" t="s">
        <v>2377</v>
      </c>
      <c r="B984" s="69" t="s">
        <v>387</v>
      </c>
      <c r="C984" s="69" t="s">
        <v>136</v>
      </c>
      <c r="D984" s="69" t="s">
        <v>191</v>
      </c>
      <c r="E984" s="69" t="s">
        <v>191</v>
      </c>
      <c r="F984" s="69" t="s">
        <v>165</v>
      </c>
      <c r="G984" s="69" t="s">
        <v>201</v>
      </c>
      <c r="H984" s="69" t="s">
        <v>2417</v>
      </c>
      <c r="I984" s="69">
        <v>3</v>
      </c>
      <c r="J984" s="238">
        <v>0.8</v>
      </c>
      <c r="K984" s="238">
        <v>0.70268797670198968</v>
      </c>
      <c r="L984" s="69">
        <v>122.75945472176011</v>
      </c>
      <c r="M984" s="69">
        <v>0</v>
      </c>
      <c r="N984" s="69">
        <v>0</v>
      </c>
      <c r="O984" s="69">
        <v>0</v>
      </c>
      <c r="P984" s="69">
        <v>0</v>
      </c>
      <c r="Q984" s="69">
        <v>0</v>
      </c>
      <c r="R984" s="69">
        <v>56.063999999998487</v>
      </c>
      <c r="S984" s="69">
        <v>56.063999999998487</v>
      </c>
      <c r="T984" s="69">
        <v>56.063999999998487</v>
      </c>
      <c r="U984" s="69">
        <v>56.063999999998487</v>
      </c>
      <c r="V984" s="69">
        <v>56.063999999998487</v>
      </c>
      <c r="W984" s="69">
        <v>56.063999999998487</v>
      </c>
      <c r="X984" s="69">
        <v>56.063999999998487</v>
      </c>
      <c r="Y984" s="69">
        <v>56.063999999998487</v>
      </c>
      <c r="Z984" s="69">
        <v>56.063999999998487</v>
      </c>
      <c r="AA984" s="69">
        <v>56.063999999998487</v>
      </c>
      <c r="AB984" s="69">
        <v>56.063999999998487</v>
      </c>
      <c r="AC984" s="69">
        <v>56.063999999998487</v>
      </c>
      <c r="AD984" s="69">
        <v>56.063999999998487</v>
      </c>
      <c r="AE984" s="69">
        <v>56.063999999998487</v>
      </c>
      <c r="AF984" s="69">
        <v>56.063999999998487</v>
      </c>
      <c r="AG984" s="69">
        <v>56.063999999998487</v>
      </c>
    </row>
    <row r="985" spans="1:33" ht="12.75" customHeight="1">
      <c r="A985" s="231" t="s">
        <v>2377</v>
      </c>
      <c r="B985" s="69" t="s">
        <v>388</v>
      </c>
      <c r="C985" s="69" t="s">
        <v>136</v>
      </c>
      <c r="D985" s="69" t="s">
        <v>191</v>
      </c>
      <c r="E985" s="69" t="s">
        <v>191</v>
      </c>
      <c r="F985" s="69" t="s">
        <v>165</v>
      </c>
      <c r="G985" s="69" t="s">
        <v>201</v>
      </c>
      <c r="H985" s="69" t="s">
        <v>2417</v>
      </c>
      <c r="I985" s="69">
        <v>3</v>
      </c>
      <c r="J985" s="238">
        <v>0.8</v>
      </c>
      <c r="K985" s="238">
        <v>0.70268797670198968</v>
      </c>
      <c r="L985" s="69">
        <v>125.55178427039061</v>
      </c>
      <c r="M985" s="69">
        <v>0</v>
      </c>
      <c r="N985" s="69">
        <v>0</v>
      </c>
      <c r="O985" s="69">
        <v>0</v>
      </c>
      <c r="P985" s="69">
        <v>0</v>
      </c>
      <c r="Q985" s="69">
        <v>0</v>
      </c>
      <c r="R985" s="69">
        <v>56.063999999998487</v>
      </c>
      <c r="S985" s="69">
        <v>56.063999999998487</v>
      </c>
      <c r="T985" s="69">
        <v>56.063999999998487</v>
      </c>
      <c r="U985" s="69">
        <v>56.063999999998487</v>
      </c>
      <c r="V985" s="69">
        <v>56.063999999998487</v>
      </c>
      <c r="W985" s="69">
        <v>56.063999999998487</v>
      </c>
      <c r="X985" s="69">
        <v>56.063999999998487</v>
      </c>
      <c r="Y985" s="69">
        <v>56.063999999998487</v>
      </c>
      <c r="Z985" s="69">
        <v>56.063999999998487</v>
      </c>
      <c r="AA985" s="69">
        <v>56.063999999998487</v>
      </c>
      <c r="AB985" s="69">
        <v>56.063999999998487</v>
      </c>
      <c r="AC985" s="69">
        <v>56.063999999998487</v>
      </c>
      <c r="AD985" s="69">
        <v>56.063999999998487</v>
      </c>
      <c r="AE985" s="69">
        <v>56.063999999998487</v>
      </c>
      <c r="AF985" s="69">
        <v>56.063999999998487</v>
      </c>
      <c r="AG985" s="69">
        <v>56.063999999998487</v>
      </c>
    </row>
    <row r="986" spans="1:33" ht="12.75" customHeight="1">
      <c r="A986" s="231" t="s">
        <v>2377</v>
      </c>
      <c r="B986" s="69" t="s">
        <v>389</v>
      </c>
      <c r="C986" s="69" t="s">
        <v>136</v>
      </c>
      <c r="D986" s="69" t="s">
        <v>191</v>
      </c>
      <c r="E986" s="69" t="s">
        <v>191</v>
      </c>
      <c r="F986" s="69" t="s">
        <v>165</v>
      </c>
      <c r="G986" s="69" t="s">
        <v>201</v>
      </c>
      <c r="H986" s="69" t="s">
        <v>2417</v>
      </c>
      <c r="I986" s="69">
        <v>3</v>
      </c>
      <c r="J986" s="238">
        <v>0.8</v>
      </c>
      <c r="K986" s="238">
        <v>0.70268797670198968</v>
      </c>
      <c r="L986" s="69">
        <v>125.67449889859192</v>
      </c>
      <c r="M986" s="69">
        <v>0</v>
      </c>
      <c r="N986" s="69">
        <v>0</v>
      </c>
      <c r="O986" s="69">
        <v>0</v>
      </c>
      <c r="P986" s="69">
        <v>0</v>
      </c>
      <c r="Q986" s="69">
        <v>0</v>
      </c>
      <c r="R986" s="69">
        <v>56.063999999998487</v>
      </c>
      <c r="S986" s="69">
        <v>56.063999999998487</v>
      </c>
      <c r="T986" s="69">
        <v>56.063999999998487</v>
      </c>
      <c r="U986" s="69">
        <v>56.063999999998487</v>
      </c>
      <c r="V986" s="69">
        <v>56.063999999998487</v>
      </c>
      <c r="W986" s="69">
        <v>56.063999999998487</v>
      </c>
      <c r="X986" s="69">
        <v>56.063999999998487</v>
      </c>
      <c r="Y986" s="69">
        <v>56.063999999998487</v>
      </c>
      <c r="Z986" s="69">
        <v>56.063999999998487</v>
      </c>
      <c r="AA986" s="69">
        <v>56.063999999998487</v>
      </c>
      <c r="AB986" s="69">
        <v>56.063999999998487</v>
      </c>
      <c r="AC986" s="69">
        <v>56.063999999998487</v>
      </c>
      <c r="AD986" s="69">
        <v>56.063999999998487</v>
      </c>
      <c r="AE986" s="69">
        <v>56.063999999998487</v>
      </c>
      <c r="AF986" s="69">
        <v>56.063999999998487</v>
      </c>
      <c r="AG986" s="69">
        <v>56.063999999998487</v>
      </c>
    </row>
    <row r="987" spans="1:33" ht="12.75" customHeight="1">
      <c r="A987" s="231" t="s">
        <v>2377</v>
      </c>
      <c r="B987" s="69" t="s">
        <v>390</v>
      </c>
      <c r="C987" s="69" t="s">
        <v>136</v>
      </c>
      <c r="D987" s="69" t="s">
        <v>191</v>
      </c>
      <c r="E987" s="69" t="s">
        <v>191</v>
      </c>
      <c r="F987" s="69" t="s">
        <v>165</v>
      </c>
      <c r="G987" s="69" t="s">
        <v>201</v>
      </c>
      <c r="H987" s="69" t="s">
        <v>2417</v>
      </c>
      <c r="I987" s="69">
        <v>3</v>
      </c>
      <c r="J987" s="238">
        <v>0.8</v>
      </c>
      <c r="K987" s="238">
        <v>0.70268797670198968</v>
      </c>
      <c r="L987" s="69">
        <v>125.19856874314512</v>
      </c>
      <c r="M987" s="69">
        <v>0</v>
      </c>
      <c r="N987" s="69">
        <v>0</v>
      </c>
      <c r="O987" s="69">
        <v>0</v>
      </c>
      <c r="P987" s="69">
        <v>0</v>
      </c>
      <c r="Q987" s="69">
        <v>0</v>
      </c>
      <c r="R987" s="69">
        <v>56.063999999998487</v>
      </c>
      <c r="S987" s="69">
        <v>56.063999999998487</v>
      </c>
      <c r="T987" s="69">
        <v>56.063999999998487</v>
      </c>
      <c r="U987" s="69">
        <v>56.063999999998487</v>
      </c>
      <c r="V987" s="69">
        <v>56.063999999998487</v>
      </c>
      <c r="W987" s="69">
        <v>56.063999999998487</v>
      </c>
      <c r="X987" s="69">
        <v>56.063999999998487</v>
      </c>
      <c r="Y987" s="69">
        <v>56.063999999998487</v>
      </c>
      <c r="Z987" s="69">
        <v>56.063999999998487</v>
      </c>
      <c r="AA987" s="69">
        <v>56.063999999998487</v>
      </c>
      <c r="AB987" s="69">
        <v>56.063999999998487</v>
      </c>
      <c r="AC987" s="69">
        <v>56.063999999998487</v>
      </c>
      <c r="AD987" s="69">
        <v>56.063999999998487</v>
      </c>
      <c r="AE987" s="69">
        <v>56.063999999998487</v>
      </c>
      <c r="AF987" s="69">
        <v>56.063999999998487</v>
      </c>
      <c r="AG987" s="69">
        <v>56.063999999998487</v>
      </c>
    </row>
    <row r="988" spans="1:33" ht="12.75" customHeight="1">
      <c r="A988" s="231" t="s">
        <v>2377</v>
      </c>
      <c r="B988" s="69" t="s">
        <v>391</v>
      </c>
      <c r="C988" s="69" t="s">
        <v>136</v>
      </c>
      <c r="D988" s="69" t="s">
        <v>191</v>
      </c>
      <c r="E988" s="69" t="s">
        <v>191</v>
      </c>
      <c r="F988" s="69" t="s">
        <v>165</v>
      </c>
      <c r="G988" s="69" t="s">
        <v>201</v>
      </c>
      <c r="H988" s="69" t="s">
        <v>2417</v>
      </c>
      <c r="I988" s="69">
        <v>3</v>
      </c>
      <c r="J988" s="238">
        <v>0.8</v>
      </c>
      <c r="K988" s="238">
        <v>0.70268797670198968</v>
      </c>
      <c r="L988" s="69">
        <v>151.12009611420558</v>
      </c>
      <c r="M988" s="69">
        <v>0</v>
      </c>
      <c r="N988" s="69">
        <v>0</v>
      </c>
      <c r="O988" s="69">
        <v>0</v>
      </c>
      <c r="P988" s="69">
        <v>0</v>
      </c>
      <c r="Q988" s="69">
        <v>0</v>
      </c>
      <c r="R988" s="69">
        <v>56.063999999998487</v>
      </c>
      <c r="S988" s="69">
        <v>56.063999999998487</v>
      </c>
      <c r="T988" s="69">
        <v>56.063999999998487</v>
      </c>
      <c r="U988" s="69">
        <v>56.063999999998487</v>
      </c>
      <c r="V988" s="69">
        <v>56.063999999998487</v>
      </c>
      <c r="W988" s="69">
        <v>56.063999999998487</v>
      </c>
      <c r="X988" s="69">
        <v>56.063999999998487</v>
      </c>
      <c r="Y988" s="69">
        <v>56.063999999998487</v>
      </c>
      <c r="Z988" s="69">
        <v>56.063999999998487</v>
      </c>
      <c r="AA988" s="69">
        <v>56.063999999998487</v>
      </c>
      <c r="AB988" s="69">
        <v>56.063999999998487</v>
      </c>
      <c r="AC988" s="69">
        <v>56.063999999998487</v>
      </c>
      <c r="AD988" s="69">
        <v>56.063999999998487</v>
      </c>
      <c r="AE988" s="69">
        <v>56.063999999998487</v>
      </c>
      <c r="AF988" s="69">
        <v>56.063999999998487</v>
      </c>
      <c r="AG988" s="69">
        <v>56.063999999998487</v>
      </c>
    </row>
    <row r="989" spans="1:33" ht="12.75" customHeight="1">
      <c r="A989" s="231" t="s">
        <v>2377</v>
      </c>
      <c r="B989" s="69" t="s">
        <v>392</v>
      </c>
      <c r="C989" s="69" t="s">
        <v>137</v>
      </c>
      <c r="D989" s="69" t="s">
        <v>191</v>
      </c>
      <c r="E989" s="69" t="s">
        <v>191</v>
      </c>
      <c r="F989" s="69" t="s">
        <v>180</v>
      </c>
      <c r="G989" s="69" t="s">
        <v>192</v>
      </c>
      <c r="H989" s="69" t="s">
        <v>804</v>
      </c>
      <c r="I989" s="69">
        <v>3</v>
      </c>
      <c r="J989" s="238">
        <v>0.33079999999999998</v>
      </c>
      <c r="K989" s="238">
        <v>0.160195270625522</v>
      </c>
      <c r="L989" s="69">
        <v>94.881438714876651</v>
      </c>
      <c r="M989" s="69">
        <v>0</v>
      </c>
      <c r="N989" s="69">
        <v>0</v>
      </c>
      <c r="O989" s="69">
        <v>0</v>
      </c>
      <c r="P989" s="69">
        <v>0</v>
      </c>
      <c r="Q989" s="69">
        <v>0</v>
      </c>
      <c r="R989" s="69">
        <v>438.14856960000179</v>
      </c>
      <c r="S989" s="69">
        <v>438.14856960000179</v>
      </c>
      <c r="T989" s="69">
        <v>438.14856960000179</v>
      </c>
      <c r="U989" s="69">
        <v>438.14856960000179</v>
      </c>
      <c r="V989" s="69">
        <v>438.14856960000179</v>
      </c>
      <c r="W989" s="69">
        <v>438.14856960000179</v>
      </c>
      <c r="X989" s="69">
        <v>438.14856960000179</v>
      </c>
      <c r="Y989" s="69">
        <v>438.14856960000179</v>
      </c>
      <c r="Z989" s="69">
        <v>438.14856960000179</v>
      </c>
      <c r="AA989" s="69">
        <v>438.14856960000179</v>
      </c>
      <c r="AB989" s="69">
        <v>438.14856960000179</v>
      </c>
      <c r="AC989" s="69">
        <v>438.14856960000179</v>
      </c>
      <c r="AD989" s="69">
        <v>438.14856960000179</v>
      </c>
      <c r="AE989" s="69">
        <v>438.14856960000179</v>
      </c>
      <c r="AF989" s="69">
        <v>438.14856960000179</v>
      </c>
      <c r="AG989" s="69">
        <v>438.14856960000179</v>
      </c>
    </row>
    <row r="990" spans="1:33" ht="12.75" customHeight="1">
      <c r="A990" s="231" t="s">
        <v>2377</v>
      </c>
      <c r="B990" s="69" t="s">
        <v>393</v>
      </c>
      <c r="C990" s="69" t="s">
        <v>137</v>
      </c>
      <c r="D990" s="69" t="s">
        <v>191</v>
      </c>
      <c r="E990" s="69" t="s">
        <v>191</v>
      </c>
      <c r="F990" s="69" t="s">
        <v>180</v>
      </c>
      <c r="G990" s="69" t="s">
        <v>192</v>
      </c>
      <c r="H990" s="69" t="s">
        <v>804</v>
      </c>
      <c r="I990" s="69">
        <v>3</v>
      </c>
      <c r="J990" s="238">
        <v>0.31430000000000002</v>
      </c>
      <c r="K990" s="238">
        <v>0.160195270625522</v>
      </c>
      <c r="L990" s="69">
        <v>99.950540211513768</v>
      </c>
      <c r="M990" s="69">
        <v>0</v>
      </c>
      <c r="N990" s="69">
        <v>0</v>
      </c>
      <c r="O990" s="69">
        <v>0</v>
      </c>
      <c r="P990" s="69">
        <v>0</v>
      </c>
      <c r="Q990" s="69">
        <v>0</v>
      </c>
      <c r="R990" s="69">
        <v>480.72059279999667</v>
      </c>
      <c r="S990" s="69">
        <v>480.72059279999667</v>
      </c>
      <c r="T990" s="69">
        <v>480.72059279999667</v>
      </c>
      <c r="U990" s="69">
        <v>480.72059279999667</v>
      </c>
      <c r="V990" s="69">
        <v>480.72059279999667</v>
      </c>
      <c r="W990" s="69">
        <v>480.72059279999667</v>
      </c>
      <c r="X990" s="69">
        <v>480.72059279999667</v>
      </c>
      <c r="Y990" s="69">
        <v>480.72059279999667</v>
      </c>
      <c r="Z990" s="69">
        <v>480.72059279999667</v>
      </c>
      <c r="AA990" s="69">
        <v>480.72059279999667</v>
      </c>
      <c r="AB990" s="69">
        <v>480.72059279999667</v>
      </c>
      <c r="AC990" s="69">
        <v>480.72059279999667</v>
      </c>
      <c r="AD990" s="69">
        <v>480.72059279999667</v>
      </c>
      <c r="AE990" s="69">
        <v>480.72059279999667</v>
      </c>
      <c r="AF990" s="69">
        <v>480.72059279999667</v>
      </c>
      <c r="AG990" s="69">
        <v>480.72059279999667</v>
      </c>
    </row>
    <row r="991" spans="1:33" ht="12.75" customHeight="1">
      <c r="A991" s="231" t="s">
        <v>2377</v>
      </c>
      <c r="B991" s="69" t="s">
        <v>394</v>
      </c>
      <c r="C991" s="69" t="s">
        <v>137</v>
      </c>
      <c r="D991" s="69" t="s">
        <v>191</v>
      </c>
      <c r="E991" s="69" t="s">
        <v>191</v>
      </c>
      <c r="F991" s="69" t="s">
        <v>180</v>
      </c>
      <c r="G991" s="69" t="s">
        <v>192</v>
      </c>
      <c r="H991" s="69" t="s">
        <v>804</v>
      </c>
      <c r="I991" s="69">
        <v>3</v>
      </c>
      <c r="J991" s="238">
        <v>0.30199999999999999</v>
      </c>
      <c r="K991" s="238">
        <v>0.160195270625522</v>
      </c>
      <c r="L991" s="69">
        <v>106.20716202815625</v>
      </c>
      <c r="M991" s="69">
        <v>0</v>
      </c>
      <c r="N991" s="69">
        <v>0</v>
      </c>
      <c r="O991" s="69">
        <v>0</v>
      </c>
      <c r="P991" s="69">
        <v>0</v>
      </c>
      <c r="Q991" s="69">
        <v>0</v>
      </c>
      <c r="R991" s="69">
        <v>204.7632480000029</v>
      </c>
      <c r="S991" s="69">
        <v>204.7632480000029</v>
      </c>
      <c r="T991" s="69">
        <v>204.7632480000029</v>
      </c>
      <c r="U991" s="69">
        <v>204.7632480000029</v>
      </c>
      <c r="V991" s="69">
        <v>204.7632480000029</v>
      </c>
      <c r="W991" s="69">
        <v>204.7632480000029</v>
      </c>
      <c r="X991" s="69">
        <v>204.7632480000029</v>
      </c>
      <c r="Y991" s="69">
        <v>204.7632480000029</v>
      </c>
      <c r="Z991" s="69">
        <v>204.7632480000029</v>
      </c>
      <c r="AA991" s="69">
        <v>204.7632480000029</v>
      </c>
      <c r="AB991" s="69">
        <v>204.7632480000029</v>
      </c>
      <c r="AC991" s="69">
        <v>204.7632480000029</v>
      </c>
      <c r="AD991" s="69">
        <v>204.7632480000029</v>
      </c>
      <c r="AE991" s="69">
        <v>204.7632480000029</v>
      </c>
      <c r="AF991" s="69">
        <v>204.7632480000029</v>
      </c>
      <c r="AG991" s="69">
        <v>204.7632480000029</v>
      </c>
    </row>
    <row r="992" spans="1:33" ht="12.75" customHeight="1">
      <c r="A992" s="231" t="s">
        <v>2377</v>
      </c>
      <c r="B992" s="69" t="s">
        <v>395</v>
      </c>
      <c r="C992" s="69" t="s">
        <v>137</v>
      </c>
      <c r="D992" s="69" t="s">
        <v>191</v>
      </c>
      <c r="E992" s="69" t="s">
        <v>191</v>
      </c>
      <c r="F992" s="69" t="s">
        <v>180</v>
      </c>
      <c r="G992" s="69" t="s">
        <v>192</v>
      </c>
      <c r="H992" s="69" t="s">
        <v>804</v>
      </c>
      <c r="I992" s="69">
        <v>3</v>
      </c>
      <c r="J992" s="238">
        <v>0.31669000000000003</v>
      </c>
      <c r="K992" s="238">
        <v>0.160195270625522</v>
      </c>
      <c r="L992" s="69">
        <v>100.08116684298381</v>
      </c>
      <c r="M992" s="69">
        <v>0</v>
      </c>
      <c r="N992" s="69">
        <v>0</v>
      </c>
      <c r="O992" s="69">
        <v>0</v>
      </c>
      <c r="P992" s="69">
        <v>0</v>
      </c>
      <c r="Q992" s="69">
        <v>0</v>
      </c>
      <c r="R992" s="69">
        <v>206.28069141258311</v>
      </c>
      <c r="S992" s="69">
        <v>206.28069141258311</v>
      </c>
      <c r="T992" s="69">
        <v>206.28069141258311</v>
      </c>
      <c r="U992" s="69">
        <v>206.28069141258311</v>
      </c>
      <c r="V992" s="69">
        <v>206.28069141258311</v>
      </c>
      <c r="W992" s="69">
        <v>206.28069141258311</v>
      </c>
      <c r="X992" s="69">
        <v>206.28069141258311</v>
      </c>
      <c r="Y992" s="69">
        <v>206.28069141258311</v>
      </c>
      <c r="Z992" s="69">
        <v>206.28069141258311</v>
      </c>
      <c r="AA992" s="69">
        <v>206.28069141258311</v>
      </c>
      <c r="AB992" s="69">
        <v>206.28069141258311</v>
      </c>
      <c r="AC992" s="69">
        <v>206.28069141258311</v>
      </c>
      <c r="AD992" s="69">
        <v>206.28069141258311</v>
      </c>
      <c r="AE992" s="69">
        <v>206.28069141258311</v>
      </c>
      <c r="AF992" s="69">
        <v>206.28069141258311</v>
      </c>
      <c r="AG992" s="69">
        <v>206.28069141258311</v>
      </c>
    </row>
    <row r="993" spans="1:33" ht="12.75" customHeight="1">
      <c r="A993" s="231" t="s">
        <v>2377</v>
      </c>
      <c r="B993" s="69" t="s">
        <v>396</v>
      </c>
      <c r="C993" s="69" t="s">
        <v>137</v>
      </c>
      <c r="D993" s="69" t="s">
        <v>191</v>
      </c>
      <c r="E993" s="69" t="s">
        <v>191</v>
      </c>
      <c r="F993" s="69" t="s">
        <v>167</v>
      </c>
      <c r="G993" s="69" t="s">
        <v>192</v>
      </c>
      <c r="H993" s="69" t="s">
        <v>805</v>
      </c>
      <c r="I993" s="69">
        <v>3</v>
      </c>
      <c r="J993" s="238">
        <v>0.36928976266950175</v>
      </c>
      <c r="K993" s="238">
        <v>0.16166723631218391</v>
      </c>
      <c r="L993" s="69">
        <v>111.65823307106068</v>
      </c>
      <c r="M993" s="69">
        <v>0</v>
      </c>
      <c r="N993" s="69">
        <v>0</v>
      </c>
      <c r="O993" s="69">
        <v>0</v>
      </c>
      <c r="P993" s="69">
        <v>0</v>
      </c>
      <c r="Q993" s="69">
        <v>0</v>
      </c>
      <c r="R993" s="69">
        <v>478.35108925667737</v>
      </c>
      <c r="S993" s="69">
        <v>478.35108925667737</v>
      </c>
      <c r="T993" s="69">
        <v>478.35108925667737</v>
      </c>
      <c r="U993" s="69">
        <v>478.35108925667737</v>
      </c>
      <c r="V993" s="69">
        <v>478.35108925667737</v>
      </c>
      <c r="W993" s="69">
        <v>478.35108925667737</v>
      </c>
      <c r="X993" s="69">
        <v>478.35108925667737</v>
      </c>
      <c r="Y993" s="69">
        <v>478.35108925667737</v>
      </c>
      <c r="Z993" s="69">
        <v>478.35108925667737</v>
      </c>
      <c r="AA993" s="69">
        <v>478.35108925667737</v>
      </c>
      <c r="AB993" s="69">
        <v>478.35108925667737</v>
      </c>
      <c r="AC993" s="69">
        <v>478.35108925667737</v>
      </c>
      <c r="AD993" s="69">
        <v>478.35108925667737</v>
      </c>
      <c r="AE993" s="69">
        <v>478.35108925667737</v>
      </c>
      <c r="AF993" s="69">
        <v>478.35108925667737</v>
      </c>
      <c r="AG993" s="69">
        <v>478.35108925667737</v>
      </c>
    </row>
    <row r="994" spans="1:33" ht="12.75" customHeight="1">
      <c r="A994" s="231" t="s">
        <v>2377</v>
      </c>
      <c r="B994" s="69" t="s">
        <v>397</v>
      </c>
      <c r="C994" s="69" t="s">
        <v>137</v>
      </c>
      <c r="D994" s="69" t="s">
        <v>191</v>
      </c>
      <c r="E994" s="69" t="s">
        <v>191</v>
      </c>
      <c r="F994" s="69" t="s">
        <v>167</v>
      </c>
      <c r="G994" s="69" t="s">
        <v>192</v>
      </c>
      <c r="H994" s="69" t="s">
        <v>805</v>
      </c>
      <c r="I994" s="69">
        <v>3</v>
      </c>
      <c r="J994" s="238">
        <v>0.37003616661473138</v>
      </c>
      <c r="K994" s="238">
        <v>0.16166723631218391</v>
      </c>
      <c r="L994" s="69">
        <v>91.404187358004975</v>
      </c>
      <c r="M994" s="69">
        <v>0</v>
      </c>
      <c r="N994" s="69">
        <v>0</v>
      </c>
      <c r="O994" s="69">
        <v>0</v>
      </c>
      <c r="P994" s="69">
        <v>0</v>
      </c>
      <c r="Q994" s="69">
        <v>0</v>
      </c>
      <c r="R994" s="69">
        <v>189.25940200000329</v>
      </c>
      <c r="S994" s="69">
        <v>189.25940200000329</v>
      </c>
      <c r="T994" s="69">
        <v>189.25940200000329</v>
      </c>
      <c r="U994" s="69">
        <v>189.25940200000329</v>
      </c>
      <c r="V994" s="69">
        <v>189.25940200000329</v>
      </c>
      <c r="W994" s="69">
        <v>189.25940200000329</v>
      </c>
      <c r="X994" s="69">
        <v>189.25940200000329</v>
      </c>
      <c r="Y994" s="69">
        <v>189.25940200000329</v>
      </c>
      <c r="Z994" s="69">
        <v>189.25940200000329</v>
      </c>
      <c r="AA994" s="69">
        <v>189.25940200000329</v>
      </c>
      <c r="AB994" s="69">
        <v>189.25940200000329</v>
      </c>
      <c r="AC994" s="69">
        <v>189.25940200000329</v>
      </c>
      <c r="AD994" s="69">
        <v>189.25940200000329</v>
      </c>
      <c r="AE994" s="69">
        <v>189.25940200000329</v>
      </c>
      <c r="AF994" s="69">
        <v>189.25940200000329</v>
      </c>
      <c r="AG994" s="69">
        <v>189.25940200000329</v>
      </c>
    </row>
    <row r="995" spans="1:33" ht="12.75" customHeight="1">
      <c r="A995" s="231" t="s">
        <v>2377</v>
      </c>
      <c r="B995" s="69" t="s">
        <v>398</v>
      </c>
      <c r="C995" s="69" t="s">
        <v>137</v>
      </c>
      <c r="D995" s="69" t="s">
        <v>191</v>
      </c>
      <c r="E995" s="69" t="s">
        <v>191</v>
      </c>
      <c r="F995" s="69" t="s">
        <v>167</v>
      </c>
      <c r="G995" s="69" t="s">
        <v>192</v>
      </c>
      <c r="H995" s="69" t="s">
        <v>805</v>
      </c>
      <c r="I995" s="69">
        <v>3</v>
      </c>
      <c r="J995" s="238">
        <v>0.32898159302369473</v>
      </c>
      <c r="K995" s="238">
        <v>0.16166723631218391</v>
      </c>
      <c r="L995" s="69">
        <v>87.176869135182869</v>
      </c>
      <c r="M995" s="69">
        <v>0</v>
      </c>
      <c r="N995" s="69">
        <v>0</v>
      </c>
      <c r="O995" s="69">
        <v>0</v>
      </c>
      <c r="P995" s="69">
        <v>0</v>
      </c>
      <c r="Q995" s="69">
        <v>0</v>
      </c>
      <c r="R995" s="69">
        <v>261.43536372747621</v>
      </c>
      <c r="S995" s="69">
        <v>261.43536372747621</v>
      </c>
      <c r="T995" s="69">
        <v>261.43536372747621</v>
      </c>
      <c r="U995" s="69">
        <v>261.43536372747621</v>
      </c>
      <c r="V995" s="69">
        <v>261.43536372747621</v>
      </c>
      <c r="W995" s="69">
        <v>261.43536372747621</v>
      </c>
      <c r="X995" s="69">
        <v>261.43536372747621</v>
      </c>
      <c r="Y995" s="69">
        <v>261.43536372747621</v>
      </c>
      <c r="Z995" s="69">
        <v>261.43536372747621</v>
      </c>
      <c r="AA995" s="69">
        <v>261.43536372747621</v>
      </c>
      <c r="AB995" s="69">
        <v>261.43536372747621</v>
      </c>
      <c r="AC995" s="69">
        <v>261.43536372747621</v>
      </c>
      <c r="AD995" s="69">
        <v>261.43536372747621</v>
      </c>
      <c r="AE995" s="69">
        <v>261.43536372747621</v>
      </c>
      <c r="AF995" s="69">
        <v>261.43536372747621</v>
      </c>
      <c r="AG995" s="69">
        <v>261.43536372747621</v>
      </c>
    </row>
    <row r="996" spans="1:33" ht="12.75" customHeight="1">
      <c r="A996" s="231" t="s">
        <v>2377</v>
      </c>
      <c r="B996" s="69" t="s">
        <v>399</v>
      </c>
      <c r="C996" s="69" t="s">
        <v>137</v>
      </c>
      <c r="D996" s="69" t="s">
        <v>191</v>
      </c>
      <c r="E996" s="69" t="s">
        <v>191</v>
      </c>
      <c r="F996" s="69" t="s">
        <v>167</v>
      </c>
      <c r="G996" s="69" t="s">
        <v>192</v>
      </c>
      <c r="H996" s="69" t="s">
        <v>805</v>
      </c>
      <c r="I996" s="69">
        <v>3</v>
      </c>
      <c r="J996" s="238">
        <v>0.27429999999999999</v>
      </c>
      <c r="K996" s="238">
        <v>0.16166723631218391</v>
      </c>
      <c r="L996" s="69">
        <v>110.06277965284525</v>
      </c>
      <c r="M996" s="69">
        <v>0</v>
      </c>
      <c r="N996" s="69">
        <v>0</v>
      </c>
      <c r="O996" s="69">
        <v>0</v>
      </c>
      <c r="P996" s="69">
        <v>0</v>
      </c>
      <c r="Q996" s="69">
        <v>103.80389759999889</v>
      </c>
      <c r="R996" s="69">
        <v>103.80389759999889</v>
      </c>
      <c r="S996" s="69">
        <v>103.80389759999889</v>
      </c>
      <c r="T996" s="69">
        <v>103.80389759999889</v>
      </c>
      <c r="U996" s="69">
        <v>103.80389759999889</v>
      </c>
      <c r="V996" s="69">
        <v>103.80389759999889</v>
      </c>
      <c r="W996" s="69">
        <v>103.80389759999889</v>
      </c>
      <c r="X996" s="69">
        <v>103.80389759999889</v>
      </c>
      <c r="Y996" s="69">
        <v>103.80389759999889</v>
      </c>
      <c r="Z996" s="69">
        <v>103.80389759999889</v>
      </c>
      <c r="AA996" s="69">
        <v>103.80389759999889</v>
      </c>
      <c r="AB996" s="69">
        <v>103.80389759999889</v>
      </c>
      <c r="AC996" s="69">
        <v>103.80389759999889</v>
      </c>
      <c r="AD996" s="69">
        <v>103.80389759999889</v>
      </c>
      <c r="AE996" s="69">
        <v>103.80389759999889</v>
      </c>
      <c r="AF996" s="69">
        <v>103.80389759999889</v>
      </c>
      <c r="AG996" s="69">
        <v>103.80389759999889</v>
      </c>
    </row>
    <row r="997" spans="1:33" ht="12.75" customHeight="1">
      <c r="A997" s="231" t="s">
        <v>2377</v>
      </c>
      <c r="B997" s="69" t="s">
        <v>400</v>
      </c>
      <c r="C997" s="69" t="s">
        <v>137</v>
      </c>
      <c r="D997" s="69" t="s">
        <v>191</v>
      </c>
      <c r="E997" s="69" t="s">
        <v>191</v>
      </c>
      <c r="F997" s="69" t="s">
        <v>167</v>
      </c>
      <c r="G997" s="69" t="s">
        <v>192</v>
      </c>
      <c r="H997" s="69" t="s">
        <v>805</v>
      </c>
      <c r="I997" s="69">
        <v>3</v>
      </c>
      <c r="J997" s="238">
        <v>0.31919207277713779</v>
      </c>
      <c r="K997" s="238">
        <v>0.16166723631218391</v>
      </c>
      <c r="L997" s="69">
        <v>100.52731462386276</v>
      </c>
      <c r="M997" s="69">
        <v>0</v>
      </c>
      <c r="N997" s="69">
        <v>0</v>
      </c>
      <c r="O997" s="69">
        <v>0</v>
      </c>
      <c r="P997" s="69">
        <v>0</v>
      </c>
      <c r="Q997" s="69">
        <v>0</v>
      </c>
      <c r="R997" s="69">
        <v>358.16405686880171</v>
      </c>
      <c r="S997" s="69">
        <v>358.16405686880171</v>
      </c>
      <c r="T997" s="69">
        <v>358.16405686880171</v>
      </c>
      <c r="U997" s="69">
        <v>358.16405686880171</v>
      </c>
      <c r="V997" s="69">
        <v>358.16405686880171</v>
      </c>
      <c r="W997" s="69">
        <v>358.16405686880171</v>
      </c>
      <c r="X997" s="69">
        <v>358.16405686880171</v>
      </c>
      <c r="Y997" s="69">
        <v>358.16405686880171</v>
      </c>
      <c r="Z997" s="69">
        <v>358.16405686880171</v>
      </c>
      <c r="AA997" s="69">
        <v>358.16405686880171</v>
      </c>
      <c r="AB997" s="69">
        <v>358.16405686880171</v>
      </c>
      <c r="AC997" s="69">
        <v>358.16405686880171</v>
      </c>
      <c r="AD997" s="69">
        <v>358.16405686880171</v>
      </c>
      <c r="AE997" s="69">
        <v>358.16405686880171</v>
      </c>
      <c r="AF997" s="69">
        <v>358.16405686880171</v>
      </c>
      <c r="AG997" s="69">
        <v>358.16405686880171</v>
      </c>
    </row>
    <row r="998" spans="1:33" ht="12.75" customHeight="1">
      <c r="A998" s="231" t="s">
        <v>2377</v>
      </c>
      <c r="B998" s="69" t="s">
        <v>403</v>
      </c>
      <c r="C998" s="69" t="s">
        <v>137</v>
      </c>
      <c r="D998" s="69" t="s">
        <v>191</v>
      </c>
      <c r="E998" s="69" t="s">
        <v>191</v>
      </c>
      <c r="F998" s="69" t="s">
        <v>167</v>
      </c>
      <c r="G998" s="69" t="s">
        <v>192</v>
      </c>
      <c r="H998" s="69" t="s">
        <v>805</v>
      </c>
      <c r="I998" s="69">
        <v>3</v>
      </c>
      <c r="J998" s="238">
        <v>0.35279999999999995</v>
      </c>
      <c r="K998" s="238">
        <v>0.16166723631218391</v>
      </c>
      <c r="L998" s="69">
        <v>87.461940166002734</v>
      </c>
      <c r="M998" s="69">
        <v>0</v>
      </c>
      <c r="N998" s="69">
        <v>0</v>
      </c>
      <c r="O998" s="69">
        <v>0</v>
      </c>
      <c r="P998" s="69">
        <v>0</v>
      </c>
      <c r="Q998" s="69">
        <v>139.07375999999931</v>
      </c>
      <c r="R998" s="69">
        <v>139.07375999999931</v>
      </c>
      <c r="S998" s="69">
        <v>139.07375999999931</v>
      </c>
      <c r="T998" s="69">
        <v>139.07375999999931</v>
      </c>
      <c r="U998" s="69">
        <v>139.07375999999931</v>
      </c>
      <c r="V998" s="69">
        <v>139.07375999999931</v>
      </c>
      <c r="W998" s="69">
        <v>139.07375999999931</v>
      </c>
      <c r="X998" s="69">
        <v>139.07375999999931</v>
      </c>
      <c r="Y998" s="69">
        <v>139.07375999999931</v>
      </c>
      <c r="Z998" s="69">
        <v>139.07375999999931</v>
      </c>
      <c r="AA998" s="69">
        <v>139.07375999999931</v>
      </c>
      <c r="AB998" s="69">
        <v>139.07375999999931</v>
      </c>
      <c r="AC998" s="69">
        <v>139.07375999999931</v>
      </c>
      <c r="AD998" s="69">
        <v>139.07375999999931</v>
      </c>
      <c r="AE998" s="69">
        <v>139.07375999999931</v>
      </c>
      <c r="AF998" s="69">
        <v>139.07375999999931</v>
      </c>
      <c r="AG998" s="69">
        <v>139.07375999999931</v>
      </c>
    </row>
    <row r="999" spans="1:33" ht="12.75" customHeight="1">
      <c r="A999" s="231" t="s">
        <v>2377</v>
      </c>
      <c r="B999" s="69" t="s">
        <v>404</v>
      </c>
      <c r="C999" s="69" t="s">
        <v>137</v>
      </c>
      <c r="D999" s="69" t="s">
        <v>191</v>
      </c>
      <c r="E999" s="69" t="s">
        <v>191</v>
      </c>
      <c r="F999" s="69" t="s">
        <v>177</v>
      </c>
      <c r="G999" s="69" t="s">
        <v>192</v>
      </c>
      <c r="H999" s="69" t="s">
        <v>804</v>
      </c>
      <c r="I999" s="69">
        <v>3</v>
      </c>
      <c r="J999" s="238">
        <v>0.31857000000000002</v>
      </c>
      <c r="K999" s="238">
        <v>0.16048337423926948</v>
      </c>
      <c r="L999" s="69">
        <v>97.263023124180364</v>
      </c>
      <c r="M999" s="69">
        <v>0</v>
      </c>
      <c r="N999" s="69">
        <v>0</v>
      </c>
      <c r="O999" s="69">
        <v>0</v>
      </c>
      <c r="P999" s="69">
        <v>0</v>
      </c>
      <c r="Q999" s="69">
        <v>0</v>
      </c>
      <c r="R999" s="69">
        <v>266.23022327999934</v>
      </c>
      <c r="S999" s="69">
        <v>266.23022327999934</v>
      </c>
      <c r="T999" s="69">
        <v>266.23022327999934</v>
      </c>
      <c r="U999" s="69">
        <v>266.23022327999934</v>
      </c>
      <c r="V999" s="69">
        <v>266.23022327999934</v>
      </c>
      <c r="W999" s="69">
        <v>266.23022327999934</v>
      </c>
      <c r="X999" s="69">
        <v>266.23022327999934</v>
      </c>
      <c r="Y999" s="69">
        <v>266.23022327999934</v>
      </c>
      <c r="Z999" s="69">
        <v>266.23022327999934</v>
      </c>
      <c r="AA999" s="69">
        <v>266.23022327999934</v>
      </c>
      <c r="AB999" s="69">
        <v>266.23022327999934</v>
      </c>
      <c r="AC999" s="69">
        <v>266.23022327999934</v>
      </c>
      <c r="AD999" s="69">
        <v>266.23022327999934</v>
      </c>
      <c r="AE999" s="69">
        <v>266.23022327999934</v>
      </c>
      <c r="AF999" s="69">
        <v>266.23022327999934</v>
      </c>
      <c r="AG999" s="69">
        <v>266.23022327999934</v>
      </c>
    </row>
    <row r="1000" spans="1:33" ht="12.75" customHeight="1">
      <c r="A1000" s="231" t="s">
        <v>2377</v>
      </c>
      <c r="B1000" s="69" t="s">
        <v>407</v>
      </c>
      <c r="C1000" s="69" t="s">
        <v>137</v>
      </c>
      <c r="D1000" s="69" t="s">
        <v>191</v>
      </c>
      <c r="E1000" s="69" t="s">
        <v>191</v>
      </c>
      <c r="F1000" s="69" t="s">
        <v>177</v>
      </c>
      <c r="G1000" s="69" t="s">
        <v>192</v>
      </c>
      <c r="H1000" s="69" t="s">
        <v>804</v>
      </c>
      <c r="I1000" s="69">
        <v>3</v>
      </c>
      <c r="J1000" s="238">
        <v>0.28285551971866718</v>
      </c>
      <c r="K1000" s="238">
        <v>0.16048337423926948</v>
      </c>
      <c r="L1000" s="69">
        <v>109.6858296995515</v>
      </c>
      <c r="M1000" s="69">
        <v>0</v>
      </c>
      <c r="N1000" s="69">
        <v>0</v>
      </c>
      <c r="O1000" s="69">
        <v>0</v>
      </c>
      <c r="P1000" s="69">
        <v>0</v>
      </c>
      <c r="Q1000" s="69">
        <v>0</v>
      </c>
      <c r="R1000" s="69">
        <v>67.396550394405494</v>
      </c>
      <c r="S1000" s="69">
        <v>67.396550394405494</v>
      </c>
      <c r="T1000" s="69">
        <v>67.396550394405494</v>
      </c>
      <c r="U1000" s="69">
        <v>67.396550394405494</v>
      </c>
      <c r="V1000" s="69">
        <v>67.396550394405494</v>
      </c>
      <c r="W1000" s="69">
        <v>67.396550394405494</v>
      </c>
      <c r="X1000" s="69">
        <v>67.396550394405494</v>
      </c>
      <c r="Y1000" s="69">
        <v>67.396550394405494</v>
      </c>
      <c r="Z1000" s="69">
        <v>67.396550394405494</v>
      </c>
      <c r="AA1000" s="69">
        <v>67.396550394405494</v>
      </c>
      <c r="AB1000" s="69">
        <v>67.396550394405494</v>
      </c>
      <c r="AC1000" s="69">
        <v>67.396550394405494</v>
      </c>
      <c r="AD1000" s="69">
        <v>67.396550394405494</v>
      </c>
      <c r="AE1000" s="69">
        <v>67.396550394405494</v>
      </c>
      <c r="AF1000" s="69">
        <v>67.396550394405494</v>
      </c>
      <c r="AG1000" s="69">
        <v>67.396550394405494</v>
      </c>
    </row>
    <row r="1001" spans="1:33" ht="12.75" customHeight="1">
      <c r="A1001" s="231" t="s">
        <v>2377</v>
      </c>
      <c r="B1001" s="69" t="s">
        <v>410</v>
      </c>
      <c r="C1001" s="69" t="s">
        <v>137</v>
      </c>
      <c r="D1001" s="69" t="s">
        <v>191</v>
      </c>
      <c r="E1001" s="69" t="s">
        <v>191</v>
      </c>
      <c r="F1001" s="69" t="s">
        <v>177</v>
      </c>
      <c r="G1001" s="69" t="s">
        <v>192</v>
      </c>
      <c r="H1001" s="69" t="s">
        <v>804</v>
      </c>
      <c r="I1001" s="69">
        <v>3</v>
      </c>
      <c r="J1001" s="238">
        <v>0.310554</v>
      </c>
      <c r="K1001" s="238">
        <v>0.16048337423926948</v>
      </c>
      <c r="L1001" s="69">
        <v>110.23255438893395</v>
      </c>
      <c r="M1001" s="69">
        <v>0</v>
      </c>
      <c r="N1001" s="69">
        <v>0</v>
      </c>
      <c r="O1001" s="69">
        <v>0</v>
      </c>
      <c r="P1001" s="69">
        <v>0</v>
      </c>
      <c r="Q1001" s="69">
        <v>88.142678495998553</v>
      </c>
      <c r="R1001" s="69">
        <v>88.142678495998553</v>
      </c>
      <c r="S1001" s="69">
        <v>88.142678495998553</v>
      </c>
      <c r="T1001" s="69">
        <v>88.142678495998553</v>
      </c>
      <c r="U1001" s="69">
        <v>88.142678495998553</v>
      </c>
      <c r="V1001" s="69">
        <v>88.142678495998553</v>
      </c>
      <c r="W1001" s="69">
        <v>88.142678495998553</v>
      </c>
      <c r="X1001" s="69">
        <v>88.142678495998553</v>
      </c>
      <c r="Y1001" s="69">
        <v>88.142678495998553</v>
      </c>
      <c r="Z1001" s="69">
        <v>88.142678495998553</v>
      </c>
      <c r="AA1001" s="69">
        <v>88.142678495998553</v>
      </c>
      <c r="AB1001" s="69">
        <v>88.142678495998553</v>
      </c>
      <c r="AC1001" s="69">
        <v>88.142678495998553</v>
      </c>
      <c r="AD1001" s="69">
        <v>88.142678495998553</v>
      </c>
      <c r="AE1001" s="69">
        <v>88.142678495998553</v>
      </c>
      <c r="AF1001" s="69">
        <v>88.142678495998553</v>
      </c>
      <c r="AG1001" s="69">
        <v>88.142678495998553</v>
      </c>
    </row>
    <row r="1002" spans="1:33" ht="12.75" customHeight="1">
      <c r="A1002" s="231" t="s">
        <v>2377</v>
      </c>
      <c r="B1002" s="69" t="s">
        <v>411</v>
      </c>
      <c r="C1002" s="69" t="s">
        <v>137</v>
      </c>
      <c r="D1002" s="69" t="s">
        <v>191</v>
      </c>
      <c r="E1002" s="69" t="s">
        <v>191</v>
      </c>
      <c r="F1002" s="69" t="s">
        <v>167</v>
      </c>
      <c r="G1002" s="69" t="s">
        <v>192</v>
      </c>
      <c r="H1002" s="69" t="s">
        <v>804</v>
      </c>
      <c r="I1002" s="69">
        <v>3</v>
      </c>
      <c r="J1002" s="238">
        <v>0.35286800000000001</v>
      </c>
      <c r="K1002" s="238">
        <v>0.16166723631218391</v>
      </c>
      <c r="L1002" s="69">
        <v>89.627062477176679</v>
      </c>
      <c r="M1002" s="69">
        <v>0</v>
      </c>
      <c r="N1002" s="69">
        <v>0</v>
      </c>
      <c r="O1002" s="69">
        <v>0</v>
      </c>
      <c r="P1002" s="69">
        <v>0</v>
      </c>
      <c r="Q1002" s="69">
        <v>66.7682714879993</v>
      </c>
      <c r="R1002" s="69">
        <v>66.7682714879993</v>
      </c>
      <c r="S1002" s="69">
        <v>66.7682714879993</v>
      </c>
      <c r="T1002" s="69">
        <v>66.7682714879993</v>
      </c>
      <c r="U1002" s="69">
        <v>66.7682714879993</v>
      </c>
      <c r="V1002" s="69">
        <v>66.7682714879993</v>
      </c>
      <c r="W1002" s="69">
        <v>66.7682714879993</v>
      </c>
      <c r="X1002" s="69">
        <v>66.7682714879993</v>
      </c>
      <c r="Y1002" s="69">
        <v>66.7682714879993</v>
      </c>
      <c r="Z1002" s="69">
        <v>66.7682714879993</v>
      </c>
      <c r="AA1002" s="69">
        <v>66.7682714879993</v>
      </c>
      <c r="AB1002" s="69">
        <v>66.7682714879993</v>
      </c>
      <c r="AC1002" s="69">
        <v>66.7682714879993</v>
      </c>
      <c r="AD1002" s="69">
        <v>66.7682714879993</v>
      </c>
      <c r="AE1002" s="69">
        <v>66.7682714879993</v>
      </c>
      <c r="AF1002" s="69">
        <v>66.7682714879993</v>
      </c>
      <c r="AG1002" s="69">
        <v>66.7682714879993</v>
      </c>
    </row>
    <row r="1003" spans="1:33" ht="12.75" customHeight="1">
      <c r="A1003" s="231" t="s">
        <v>2377</v>
      </c>
      <c r="B1003" s="69" t="s">
        <v>414</v>
      </c>
      <c r="C1003" s="69" t="s">
        <v>137</v>
      </c>
      <c r="D1003" s="69" t="s">
        <v>191</v>
      </c>
      <c r="E1003" s="69" t="s">
        <v>191</v>
      </c>
      <c r="F1003" s="69" t="s">
        <v>169</v>
      </c>
      <c r="G1003" s="69" t="s">
        <v>192</v>
      </c>
      <c r="H1003" s="69" t="s">
        <v>804</v>
      </c>
      <c r="I1003" s="69">
        <v>3</v>
      </c>
      <c r="J1003" s="238">
        <v>0.35649999999999998</v>
      </c>
      <c r="K1003" s="238">
        <v>0.16115831843295012</v>
      </c>
      <c r="L1003" s="69">
        <v>81.695746706491136</v>
      </c>
      <c r="M1003" s="69">
        <v>0</v>
      </c>
      <c r="N1003" s="69">
        <v>0</v>
      </c>
      <c r="O1003" s="69">
        <v>0</v>
      </c>
      <c r="P1003" s="69">
        <v>0</v>
      </c>
      <c r="Q1003" s="69">
        <v>0</v>
      </c>
      <c r="R1003" s="69">
        <v>314.41759919999822</v>
      </c>
      <c r="S1003" s="69">
        <v>314.41759919999822</v>
      </c>
      <c r="T1003" s="69">
        <v>314.41759919999822</v>
      </c>
      <c r="U1003" s="69">
        <v>314.41759919999822</v>
      </c>
      <c r="V1003" s="69">
        <v>314.41759919999822</v>
      </c>
      <c r="W1003" s="69">
        <v>314.41759919999822</v>
      </c>
      <c r="X1003" s="69">
        <v>314.41759919999822</v>
      </c>
      <c r="Y1003" s="69">
        <v>314.41759919999822</v>
      </c>
      <c r="Z1003" s="69">
        <v>314.41759919999822</v>
      </c>
      <c r="AA1003" s="69">
        <v>314.41759919999822</v>
      </c>
      <c r="AB1003" s="69">
        <v>314.41759919999822</v>
      </c>
      <c r="AC1003" s="69">
        <v>314.41759919999822</v>
      </c>
      <c r="AD1003" s="69">
        <v>314.41759919999822</v>
      </c>
      <c r="AE1003" s="69">
        <v>314.41759919999822</v>
      </c>
      <c r="AF1003" s="69">
        <v>314.41759919999822</v>
      </c>
      <c r="AG1003" s="69">
        <v>314.41759919999822</v>
      </c>
    </row>
    <row r="1004" spans="1:33" ht="12.75" customHeight="1">
      <c r="A1004" s="231" t="s">
        <v>2377</v>
      </c>
      <c r="B1004" s="69" t="s">
        <v>415</v>
      </c>
      <c r="C1004" s="69" t="s">
        <v>137</v>
      </c>
      <c r="D1004" s="69" t="s">
        <v>191</v>
      </c>
      <c r="E1004" s="69" t="s">
        <v>191</v>
      </c>
      <c r="F1004" s="69" t="s">
        <v>167</v>
      </c>
      <c r="G1004" s="69" t="s">
        <v>192</v>
      </c>
      <c r="H1004" s="69" t="s">
        <v>805</v>
      </c>
      <c r="I1004" s="69">
        <v>3</v>
      </c>
      <c r="J1004" s="238">
        <v>0.34262331834382231</v>
      </c>
      <c r="K1004" s="238">
        <v>0.16166723631218391</v>
      </c>
      <c r="L1004" s="69">
        <v>94.109943738924969</v>
      </c>
      <c r="M1004" s="69">
        <v>0</v>
      </c>
      <c r="N1004" s="69">
        <v>0</v>
      </c>
      <c r="O1004" s="69">
        <v>0</v>
      </c>
      <c r="P1004" s="69">
        <v>0</v>
      </c>
      <c r="Q1004" s="69">
        <v>0</v>
      </c>
      <c r="R1004" s="69">
        <v>229.9881928808245</v>
      </c>
      <c r="S1004" s="69">
        <v>229.9881928808245</v>
      </c>
      <c r="T1004" s="69">
        <v>229.9881928808245</v>
      </c>
      <c r="U1004" s="69">
        <v>229.9881928808245</v>
      </c>
      <c r="V1004" s="69">
        <v>229.9881928808245</v>
      </c>
      <c r="W1004" s="69">
        <v>229.9881928808245</v>
      </c>
      <c r="X1004" s="69">
        <v>229.9881928808245</v>
      </c>
      <c r="Y1004" s="69">
        <v>229.9881928808245</v>
      </c>
      <c r="Z1004" s="69">
        <v>229.9881928808245</v>
      </c>
      <c r="AA1004" s="69">
        <v>229.9881928808245</v>
      </c>
      <c r="AB1004" s="69">
        <v>229.9881928808245</v>
      </c>
      <c r="AC1004" s="69">
        <v>229.9881928808245</v>
      </c>
      <c r="AD1004" s="69">
        <v>229.9881928808245</v>
      </c>
      <c r="AE1004" s="69">
        <v>229.9881928808245</v>
      </c>
      <c r="AF1004" s="69">
        <v>229.9881928808245</v>
      </c>
      <c r="AG1004" s="69">
        <v>229.9881928808245</v>
      </c>
    </row>
    <row r="1005" spans="1:33" ht="12.75" customHeight="1">
      <c r="A1005" s="231" t="s">
        <v>2377</v>
      </c>
      <c r="B1005" s="69" t="s">
        <v>420</v>
      </c>
      <c r="C1005" s="69" t="s">
        <v>185</v>
      </c>
      <c r="D1005" s="69" t="s">
        <v>193</v>
      </c>
      <c r="E1005" s="69" t="s">
        <v>203</v>
      </c>
      <c r="F1005" s="69" t="s">
        <v>180</v>
      </c>
      <c r="G1005" s="69" t="s">
        <v>192</v>
      </c>
      <c r="H1005" s="69" t="s">
        <v>804</v>
      </c>
      <c r="I1005" s="69">
        <v>3</v>
      </c>
      <c r="J1005" s="238">
        <v>0.28632261616255311</v>
      </c>
      <c r="K1005" s="238">
        <v>0.64408180829860495</v>
      </c>
      <c r="L1005" s="69">
        <v>170.36711386809577</v>
      </c>
      <c r="M1005" s="69">
        <v>0</v>
      </c>
      <c r="N1005" s="69">
        <v>0</v>
      </c>
      <c r="O1005" s="69">
        <v>0</v>
      </c>
      <c r="P1005" s="69">
        <v>0</v>
      </c>
      <c r="Q1005" s="69">
        <v>0</v>
      </c>
      <c r="R1005" s="69">
        <v>124.15521282040572</v>
      </c>
      <c r="S1005" s="69">
        <v>124.15521282040572</v>
      </c>
      <c r="T1005" s="69">
        <v>124.15521282040572</v>
      </c>
      <c r="U1005" s="69">
        <v>124.15521282040572</v>
      </c>
      <c r="V1005" s="69">
        <v>124.15521282040572</v>
      </c>
      <c r="W1005" s="69">
        <v>124.15521282040572</v>
      </c>
      <c r="X1005" s="69">
        <v>124.15521282040572</v>
      </c>
      <c r="Y1005" s="69">
        <v>124.15521282040572</v>
      </c>
      <c r="Z1005" s="69">
        <v>124.15521282040572</v>
      </c>
      <c r="AA1005" s="69">
        <v>124.15521282040572</v>
      </c>
      <c r="AB1005" s="69">
        <v>124.15521282040572</v>
      </c>
      <c r="AC1005" s="69">
        <v>124.15521282040572</v>
      </c>
      <c r="AD1005" s="69">
        <v>124.15521282040572</v>
      </c>
      <c r="AE1005" s="69">
        <v>124.15521282040572</v>
      </c>
      <c r="AF1005" s="69">
        <v>124.15521282040572</v>
      </c>
      <c r="AG1005" s="69">
        <v>124.15521282040572</v>
      </c>
    </row>
    <row r="1006" spans="1:33" ht="12.75" customHeight="1">
      <c r="A1006" s="231" t="s">
        <v>2377</v>
      </c>
      <c r="B1006" s="69" t="s">
        <v>421</v>
      </c>
      <c r="C1006" s="69" t="s">
        <v>185</v>
      </c>
      <c r="D1006" s="69" t="s">
        <v>193</v>
      </c>
      <c r="E1006" s="69" t="s">
        <v>203</v>
      </c>
      <c r="F1006" s="69" t="s">
        <v>180</v>
      </c>
      <c r="G1006" s="69" t="s">
        <v>192</v>
      </c>
      <c r="H1006" s="69" t="s">
        <v>804</v>
      </c>
      <c r="I1006" s="69">
        <v>3</v>
      </c>
      <c r="J1006" s="238">
        <v>0.29990948049084382</v>
      </c>
      <c r="K1006" s="238">
        <v>0.64408180829860495</v>
      </c>
      <c r="L1006" s="69">
        <v>153.12164321215727</v>
      </c>
      <c r="M1006" s="69">
        <v>0</v>
      </c>
      <c r="N1006" s="69">
        <v>0</v>
      </c>
      <c r="O1006" s="69">
        <v>0</v>
      </c>
      <c r="P1006" s="69">
        <v>0</v>
      </c>
      <c r="Q1006" s="69">
        <v>0</v>
      </c>
      <c r="R1006" s="69">
        <v>43.348916310147615</v>
      </c>
      <c r="S1006" s="69">
        <v>43.348916310147615</v>
      </c>
      <c r="T1006" s="69">
        <v>43.348916310147615</v>
      </c>
      <c r="U1006" s="69">
        <v>43.348916310147615</v>
      </c>
      <c r="V1006" s="69">
        <v>43.348916310147615</v>
      </c>
      <c r="W1006" s="69">
        <v>43.348916310147615</v>
      </c>
      <c r="X1006" s="69">
        <v>43.348916310147615</v>
      </c>
      <c r="Y1006" s="69">
        <v>43.348916310147615</v>
      </c>
      <c r="Z1006" s="69">
        <v>43.348916310147615</v>
      </c>
      <c r="AA1006" s="69">
        <v>43.348916310147615</v>
      </c>
      <c r="AB1006" s="69">
        <v>43.348916310147615</v>
      </c>
      <c r="AC1006" s="69">
        <v>43.348916310147615</v>
      </c>
      <c r="AD1006" s="69">
        <v>43.348916310147615</v>
      </c>
      <c r="AE1006" s="69">
        <v>43.348916310147615</v>
      </c>
      <c r="AF1006" s="69">
        <v>43.348916310147615</v>
      </c>
      <c r="AG1006" s="69">
        <v>43.348916310147615</v>
      </c>
    </row>
    <row r="1007" spans="1:33" ht="12.75" customHeight="1">
      <c r="A1007" s="231" t="s">
        <v>2377</v>
      </c>
      <c r="B1007" s="69" t="s">
        <v>422</v>
      </c>
      <c r="C1007" s="69" t="s">
        <v>185</v>
      </c>
      <c r="D1007" s="69" t="s">
        <v>193</v>
      </c>
      <c r="E1007" s="69" t="s">
        <v>203</v>
      </c>
      <c r="F1007" s="69" t="s">
        <v>155</v>
      </c>
      <c r="G1007" s="69" t="s">
        <v>192</v>
      </c>
      <c r="H1007" s="69" t="s">
        <v>805</v>
      </c>
      <c r="I1007" s="69">
        <v>3</v>
      </c>
      <c r="J1007" s="238">
        <v>0.27795315888375882</v>
      </c>
      <c r="K1007" s="238">
        <v>0.63277303047366895</v>
      </c>
      <c r="L1007" s="69">
        <v>169.32475845238585</v>
      </c>
      <c r="M1007" s="69">
        <v>0</v>
      </c>
      <c r="N1007" s="69">
        <v>0</v>
      </c>
      <c r="O1007" s="69">
        <v>0</v>
      </c>
      <c r="P1007" s="69">
        <v>0</v>
      </c>
      <c r="Q1007" s="69">
        <v>0</v>
      </c>
      <c r="R1007" s="69">
        <v>0</v>
      </c>
      <c r="S1007" s="69">
        <v>243.48696718217246</v>
      </c>
      <c r="T1007" s="69">
        <v>243.48696718217246</v>
      </c>
      <c r="U1007" s="69">
        <v>243.48696718217246</v>
      </c>
      <c r="V1007" s="69">
        <v>243.48696718217246</v>
      </c>
      <c r="W1007" s="69">
        <v>243.48696718217246</v>
      </c>
      <c r="X1007" s="69">
        <v>243.48696718217246</v>
      </c>
      <c r="Y1007" s="69">
        <v>243.48696718217246</v>
      </c>
      <c r="Z1007" s="69">
        <v>243.48696718217246</v>
      </c>
      <c r="AA1007" s="69">
        <v>243.48696718217246</v>
      </c>
      <c r="AB1007" s="69">
        <v>243.48696718217246</v>
      </c>
      <c r="AC1007" s="69">
        <v>243.48696718217246</v>
      </c>
      <c r="AD1007" s="69">
        <v>243.48696718217246</v>
      </c>
      <c r="AE1007" s="69">
        <v>243.48696718217246</v>
      </c>
      <c r="AF1007" s="69">
        <v>243.48696718217246</v>
      </c>
      <c r="AG1007" s="69">
        <v>243.48696718217246</v>
      </c>
    </row>
    <row r="1008" spans="1:33" ht="12.75" customHeight="1">
      <c r="A1008" s="231" t="s">
        <v>2377</v>
      </c>
      <c r="B1008" s="69" t="s">
        <v>425</v>
      </c>
      <c r="C1008" s="69" t="s">
        <v>185</v>
      </c>
      <c r="D1008" s="69" t="s">
        <v>193</v>
      </c>
      <c r="E1008" s="69" t="s">
        <v>194</v>
      </c>
      <c r="F1008" s="69" t="s">
        <v>177</v>
      </c>
      <c r="G1008" s="69" t="s">
        <v>192</v>
      </c>
      <c r="H1008" s="69" t="s">
        <v>804</v>
      </c>
      <c r="I1008" s="69">
        <v>3</v>
      </c>
      <c r="J1008" s="238">
        <v>0.29354460862953008</v>
      </c>
      <c r="K1008" s="238">
        <v>0.64524015895274889</v>
      </c>
      <c r="L1008" s="69">
        <v>164.01200140938769</v>
      </c>
      <c r="M1008" s="69">
        <v>0</v>
      </c>
      <c r="N1008" s="69">
        <v>0</v>
      </c>
      <c r="O1008" s="69">
        <v>0</v>
      </c>
      <c r="P1008" s="69">
        <v>0</v>
      </c>
      <c r="Q1008" s="69">
        <v>77.143523147839005</v>
      </c>
      <c r="R1008" s="69">
        <v>77.143523147839005</v>
      </c>
      <c r="S1008" s="69">
        <v>77.143523147839005</v>
      </c>
      <c r="T1008" s="69">
        <v>77.143523147839005</v>
      </c>
      <c r="U1008" s="69">
        <v>77.143523147839005</v>
      </c>
      <c r="V1008" s="69">
        <v>77.143523147839005</v>
      </c>
      <c r="W1008" s="69">
        <v>77.143523147839005</v>
      </c>
      <c r="X1008" s="69">
        <v>77.143523147839005</v>
      </c>
      <c r="Y1008" s="69">
        <v>77.143523147839005</v>
      </c>
      <c r="Z1008" s="69">
        <v>77.143523147839005</v>
      </c>
      <c r="AA1008" s="69">
        <v>77.143523147839005</v>
      </c>
      <c r="AB1008" s="69">
        <v>77.143523147839005</v>
      </c>
      <c r="AC1008" s="69">
        <v>77.143523147839005</v>
      </c>
      <c r="AD1008" s="69">
        <v>77.143523147839005</v>
      </c>
      <c r="AE1008" s="69">
        <v>77.143523147839005</v>
      </c>
      <c r="AF1008" s="69">
        <v>77.143523147839005</v>
      </c>
      <c r="AG1008" s="69">
        <v>77.143523147839005</v>
      </c>
    </row>
    <row r="1009" spans="1:33" ht="12.75" customHeight="1">
      <c r="A1009" s="231" t="s">
        <v>2377</v>
      </c>
      <c r="B1009" s="69" t="s">
        <v>426</v>
      </c>
      <c r="C1009" s="69" t="s">
        <v>185</v>
      </c>
      <c r="D1009" s="69" t="s">
        <v>193</v>
      </c>
      <c r="E1009" s="69" t="s">
        <v>194</v>
      </c>
      <c r="F1009" s="69" t="s">
        <v>175</v>
      </c>
      <c r="G1009" s="69" t="s">
        <v>192</v>
      </c>
      <c r="H1009" s="69" t="s">
        <v>804</v>
      </c>
      <c r="I1009" s="69">
        <v>3</v>
      </c>
      <c r="J1009" s="238">
        <v>0.27419894046026083</v>
      </c>
      <c r="K1009" s="238">
        <v>0.63760113341806912</v>
      </c>
      <c r="L1009" s="69">
        <v>169.02608162156267</v>
      </c>
      <c r="M1009" s="69">
        <v>0</v>
      </c>
      <c r="N1009" s="69">
        <v>0</v>
      </c>
      <c r="O1009" s="69">
        <v>0</v>
      </c>
      <c r="P1009" s="69">
        <v>0</v>
      </c>
      <c r="Q1009" s="69">
        <v>0</v>
      </c>
      <c r="R1009" s="69">
        <v>900.74351941195346</v>
      </c>
      <c r="S1009" s="69">
        <v>900.74351941195346</v>
      </c>
      <c r="T1009" s="69">
        <v>900.74351941195346</v>
      </c>
      <c r="U1009" s="69">
        <v>900.74351941195346</v>
      </c>
      <c r="V1009" s="69">
        <v>900.74351941195346</v>
      </c>
      <c r="W1009" s="69">
        <v>900.74351941195346</v>
      </c>
      <c r="X1009" s="69">
        <v>900.74351941195346</v>
      </c>
      <c r="Y1009" s="69">
        <v>900.74351941195346</v>
      </c>
      <c r="Z1009" s="69">
        <v>900.74351941195346</v>
      </c>
      <c r="AA1009" s="69">
        <v>900.74351941195346</v>
      </c>
      <c r="AB1009" s="69">
        <v>900.74351941195346</v>
      </c>
      <c r="AC1009" s="69">
        <v>900.74351941195346</v>
      </c>
      <c r="AD1009" s="69">
        <v>900.74351941195346</v>
      </c>
      <c r="AE1009" s="69">
        <v>900.74351941195346</v>
      </c>
      <c r="AF1009" s="69">
        <v>900.74351941195346</v>
      </c>
      <c r="AG1009" s="69">
        <v>900.74351941195346</v>
      </c>
    </row>
    <row r="1010" spans="1:33" ht="12.75" customHeight="1">
      <c r="A1010" s="231" t="s">
        <v>2377</v>
      </c>
      <c r="B1010" s="69" t="s">
        <v>427</v>
      </c>
      <c r="C1010" s="69" t="s">
        <v>185</v>
      </c>
      <c r="D1010" s="69" t="s">
        <v>193</v>
      </c>
      <c r="E1010" s="69" t="s">
        <v>194</v>
      </c>
      <c r="F1010" s="69" t="s">
        <v>175</v>
      </c>
      <c r="G1010" s="69" t="s">
        <v>192</v>
      </c>
      <c r="H1010" s="69" t="s">
        <v>804</v>
      </c>
      <c r="I1010" s="69">
        <v>3</v>
      </c>
      <c r="J1010" s="238">
        <v>0.28727932734823136</v>
      </c>
      <c r="K1010" s="238">
        <v>0.63760113341806912</v>
      </c>
      <c r="L1010" s="69">
        <v>160.61193964461978</v>
      </c>
      <c r="M1010" s="69">
        <v>0</v>
      </c>
      <c r="N1010" s="69">
        <v>0</v>
      </c>
      <c r="O1010" s="69">
        <v>0</v>
      </c>
      <c r="P1010" s="69">
        <v>0</v>
      </c>
      <c r="Q1010" s="69">
        <v>0</v>
      </c>
      <c r="R1010" s="69">
        <v>208.87505332835281</v>
      </c>
      <c r="S1010" s="69">
        <v>208.87505332835281</v>
      </c>
      <c r="T1010" s="69">
        <v>208.87505332835281</v>
      </c>
      <c r="U1010" s="69">
        <v>208.87505332835281</v>
      </c>
      <c r="V1010" s="69">
        <v>208.87505332835281</v>
      </c>
      <c r="W1010" s="69">
        <v>208.87505332835281</v>
      </c>
      <c r="X1010" s="69">
        <v>208.87505332835281</v>
      </c>
      <c r="Y1010" s="69">
        <v>208.87505332835281</v>
      </c>
      <c r="Z1010" s="69">
        <v>208.87505332835281</v>
      </c>
      <c r="AA1010" s="69">
        <v>208.87505332835281</v>
      </c>
      <c r="AB1010" s="69">
        <v>208.87505332835281</v>
      </c>
      <c r="AC1010" s="69">
        <v>208.87505332835281</v>
      </c>
      <c r="AD1010" s="69">
        <v>208.87505332835281</v>
      </c>
      <c r="AE1010" s="69">
        <v>208.87505332835281</v>
      </c>
      <c r="AF1010" s="69">
        <v>208.87505332835281</v>
      </c>
      <c r="AG1010" s="69">
        <v>208.87505332835281</v>
      </c>
    </row>
    <row r="1011" spans="1:33" ht="12.75" customHeight="1">
      <c r="A1011" s="231" t="s">
        <v>2377</v>
      </c>
      <c r="B1011" s="69" t="s">
        <v>428</v>
      </c>
      <c r="C1011" s="69" t="s">
        <v>184</v>
      </c>
      <c r="D1011" s="69" t="s">
        <v>284</v>
      </c>
      <c r="E1011" s="69" t="s">
        <v>213</v>
      </c>
      <c r="F1011" s="69" t="s">
        <v>154</v>
      </c>
      <c r="G1011" s="69" t="s">
        <v>225</v>
      </c>
      <c r="H1011" s="69" t="s">
        <v>2417</v>
      </c>
      <c r="I1011" s="69">
        <v>3</v>
      </c>
      <c r="J1011" s="238">
        <v>0.85</v>
      </c>
      <c r="K1011" s="238">
        <v>0</v>
      </c>
      <c r="L1011" s="69">
        <v>89.47409854633807</v>
      </c>
      <c r="M1011" s="69">
        <v>0</v>
      </c>
      <c r="N1011" s="69">
        <v>0</v>
      </c>
      <c r="O1011" s="69">
        <v>0</v>
      </c>
      <c r="P1011" s="69">
        <v>0</v>
      </c>
      <c r="Q1011" s="69">
        <v>372.29999999999927</v>
      </c>
      <c r="R1011" s="69">
        <v>372.29999999999927</v>
      </c>
      <c r="S1011" s="69">
        <v>372.29999999999927</v>
      </c>
      <c r="T1011" s="69">
        <v>372.29999999999927</v>
      </c>
      <c r="U1011" s="69">
        <v>372.29999999999927</v>
      </c>
      <c r="V1011" s="69">
        <v>372.29999999999927</v>
      </c>
      <c r="W1011" s="69">
        <v>372.29999999999927</v>
      </c>
      <c r="X1011" s="69">
        <v>372.29999999999927</v>
      </c>
      <c r="Y1011" s="69">
        <v>372.29999999999927</v>
      </c>
      <c r="Z1011" s="69">
        <v>372.29999999999927</v>
      </c>
      <c r="AA1011" s="69">
        <v>372.29999999999927</v>
      </c>
      <c r="AB1011" s="69">
        <v>372.29999999999927</v>
      </c>
      <c r="AC1011" s="69">
        <v>372.29999999999927</v>
      </c>
      <c r="AD1011" s="69">
        <v>372.29999999999927</v>
      </c>
      <c r="AE1011" s="69">
        <v>372.29999999999927</v>
      </c>
      <c r="AF1011" s="69">
        <v>372.29999999999927</v>
      </c>
      <c r="AG1011" s="69">
        <v>372.29999999999927</v>
      </c>
    </row>
    <row r="1012" spans="1:33" ht="12.75" customHeight="1">
      <c r="A1012" s="231" t="s">
        <v>2377</v>
      </c>
      <c r="B1012" s="69" t="s">
        <v>429</v>
      </c>
      <c r="C1012" s="69" t="s">
        <v>184</v>
      </c>
      <c r="D1012" s="69" t="s">
        <v>284</v>
      </c>
      <c r="E1012" s="69" t="s">
        <v>191</v>
      </c>
      <c r="F1012" s="69" t="s">
        <v>181</v>
      </c>
      <c r="G1012" s="69" t="s">
        <v>294</v>
      </c>
      <c r="H1012" s="69" t="s">
        <v>2417</v>
      </c>
      <c r="I1012" s="69">
        <v>3</v>
      </c>
      <c r="J1012" s="238">
        <v>0.85000000000000009</v>
      </c>
      <c r="K1012" s="238">
        <v>0</v>
      </c>
      <c r="L1012" s="69">
        <v>89.474098546338055</v>
      </c>
      <c r="M1012" s="69">
        <v>0</v>
      </c>
      <c r="N1012" s="69">
        <v>0</v>
      </c>
      <c r="O1012" s="69">
        <v>0</v>
      </c>
      <c r="P1012" s="69">
        <v>0</v>
      </c>
      <c r="Q1012" s="69">
        <v>157.81499999999869</v>
      </c>
      <c r="R1012" s="69">
        <v>157.81499999999869</v>
      </c>
      <c r="S1012" s="69">
        <v>157.81499999999869</v>
      </c>
      <c r="T1012" s="69">
        <v>157.81499999999869</v>
      </c>
      <c r="U1012" s="69">
        <v>157.81499999999869</v>
      </c>
      <c r="V1012" s="69">
        <v>157.81499999999869</v>
      </c>
      <c r="W1012" s="69">
        <v>157.81499999999869</v>
      </c>
      <c r="X1012" s="69">
        <v>157.81499999999869</v>
      </c>
      <c r="Y1012" s="69">
        <v>157.81499999999869</v>
      </c>
      <c r="Z1012" s="69">
        <v>157.81499999999869</v>
      </c>
      <c r="AA1012" s="69">
        <v>157.81499999999869</v>
      </c>
      <c r="AB1012" s="69">
        <v>157.81499999999869</v>
      </c>
      <c r="AC1012" s="69">
        <v>157.81499999999869</v>
      </c>
      <c r="AD1012" s="69">
        <v>157.81499999999869</v>
      </c>
      <c r="AE1012" s="69">
        <v>157.81499999999869</v>
      </c>
      <c r="AF1012" s="69">
        <v>157.81499999999869</v>
      </c>
      <c r="AG1012" s="69">
        <v>157.81499999999869</v>
      </c>
    </row>
    <row r="1013" spans="1:33" ht="12.75" customHeight="1">
      <c r="A1013" s="231" t="s">
        <v>2377</v>
      </c>
      <c r="B1013" s="69" t="s">
        <v>430</v>
      </c>
      <c r="C1013" s="69" t="s">
        <v>184</v>
      </c>
      <c r="D1013" s="69" t="s">
        <v>284</v>
      </c>
      <c r="E1013" s="69" t="s">
        <v>191</v>
      </c>
      <c r="F1013" s="69" t="s">
        <v>183</v>
      </c>
      <c r="G1013" s="69" t="s">
        <v>329</v>
      </c>
      <c r="H1013" s="69" t="s">
        <v>2417</v>
      </c>
      <c r="I1013" s="69">
        <v>3</v>
      </c>
      <c r="J1013" s="238">
        <v>0.85000000000000009</v>
      </c>
      <c r="K1013" s="238">
        <v>0</v>
      </c>
      <c r="L1013" s="69">
        <v>89.474098546338055</v>
      </c>
      <c r="M1013" s="69">
        <v>0</v>
      </c>
      <c r="N1013" s="69">
        <v>0</v>
      </c>
      <c r="O1013" s="69">
        <v>0</v>
      </c>
      <c r="P1013" s="69">
        <v>0</v>
      </c>
      <c r="Q1013" s="69">
        <v>15.78150000000096</v>
      </c>
      <c r="R1013" s="69">
        <v>15.78150000000096</v>
      </c>
      <c r="S1013" s="69">
        <v>15.78150000000096</v>
      </c>
      <c r="T1013" s="69">
        <v>15.78150000000096</v>
      </c>
      <c r="U1013" s="69">
        <v>15.78150000000096</v>
      </c>
      <c r="V1013" s="69">
        <v>15.78150000000096</v>
      </c>
      <c r="W1013" s="69">
        <v>15.78150000000096</v>
      </c>
      <c r="X1013" s="69">
        <v>15.78150000000096</v>
      </c>
      <c r="Y1013" s="69">
        <v>15.78150000000096</v>
      </c>
      <c r="Z1013" s="69">
        <v>15.78150000000096</v>
      </c>
      <c r="AA1013" s="69">
        <v>15.78150000000096</v>
      </c>
      <c r="AB1013" s="69">
        <v>15.78150000000096</v>
      </c>
      <c r="AC1013" s="69">
        <v>15.78150000000096</v>
      </c>
      <c r="AD1013" s="69">
        <v>15.78150000000096</v>
      </c>
      <c r="AE1013" s="69">
        <v>15.78150000000096</v>
      </c>
      <c r="AF1013" s="69">
        <v>15.78150000000096</v>
      </c>
      <c r="AG1013" s="69">
        <v>15.78150000000096</v>
      </c>
    </row>
    <row r="1014" spans="1:33" ht="12.75" customHeight="1">
      <c r="A1014" s="231" t="s">
        <v>2377</v>
      </c>
      <c r="B1014" s="69" t="s">
        <v>431</v>
      </c>
      <c r="C1014" s="69" t="s">
        <v>139</v>
      </c>
      <c r="D1014" s="69" t="s">
        <v>191</v>
      </c>
      <c r="E1014" s="69" t="s">
        <v>191</v>
      </c>
      <c r="F1014" s="69" t="s">
        <v>166</v>
      </c>
      <c r="G1014" s="69" t="s">
        <v>236</v>
      </c>
      <c r="H1014" s="69" t="s">
        <v>2417</v>
      </c>
      <c r="I1014" s="69">
        <v>3</v>
      </c>
      <c r="J1014" s="238">
        <v>0.8000000000000006</v>
      </c>
      <c r="K1014" s="238">
        <v>0.60506988845340159</v>
      </c>
      <c r="L1014" s="69">
        <v>128.44888729846562</v>
      </c>
      <c r="M1014" s="69">
        <v>0</v>
      </c>
      <c r="N1014" s="69">
        <v>0</v>
      </c>
      <c r="O1014" s="69">
        <v>0</v>
      </c>
      <c r="P1014" s="69">
        <v>0</v>
      </c>
      <c r="Q1014" s="69">
        <v>0</v>
      </c>
      <c r="R1014" s="69">
        <v>78.559799999999086</v>
      </c>
      <c r="S1014" s="69">
        <v>78.559799999999086</v>
      </c>
      <c r="T1014" s="69">
        <v>78.559799999999086</v>
      </c>
      <c r="U1014" s="69">
        <v>78.559799999999086</v>
      </c>
      <c r="V1014" s="69">
        <v>78.559799999999086</v>
      </c>
      <c r="W1014" s="69">
        <v>78.559799999999086</v>
      </c>
      <c r="X1014" s="69">
        <v>78.559799999999086</v>
      </c>
      <c r="Y1014" s="69">
        <v>78.559799999999086</v>
      </c>
      <c r="Z1014" s="69">
        <v>78.559799999999086</v>
      </c>
      <c r="AA1014" s="69">
        <v>78.559799999999086</v>
      </c>
      <c r="AB1014" s="69">
        <v>78.559799999999086</v>
      </c>
      <c r="AC1014" s="69">
        <v>78.559799999999086</v>
      </c>
      <c r="AD1014" s="69">
        <v>78.559799999999086</v>
      </c>
      <c r="AE1014" s="69">
        <v>78.559799999999086</v>
      </c>
      <c r="AF1014" s="69">
        <v>78.559799999999086</v>
      </c>
      <c r="AG1014" s="69">
        <v>78.559799999999086</v>
      </c>
    </row>
    <row r="1015" spans="1:33" ht="12.75" customHeight="1">
      <c r="A1015" s="231" t="s">
        <v>2377</v>
      </c>
      <c r="B1015" s="69" t="s">
        <v>432</v>
      </c>
      <c r="C1015" s="69" t="s">
        <v>139</v>
      </c>
      <c r="D1015" s="69" t="s">
        <v>191</v>
      </c>
      <c r="E1015" s="69" t="s">
        <v>191</v>
      </c>
      <c r="F1015" s="69" t="s">
        <v>166</v>
      </c>
      <c r="G1015" s="69" t="s">
        <v>236</v>
      </c>
      <c r="H1015" s="69" t="s">
        <v>2417</v>
      </c>
      <c r="I1015" s="69">
        <v>3</v>
      </c>
      <c r="J1015" s="238">
        <v>0.8000000000000006</v>
      </c>
      <c r="K1015" s="238">
        <v>0.60506988845340159</v>
      </c>
      <c r="L1015" s="69">
        <v>128.44888729846562</v>
      </c>
      <c r="M1015" s="69">
        <v>0</v>
      </c>
      <c r="N1015" s="69">
        <v>0</v>
      </c>
      <c r="O1015" s="69">
        <v>0</v>
      </c>
      <c r="P1015" s="69">
        <v>0</v>
      </c>
      <c r="Q1015" s="69">
        <v>0</v>
      </c>
      <c r="R1015" s="69">
        <v>100.77040000000125</v>
      </c>
      <c r="S1015" s="69">
        <v>100.77040000000125</v>
      </c>
      <c r="T1015" s="69">
        <v>100.77040000000125</v>
      </c>
      <c r="U1015" s="69">
        <v>100.77040000000125</v>
      </c>
      <c r="V1015" s="69">
        <v>100.77040000000125</v>
      </c>
      <c r="W1015" s="69">
        <v>100.77040000000125</v>
      </c>
      <c r="X1015" s="69">
        <v>100.77040000000125</v>
      </c>
      <c r="Y1015" s="69">
        <v>100.77040000000125</v>
      </c>
      <c r="Z1015" s="69">
        <v>100.77040000000125</v>
      </c>
      <c r="AA1015" s="69">
        <v>100.77040000000125</v>
      </c>
      <c r="AB1015" s="69">
        <v>100.77040000000125</v>
      </c>
      <c r="AC1015" s="69">
        <v>100.77040000000125</v>
      </c>
      <c r="AD1015" s="69">
        <v>100.77040000000125</v>
      </c>
      <c r="AE1015" s="69">
        <v>100.77040000000125</v>
      </c>
      <c r="AF1015" s="69">
        <v>100.77040000000125</v>
      </c>
      <c r="AG1015" s="69">
        <v>100.77040000000125</v>
      </c>
    </row>
    <row r="1016" spans="1:33" ht="12.75" customHeight="1">
      <c r="A1016" s="231" t="s">
        <v>2377</v>
      </c>
      <c r="B1016" s="69" t="s">
        <v>433</v>
      </c>
      <c r="C1016" s="69" t="s">
        <v>136</v>
      </c>
      <c r="D1016" s="69" t="s">
        <v>191</v>
      </c>
      <c r="E1016" s="69" t="s">
        <v>191</v>
      </c>
      <c r="F1016" s="69" t="s">
        <v>166</v>
      </c>
      <c r="G1016" s="69" t="s">
        <v>236</v>
      </c>
      <c r="H1016" s="69" t="s">
        <v>2417</v>
      </c>
      <c r="I1016" s="69">
        <v>3</v>
      </c>
      <c r="J1016" s="238">
        <v>0.88915599686438651</v>
      </c>
      <c r="K1016" s="238">
        <v>0.66007624194916525</v>
      </c>
      <c r="L1016" s="69">
        <v>104.77486665961121</v>
      </c>
      <c r="M1016" s="69">
        <v>0</v>
      </c>
      <c r="N1016" s="69">
        <v>0</v>
      </c>
      <c r="O1016" s="69">
        <v>0</v>
      </c>
      <c r="P1016" s="69">
        <v>0</v>
      </c>
      <c r="Q1016" s="69">
        <v>0</v>
      </c>
      <c r="R1016" s="69">
        <v>155.78009999999995</v>
      </c>
      <c r="S1016" s="69">
        <v>155.78009999999995</v>
      </c>
      <c r="T1016" s="69">
        <v>155.78009999999995</v>
      </c>
      <c r="U1016" s="69">
        <v>155.78009999999995</v>
      </c>
      <c r="V1016" s="69">
        <v>155.78009999999995</v>
      </c>
      <c r="W1016" s="69">
        <v>155.78009999999995</v>
      </c>
      <c r="X1016" s="69">
        <v>155.78009999999995</v>
      </c>
      <c r="Y1016" s="69">
        <v>155.78009999999995</v>
      </c>
      <c r="Z1016" s="69">
        <v>155.78009999999995</v>
      </c>
      <c r="AA1016" s="69">
        <v>155.78009999999995</v>
      </c>
      <c r="AB1016" s="69">
        <v>155.78009999999995</v>
      </c>
      <c r="AC1016" s="69">
        <v>155.78009999999995</v>
      </c>
      <c r="AD1016" s="69">
        <v>155.78009999999995</v>
      </c>
      <c r="AE1016" s="69">
        <v>155.78009999999995</v>
      </c>
      <c r="AF1016" s="69">
        <v>155.78009999999995</v>
      </c>
      <c r="AG1016" s="69">
        <v>155.78009999999995</v>
      </c>
    </row>
    <row r="1017" spans="1:33" ht="12.75" customHeight="1">
      <c r="A1017" s="231" t="s">
        <v>2377</v>
      </c>
      <c r="B1017" s="69" t="s">
        <v>434</v>
      </c>
      <c r="C1017" s="69" t="s">
        <v>18</v>
      </c>
      <c r="D1017" s="69" t="s">
        <v>325</v>
      </c>
      <c r="E1017" s="69" t="s">
        <v>191</v>
      </c>
      <c r="F1017" s="69" t="s">
        <v>168</v>
      </c>
      <c r="G1017" s="69" t="s">
        <v>199</v>
      </c>
      <c r="H1017" s="69" t="s">
        <v>2417</v>
      </c>
      <c r="I1017" s="69">
        <v>3</v>
      </c>
      <c r="J1017" s="238">
        <v>0.35</v>
      </c>
      <c r="K1017" s="238">
        <v>0</v>
      </c>
      <c r="L1017" s="69">
        <v>138.25605240552332</v>
      </c>
      <c r="M1017" s="69">
        <v>0</v>
      </c>
      <c r="N1017" s="69">
        <v>0</v>
      </c>
      <c r="O1017" s="69">
        <v>0</v>
      </c>
      <c r="P1017" s="69">
        <v>0</v>
      </c>
      <c r="Q1017" s="69">
        <v>0</v>
      </c>
      <c r="R1017" s="69">
        <v>30.659999999999854</v>
      </c>
      <c r="S1017" s="69">
        <v>30.659999999999854</v>
      </c>
      <c r="T1017" s="69">
        <v>30.659999999999854</v>
      </c>
      <c r="U1017" s="69">
        <v>30.659999999999854</v>
      </c>
      <c r="V1017" s="69">
        <v>30.659999999999854</v>
      </c>
      <c r="W1017" s="69">
        <v>30.659999999999854</v>
      </c>
      <c r="X1017" s="69">
        <v>30.659999999999854</v>
      </c>
      <c r="Y1017" s="69">
        <v>30.659999999999854</v>
      </c>
      <c r="Z1017" s="69">
        <v>30.659999999999854</v>
      </c>
      <c r="AA1017" s="69">
        <v>30.659999999999854</v>
      </c>
      <c r="AB1017" s="69">
        <v>30.659999999999854</v>
      </c>
      <c r="AC1017" s="69">
        <v>30.659999999999854</v>
      </c>
      <c r="AD1017" s="69">
        <v>30.659999999999854</v>
      </c>
      <c r="AE1017" s="69">
        <v>30.659999999999854</v>
      </c>
      <c r="AF1017" s="69">
        <v>30.659999999999854</v>
      </c>
      <c r="AG1017" s="69">
        <v>30.659999999999854</v>
      </c>
    </row>
    <row r="1018" spans="1:33" ht="12.75" customHeight="1">
      <c r="A1018" s="231" t="s">
        <v>2377</v>
      </c>
      <c r="B1018" s="69" t="s">
        <v>435</v>
      </c>
      <c r="C1018" s="69" t="s">
        <v>18</v>
      </c>
      <c r="D1018" s="69" t="s">
        <v>325</v>
      </c>
      <c r="E1018" s="69" t="s">
        <v>191</v>
      </c>
      <c r="F1018" s="69" t="s">
        <v>168</v>
      </c>
      <c r="G1018" s="69" t="s">
        <v>199</v>
      </c>
      <c r="H1018" s="69" t="s">
        <v>2417</v>
      </c>
      <c r="I1018" s="69">
        <v>3</v>
      </c>
      <c r="J1018" s="238">
        <v>0.35</v>
      </c>
      <c r="K1018" s="238">
        <v>0</v>
      </c>
      <c r="L1018" s="69">
        <v>165.41597555631705</v>
      </c>
      <c r="M1018" s="69">
        <v>0</v>
      </c>
      <c r="N1018" s="69">
        <v>0</v>
      </c>
      <c r="O1018" s="69">
        <v>0</v>
      </c>
      <c r="P1018" s="69">
        <v>0</v>
      </c>
      <c r="Q1018" s="69">
        <v>0</v>
      </c>
      <c r="R1018" s="69">
        <v>17.936099999998987</v>
      </c>
      <c r="S1018" s="69">
        <v>17.936099999998987</v>
      </c>
      <c r="T1018" s="69">
        <v>17.936099999998987</v>
      </c>
      <c r="U1018" s="69">
        <v>17.936099999998987</v>
      </c>
      <c r="V1018" s="69">
        <v>17.936099999998987</v>
      </c>
      <c r="W1018" s="69">
        <v>17.936099999998987</v>
      </c>
      <c r="X1018" s="69">
        <v>17.936099999998987</v>
      </c>
      <c r="Y1018" s="69">
        <v>17.936099999998987</v>
      </c>
      <c r="Z1018" s="69">
        <v>17.936099999998987</v>
      </c>
      <c r="AA1018" s="69">
        <v>17.936099999998987</v>
      </c>
      <c r="AB1018" s="69">
        <v>17.936099999998987</v>
      </c>
      <c r="AC1018" s="69">
        <v>17.936099999998987</v>
      </c>
      <c r="AD1018" s="69">
        <v>17.936099999998987</v>
      </c>
      <c r="AE1018" s="69">
        <v>17.936099999998987</v>
      </c>
      <c r="AF1018" s="69">
        <v>17.936099999998987</v>
      </c>
      <c r="AG1018" s="69">
        <v>17.936099999998987</v>
      </c>
    </row>
    <row r="1019" spans="1:33" ht="12.75" customHeight="1">
      <c r="A1019" s="231" t="s">
        <v>2377</v>
      </c>
      <c r="B1019" s="69" t="s">
        <v>436</v>
      </c>
      <c r="C1019" s="69" t="s">
        <v>18</v>
      </c>
      <c r="D1019" s="69" t="s">
        <v>325</v>
      </c>
      <c r="E1019" s="69" t="s">
        <v>191</v>
      </c>
      <c r="F1019" s="69" t="s">
        <v>168</v>
      </c>
      <c r="G1019" s="69" t="s">
        <v>199</v>
      </c>
      <c r="H1019" s="69" t="s">
        <v>2417</v>
      </c>
      <c r="I1019" s="69">
        <v>3</v>
      </c>
      <c r="J1019" s="238">
        <v>0.53</v>
      </c>
      <c r="K1019" s="238">
        <v>0</v>
      </c>
      <c r="L1019" s="69">
        <v>143.62914683584694</v>
      </c>
      <c r="M1019" s="69">
        <v>0</v>
      </c>
      <c r="N1019" s="69">
        <v>0</v>
      </c>
      <c r="O1019" s="69">
        <v>0</v>
      </c>
      <c r="P1019" s="69">
        <v>0</v>
      </c>
      <c r="Q1019" s="69">
        <v>0</v>
      </c>
      <c r="R1019" s="69">
        <v>41.78519999999844</v>
      </c>
      <c r="S1019" s="69">
        <v>41.78519999999844</v>
      </c>
      <c r="T1019" s="69">
        <v>41.78519999999844</v>
      </c>
      <c r="U1019" s="69">
        <v>41.78519999999844</v>
      </c>
      <c r="V1019" s="69">
        <v>41.78519999999844</v>
      </c>
      <c r="W1019" s="69">
        <v>41.78519999999844</v>
      </c>
      <c r="X1019" s="69">
        <v>41.78519999999844</v>
      </c>
      <c r="Y1019" s="69">
        <v>41.78519999999844</v>
      </c>
      <c r="Z1019" s="69">
        <v>41.78519999999844</v>
      </c>
      <c r="AA1019" s="69">
        <v>41.78519999999844</v>
      </c>
      <c r="AB1019" s="69">
        <v>41.78519999999844</v>
      </c>
      <c r="AC1019" s="69">
        <v>41.78519999999844</v>
      </c>
      <c r="AD1019" s="69">
        <v>41.78519999999844</v>
      </c>
      <c r="AE1019" s="69">
        <v>41.78519999999844</v>
      </c>
      <c r="AF1019" s="69">
        <v>41.78519999999844</v>
      </c>
      <c r="AG1019" s="69">
        <v>41.78519999999844</v>
      </c>
    </row>
    <row r="1020" spans="1:33" ht="12.75" customHeight="1">
      <c r="A1020" s="231" t="s">
        <v>2377</v>
      </c>
      <c r="B1020" s="69" t="s">
        <v>437</v>
      </c>
      <c r="C1020" s="69" t="s">
        <v>18</v>
      </c>
      <c r="D1020" s="69" t="s">
        <v>325</v>
      </c>
      <c r="E1020" s="69" t="s">
        <v>191</v>
      </c>
      <c r="F1020" s="69" t="s">
        <v>168</v>
      </c>
      <c r="G1020" s="69" t="s">
        <v>199</v>
      </c>
      <c r="H1020" s="69" t="s">
        <v>2417</v>
      </c>
      <c r="I1020" s="69">
        <v>3</v>
      </c>
      <c r="J1020" s="238">
        <v>0.38</v>
      </c>
      <c r="K1020" s="238">
        <v>0</v>
      </c>
      <c r="L1020" s="69">
        <v>135.52593137852463</v>
      </c>
      <c r="M1020" s="69">
        <v>0</v>
      </c>
      <c r="N1020" s="69">
        <v>0</v>
      </c>
      <c r="O1020" s="69">
        <v>0</v>
      </c>
      <c r="P1020" s="69">
        <v>0</v>
      </c>
      <c r="Q1020" s="69">
        <v>0</v>
      </c>
      <c r="R1020" s="69">
        <v>56.589599999999336</v>
      </c>
      <c r="S1020" s="69">
        <v>56.589599999999336</v>
      </c>
      <c r="T1020" s="69">
        <v>56.589599999999336</v>
      </c>
      <c r="U1020" s="69">
        <v>56.589599999999336</v>
      </c>
      <c r="V1020" s="69">
        <v>56.589599999999336</v>
      </c>
      <c r="W1020" s="69">
        <v>56.589599999999336</v>
      </c>
      <c r="X1020" s="69">
        <v>56.589599999999336</v>
      </c>
      <c r="Y1020" s="69">
        <v>56.589599999999336</v>
      </c>
      <c r="Z1020" s="69">
        <v>56.589599999999336</v>
      </c>
      <c r="AA1020" s="69">
        <v>56.589599999999336</v>
      </c>
      <c r="AB1020" s="69">
        <v>56.589599999999336</v>
      </c>
      <c r="AC1020" s="69">
        <v>56.589599999999336</v>
      </c>
      <c r="AD1020" s="69">
        <v>56.589599999999336</v>
      </c>
      <c r="AE1020" s="69">
        <v>56.589599999999336</v>
      </c>
      <c r="AF1020" s="69">
        <v>56.589599999999336</v>
      </c>
      <c r="AG1020" s="69">
        <v>56.589599999999336</v>
      </c>
    </row>
    <row r="1021" spans="1:33" ht="12.75" customHeight="1">
      <c r="A1021" s="231" t="s">
        <v>2377</v>
      </c>
      <c r="B1021" s="69" t="s">
        <v>438</v>
      </c>
      <c r="C1021" s="69" t="s">
        <v>18</v>
      </c>
      <c r="D1021" s="69" t="s">
        <v>325</v>
      </c>
      <c r="E1021" s="69" t="s">
        <v>191</v>
      </c>
      <c r="F1021" s="69" t="s">
        <v>168</v>
      </c>
      <c r="G1021" s="69" t="s">
        <v>199</v>
      </c>
      <c r="H1021" s="69" t="s">
        <v>2417</v>
      </c>
      <c r="I1021" s="69">
        <v>3</v>
      </c>
      <c r="J1021" s="238">
        <v>0.39</v>
      </c>
      <c r="K1021" s="238">
        <v>0</v>
      </c>
      <c r="L1021" s="69">
        <v>130.38197748302079</v>
      </c>
      <c r="M1021" s="69">
        <v>0</v>
      </c>
      <c r="N1021" s="69">
        <v>0</v>
      </c>
      <c r="O1021" s="69">
        <v>0</v>
      </c>
      <c r="P1021" s="69">
        <v>0</v>
      </c>
      <c r="Q1021" s="69">
        <v>0</v>
      </c>
      <c r="R1021" s="69">
        <v>37.819500000001426</v>
      </c>
      <c r="S1021" s="69">
        <v>37.819500000001426</v>
      </c>
      <c r="T1021" s="69">
        <v>37.819500000001426</v>
      </c>
      <c r="U1021" s="69">
        <v>37.819500000001426</v>
      </c>
      <c r="V1021" s="69">
        <v>37.819500000001426</v>
      </c>
      <c r="W1021" s="69">
        <v>37.819500000001426</v>
      </c>
      <c r="X1021" s="69">
        <v>37.819500000001426</v>
      </c>
      <c r="Y1021" s="69">
        <v>37.819500000001426</v>
      </c>
      <c r="Z1021" s="69">
        <v>37.819500000001426</v>
      </c>
      <c r="AA1021" s="69">
        <v>37.819500000001426</v>
      </c>
      <c r="AB1021" s="69">
        <v>37.819500000001426</v>
      </c>
      <c r="AC1021" s="69">
        <v>37.819500000001426</v>
      </c>
      <c r="AD1021" s="69">
        <v>37.819500000001426</v>
      </c>
      <c r="AE1021" s="69">
        <v>37.819500000001426</v>
      </c>
      <c r="AF1021" s="69">
        <v>37.819500000001426</v>
      </c>
      <c r="AG1021" s="69">
        <v>37.819500000001426</v>
      </c>
    </row>
    <row r="1022" spans="1:33" ht="12.75" customHeight="1">
      <c r="A1022" s="231" t="s">
        <v>2377</v>
      </c>
      <c r="B1022" s="69" t="s">
        <v>439</v>
      </c>
      <c r="C1022" s="69" t="s">
        <v>18</v>
      </c>
      <c r="D1022" s="69" t="s">
        <v>325</v>
      </c>
      <c r="E1022" s="69" t="s">
        <v>191</v>
      </c>
      <c r="F1022" s="69" t="s">
        <v>168</v>
      </c>
      <c r="G1022" s="69" t="s">
        <v>199</v>
      </c>
      <c r="H1022" s="69" t="s">
        <v>2417</v>
      </c>
      <c r="I1022" s="69">
        <v>3</v>
      </c>
      <c r="J1022" s="238">
        <v>0.4</v>
      </c>
      <c r="K1022" s="238">
        <v>0</v>
      </c>
      <c r="L1022" s="69">
        <v>124.7772475019504</v>
      </c>
      <c r="M1022" s="69">
        <v>0</v>
      </c>
      <c r="N1022" s="69">
        <v>0</v>
      </c>
      <c r="O1022" s="69">
        <v>0</v>
      </c>
      <c r="P1022" s="69">
        <v>0</v>
      </c>
      <c r="Q1022" s="69">
        <v>0</v>
      </c>
      <c r="R1022" s="69">
        <v>17.520000000000437</v>
      </c>
      <c r="S1022" s="69">
        <v>17.520000000000437</v>
      </c>
      <c r="T1022" s="69">
        <v>17.520000000000437</v>
      </c>
      <c r="U1022" s="69">
        <v>17.520000000000437</v>
      </c>
      <c r="V1022" s="69">
        <v>17.520000000000437</v>
      </c>
      <c r="W1022" s="69">
        <v>17.520000000000437</v>
      </c>
      <c r="X1022" s="69">
        <v>17.520000000000437</v>
      </c>
      <c r="Y1022" s="69">
        <v>17.520000000000437</v>
      </c>
      <c r="Z1022" s="69">
        <v>17.520000000000437</v>
      </c>
      <c r="AA1022" s="69">
        <v>17.520000000000437</v>
      </c>
      <c r="AB1022" s="69">
        <v>17.520000000000437</v>
      </c>
      <c r="AC1022" s="69">
        <v>17.520000000000437</v>
      </c>
      <c r="AD1022" s="69">
        <v>17.520000000000437</v>
      </c>
      <c r="AE1022" s="69">
        <v>17.520000000000437</v>
      </c>
      <c r="AF1022" s="69">
        <v>17.520000000000437</v>
      </c>
      <c r="AG1022" s="69">
        <v>17.520000000000437</v>
      </c>
    </row>
    <row r="1023" spans="1:33" ht="12.75" customHeight="1">
      <c r="A1023" s="231" t="s">
        <v>2377</v>
      </c>
      <c r="B1023" s="69" t="s">
        <v>440</v>
      </c>
      <c r="C1023" s="69" t="s">
        <v>18</v>
      </c>
      <c r="D1023" s="69" t="s">
        <v>325</v>
      </c>
      <c r="E1023" s="69" t="s">
        <v>191</v>
      </c>
      <c r="F1023" s="69" t="s">
        <v>168</v>
      </c>
      <c r="G1023" s="69" t="s">
        <v>199</v>
      </c>
      <c r="H1023" s="69" t="s">
        <v>2417</v>
      </c>
      <c r="I1023" s="69">
        <v>3</v>
      </c>
      <c r="J1023" s="238">
        <v>0.45</v>
      </c>
      <c r="K1023" s="238">
        <v>0</v>
      </c>
      <c r="L1023" s="69">
        <v>174.48285143430195</v>
      </c>
      <c r="M1023" s="69">
        <v>0</v>
      </c>
      <c r="N1023" s="69">
        <v>0</v>
      </c>
      <c r="O1023" s="69">
        <v>0</v>
      </c>
      <c r="P1023" s="69">
        <v>0</v>
      </c>
      <c r="Q1023" s="69">
        <v>0</v>
      </c>
      <c r="R1023" s="69">
        <v>7.8839999999981956</v>
      </c>
      <c r="S1023" s="69">
        <v>7.8839999999981956</v>
      </c>
      <c r="T1023" s="69">
        <v>7.8839999999981956</v>
      </c>
      <c r="U1023" s="69">
        <v>7.8839999999981956</v>
      </c>
      <c r="V1023" s="69">
        <v>7.8839999999981956</v>
      </c>
      <c r="W1023" s="69">
        <v>7.8839999999981956</v>
      </c>
      <c r="X1023" s="69">
        <v>7.8839999999981956</v>
      </c>
      <c r="Y1023" s="69">
        <v>7.8839999999981956</v>
      </c>
      <c r="Z1023" s="69">
        <v>7.8839999999981956</v>
      </c>
      <c r="AA1023" s="69">
        <v>7.8839999999981956</v>
      </c>
      <c r="AB1023" s="69">
        <v>7.8839999999981956</v>
      </c>
      <c r="AC1023" s="69">
        <v>7.8839999999981956</v>
      </c>
      <c r="AD1023" s="69">
        <v>7.8839999999981956</v>
      </c>
      <c r="AE1023" s="69">
        <v>7.8839999999981956</v>
      </c>
      <c r="AF1023" s="69">
        <v>7.8839999999981956</v>
      </c>
      <c r="AG1023" s="69">
        <v>7.8839999999981956</v>
      </c>
    </row>
    <row r="1024" spans="1:33" ht="12.75" customHeight="1">
      <c r="A1024" s="231" t="s">
        <v>2377</v>
      </c>
      <c r="B1024" s="69" t="s">
        <v>441</v>
      </c>
      <c r="C1024" s="69" t="s">
        <v>18</v>
      </c>
      <c r="D1024" s="69" t="s">
        <v>325</v>
      </c>
      <c r="E1024" s="69" t="s">
        <v>191</v>
      </c>
      <c r="F1024" s="69" t="s">
        <v>168</v>
      </c>
      <c r="G1024" s="69" t="s">
        <v>199</v>
      </c>
      <c r="H1024" s="69" t="s">
        <v>2417</v>
      </c>
      <c r="I1024" s="69">
        <v>3</v>
      </c>
      <c r="J1024" s="238">
        <v>0.23</v>
      </c>
      <c r="K1024" s="238">
        <v>0</v>
      </c>
      <c r="L1024" s="69">
        <v>312.7564925473925</v>
      </c>
      <c r="M1024" s="69">
        <v>0</v>
      </c>
      <c r="N1024" s="69">
        <v>0</v>
      </c>
      <c r="O1024" s="69">
        <v>0</v>
      </c>
      <c r="P1024" s="69">
        <v>0</v>
      </c>
      <c r="Q1024" s="69">
        <v>0</v>
      </c>
      <c r="R1024" s="69">
        <v>40.295999999998457</v>
      </c>
      <c r="S1024" s="69">
        <v>40.295999999998457</v>
      </c>
      <c r="T1024" s="69">
        <v>40.295999999998457</v>
      </c>
      <c r="U1024" s="69">
        <v>40.295999999998457</v>
      </c>
      <c r="V1024" s="69">
        <v>40.295999999998457</v>
      </c>
      <c r="W1024" s="69">
        <v>40.295999999998457</v>
      </c>
      <c r="X1024" s="69">
        <v>40.295999999998457</v>
      </c>
      <c r="Y1024" s="69">
        <v>40.295999999998457</v>
      </c>
      <c r="Z1024" s="69">
        <v>40.295999999998457</v>
      </c>
      <c r="AA1024" s="69">
        <v>40.295999999998457</v>
      </c>
      <c r="AB1024" s="69">
        <v>40.295999999998457</v>
      </c>
      <c r="AC1024" s="69">
        <v>40.295999999998457</v>
      </c>
      <c r="AD1024" s="69">
        <v>40.295999999998457</v>
      </c>
      <c r="AE1024" s="69">
        <v>40.295999999998457</v>
      </c>
      <c r="AF1024" s="69">
        <v>40.295999999998457</v>
      </c>
      <c r="AG1024" s="69">
        <v>40.295999999998457</v>
      </c>
    </row>
    <row r="1025" spans="1:33" ht="12.75" customHeight="1">
      <c r="A1025" s="231" t="s">
        <v>2377</v>
      </c>
      <c r="B1025" s="69" t="s">
        <v>442</v>
      </c>
      <c r="C1025" s="69" t="s">
        <v>18</v>
      </c>
      <c r="D1025" s="69" t="s">
        <v>325</v>
      </c>
      <c r="E1025" s="69" t="s">
        <v>191</v>
      </c>
      <c r="F1025" s="69" t="s">
        <v>168</v>
      </c>
      <c r="G1025" s="69" t="s">
        <v>199</v>
      </c>
      <c r="H1025" s="69" t="s">
        <v>2417</v>
      </c>
      <c r="I1025" s="69">
        <v>3</v>
      </c>
      <c r="J1025" s="238">
        <v>0.24</v>
      </c>
      <c r="K1025" s="238">
        <v>0</v>
      </c>
      <c r="L1025" s="69">
        <v>358.77991895896548</v>
      </c>
      <c r="M1025" s="69">
        <v>0</v>
      </c>
      <c r="N1025" s="69">
        <v>0</v>
      </c>
      <c r="O1025" s="69">
        <v>0</v>
      </c>
      <c r="P1025" s="69">
        <v>0</v>
      </c>
      <c r="Q1025" s="69">
        <v>0</v>
      </c>
      <c r="R1025" s="69">
        <v>31.536000000000058</v>
      </c>
      <c r="S1025" s="69">
        <v>31.536000000000058</v>
      </c>
      <c r="T1025" s="69">
        <v>31.536000000000058</v>
      </c>
      <c r="U1025" s="69">
        <v>31.536000000000058</v>
      </c>
      <c r="V1025" s="69">
        <v>31.536000000000058</v>
      </c>
      <c r="W1025" s="69">
        <v>31.536000000000058</v>
      </c>
      <c r="X1025" s="69">
        <v>31.536000000000058</v>
      </c>
      <c r="Y1025" s="69">
        <v>31.536000000000058</v>
      </c>
      <c r="Z1025" s="69">
        <v>31.536000000000058</v>
      </c>
      <c r="AA1025" s="69">
        <v>31.536000000000058</v>
      </c>
      <c r="AB1025" s="69">
        <v>31.536000000000058</v>
      </c>
      <c r="AC1025" s="69">
        <v>31.536000000000058</v>
      </c>
      <c r="AD1025" s="69">
        <v>31.536000000000058</v>
      </c>
      <c r="AE1025" s="69">
        <v>31.536000000000058</v>
      </c>
      <c r="AF1025" s="69">
        <v>31.536000000000058</v>
      </c>
      <c r="AG1025" s="69">
        <v>31.536000000000058</v>
      </c>
    </row>
    <row r="1026" spans="1:33" ht="12.75" customHeight="1">
      <c r="A1026" s="231" t="s">
        <v>2377</v>
      </c>
      <c r="B1026" s="69" t="s">
        <v>443</v>
      </c>
      <c r="C1026" s="69" t="s">
        <v>18</v>
      </c>
      <c r="D1026" s="69" t="s">
        <v>325</v>
      </c>
      <c r="E1026" s="69" t="s">
        <v>191</v>
      </c>
      <c r="F1026" s="69" t="s">
        <v>168</v>
      </c>
      <c r="G1026" s="69" t="s">
        <v>199</v>
      </c>
      <c r="H1026" s="69" t="s">
        <v>2417</v>
      </c>
      <c r="I1026" s="69">
        <v>3</v>
      </c>
      <c r="J1026" s="238">
        <v>0.4</v>
      </c>
      <c r="K1026" s="238">
        <v>0</v>
      </c>
      <c r="L1026" s="69">
        <v>206.88569300488004</v>
      </c>
      <c r="M1026" s="69">
        <v>0</v>
      </c>
      <c r="N1026" s="69">
        <v>0</v>
      </c>
      <c r="O1026" s="69">
        <v>0</v>
      </c>
      <c r="P1026" s="69">
        <v>0</v>
      </c>
      <c r="Q1026" s="69">
        <v>0</v>
      </c>
      <c r="R1026" s="69">
        <v>5.9567999999999302</v>
      </c>
      <c r="S1026" s="69">
        <v>5.9567999999999302</v>
      </c>
      <c r="T1026" s="69">
        <v>5.9567999999999302</v>
      </c>
      <c r="U1026" s="69">
        <v>5.9567999999999302</v>
      </c>
      <c r="V1026" s="69">
        <v>5.9567999999999302</v>
      </c>
      <c r="W1026" s="69">
        <v>5.9567999999999302</v>
      </c>
      <c r="X1026" s="69">
        <v>5.9567999999999302</v>
      </c>
      <c r="Y1026" s="69">
        <v>5.9567999999999302</v>
      </c>
      <c r="Z1026" s="69">
        <v>5.9567999999999302</v>
      </c>
      <c r="AA1026" s="69">
        <v>5.9567999999999302</v>
      </c>
      <c r="AB1026" s="69">
        <v>5.9567999999999302</v>
      </c>
      <c r="AC1026" s="69">
        <v>5.9567999999999302</v>
      </c>
      <c r="AD1026" s="69">
        <v>5.9567999999999302</v>
      </c>
      <c r="AE1026" s="69">
        <v>5.9567999999999302</v>
      </c>
      <c r="AF1026" s="69">
        <v>5.9567999999999302</v>
      </c>
      <c r="AG1026" s="69">
        <v>5.9567999999999302</v>
      </c>
    </row>
    <row r="1027" spans="1:33" ht="12.75" customHeight="1">
      <c r="A1027" s="231" t="s">
        <v>2377</v>
      </c>
      <c r="B1027" s="69" t="s">
        <v>444</v>
      </c>
      <c r="C1027" s="69" t="s">
        <v>18</v>
      </c>
      <c r="D1027" s="69" t="s">
        <v>325</v>
      </c>
      <c r="E1027" s="69" t="s">
        <v>191</v>
      </c>
      <c r="F1027" s="69" t="s">
        <v>168</v>
      </c>
      <c r="G1027" s="69" t="s">
        <v>199</v>
      </c>
      <c r="H1027" s="69" t="s">
        <v>2417</v>
      </c>
      <c r="I1027" s="69">
        <v>3</v>
      </c>
      <c r="J1027" s="238">
        <v>0.4</v>
      </c>
      <c r="K1027" s="238">
        <v>0</v>
      </c>
      <c r="L1027" s="69">
        <v>192.71250574062856</v>
      </c>
      <c r="M1027" s="69">
        <v>0</v>
      </c>
      <c r="N1027" s="69">
        <v>0</v>
      </c>
      <c r="O1027" s="69">
        <v>0</v>
      </c>
      <c r="P1027" s="69">
        <v>0</v>
      </c>
      <c r="Q1027" s="69">
        <v>0</v>
      </c>
      <c r="R1027" s="69">
        <v>5.8165999999982887</v>
      </c>
      <c r="S1027" s="69">
        <v>5.8165999999982887</v>
      </c>
      <c r="T1027" s="69">
        <v>5.8165999999982887</v>
      </c>
      <c r="U1027" s="69">
        <v>5.8165999999982887</v>
      </c>
      <c r="V1027" s="69">
        <v>5.8165999999982887</v>
      </c>
      <c r="W1027" s="69">
        <v>5.8165999999982887</v>
      </c>
      <c r="X1027" s="69">
        <v>5.8165999999982887</v>
      </c>
      <c r="Y1027" s="69">
        <v>5.8165999999982887</v>
      </c>
      <c r="Z1027" s="69">
        <v>5.8165999999982887</v>
      </c>
      <c r="AA1027" s="69">
        <v>5.8165999999982887</v>
      </c>
      <c r="AB1027" s="69">
        <v>5.8165999999982887</v>
      </c>
      <c r="AC1027" s="69">
        <v>5.8165999999982887</v>
      </c>
      <c r="AD1027" s="69">
        <v>5.8165999999982887</v>
      </c>
      <c r="AE1027" s="69">
        <v>5.8165999999982887</v>
      </c>
      <c r="AF1027" s="69">
        <v>5.8165999999982887</v>
      </c>
      <c r="AG1027" s="69">
        <v>5.8165999999982887</v>
      </c>
    </row>
    <row r="1028" spans="1:33" ht="12.75" customHeight="1">
      <c r="A1028" s="231" t="s">
        <v>2377</v>
      </c>
      <c r="B1028" s="69" t="s">
        <v>445</v>
      </c>
      <c r="C1028" s="69" t="s">
        <v>18</v>
      </c>
      <c r="D1028" s="69" t="s">
        <v>325</v>
      </c>
      <c r="E1028" s="69" t="s">
        <v>191</v>
      </c>
      <c r="F1028" s="69" t="s">
        <v>168</v>
      </c>
      <c r="G1028" s="69" t="s">
        <v>199</v>
      </c>
      <c r="H1028" s="69" t="s">
        <v>2417</v>
      </c>
      <c r="I1028" s="69">
        <v>3</v>
      </c>
      <c r="J1028" s="238">
        <v>0.39</v>
      </c>
      <c r="K1028" s="238">
        <v>0</v>
      </c>
      <c r="L1028" s="69">
        <v>198.73809165504156</v>
      </c>
      <c r="M1028" s="69">
        <v>0</v>
      </c>
      <c r="N1028" s="69">
        <v>0</v>
      </c>
      <c r="O1028" s="69">
        <v>0</v>
      </c>
      <c r="P1028" s="69">
        <v>0</v>
      </c>
      <c r="Q1028" s="69">
        <v>0</v>
      </c>
      <c r="R1028" s="69">
        <v>6.1494999999995343</v>
      </c>
      <c r="S1028" s="69">
        <v>6.1494999999995343</v>
      </c>
      <c r="T1028" s="69">
        <v>6.1494999999995343</v>
      </c>
      <c r="U1028" s="69">
        <v>6.1494999999995343</v>
      </c>
      <c r="V1028" s="69">
        <v>6.1494999999995343</v>
      </c>
      <c r="W1028" s="69">
        <v>6.1494999999995343</v>
      </c>
      <c r="X1028" s="69">
        <v>6.1494999999995343</v>
      </c>
      <c r="Y1028" s="69">
        <v>6.1494999999995343</v>
      </c>
      <c r="Z1028" s="69">
        <v>6.1494999999995343</v>
      </c>
      <c r="AA1028" s="69">
        <v>6.1494999999995343</v>
      </c>
      <c r="AB1028" s="69">
        <v>6.1494999999995343</v>
      </c>
      <c r="AC1028" s="69">
        <v>6.1494999999995343</v>
      </c>
      <c r="AD1028" s="69">
        <v>6.1494999999995343</v>
      </c>
      <c r="AE1028" s="69">
        <v>6.1494999999995343</v>
      </c>
      <c r="AF1028" s="69">
        <v>6.1494999999995343</v>
      </c>
      <c r="AG1028" s="69">
        <v>6.1494999999995343</v>
      </c>
    </row>
    <row r="1029" spans="1:33" ht="12.75" customHeight="1">
      <c r="A1029" s="231" t="s">
        <v>2377</v>
      </c>
      <c r="B1029" s="69" t="s">
        <v>446</v>
      </c>
      <c r="C1029" s="69" t="s">
        <v>18</v>
      </c>
      <c r="D1029" s="69" t="s">
        <v>325</v>
      </c>
      <c r="E1029" s="69" t="s">
        <v>191</v>
      </c>
      <c r="F1029" s="69" t="s">
        <v>168</v>
      </c>
      <c r="G1029" s="69" t="s">
        <v>199</v>
      </c>
      <c r="H1029" s="69" t="s">
        <v>2417</v>
      </c>
      <c r="I1029" s="69">
        <v>3</v>
      </c>
      <c r="J1029" s="238">
        <v>0.34</v>
      </c>
      <c r="K1029" s="238">
        <v>0</v>
      </c>
      <c r="L1029" s="69">
        <v>223.74339718085989</v>
      </c>
      <c r="M1029" s="69">
        <v>0</v>
      </c>
      <c r="N1029" s="69">
        <v>0</v>
      </c>
      <c r="O1029" s="69">
        <v>0</v>
      </c>
      <c r="P1029" s="69">
        <v>0</v>
      </c>
      <c r="Q1029" s="69">
        <v>0</v>
      </c>
      <c r="R1029" s="69">
        <v>8.547999999998865</v>
      </c>
      <c r="S1029" s="69">
        <v>8.547999999998865</v>
      </c>
      <c r="T1029" s="69">
        <v>8.547999999998865</v>
      </c>
      <c r="U1029" s="69">
        <v>8.547999999998865</v>
      </c>
      <c r="V1029" s="69">
        <v>8.547999999998865</v>
      </c>
      <c r="W1029" s="69">
        <v>8.547999999998865</v>
      </c>
      <c r="X1029" s="69">
        <v>8.547999999998865</v>
      </c>
      <c r="Y1029" s="69">
        <v>8.547999999998865</v>
      </c>
      <c r="Z1029" s="69">
        <v>8.547999999998865</v>
      </c>
      <c r="AA1029" s="69">
        <v>8.547999999998865</v>
      </c>
      <c r="AB1029" s="69">
        <v>8.547999999998865</v>
      </c>
      <c r="AC1029" s="69">
        <v>8.547999999998865</v>
      </c>
      <c r="AD1029" s="69">
        <v>8.547999999998865</v>
      </c>
      <c r="AE1029" s="69">
        <v>8.547999999998865</v>
      </c>
      <c r="AF1029" s="69">
        <v>8.547999999998865</v>
      </c>
      <c r="AG1029" s="69">
        <v>8.547999999998865</v>
      </c>
    </row>
    <row r="1030" spans="1:33" ht="12.75" customHeight="1">
      <c r="A1030" s="231" t="s">
        <v>2377</v>
      </c>
      <c r="B1030" s="69" t="s">
        <v>447</v>
      </c>
      <c r="C1030" s="69" t="s">
        <v>18</v>
      </c>
      <c r="D1030" s="69" t="s">
        <v>325</v>
      </c>
      <c r="E1030" s="69" t="s">
        <v>191</v>
      </c>
      <c r="F1030" s="69" t="s">
        <v>168</v>
      </c>
      <c r="G1030" s="69" t="s">
        <v>199</v>
      </c>
      <c r="H1030" s="69" t="s">
        <v>2417</v>
      </c>
      <c r="I1030" s="69">
        <v>3</v>
      </c>
      <c r="J1030" s="238">
        <v>0.4</v>
      </c>
      <c r="K1030" s="238">
        <v>0</v>
      </c>
      <c r="L1030" s="69">
        <v>171.02932431645411</v>
      </c>
      <c r="M1030" s="69">
        <v>0</v>
      </c>
      <c r="N1030" s="69">
        <v>0</v>
      </c>
      <c r="O1030" s="69">
        <v>0</v>
      </c>
      <c r="P1030" s="69">
        <v>0</v>
      </c>
      <c r="Q1030" s="69">
        <v>0</v>
      </c>
      <c r="R1030" s="69">
        <v>5.5362999999997555</v>
      </c>
      <c r="S1030" s="69">
        <v>5.5362999999997555</v>
      </c>
      <c r="T1030" s="69">
        <v>5.5362999999997555</v>
      </c>
      <c r="U1030" s="69">
        <v>5.5362999999997555</v>
      </c>
      <c r="V1030" s="69">
        <v>5.5362999999997555</v>
      </c>
      <c r="W1030" s="69">
        <v>5.5362999999997555</v>
      </c>
      <c r="X1030" s="69">
        <v>5.5362999999997555</v>
      </c>
      <c r="Y1030" s="69">
        <v>5.5362999999997555</v>
      </c>
      <c r="Z1030" s="69">
        <v>5.5362999999997555</v>
      </c>
      <c r="AA1030" s="69">
        <v>5.5362999999997555</v>
      </c>
      <c r="AB1030" s="69">
        <v>5.5362999999997555</v>
      </c>
      <c r="AC1030" s="69">
        <v>5.5362999999997555</v>
      </c>
      <c r="AD1030" s="69">
        <v>5.5362999999997555</v>
      </c>
      <c r="AE1030" s="69">
        <v>5.5362999999997555</v>
      </c>
      <c r="AF1030" s="69">
        <v>5.5362999999997555</v>
      </c>
      <c r="AG1030" s="69">
        <v>5.5362999999997555</v>
      </c>
    </row>
    <row r="1031" spans="1:33" ht="12.75" customHeight="1">
      <c r="A1031" s="231" t="s">
        <v>2377</v>
      </c>
      <c r="B1031" s="69" t="s">
        <v>448</v>
      </c>
      <c r="C1031" s="69" t="s">
        <v>18</v>
      </c>
      <c r="D1031" s="69" t="s">
        <v>325</v>
      </c>
      <c r="E1031" s="69" t="s">
        <v>191</v>
      </c>
      <c r="F1031" s="69" t="s">
        <v>168</v>
      </c>
      <c r="G1031" s="69" t="s">
        <v>199</v>
      </c>
      <c r="H1031" s="69" t="s">
        <v>2417</v>
      </c>
      <c r="I1031" s="69">
        <v>3</v>
      </c>
      <c r="J1031" s="238">
        <v>0.4</v>
      </c>
      <c r="K1031" s="238">
        <v>0</v>
      </c>
      <c r="L1031" s="69">
        <v>267.04023764852548</v>
      </c>
      <c r="M1031" s="69">
        <v>0</v>
      </c>
      <c r="N1031" s="69">
        <v>0</v>
      </c>
      <c r="O1031" s="69">
        <v>0</v>
      </c>
      <c r="P1031" s="69">
        <v>0</v>
      </c>
      <c r="Q1031" s="69">
        <v>0</v>
      </c>
      <c r="R1031" s="69">
        <v>4.6147999999993772</v>
      </c>
      <c r="S1031" s="69">
        <v>4.6147999999993772</v>
      </c>
      <c r="T1031" s="69">
        <v>4.6147999999993772</v>
      </c>
      <c r="U1031" s="69">
        <v>4.6147999999993772</v>
      </c>
      <c r="V1031" s="69">
        <v>4.6147999999993772</v>
      </c>
      <c r="W1031" s="69">
        <v>4.6147999999993772</v>
      </c>
      <c r="X1031" s="69">
        <v>4.6147999999993772</v>
      </c>
      <c r="Y1031" s="69">
        <v>4.6147999999993772</v>
      </c>
      <c r="Z1031" s="69">
        <v>4.6147999999993772</v>
      </c>
      <c r="AA1031" s="69">
        <v>4.6147999999993772</v>
      </c>
      <c r="AB1031" s="69">
        <v>4.6147999999993772</v>
      </c>
      <c r="AC1031" s="69">
        <v>4.6147999999993772</v>
      </c>
      <c r="AD1031" s="69">
        <v>4.6147999999993772</v>
      </c>
      <c r="AE1031" s="69">
        <v>4.6147999999993772</v>
      </c>
      <c r="AF1031" s="69">
        <v>4.6147999999993772</v>
      </c>
      <c r="AG1031" s="69">
        <v>4.6147999999993772</v>
      </c>
    </row>
    <row r="1032" spans="1:33" ht="12.75" customHeight="1">
      <c r="A1032" s="231" t="s">
        <v>2377</v>
      </c>
      <c r="B1032" s="69" t="s">
        <v>449</v>
      </c>
      <c r="C1032" s="69" t="s">
        <v>18</v>
      </c>
      <c r="D1032" s="69" t="s">
        <v>325</v>
      </c>
      <c r="E1032" s="69" t="s">
        <v>191</v>
      </c>
      <c r="F1032" s="69" t="s">
        <v>168</v>
      </c>
      <c r="G1032" s="69" t="s">
        <v>199</v>
      </c>
      <c r="H1032" s="69" t="s">
        <v>2417</v>
      </c>
      <c r="I1032" s="69">
        <v>3</v>
      </c>
      <c r="J1032" s="238">
        <v>0.42</v>
      </c>
      <c r="K1032" s="238">
        <v>0</v>
      </c>
      <c r="L1032" s="69">
        <v>194.70184297024039</v>
      </c>
      <c r="M1032" s="69">
        <v>0</v>
      </c>
      <c r="N1032" s="69">
        <v>0</v>
      </c>
      <c r="O1032" s="69">
        <v>0</v>
      </c>
      <c r="P1032" s="69">
        <v>0</v>
      </c>
      <c r="Q1032" s="69">
        <v>0</v>
      </c>
      <c r="R1032" s="69">
        <v>4.047099999999773</v>
      </c>
      <c r="S1032" s="69">
        <v>4.047099999999773</v>
      </c>
      <c r="T1032" s="69">
        <v>4.047099999999773</v>
      </c>
      <c r="U1032" s="69">
        <v>4.047099999999773</v>
      </c>
      <c r="V1032" s="69">
        <v>4.047099999999773</v>
      </c>
      <c r="W1032" s="69">
        <v>4.047099999999773</v>
      </c>
      <c r="X1032" s="69">
        <v>4.047099999999773</v>
      </c>
      <c r="Y1032" s="69">
        <v>4.047099999999773</v>
      </c>
      <c r="Z1032" s="69">
        <v>4.047099999999773</v>
      </c>
      <c r="AA1032" s="69">
        <v>4.047099999999773</v>
      </c>
      <c r="AB1032" s="69">
        <v>4.047099999999773</v>
      </c>
      <c r="AC1032" s="69">
        <v>4.047099999999773</v>
      </c>
      <c r="AD1032" s="69">
        <v>4.047099999999773</v>
      </c>
      <c r="AE1032" s="69">
        <v>4.047099999999773</v>
      </c>
      <c r="AF1032" s="69">
        <v>4.047099999999773</v>
      </c>
      <c r="AG1032" s="69">
        <v>4.047099999999773</v>
      </c>
    </row>
    <row r="1033" spans="1:33" ht="12.75" customHeight="1">
      <c r="A1033" s="231" t="s">
        <v>2377</v>
      </c>
      <c r="B1033" s="69" t="s">
        <v>450</v>
      </c>
      <c r="C1033" s="69" t="s">
        <v>18</v>
      </c>
      <c r="D1033" s="69" t="s">
        <v>325</v>
      </c>
      <c r="E1033" s="69" t="s">
        <v>191</v>
      </c>
      <c r="F1033" s="69" t="s">
        <v>168</v>
      </c>
      <c r="G1033" s="69" t="s">
        <v>199</v>
      </c>
      <c r="H1033" s="69" t="s">
        <v>2417</v>
      </c>
      <c r="I1033" s="69">
        <v>3</v>
      </c>
      <c r="J1033" s="238">
        <v>0.27</v>
      </c>
      <c r="K1033" s="238">
        <v>0</v>
      </c>
      <c r="L1033" s="69">
        <v>403.95871441413698</v>
      </c>
      <c r="M1033" s="69">
        <v>0</v>
      </c>
      <c r="N1033" s="69">
        <v>0</v>
      </c>
      <c r="O1033" s="69">
        <v>0</v>
      </c>
      <c r="P1033" s="69">
        <v>0</v>
      </c>
      <c r="Q1033" s="69">
        <v>0</v>
      </c>
      <c r="R1033" s="69">
        <v>8.8695000000006967</v>
      </c>
      <c r="S1033" s="69">
        <v>8.8695000000006967</v>
      </c>
      <c r="T1033" s="69">
        <v>8.8695000000006967</v>
      </c>
      <c r="U1033" s="69">
        <v>8.8695000000006967</v>
      </c>
      <c r="V1033" s="69">
        <v>8.8695000000006967</v>
      </c>
      <c r="W1033" s="69">
        <v>8.8695000000006967</v>
      </c>
      <c r="X1033" s="69">
        <v>8.8695000000006967</v>
      </c>
      <c r="Y1033" s="69">
        <v>8.8695000000006967</v>
      </c>
      <c r="Z1033" s="69">
        <v>8.8695000000006967</v>
      </c>
      <c r="AA1033" s="69">
        <v>8.8695000000006967</v>
      </c>
      <c r="AB1033" s="69">
        <v>8.8695000000006967</v>
      </c>
      <c r="AC1033" s="69">
        <v>8.8695000000006967</v>
      </c>
      <c r="AD1033" s="69">
        <v>8.8695000000006967</v>
      </c>
      <c r="AE1033" s="69">
        <v>8.8695000000006967</v>
      </c>
      <c r="AF1033" s="69">
        <v>8.8695000000006967</v>
      </c>
      <c r="AG1033" s="69">
        <v>8.8695000000006967</v>
      </c>
    </row>
    <row r="1034" spans="1:33" ht="12.75" customHeight="1">
      <c r="A1034" s="231" t="s">
        <v>2377</v>
      </c>
      <c r="B1034" s="69" t="s">
        <v>451</v>
      </c>
      <c r="C1034" s="69" t="s">
        <v>18</v>
      </c>
      <c r="D1034" s="69" t="s">
        <v>325</v>
      </c>
      <c r="E1034" s="69" t="s">
        <v>191</v>
      </c>
      <c r="F1034" s="69" t="s">
        <v>168</v>
      </c>
      <c r="G1034" s="69" t="s">
        <v>199</v>
      </c>
      <c r="H1034" s="69" t="s">
        <v>2417</v>
      </c>
      <c r="I1034" s="69">
        <v>3</v>
      </c>
      <c r="J1034" s="238">
        <v>0.38</v>
      </c>
      <c r="K1034" s="238">
        <v>0</v>
      </c>
      <c r="L1034" s="69">
        <v>169.23260885907868</v>
      </c>
      <c r="M1034" s="69">
        <v>0</v>
      </c>
      <c r="N1034" s="69">
        <v>0</v>
      </c>
      <c r="O1034" s="69">
        <v>0</v>
      </c>
      <c r="P1034" s="69">
        <v>0</v>
      </c>
      <c r="Q1034" s="69">
        <v>0</v>
      </c>
      <c r="R1034" s="69">
        <v>3.328799999999319</v>
      </c>
      <c r="S1034" s="69">
        <v>3.328799999999319</v>
      </c>
      <c r="T1034" s="69">
        <v>3.328799999999319</v>
      </c>
      <c r="U1034" s="69">
        <v>3.328799999999319</v>
      </c>
      <c r="V1034" s="69">
        <v>3.328799999999319</v>
      </c>
      <c r="W1034" s="69">
        <v>3.328799999999319</v>
      </c>
      <c r="X1034" s="69">
        <v>3.328799999999319</v>
      </c>
      <c r="Y1034" s="69">
        <v>3.328799999999319</v>
      </c>
      <c r="Z1034" s="69">
        <v>3.328799999999319</v>
      </c>
      <c r="AA1034" s="69">
        <v>3.328799999999319</v>
      </c>
      <c r="AB1034" s="69">
        <v>3.328799999999319</v>
      </c>
      <c r="AC1034" s="69">
        <v>3.328799999999319</v>
      </c>
      <c r="AD1034" s="69">
        <v>3.328799999999319</v>
      </c>
      <c r="AE1034" s="69">
        <v>3.328799999999319</v>
      </c>
      <c r="AF1034" s="69">
        <v>3.328799999999319</v>
      </c>
      <c r="AG1034" s="69">
        <v>3.328799999999319</v>
      </c>
    </row>
    <row r="1035" spans="1:33" ht="12.75" customHeight="1">
      <c r="A1035" s="231" t="s">
        <v>2377</v>
      </c>
      <c r="B1035" s="69" t="s">
        <v>452</v>
      </c>
      <c r="C1035" s="69" t="s">
        <v>18</v>
      </c>
      <c r="D1035" s="69" t="s">
        <v>325</v>
      </c>
      <c r="E1035" s="69" t="s">
        <v>191</v>
      </c>
      <c r="F1035" s="69" t="s">
        <v>165</v>
      </c>
      <c r="G1035" s="69" t="s">
        <v>201</v>
      </c>
      <c r="H1035" s="69" t="s">
        <v>2417</v>
      </c>
      <c r="I1035" s="69">
        <v>3</v>
      </c>
      <c r="J1035" s="238">
        <v>0.35</v>
      </c>
      <c r="K1035" s="238">
        <v>0</v>
      </c>
      <c r="L1035" s="69">
        <v>130.22626235716638</v>
      </c>
      <c r="M1035" s="69">
        <v>0</v>
      </c>
      <c r="N1035" s="69">
        <v>0</v>
      </c>
      <c r="O1035" s="69">
        <v>0</v>
      </c>
      <c r="P1035" s="69">
        <v>0</v>
      </c>
      <c r="Q1035" s="69">
        <v>0</v>
      </c>
      <c r="R1035" s="69">
        <v>4.9056000000018694</v>
      </c>
      <c r="S1035" s="69">
        <v>4.9056000000018694</v>
      </c>
      <c r="T1035" s="69">
        <v>4.9056000000018694</v>
      </c>
      <c r="U1035" s="69">
        <v>4.9056000000018694</v>
      </c>
      <c r="V1035" s="69">
        <v>4.9056000000018694</v>
      </c>
      <c r="W1035" s="69">
        <v>4.9056000000018694</v>
      </c>
      <c r="X1035" s="69">
        <v>4.9056000000018694</v>
      </c>
      <c r="Y1035" s="69">
        <v>4.9056000000018694</v>
      </c>
      <c r="Z1035" s="69">
        <v>4.9056000000018694</v>
      </c>
      <c r="AA1035" s="69">
        <v>4.9056000000018694</v>
      </c>
      <c r="AB1035" s="69">
        <v>4.9056000000018694</v>
      </c>
      <c r="AC1035" s="69">
        <v>4.9056000000018694</v>
      </c>
      <c r="AD1035" s="69">
        <v>4.9056000000018694</v>
      </c>
      <c r="AE1035" s="69">
        <v>4.9056000000018694</v>
      </c>
      <c r="AF1035" s="69">
        <v>4.9056000000018694</v>
      </c>
      <c r="AG1035" s="69">
        <v>4.9056000000018694</v>
      </c>
    </row>
    <row r="1036" spans="1:33" ht="12.75" customHeight="1">
      <c r="A1036" s="231" t="s">
        <v>2377</v>
      </c>
      <c r="B1036" s="69" t="s">
        <v>453</v>
      </c>
      <c r="C1036" s="69" t="s">
        <v>18</v>
      </c>
      <c r="D1036" s="69" t="s">
        <v>325</v>
      </c>
      <c r="E1036" s="69" t="s">
        <v>191</v>
      </c>
      <c r="F1036" s="69" t="s">
        <v>165</v>
      </c>
      <c r="G1036" s="69" t="s">
        <v>201</v>
      </c>
      <c r="H1036" s="69" t="s">
        <v>2417</v>
      </c>
      <c r="I1036" s="69">
        <v>3</v>
      </c>
      <c r="J1036" s="238">
        <v>0.54</v>
      </c>
      <c r="K1036" s="238">
        <v>0</v>
      </c>
      <c r="L1036" s="69">
        <v>149.61772239136235</v>
      </c>
      <c r="M1036" s="69">
        <v>0</v>
      </c>
      <c r="N1036" s="69">
        <v>0</v>
      </c>
      <c r="O1036" s="69">
        <v>0</v>
      </c>
      <c r="P1036" s="69">
        <v>0</v>
      </c>
      <c r="Q1036" s="69">
        <v>0</v>
      </c>
      <c r="R1036" s="69">
        <v>5.2033999999985099</v>
      </c>
      <c r="S1036" s="69">
        <v>5.2033999999985099</v>
      </c>
      <c r="T1036" s="69">
        <v>5.2033999999985099</v>
      </c>
      <c r="U1036" s="69">
        <v>5.2033999999985099</v>
      </c>
      <c r="V1036" s="69">
        <v>5.2033999999985099</v>
      </c>
      <c r="W1036" s="69">
        <v>5.2033999999985099</v>
      </c>
      <c r="X1036" s="69">
        <v>5.2033999999985099</v>
      </c>
      <c r="Y1036" s="69">
        <v>5.2033999999985099</v>
      </c>
      <c r="Z1036" s="69">
        <v>5.2033999999985099</v>
      </c>
      <c r="AA1036" s="69">
        <v>5.2033999999985099</v>
      </c>
      <c r="AB1036" s="69">
        <v>5.2033999999985099</v>
      </c>
      <c r="AC1036" s="69">
        <v>5.2033999999985099</v>
      </c>
      <c r="AD1036" s="69">
        <v>5.2033999999985099</v>
      </c>
      <c r="AE1036" s="69">
        <v>5.2033999999985099</v>
      </c>
      <c r="AF1036" s="69">
        <v>5.2033999999985099</v>
      </c>
      <c r="AG1036" s="69">
        <v>5.2033999999985099</v>
      </c>
    </row>
    <row r="1037" spans="1:33" ht="12.75" customHeight="1">
      <c r="A1037" s="231" t="s">
        <v>2377</v>
      </c>
      <c r="B1037" s="69" t="s">
        <v>454</v>
      </c>
      <c r="C1037" s="69" t="s">
        <v>18</v>
      </c>
      <c r="D1037" s="69" t="s">
        <v>325</v>
      </c>
      <c r="E1037" s="69" t="s">
        <v>191</v>
      </c>
      <c r="F1037" s="69" t="s">
        <v>181</v>
      </c>
      <c r="G1037" s="69" t="s">
        <v>294</v>
      </c>
      <c r="H1037" s="69" t="s">
        <v>2417</v>
      </c>
      <c r="I1037" s="69">
        <v>3</v>
      </c>
      <c r="J1037" s="238">
        <v>0.65</v>
      </c>
      <c r="K1037" s="238">
        <v>0</v>
      </c>
      <c r="L1037" s="69">
        <v>101.90312502043777</v>
      </c>
      <c r="M1037" s="69">
        <v>0</v>
      </c>
      <c r="N1037" s="69">
        <v>0</v>
      </c>
      <c r="O1037" s="69">
        <v>0</v>
      </c>
      <c r="P1037" s="69">
        <v>0</v>
      </c>
      <c r="Q1037" s="69">
        <v>0</v>
      </c>
      <c r="R1037" s="69">
        <v>19.929000000000087</v>
      </c>
      <c r="S1037" s="69">
        <v>19.929000000000087</v>
      </c>
      <c r="T1037" s="69">
        <v>19.929000000000087</v>
      </c>
      <c r="U1037" s="69">
        <v>19.929000000000087</v>
      </c>
      <c r="V1037" s="69">
        <v>19.929000000000087</v>
      </c>
      <c r="W1037" s="69">
        <v>19.929000000000087</v>
      </c>
      <c r="X1037" s="69">
        <v>19.929000000000087</v>
      </c>
      <c r="Y1037" s="69">
        <v>19.929000000000087</v>
      </c>
      <c r="Z1037" s="69">
        <v>19.929000000000087</v>
      </c>
      <c r="AA1037" s="69">
        <v>19.929000000000087</v>
      </c>
      <c r="AB1037" s="69">
        <v>19.929000000000087</v>
      </c>
      <c r="AC1037" s="69">
        <v>19.929000000000087</v>
      </c>
      <c r="AD1037" s="69">
        <v>19.929000000000087</v>
      </c>
      <c r="AE1037" s="69">
        <v>19.929000000000087</v>
      </c>
      <c r="AF1037" s="69">
        <v>19.929000000000087</v>
      </c>
      <c r="AG1037" s="69">
        <v>19.929000000000087</v>
      </c>
    </row>
    <row r="1038" spans="1:33" ht="12.75" customHeight="1">
      <c r="A1038" s="231" t="s">
        <v>2377</v>
      </c>
      <c r="B1038" s="69" t="s">
        <v>455</v>
      </c>
      <c r="C1038" s="69" t="s">
        <v>18</v>
      </c>
      <c r="D1038" s="69" t="s">
        <v>325</v>
      </c>
      <c r="E1038" s="69" t="s">
        <v>191</v>
      </c>
      <c r="F1038" s="69" t="s">
        <v>181</v>
      </c>
      <c r="G1038" s="69" t="s">
        <v>294</v>
      </c>
      <c r="H1038" s="69" t="s">
        <v>2417</v>
      </c>
      <c r="I1038" s="69">
        <v>3</v>
      </c>
      <c r="J1038" s="238">
        <v>0.6</v>
      </c>
      <c r="K1038" s="238">
        <v>0</v>
      </c>
      <c r="L1038" s="69">
        <v>102.81080777830974</v>
      </c>
      <c r="M1038" s="69">
        <v>0</v>
      </c>
      <c r="N1038" s="69">
        <v>0</v>
      </c>
      <c r="O1038" s="69">
        <v>0</v>
      </c>
      <c r="P1038" s="69">
        <v>0</v>
      </c>
      <c r="Q1038" s="69">
        <v>0</v>
      </c>
      <c r="R1038" s="69">
        <v>23.651999999998225</v>
      </c>
      <c r="S1038" s="69">
        <v>23.651999999998225</v>
      </c>
      <c r="T1038" s="69">
        <v>23.651999999998225</v>
      </c>
      <c r="U1038" s="69">
        <v>23.651999999998225</v>
      </c>
      <c r="V1038" s="69">
        <v>23.651999999998225</v>
      </c>
      <c r="W1038" s="69">
        <v>23.651999999998225</v>
      </c>
      <c r="X1038" s="69">
        <v>23.651999999998225</v>
      </c>
      <c r="Y1038" s="69">
        <v>23.651999999998225</v>
      </c>
      <c r="Z1038" s="69">
        <v>23.651999999998225</v>
      </c>
      <c r="AA1038" s="69">
        <v>23.651999999998225</v>
      </c>
      <c r="AB1038" s="69">
        <v>23.651999999998225</v>
      </c>
      <c r="AC1038" s="69">
        <v>23.651999999998225</v>
      </c>
      <c r="AD1038" s="69">
        <v>23.651999999998225</v>
      </c>
      <c r="AE1038" s="69">
        <v>23.651999999998225</v>
      </c>
      <c r="AF1038" s="69">
        <v>23.651999999998225</v>
      </c>
      <c r="AG1038" s="69">
        <v>23.651999999998225</v>
      </c>
    </row>
    <row r="1039" spans="1:33" ht="12.75" customHeight="1">
      <c r="A1039" s="231" t="s">
        <v>2377</v>
      </c>
      <c r="B1039" s="69" t="s">
        <v>456</v>
      </c>
      <c r="C1039" s="69" t="s">
        <v>18</v>
      </c>
      <c r="D1039" s="69" t="s">
        <v>325</v>
      </c>
      <c r="E1039" s="69" t="s">
        <v>191</v>
      </c>
      <c r="F1039" s="69" t="s">
        <v>181</v>
      </c>
      <c r="G1039" s="69" t="s">
        <v>294</v>
      </c>
      <c r="H1039" s="69" t="s">
        <v>2417</v>
      </c>
      <c r="I1039" s="69">
        <v>3</v>
      </c>
      <c r="J1039" s="238">
        <v>0.57999999999999996</v>
      </c>
      <c r="K1039" s="238">
        <v>0</v>
      </c>
      <c r="L1039" s="69">
        <v>81.766360759550111</v>
      </c>
      <c r="M1039" s="69">
        <v>0</v>
      </c>
      <c r="N1039" s="69">
        <v>0</v>
      </c>
      <c r="O1039" s="69">
        <v>0</v>
      </c>
      <c r="P1039" s="69">
        <v>0</v>
      </c>
      <c r="Q1039" s="69">
        <v>0</v>
      </c>
      <c r="R1039" s="69">
        <v>19.052999999999884</v>
      </c>
      <c r="S1039" s="69">
        <v>19.052999999999884</v>
      </c>
      <c r="T1039" s="69">
        <v>19.052999999999884</v>
      </c>
      <c r="U1039" s="69">
        <v>19.052999999999884</v>
      </c>
      <c r="V1039" s="69">
        <v>19.052999999999884</v>
      </c>
      <c r="W1039" s="69">
        <v>19.052999999999884</v>
      </c>
      <c r="X1039" s="69">
        <v>19.052999999999884</v>
      </c>
      <c r="Y1039" s="69">
        <v>19.052999999999884</v>
      </c>
      <c r="Z1039" s="69">
        <v>19.052999999999884</v>
      </c>
      <c r="AA1039" s="69">
        <v>19.052999999999884</v>
      </c>
      <c r="AB1039" s="69">
        <v>19.052999999999884</v>
      </c>
      <c r="AC1039" s="69">
        <v>19.052999999999884</v>
      </c>
      <c r="AD1039" s="69">
        <v>19.052999999999884</v>
      </c>
      <c r="AE1039" s="69">
        <v>19.052999999999884</v>
      </c>
      <c r="AF1039" s="69">
        <v>19.052999999999884</v>
      </c>
      <c r="AG1039" s="69">
        <v>19.052999999999884</v>
      </c>
    </row>
    <row r="1040" spans="1:33" ht="12.75" customHeight="1">
      <c r="A1040" s="231" t="s">
        <v>2377</v>
      </c>
      <c r="B1040" s="69" t="s">
        <v>457</v>
      </c>
      <c r="C1040" s="69" t="s">
        <v>18</v>
      </c>
      <c r="D1040" s="69" t="s">
        <v>325</v>
      </c>
      <c r="E1040" s="69" t="s">
        <v>191</v>
      </c>
      <c r="F1040" s="69" t="s">
        <v>181</v>
      </c>
      <c r="G1040" s="69" t="s">
        <v>294</v>
      </c>
      <c r="H1040" s="69" t="s">
        <v>2417</v>
      </c>
      <c r="I1040" s="69">
        <v>3</v>
      </c>
      <c r="J1040" s="238">
        <v>0.46</v>
      </c>
      <c r="K1040" s="238">
        <v>0</v>
      </c>
      <c r="L1040" s="69">
        <v>99.615172584218513</v>
      </c>
      <c r="M1040" s="69">
        <v>0</v>
      </c>
      <c r="N1040" s="69">
        <v>0</v>
      </c>
      <c r="O1040" s="69">
        <v>0</v>
      </c>
      <c r="P1040" s="69">
        <v>0</v>
      </c>
      <c r="Q1040" s="69">
        <v>0</v>
      </c>
      <c r="R1040" s="69">
        <v>32.236799999998766</v>
      </c>
      <c r="S1040" s="69">
        <v>32.236799999998766</v>
      </c>
      <c r="T1040" s="69">
        <v>32.236799999998766</v>
      </c>
      <c r="U1040" s="69">
        <v>32.236799999998766</v>
      </c>
      <c r="V1040" s="69">
        <v>32.236799999998766</v>
      </c>
      <c r="W1040" s="69">
        <v>32.236799999998766</v>
      </c>
      <c r="X1040" s="69">
        <v>32.236799999998766</v>
      </c>
      <c r="Y1040" s="69">
        <v>32.236799999998766</v>
      </c>
      <c r="Z1040" s="69">
        <v>32.236799999998766</v>
      </c>
      <c r="AA1040" s="69">
        <v>32.236799999998766</v>
      </c>
      <c r="AB1040" s="69">
        <v>32.236799999998766</v>
      </c>
      <c r="AC1040" s="69">
        <v>32.236799999998766</v>
      </c>
      <c r="AD1040" s="69">
        <v>32.236799999998766</v>
      </c>
      <c r="AE1040" s="69">
        <v>32.236799999998766</v>
      </c>
      <c r="AF1040" s="69">
        <v>32.236799999998766</v>
      </c>
      <c r="AG1040" s="69">
        <v>32.236799999998766</v>
      </c>
    </row>
    <row r="1041" spans="1:33" ht="12.75" customHeight="1">
      <c r="A1041" s="231" t="s">
        <v>2377</v>
      </c>
      <c r="B1041" s="69" t="s">
        <v>458</v>
      </c>
      <c r="C1041" s="69" t="s">
        <v>18</v>
      </c>
      <c r="D1041" s="69" t="s">
        <v>325</v>
      </c>
      <c r="E1041" s="69" t="s">
        <v>191</v>
      </c>
      <c r="F1041" s="69" t="s">
        <v>181</v>
      </c>
      <c r="G1041" s="69" t="s">
        <v>294</v>
      </c>
      <c r="H1041" s="69" t="s">
        <v>2417</v>
      </c>
      <c r="I1041" s="69">
        <v>3</v>
      </c>
      <c r="J1041" s="238">
        <v>0.42000000000000004</v>
      </c>
      <c r="K1041" s="238">
        <v>0</v>
      </c>
      <c r="L1041" s="69">
        <v>190.72039240491327</v>
      </c>
      <c r="M1041" s="69">
        <v>0</v>
      </c>
      <c r="N1041" s="69">
        <v>0</v>
      </c>
      <c r="O1041" s="69">
        <v>0</v>
      </c>
      <c r="P1041" s="69">
        <v>0</v>
      </c>
      <c r="Q1041" s="69">
        <v>0</v>
      </c>
      <c r="R1041" s="69">
        <v>36.42410000000018</v>
      </c>
      <c r="S1041" s="69">
        <v>36.42410000000018</v>
      </c>
      <c r="T1041" s="69">
        <v>36.42410000000018</v>
      </c>
      <c r="U1041" s="69">
        <v>36.42410000000018</v>
      </c>
      <c r="V1041" s="69">
        <v>36.42410000000018</v>
      </c>
      <c r="W1041" s="69">
        <v>36.42410000000018</v>
      </c>
      <c r="X1041" s="69">
        <v>36.42410000000018</v>
      </c>
      <c r="Y1041" s="69">
        <v>36.42410000000018</v>
      </c>
      <c r="Z1041" s="69">
        <v>36.42410000000018</v>
      </c>
      <c r="AA1041" s="69">
        <v>36.42410000000018</v>
      </c>
      <c r="AB1041" s="69">
        <v>36.42410000000018</v>
      </c>
      <c r="AC1041" s="69">
        <v>36.42410000000018</v>
      </c>
      <c r="AD1041" s="69">
        <v>36.42410000000018</v>
      </c>
      <c r="AE1041" s="69">
        <v>36.42410000000018</v>
      </c>
      <c r="AF1041" s="69">
        <v>36.42410000000018</v>
      </c>
      <c r="AG1041" s="69">
        <v>36.42410000000018</v>
      </c>
    </row>
    <row r="1042" spans="1:33" ht="12.75" customHeight="1">
      <c r="A1042" s="231" t="s">
        <v>2377</v>
      </c>
      <c r="B1042" s="69" t="s">
        <v>459</v>
      </c>
      <c r="C1042" s="69" t="s">
        <v>18</v>
      </c>
      <c r="D1042" s="69" t="s">
        <v>325</v>
      </c>
      <c r="E1042" s="69" t="s">
        <v>191</v>
      </c>
      <c r="F1042" s="69" t="s">
        <v>181</v>
      </c>
      <c r="G1042" s="69" t="s">
        <v>294</v>
      </c>
      <c r="H1042" s="69" t="s">
        <v>2417</v>
      </c>
      <c r="I1042" s="69">
        <v>3</v>
      </c>
      <c r="J1042" s="238">
        <v>0.52</v>
      </c>
      <c r="K1042" s="238">
        <v>0</v>
      </c>
      <c r="L1042" s="69">
        <v>83.845247731521141</v>
      </c>
      <c r="M1042" s="69">
        <v>0</v>
      </c>
      <c r="N1042" s="69">
        <v>0</v>
      </c>
      <c r="O1042" s="69">
        <v>0</v>
      </c>
      <c r="P1042" s="69">
        <v>0</v>
      </c>
      <c r="Q1042" s="69">
        <v>0</v>
      </c>
      <c r="R1042" s="69">
        <v>14.576600000000326</v>
      </c>
      <c r="S1042" s="69">
        <v>14.576600000000326</v>
      </c>
      <c r="T1042" s="69">
        <v>14.576600000000326</v>
      </c>
      <c r="U1042" s="69">
        <v>14.576600000000326</v>
      </c>
      <c r="V1042" s="69">
        <v>14.576600000000326</v>
      </c>
      <c r="W1042" s="69">
        <v>14.576600000000326</v>
      </c>
      <c r="X1042" s="69">
        <v>14.576600000000326</v>
      </c>
      <c r="Y1042" s="69">
        <v>14.576600000000326</v>
      </c>
      <c r="Z1042" s="69">
        <v>14.576600000000326</v>
      </c>
      <c r="AA1042" s="69">
        <v>14.576600000000326</v>
      </c>
      <c r="AB1042" s="69">
        <v>14.576600000000326</v>
      </c>
      <c r="AC1042" s="69">
        <v>14.576600000000326</v>
      </c>
      <c r="AD1042" s="69">
        <v>14.576600000000326</v>
      </c>
      <c r="AE1042" s="69">
        <v>14.576600000000326</v>
      </c>
      <c r="AF1042" s="69">
        <v>14.576600000000326</v>
      </c>
      <c r="AG1042" s="69">
        <v>14.576600000000326</v>
      </c>
    </row>
    <row r="1043" spans="1:33" ht="12.75" customHeight="1">
      <c r="A1043" s="231" t="s">
        <v>2377</v>
      </c>
      <c r="B1043" s="69" t="s">
        <v>460</v>
      </c>
      <c r="C1043" s="69" t="s">
        <v>18</v>
      </c>
      <c r="D1043" s="69" t="s">
        <v>325</v>
      </c>
      <c r="E1043" s="69" t="s">
        <v>191</v>
      </c>
      <c r="F1043" s="69" t="s">
        <v>181</v>
      </c>
      <c r="G1043" s="69" t="s">
        <v>294</v>
      </c>
      <c r="H1043" s="69" t="s">
        <v>2417</v>
      </c>
      <c r="I1043" s="69">
        <v>3</v>
      </c>
      <c r="J1043" s="238">
        <v>0.35</v>
      </c>
      <c r="K1043" s="238">
        <v>0</v>
      </c>
      <c r="L1043" s="69">
        <v>131.43308166588261</v>
      </c>
      <c r="M1043" s="69">
        <v>0</v>
      </c>
      <c r="N1043" s="69">
        <v>0</v>
      </c>
      <c r="O1043" s="69">
        <v>0</v>
      </c>
      <c r="P1043" s="69">
        <v>0</v>
      </c>
      <c r="Q1043" s="69">
        <v>0</v>
      </c>
      <c r="R1043" s="69">
        <v>4.4763999999995576</v>
      </c>
      <c r="S1043" s="69">
        <v>4.4763999999995576</v>
      </c>
      <c r="T1043" s="69">
        <v>4.4763999999995576</v>
      </c>
      <c r="U1043" s="69">
        <v>4.4763999999995576</v>
      </c>
      <c r="V1043" s="69">
        <v>4.4763999999995576</v>
      </c>
      <c r="W1043" s="69">
        <v>4.4763999999995576</v>
      </c>
      <c r="X1043" s="69">
        <v>4.4763999999995576</v>
      </c>
      <c r="Y1043" s="69">
        <v>4.4763999999995576</v>
      </c>
      <c r="Z1043" s="69">
        <v>4.4763999999995576</v>
      </c>
      <c r="AA1043" s="69">
        <v>4.4763999999995576</v>
      </c>
      <c r="AB1043" s="69">
        <v>4.4763999999995576</v>
      </c>
      <c r="AC1043" s="69">
        <v>4.4763999999995576</v>
      </c>
      <c r="AD1043" s="69">
        <v>4.4763999999995576</v>
      </c>
      <c r="AE1043" s="69">
        <v>4.4763999999995576</v>
      </c>
      <c r="AF1043" s="69">
        <v>4.4763999999995576</v>
      </c>
      <c r="AG1043" s="69">
        <v>4.4763999999995576</v>
      </c>
    </row>
    <row r="1044" spans="1:33" ht="12.75" customHeight="1">
      <c r="A1044" s="231" t="s">
        <v>2377</v>
      </c>
      <c r="B1044" s="69" t="s">
        <v>461</v>
      </c>
      <c r="C1044" s="69" t="s">
        <v>18</v>
      </c>
      <c r="D1044" s="69" t="s">
        <v>325</v>
      </c>
      <c r="E1044" s="69" t="s">
        <v>191</v>
      </c>
      <c r="F1044" s="69" t="s">
        <v>181</v>
      </c>
      <c r="G1044" s="69" t="s">
        <v>294</v>
      </c>
      <c r="H1044" s="69" t="s">
        <v>2417</v>
      </c>
      <c r="I1044" s="69">
        <v>3</v>
      </c>
      <c r="J1044" s="238">
        <v>0.43</v>
      </c>
      <c r="K1044" s="238">
        <v>0</v>
      </c>
      <c r="L1044" s="69">
        <v>107.22331794904365</v>
      </c>
      <c r="M1044" s="69">
        <v>0</v>
      </c>
      <c r="N1044" s="69">
        <v>0</v>
      </c>
      <c r="O1044" s="69">
        <v>0</v>
      </c>
      <c r="P1044" s="69">
        <v>0</v>
      </c>
      <c r="Q1044" s="69">
        <v>0</v>
      </c>
      <c r="R1044" s="69">
        <v>19.587400000000343</v>
      </c>
      <c r="S1044" s="69">
        <v>19.587400000000343</v>
      </c>
      <c r="T1044" s="69">
        <v>19.587400000000343</v>
      </c>
      <c r="U1044" s="69">
        <v>19.587400000000343</v>
      </c>
      <c r="V1044" s="69">
        <v>19.587400000000343</v>
      </c>
      <c r="W1044" s="69">
        <v>19.587400000000343</v>
      </c>
      <c r="X1044" s="69">
        <v>19.587400000000343</v>
      </c>
      <c r="Y1044" s="69">
        <v>19.587400000000343</v>
      </c>
      <c r="Z1044" s="69">
        <v>19.587400000000343</v>
      </c>
      <c r="AA1044" s="69">
        <v>19.587400000000343</v>
      </c>
      <c r="AB1044" s="69">
        <v>19.587400000000343</v>
      </c>
      <c r="AC1044" s="69">
        <v>19.587400000000343</v>
      </c>
      <c r="AD1044" s="69">
        <v>19.587400000000343</v>
      </c>
      <c r="AE1044" s="69">
        <v>19.587400000000343</v>
      </c>
      <c r="AF1044" s="69">
        <v>19.587400000000343</v>
      </c>
      <c r="AG1044" s="69">
        <v>19.587400000000343</v>
      </c>
    </row>
    <row r="1045" spans="1:33" ht="12.75" customHeight="1">
      <c r="A1045" s="231" t="s">
        <v>2377</v>
      </c>
      <c r="B1045" s="69" t="s">
        <v>462</v>
      </c>
      <c r="C1045" s="69" t="s">
        <v>18</v>
      </c>
      <c r="D1045" s="69" t="s">
        <v>325</v>
      </c>
      <c r="E1045" s="69" t="s">
        <v>191</v>
      </c>
      <c r="F1045" s="69" t="s">
        <v>181</v>
      </c>
      <c r="G1045" s="69" t="s">
        <v>294</v>
      </c>
      <c r="H1045" s="69" t="s">
        <v>2417</v>
      </c>
      <c r="I1045" s="69">
        <v>3</v>
      </c>
      <c r="J1045" s="238">
        <v>0.54</v>
      </c>
      <c r="K1045" s="238">
        <v>0</v>
      </c>
      <c r="L1045" s="69">
        <v>106.94461063405122</v>
      </c>
      <c r="M1045" s="69">
        <v>0</v>
      </c>
      <c r="N1045" s="69">
        <v>0</v>
      </c>
      <c r="O1045" s="69">
        <v>0</v>
      </c>
      <c r="P1045" s="69">
        <v>0</v>
      </c>
      <c r="Q1045" s="69">
        <v>0</v>
      </c>
      <c r="R1045" s="69">
        <v>9.9337999999988824</v>
      </c>
      <c r="S1045" s="69">
        <v>9.9337999999988824</v>
      </c>
      <c r="T1045" s="69">
        <v>9.9337999999988824</v>
      </c>
      <c r="U1045" s="69">
        <v>9.9337999999988824</v>
      </c>
      <c r="V1045" s="69">
        <v>9.9337999999988824</v>
      </c>
      <c r="W1045" s="69">
        <v>9.9337999999988824</v>
      </c>
      <c r="X1045" s="69">
        <v>9.9337999999988824</v>
      </c>
      <c r="Y1045" s="69">
        <v>9.9337999999988824</v>
      </c>
      <c r="Z1045" s="69">
        <v>9.9337999999988824</v>
      </c>
      <c r="AA1045" s="69">
        <v>9.9337999999988824</v>
      </c>
      <c r="AB1045" s="69">
        <v>9.9337999999988824</v>
      </c>
      <c r="AC1045" s="69">
        <v>9.9337999999988824</v>
      </c>
      <c r="AD1045" s="69">
        <v>9.9337999999988824</v>
      </c>
      <c r="AE1045" s="69">
        <v>9.9337999999988824</v>
      </c>
      <c r="AF1045" s="69">
        <v>9.9337999999988824</v>
      </c>
      <c r="AG1045" s="69">
        <v>9.9337999999988824</v>
      </c>
    </row>
    <row r="1046" spans="1:33" ht="12.75" customHeight="1">
      <c r="A1046" s="231" t="s">
        <v>2377</v>
      </c>
      <c r="B1046" s="69" t="s">
        <v>463</v>
      </c>
      <c r="C1046" s="69" t="s">
        <v>18</v>
      </c>
      <c r="D1046" s="69" t="s">
        <v>325</v>
      </c>
      <c r="E1046" s="69" t="s">
        <v>191</v>
      </c>
      <c r="F1046" s="69" t="s">
        <v>181</v>
      </c>
      <c r="G1046" s="69" t="s">
        <v>294</v>
      </c>
      <c r="H1046" s="69" t="s">
        <v>2417</v>
      </c>
      <c r="I1046" s="69">
        <v>3</v>
      </c>
      <c r="J1046" s="238">
        <v>0.43000000000000005</v>
      </c>
      <c r="K1046" s="238">
        <v>0</v>
      </c>
      <c r="L1046" s="69">
        <v>161.04767712600321</v>
      </c>
      <c r="M1046" s="69">
        <v>0</v>
      </c>
      <c r="N1046" s="69">
        <v>0</v>
      </c>
      <c r="O1046" s="69">
        <v>0</v>
      </c>
      <c r="P1046" s="69">
        <v>0</v>
      </c>
      <c r="Q1046" s="69">
        <v>0</v>
      </c>
      <c r="R1046" s="69">
        <v>17.666300000000774</v>
      </c>
      <c r="S1046" s="69">
        <v>17.666300000000774</v>
      </c>
      <c r="T1046" s="69">
        <v>17.666300000000774</v>
      </c>
      <c r="U1046" s="69">
        <v>17.666300000000774</v>
      </c>
      <c r="V1046" s="69">
        <v>17.666300000000774</v>
      </c>
      <c r="W1046" s="69">
        <v>17.666300000000774</v>
      </c>
      <c r="X1046" s="69">
        <v>17.666300000000774</v>
      </c>
      <c r="Y1046" s="69">
        <v>17.666300000000774</v>
      </c>
      <c r="Z1046" s="69">
        <v>17.666300000000774</v>
      </c>
      <c r="AA1046" s="69">
        <v>17.666300000000774</v>
      </c>
      <c r="AB1046" s="69">
        <v>17.666300000000774</v>
      </c>
      <c r="AC1046" s="69">
        <v>17.666300000000774</v>
      </c>
      <c r="AD1046" s="69">
        <v>17.666300000000774</v>
      </c>
      <c r="AE1046" s="69">
        <v>17.666300000000774</v>
      </c>
      <c r="AF1046" s="69">
        <v>17.666300000000774</v>
      </c>
      <c r="AG1046" s="69">
        <v>17.666300000000774</v>
      </c>
    </row>
    <row r="1047" spans="1:33" ht="12.75" customHeight="1">
      <c r="A1047" s="231" t="s">
        <v>2377</v>
      </c>
      <c r="B1047" s="69" t="s">
        <v>464</v>
      </c>
      <c r="C1047" s="69" t="s">
        <v>18</v>
      </c>
      <c r="D1047" s="69" t="s">
        <v>325</v>
      </c>
      <c r="E1047" s="69" t="s">
        <v>191</v>
      </c>
      <c r="F1047" s="69" t="s">
        <v>181</v>
      </c>
      <c r="G1047" s="69" t="s">
        <v>294</v>
      </c>
      <c r="H1047" s="69" t="s">
        <v>2417</v>
      </c>
      <c r="I1047" s="69">
        <v>3</v>
      </c>
      <c r="J1047" s="238">
        <v>0.45</v>
      </c>
      <c r="K1047" s="238">
        <v>0</v>
      </c>
      <c r="L1047" s="69">
        <v>98.174655143885985</v>
      </c>
      <c r="M1047" s="69">
        <v>0</v>
      </c>
      <c r="N1047" s="69">
        <v>0</v>
      </c>
      <c r="O1047" s="69">
        <v>0</v>
      </c>
      <c r="P1047" s="69">
        <v>0</v>
      </c>
      <c r="Q1047" s="69">
        <v>0</v>
      </c>
      <c r="R1047" s="69">
        <v>15.768000000000029</v>
      </c>
      <c r="S1047" s="69">
        <v>15.768000000000029</v>
      </c>
      <c r="T1047" s="69">
        <v>15.768000000000029</v>
      </c>
      <c r="U1047" s="69">
        <v>15.768000000000029</v>
      </c>
      <c r="V1047" s="69">
        <v>15.768000000000029</v>
      </c>
      <c r="W1047" s="69">
        <v>15.768000000000029</v>
      </c>
      <c r="X1047" s="69">
        <v>15.768000000000029</v>
      </c>
      <c r="Y1047" s="69">
        <v>15.768000000000029</v>
      </c>
      <c r="Z1047" s="69">
        <v>15.768000000000029</v>
      </c>
      <c r="AA1047" s="69">
        <v>15.768000000000029</v>
      </c>
      <c r="AB1047" s="69">
        <v>15.768000000000029</v>
      </c>
      <c r="AC1047" s="69">
        <v>15.768000000000029</v>
      </c>
      <c r="AD1047" s="69">
        <v>15.768000000000029</v>
      </c>
      <c r="AE1047" s="69">
        <v>15.768000000000029</v>
      </c>
      <c r="AF1047" s="69">
        <v>15.768000000000029</v>
      </c>
      <c r="AG1047" s="69">
        <v>15.768000000000029</v>
      </c>
    </row>
    <row r="1048" spans="1:33" ht="12.75" customHeight="1">
      <c r="A1048" s="231" t="s">
        <v>2377</v>
      </c>
      <c r="B1048" s="69" t="s">
        <v>465</v>
      </c>
      <c r="C1048" s="69" t="s">
        <v>18</v>
      </c>
      <c r="D1048" s="69" t="s">
        <v>325</v>
      </c>
      <c r="E1048" s="69" t="s">
        <v>191</v>
      </c>
      <c r="F1048" s="69" t="s">
        <v>181</v>
      </c>
      <c r="G1048" s="69" t="s">
        <v>294</v>
      </c>
      <c r="H1048" s="69" t="s">
        <v>2417</v>
      </c>
      <c r="I1048" s="69">
        <v>3</v>
      </c>
      <c r="J1048" s="238">
        <v>0.54</v>
      </c>
      <c r="K1048" s="238">
        <v>0</v>
      </c>
      <c r="L1048" s="69">
        <v>84.898253738192963</v>
      </c>
      <c r="M1048" s="69">
        <v>0</v>
      </c>
      <c r="N1048" s="69">
        <v>0</v>
      </c>
      <c r="O1048" s="69">
        <v>0</v>
      </c>
      <c r="P1048" s="69">
        <v>0</v>
      </c>
      <c r="Q1048" s="69">
        <v>0</v>
      </c>
      <c r="R1048" s="69">
        <v>8.5146999999997206</v>
      </c>
      <c r="S1048" s="69">
        <v>8.5146999999997206</v>
      </c>
      <c r="T1048" s="69">
        <v>8.5146999999997206</v>
      </c>
      <c r="U1048" s="69">
        <v>8.5146999999997206</v>
      </c>
      <c r="V1048" s="69">
        <v>8.5146999999997206</v>
      </c>
      <c r="W1048" s="69">
        <v>8.5146999999997206</v>
      </c>
      <c r="X1048" s="69">
        <v>8.5146999999997206</v>
      </c>
      <c r="Y1048" s="69">
        <v>8.5146999999997206</v>
      </c>
      <c r="Z1048" s="69">
        <v>8.5146999999997206</v>
      </c>
      <c r="AA1048" s="69">
        <v>8.5146999999997206</v>
      </c>
      <c r="AB1048" s="69">
        <v>8.5146999999997206</v>
      </c>
      <c r="AC1048" s="69">
        <v>8.5146999999997206</v>
      </c>
      <c r="AD1048" s="69">
        <v>8.5146999999997206</v>
      </c>
      <c r="AE1048" s="69">
        <v>8.5146999999997206</v>
      </c>
      <c r="AF1048" s="69">
        <v>8.5146999999997206</v>
      </c>
      <c r="AG1048" s="69">
        <v>8.5146999999997206</v>
      </c>
    </row>
    <row r="1049" spans="1:33" ht="12.75" customHeight="1">
      <c r="A1049" s="231" t="s">
        <v>2377</v>
      </c>
      <c r="B1049" s="69" t="s">
        <v>466</v>
      </c>
      <c r="C1049" s="69" t="s">
        <v>18</v>
      </c>
      <c r="D1049" s="69" t="s">
        <v>325</v>
      </c>
      <c r="E1049" s="69" t="s">
        <v>191</v>
      </c>
      <c r="F1049" s="69" t="s">
        <v>181</v>
      </c>
      <c r="G1049" s="69" t="s">
        <v>294</v>
      </c>
      <c r="H1049" s="69" t="s">
        <v>2417</v>
      </c>
      <c r="I1049" s="69">
        <v>3</v>
      </c>
      <c r="J1049" s="238">
        <v>0.55000000000000004</v>
      </c>
      <c r="K1049" s="238">
        <v>0</v>
      </c>
      <c r="L1049" s="69">
        <v>82.00324623194571</v>
      </c>
      <c r="M1049" s="69">
        <v>0</v>
      </c>
      <c r="N1049" s="69">
        <v>0</v>
      </c>
      <c r="O1049" s="69">
        <v>0</v>
      </c>
      <c r="P1049" s="69">
        <v>0</v>
      </c>
      <c r="Q1049" s="69">
        <v>0</v>
      </c>
      <c r="R1049" s="69">
        <v>7.7377000000014968</v>
      </c>
      <c r="S1049" s="69">
        <v>7.7377000000014968</v>
      </c>
      <c r="T1049" s="69">
        <v>7.7377000000014968</v>
      </c>
      <c r="U1049" s="69">
        <v>7.7377000000014968</v>
      </c>
      <c r="V1049" s="69">
        <v>7.7377000000014968</v>
      </c>
      <c r="W1049" s="69">
        <v>7.7377000000014968</v>
      </c>
      <c r="X1049" s="69">
        <v>7.7377000000014968</v>
      </c>
      <c r="Y1049" s="69">
        <v>7.7377000000014968</v>
      </c>
      <c r="Z1049" s="69">
        <v>7.7377000000014968</v>
      </c>
      <c r="AA1049" s="69">
        <v>7.7377000000014968</v>
      </c>
      <c r="AB1049" s="69">
        <v>7.7377000000014968</v>
      </c>
      <c r="AC1049" s="69">
        <v>7.7377000000014968</v>
      </c>
      <c r="AD1049" s="69">
        <v>7.7377000000014968</v>
      </c>
      <c r="AE1049" s="69">
        <v>7.7377000000014968</v>
      </c>
      <c r="AF1049" s="69">
        <v>7.7377000000014968</v>
      </c>
      <c r="AG1049" s="69">
        <v>7.7377000000014968</v>
      </c>
    </row>
    <row r="1050" spans="1:33" ht="12.75" customHeight="1">
      <c r="A1050" s="231" t="s">
        <v>2377</v>
      </c>
      <c r="B1050" s="69" t="s">
        <v>467</v>
      </c>
      <c r="C1050" s="69" t="s">
        <v>18</v>
      </c>
      <c r="D1050" s="69" t="s">
        <v>325</v>
      </c>
      <c r="E1050" s="69" t="s">
        <v>191</v>
      </c>
      <c r="F1050" s="69" t="s">
        <v>181</v>
      </c>
      <c r="G1050" s="69" t="s">
        <v>294</v>
      </c>
      <c r="H1050" s="69" t="s">
        <v>2417</v>
      </c>
      <c r="I1050" s="69">
        <v>3</v>
      </c>
      <c r="J1050" s="238">
        <v>0.54</v>
      </c>
      <c r="K1050" s="238">
        <v>0</v>
      </c>
      <c r="L1050" s="69">
        <v>84.857369238408367</v>
      </c>
      <c r="M1050" s="69">
        <v>0</v>
      </c>
      <c r="N1050" s="69">
        <v>0</v>
      </c>
      <c r="O1050" s="69">
        <v>0</v>
      </c>
      <c r="P1050" s="69">
        <v>0</v>
      </c>
      <c r="Q1050" s="69">
        <v>0</v>
      </c>
      <c r="R1050" s="69">
        <v>7.4504000000015367</v>
      </c>
      <c r="S1050" s="69">
        <v>7.4504000000015367</v>
      </c>
      <c r="T1050" s="69">
        <v>7.4504000000015367</v>
      </c>
      <c r="U1050" s="69">
        <v>7.4504000000015367</v>
      </c>
      <c r="V1050" s="69">
        <v>7.4504000000015367</v>
      </c>
      <c r="W1050" s="69">
        <v>7.4504000000015367</v>
      </c>
      <c r="X1050" s="69">
        <v>7.4504000000015367</v>
      </c>
      <c r="Y1050" s="69">
        <v>7.4504000000015367</v>
      </c>
      <c r="Z1050" s="69">
        <v>7.4504000000015367</v>
      </c>
      <c r="AA1050" s="69">
        <v>7.4504000000015367</v>
      </c>
      <c r="AB1050" s="69">
        <v>7.4504000000015367</v>
      </c>
      <c r="AC1050" s="69">
        <v>7.4504000000015367</v>
      </c>
      <c r="AD1050" s="69">
        <v>7.4504000000015367</v>
      </c>
      <c r="AE1050" s="69">
        <v>7.4504000000015367</v>
      </c>
      <c r="AF1050" s="69">
        <v>7.4504000000015367</v>
      </c>
      <c r="AG1050" s="69">
        <v>7.4504000000015367</v>
      </c>
    </row>
    <row r="1051" spans="1:33" ht="12.75" customHeight="1">
      <c r="A1051" s="231" t="s">
        <v>2377</v>
      </c>
      <c r="B1051" s="69" t="s">
        <v>468</v>
      </c>
      <c r="C1051" s="69" t="s">
        <v>18</v>
      </c>
      <c r="D1051" s="69" t="s">
        <v>325</v>
      </c>
      <c r="E1051" s="69" t="s">
        <v>191</v>
      </c>
      <c r="F1051" s="69" t="s">
        <v>181</v>
      </c>
      <c r="G1051" s="69" t="s">
        <v>294</v>
      </c>
      <c r="H1051" s="69" t="s">
        <v>2417</v>
      </c>
      <c r="I1051" s="69">
        <v>3</v>
      </c>
      <c r="J1051" s="238">
        <v>0.44000000000000006</v>
      </c>
      <c r="K1051" s="238">
        <v>0</v>
      </c>
      <c r="L1051" s="69">
        <v>104.87661570687054</v>
      </c>
      <c r="M1051" s="69">
        <v>0</v>
      </c>
      <c r="N1051" s="69">
        <v>0</v>
      </c>
      <c r="O1051" s="69">
        <v>0</v>
      </c>
      <c r="P1051" s="69">
        <v>0</v>
      </c>
      <c r="Q1051" s="69">
        <v>0</v>
      </c>
      <c r="R1051" s="69">
        <v>11.563200000000506</v>
      </c>
      <c r="S1051" s="69">
        <v>11.563200000000506</v>
      </c>
      <c r="T1051" s="69">
        <v>11.563200000000506</v>
      </c>
      <c r="U1051" s="69">
        <v>11.563200000000506</v>
      </c>
      <c r="V1051" s="69">
        <v>11.563200000000506</v>
      </c>
      <c r="W1051" s="69">
        <v>11.563200000000506</v>
      </c>
      <c r="X1051" s="69">
        <v>11.563200000000506</v>
      </c>
      <c r="Y1051" s="69">
        <v>11.563200000000506</v>
      </c>
      <c r="Z1051" s="69">
        <v>11.563200000000506</v>
      </c>
      <c r="AA1051" s="69">
        <v>11.563200000000506</v>
      </c>
      <c r="AB1051" s="69">
        <v>11.563200000000506</v>
      </c>
      <c r="AC1051" s="69">
        <v>11.563200000000506</v>
      </c>
      <c r="AD1051" s="69">
        <v>11.563200000000506</v>
      </c>
      <c r="AE1051" s="69">
        <v>11.563200000000506</v>
      </c>
      <c r="AF1051" s="69">
        <v>11.563200000000506</v>
      </c>
      <c r="AG1051" s="69">
        <v>11.563200000000506</v>
      </c>
    </row>
    <row r="1052" spans="1:33" ht="12.75" customHeight="1">
      <c r="A1052" s="231" t="s">
        <v>2377</v>
      </c>
      <c r="B1052" s="69" t="s">
        <v>469</v>
      </c>
      <c r="C1052" s="69" t="s">
        <v>18</v>
      </c>
      <c r="D1052" s="69" t="s">
        <v>325</v>
      </c>
      <c r="E1052" s="69" t="s">
        <v>191</v>
      </c>
      <c r="F1052" s="69" t="s">
        <v>181</v>
      </c>
      <c r="G1052" s="69" t="s">
        <v>294</v>
      </c>
      <c r="H1052" s="69" t="s">
        <v>2417</v>
      </c>
      <c r="I1052" s="69">
        <v>3</v>
      </c>
      <c r="J1052" s="238">
        <v>0.56999999999999995</v>
      </c>
      <c r="K1052" s="238">
        <v>0</v>
      </c>
      <c r="L1052" s="69">
        <v>80.429924594077534</v>
      </c>
      <c r="M1052" s="69">
        <v>0</v>
      </c>
      <c r="N1052" s="69">
        <v>0</v>
      </c>
      <c r="O1052" s="69">
        <v>0</v>
      </c>
      <c r="P1052" s="69">
        <v>0</v>
      </c>
      <c r="Q1052" s="69">
        <v>0</v>
      </c>
      <c r="R1052" s="69">
        <v>2.9796999999998661</v>
      </c>
      <c r="S1052" s="69">
        <v>2.9796999999998661</v>
      </c>
      <c r="T1052" s="69">
        <v>2.9796999999998661</v>
      </c>
      <c r="U1052" s="69">
        <v>2.9796999999998661</v>
      </c>
      <c r="V1052" s="69">
        <v>2.9796999999998661</v>
      </c>
      <c r="W1052" s="69">
        <v>2.9796999999998661</v>
      </c>
      <c r="X1052" s="69">
        <v>2.9796999999998661</v>
      </c>
      <c r="Y1052" s="69">
        <v>2.9796999999998661</v>
      </c>
      <c r="Z1052" s="69">
        <v>2.9796999999998661</v>
      </c>
      <c r="AA1052" s="69">
        <v>2.9796999999998661</v>
      </c>
      <c r="AB1052" s="69">
        <v>2.9796999999998661</v>
      </c>
      <c r="AC1052" s="69">
        <v>2.9796999999998661</v>
      </c>
      <c r="AD1052" s="69">
        <v>2.9796999999998661</v>
      </c>
      <c r="AE1052" s="69">
        <v>2.9796999999998661</v>
      </c>
      <c r="AF1052" s="69">
        <v>2.9796999999998661</v>
      </c>
      <c r="AG1052" s="69">
        <v>2.9796999999998661</v>
      </c>
    </row>
    <row r="1053" spans="1:33" ht="12.75" customHeight="1">
      <c r="A1053" s="231" t="s">
        <v>2377</v>
      </c>
      <c r="B1053" s="69" t="s">
        <v>470</v>
      </c>
      <c r="C1053" s="69" t="s">
        <v>18</v>
      </c>
      <c r="D1053" s="69" t="s">
        <v>325</v>
      </c>
      <c r="E1053" s="69" t="s">
        <v>191</v>
      </c>
      <c r="F1053" s="69" t="s">
        <v>181</v>
      </c>
      <c r="G1053" s="69" t="s">
        <v>294</v>
      </c>
      <c r="H1053" s="69" t="s">
        <v>2417</v>
      </c>
      <c r="I1053" s="69">
        <v>3</v>
      </c>
      <c r="J1053" s="238">
        <v>0.49</v>
      </c>
      <c r="K1053" s="238">
        <v>0</v>
      </c>
      <c r="L1053" s="69">
        <v>92.425259983931227</v>
      </c>
      <c r="M1053" s="69">
        <v>0</v>
      </c>
      <c r="N1053" s="69">
        <v>0</v>
      </c>
      <c r="O1053" s="69">
        <v>0</v>
      </c>
      <c r="P1053" s="69">
        <v>0</v>
      </c>
      <c r="Q1053" s="69">
        <v>0</v>
      </c>
      <c r="R1053" s="69">
        <v>8.1555999999982305</v>
      </c>
      <c r="S1053" s="69">
        <v>8.1555999999982305</v>
      </c>
      <c r="T1053" s="69">
        <v>8.1555999999982305</v>
      </c>
      <c r="U1053" s="69">
        <v>8.1555999999982305</v>
      </c>
      <c r="V1053" s="69">
        <v>8.1555999999982305</v>
      </c>
      <c r="W1053" s="69">
        <v>8.1555999999982305</v>
      </c>
      <c r="X1053" s="69">
        <v>8.1555999999982305</v>
      </c>
      <c r="Y1053" s="69">
        <v>8.1555999999982305</v>
      </c>
      <c r="Z1053" s="69">
        <v>8.1555999999982305</v>
      </c>
      <c r="AA1053" s="69">
        <v>8.1555999999982305</v>
      </c>
      <c r="AB1053" s="69">
        <v>8.1555999999982305</v>
      </c>
      <c r="AC1053" s="69">
        <v>8.1555999999982305</v>
      </c>
      <c r="AD1053" s="69">
        <v>8.1555999999982305</v>
      </c>
      <c r="AE1053" s="69">
        <v>8.1555999999982305</v>
      </c>
      <c r="AF1053" s="69">
        <v>8.1555999999982305</v>
      </c>
      <c r="AG1053" s="69">
        <v>8.1555999999982305</v>
      </c>
    </row>
    <row r="1054" spans="1:33" ht="12.75" customHeight="1">
      <c r="A1054" s="231" t="s">
        <v>2377</v>
      </c>
      <c r="B1054" s="69" t="s">
        <v>471</v>
      </c>
      <c r="C1054" s="69" t="s">
        <v>18</v>
      </c>
      <c r="D1054" s="69" t="s">
        <v>325</v>
      </c>
      <c r="E1054" s="69" t="s">
        <v>191</v>
      </c>
      <c r="F1054" s="69" t="s">
        <v>181</v>
      </c>
      <c r="G1054" s="69" t="s">
        <v>294</v>
      </c>
      <c r="H1054" s="69" t="s">
        <v>2417</v>
      </c>
      <c r="I1054" s="69">
        <v>3</v>
      </c>
      <c r="J1054" s="238">
        <v>0.39</v>
      </c>
      <c r="K1054" s="238">
        <v>0</v>
      </c>
      <c r="L1054" s="69">
        <v>131.14745936231526</v>
      </c>
      <c r="M1054" s="69">
        <v>0</v>
      </c>
      <c r="N1054" s="69">
        <v>0</v>
      </c>
      <c r="O1054" s="69">
        <v>0</v>
      </c>
      <c r="P1054" s="69">
        <v>0</v>
      </c>
      <c r="Q1054" s="69">
        <v>0</v>
      </c>
      <c r="R1054" s="69">
        <v>13.665600000000266</v>
      </c>
      <c r="S1054" s="69">
        <v>13.665600000000266</v>
      </c>
      <c r="T1054" s="69">
        <v>13.665600000000266</v>
      </c>
      <c r="U1054" s="69">
        <v>13.665600000000266</v>
      </c>
      <c r="V1054" s="69">
        <v>13.665600000000266</v>
      </c>
      <c r="W1054" s="69">
        <v>13.665600000000266</v>
      </c>
      <c r="X1054" s="69">
        <v>13.665600000000266</v>
      </c>
      <c r="Y1054" s="69">
        <v>13.665600000000266</v>
      </c>
      <c r="Z1054" s="69">
        <v>13.665600000000266</v>
      </c>
      <c r="AA1054" s="69">
        <v>13.665600000000266</v>
      </c>
      <c r="AB1054" s="69">
        <v>13.665600000000266</v>
      </c>
      <c r="AC1054" s="69">
        <v>13.665600000000266</v>
      </c>
      <c r="AD1054" s="69">
        <v>13.665600000000266</v>
      </c>
      <c r="AE1054" s="69">
        <v>13.665600000000266</v>
      </c>
      <c r="AF1054" s="69">
        <v>13.665600000000266</v>
      </c>
      <c r="AG1054" s="69">
        <v>13.665600000000266</v>
      </c>
    </row>
    <row r="1055" spans="1:33" ht="12.75" customHeight="1">
      <c r="A1055" s="231" t="s">
        <v>2377</v>
      </c>
      <c r="B1055" s="69" t="s">
        <v>472</v>
      </c>
      <c r="C1055" s="69" t="s">
        <v>18</v>
      </c>
      <c r="D1055" s="69" t="s">
        <v>325</v>
      </c>
      <c r="E1055" s="69" t="s">
        <v>191</v>
      </c>
      <c r="F1055" s="69" t="s">
        <v>181</v>
      </c>
      <c r="G1055" s="69" t="s">
        <v>294</v>
      </c>
      <c r="H1055" s="69" t="s">
        <v>2417</v>
      </c>
      <c r="I1055" s="69">
        <v>3</v>
      </c>
      <c r="J1055" s="238">
        <v>0.52</v>
      </c>
      <c r="K1055" s="238">
        <v>0</v>
      </c>
      <c r="L1055" s="69">
        <v>92.822747040881879</v>
      </c>
      <c r="M1055" s="69">
        <v>0</v>
      </c>
      <c r="N1055" s="69">
        <v>0</v>
      </c>
      <c r="O1055" s="69">
        <v>0</v>
      </c>
      <c r="P1055" s="69">
        <v>0</v>
      </c>
      <c r="Q1055" s="69">
        <v>0</v>
      </c>
      <c r="R1055" s="69">
        <v>5.4661999999989348</v>
      </c>
      <c r="S1055" s="69">
        <v>5.4661999999989348</v>
      </c>
      <c r="T1055" s="69">
        <v>5.4661999999989348</v>
      </c>
      <c r="U1055" s="69">
        <v>5.4661999999989348</v>
      </c>
      <c r="V1055" s="69">
        <v>5.4661999999989348</v>
      </c>
      <c r="W1055" s="69">
        <v>5.4661999999989348</v>
      </c>
      <c r="X1055" s="69">
        <v>5.4661999999989348</v>
      </c>
      <c r="Y1055" s="69">
        <v>5.4661999999989348</v>
      </c>
      <c r="Z1055" s="69">
        <v>5.4661999999989348</v>
      </c>
      <c r="AA1055" s="69">
        <v>5.4661999999989348</v>
      </c>
      <c r="AB1055" s="69">
        <v>5.4661999999989348</v>
      </c>
      <c r="AC1055" s="69">
        <v>5.4661999999989348</v>
      </c>
      <c r="AD1055" s="69">
        <v>5.4661999999989348</v>
      </c>
      <c r="AE1055" s="69">
        <v>5.4661999999989348</v>
      </c>
      <c r="AF1055" s="69">
        <v>5.4661999999989348</v>
      </c>
      <c r="AG1055" s="69">
        <v>5.4661999999989348</v>
      </c>
    </row>
    <row r="1056" spans="1:33" ht="12.75" customHeight="1">
      <c r="A1056" s="231" t="s">
        <v>2377</v>
      </c>
      <c r="B1056" s="69" t="s">
        <v>473</v>
      </c>
      <c r="C1056" s="69" t="s">
        <v>18</v>
      </c>
      <c r="D1056" s="69" t="s">
        <v>325</v>
      </c>
      <c r="E1056" s="69" t="s">
        <v>191</v>
      </c>
      <c r="F1056" s="69" t="s">
        <v>181</v>
      </c>
      <c r="G1056" s="69" t="s">
        <v>294</v>
      </c>
      <c r="H1056" s="69" t="s">
        <v>2417</v>
      </c>
      <c r="I1056" s="69">
        <v>3</v>
      </c>
      <c r="J1056" s="238">
        <v>0.46</v>
      </c>
      <c r="K1056" s="238">
        <v>0</v>
      </c>
      <c r="L1056" s="69">
        <v>102.34540368654109</v>
      </c>
      <c r="M1056" s="69">
        <v>0</v>
      </c>
      <c r="N1056" s="69">
        <v>0</v>
      </c>
      <c r="O1056" s="69">
        <v>0</v>
      </c>
      <c r="P1056" s="69">
        <v>0</v>
      </c>
      <c r="Q1056" s="69">
        <v>0</v>
      </c>
      <c r="R1056" s="69">
        <v>7.2533000000003076</v>
      </c>
      <c r="S1056" s="69">
        <v>7.2533000000003076</v>
      </c>
      <c r="T1056" s="69">
        <v>7.2533000000003076</v>
      </c>
      <c r="U1056" s="69">
        <v>7.2533000000003076</v>
      </c>
      <c r="V1056" s="69">
        <v>7.2533000000003076</v>
      </c>
      <c r="W1056" s="69">
        <v>7.2533000000003076</v>
      </c>
      <c r="X1056" s="69">
        <v>7.2533000000003076</v>
      </c>
      <c r="Y1056" s="69">
        <v>7.2533000000003076</v>
      </c>
      <c r="Z1056" s="69">
        <v>7.2533000000003076</v>
      </c>
      <c r="AA1056" s="69">
        <v>7.2533000000003076</v>
      </c>
      <c r="AB1056" s="69">
        <v>7.2533000000003076</v>
      </c>
      <c r="AC1056" s="69">
        <v>7.2533000000003076</v>
      </c>
      <c r="AD1056" s="69">
        <v>7.2533000000003076</v>
      </c>
      <c r="AE1056" s="69">
        <v>7.2533000000003076</v>
      </c>
      <c r="AF1056" s="69">
        <v>7.2533000000003076</v>
      </c>
      <c r="AG1056" s="69">
        <v>7.2533000000003076</v>
      </c>
    </row>
    <row r="1057" spans="1:33" ht="12.75" customHeight="1">
      <c r="A1057" s="231" t="s">
        <v>2377</v>
      </c>
      <c r="B1057" s="69" t="s">
        <v>474</v>
      </c>
      <c r="C1057" s="69" t="s">
        <v>18</v>
      </c>
      <c r="D1057" s="69" t="s">
        <v>325</v>
      </c>
      <c r="E1057" s="69" t="s">
        <v>191</v>
      </c>
      <c r="F1057" s="69" t="s">
        <v>181</v>
      </c>
      <c r="G1057" s="69" t="s">
        <v>294</v>
      </c>
      <c r="H1057" s="69" t="s">
        <v>2417</v>
      </c>
      <c r="I1057" s="69">
        <v>3</v>
      </c>
      <c r="J1057" s="238">
        <v>0.22000000000000006</v>
      </c>
      <c r="K1057" s="238">
        <v>0</v>
      </c>
      <c r="L1057" s="69">
        <v>216.58237045235856</v>
      </c>
      <c r="M1057" s="69">
        <v>0</v>
      </c>
      <c r="N1057" s="69">
        <v>0</v>
      </c>
      <c r="O1057" s="69">
        <v>0</v>
      </c>
      <c r="P1057" s="69">
        <v>0</v>
      </c>
      <c r="Q1057" s="69">
        <v>0</v>
      </c>
      <c r="R1057" s="69">
        <v>40.471199999999953</v>
      </c>
      <c r="S1057" s="69">
        <v>40.471199999999953</v>
      </c>
      <c r="T1057" s="69">
        <v>40.471199999999953</v>
      </c>
      <c r="U1057" s="69">
        <v>40.471199999999953</v>
      </c>
      <c r="V1057" s="69">
        <v>40.471199999999953</v>
      </c>
      <c r="W1057" s="69">
        <v>40.471199999999953</v>
      </c>
      <c r="X1057" s="69">
        <v>40.471199999999953</v>
      </c>
      <c r="Y1057" s="69">
        <v>40.471199999999953</v>
      </c>
      <c r="Z1057" s="69">
        <v>40.471199999999953</v>
      </c>
      <c r="AA1057" s="69">
        <v>40.471199999999953</v>
      </c>
      <c r="AB1057" s="69">
        <v>40.471199999999953</v>
      </c>
      <c r="AC1057" s="69">
        <v>40.471199999999953</v>
      </c>
      <c r="AD1057" s="69">
        <v>40.471199999999953</v>
      </c>
      <c r="AE1057" s="69">
        <v>40.471199999999953</v>
      </c>
      <c r="AF1057" s="69">
        <v>40.471199999999953</v>
      </c>
      <c r="AG1057" s="69">
        <v>40.471199999999953</v>
      </c>
    </row>
    <row r="1058" spans="1:33" ht="12.75" customHeight="1">
      <c r="A1058" s="231" t="s">
        <v>2377</v>
      </c>
      <c r="B1058" s="69" t="s">
        <v>475</v>
      </c>
      <c r="C1058" s="69" t="s">
        <v>18</v>
      </c>
      <c r="D1058" s="69" t="s">
        <v>325</v>
      </c>
      <c r="E1058" s="69" t="s">
        <v>191</v>
      </c>
      <c r="F1058" s="69" t="s">
        <v>181</v>
      </c>
      <c r="G1058" s="69" t="s">
        <v>294</v>
      </c>
      <c r="H1058" s="69" t="s">
        <v>2417</v>
      </c>
      <c r="I1058" s="69">
        <v>3</v>
      </c>
      <c r="J1058" s="238">
        <v>0.36000000000000004</v>
      </c>
      <c r="K1058" s="238">
        <v>0</v>
      </c>
      <c r="L1058" s="69">
        <v>115.64995005998324</v>
      </c>
      <c r="M1058" s="69">
        <v>0</v>
      </c>
      <c r="N1058" s="69">
        <v>0</v>
      </c>
      <c r="O1058" s="69">
        <v>0</v>
      </c>
      <c r="P1058" s="69">
        <v>0</v>
      </c>
      <c r="Q1058" s="69">
        <v>0</v>
      </c>
      <c r="R1058" s="69">
        <v>6.8282600582388104</v>
      </c>
      <c r="S1058" s="69">
        <v>6.8282600582388104</v>
      </c>
      <c r="T1058" s="69">
        <v>6.8282600582388104</v>
      </c>
      <c r="U1058" s="69">
        <v>6.8282600582388104</v>
      </c>
      <c r="V1058" s="69">
        <v>6.8282600582388104</v>
      </c>
      <c r="W1058" s="69">
        <v>6.8282600582388104</v>
      </c>
      <c r="X1058" s="69">
        <v>6.8282600582388104</v>
      </c>
      <c r="Y1058" s="69">
        <v>6.8282600582388104</v>
      </c>
      <c r="Z1058" s="69">
        <v>6.8282600582388104</v>
      </c>
      <c r="AA1058" s="69">
        <v>6.8282600582388104</v>
      </c>
      <c r="AB1058" s="69">
        <v>6.8282600582388104</v>
      </c>
      <c r="AC1058" s="69">
        <v>6.8282600582388104</v>
      </c>
      <c r="AD1058" s="69">
        <v>6.8282600582388104</v>
      </c>
      <c r="AE1058" s="69">
        <v>6.8282600582388104</v>
      </c>
      <c r="AF1058" s="69">
        <v>6.8282600582388104</v>
      </c>
      <c r="AG1058" s="69">
        <v>6.8282600582388104</v>
      </c>
    </row>
    <row r="1059" spans="1:33" ht="12.75" customHeight="1">
      <c r="A1059" s="231" t="s">
        <v>2377</v>
      </c>
      <c r="B1059" s="69" t="s">
        <v>476</v>
      </c>
      <c r="C1059" s="69" t="s">
        <v>18</v>
      </c>
      <c r="D1059" s="69" t="s">
        <v>325</v>
      </c>
      <c r="E1059" s="69" t="s">
        <v>191</v>
      </c>
      <c r="F1059" s="69" t="s">
        <v>183</v>
      </c>
      <c r="G1059" s="69" t="s">
        <v>329</v>
      </c>
      <c r="H1059" s="69" t="s">
        <v>2417</v>
      </c>
      <c r="I1059" s="69">
        <v>3</v>
      </c>
      <c r="J1059" s="238">
        <v>0.63</v>
      </c>
      <c r="K1059" s="238">
        <v>0</v>
      </c>
      <c r="L1059" s="69">
        <v>105.87108500804942</v>
      </c>
      <c r="M1059" s="69">
        <v>0</v>
      </c>
      <c r="N1059" s="69">
        <v>0</v>
      </c>
      <c r="O1059" s="69">
        <v>0</v>
      </c>
      <c r="P1059" s="69">
        <v>0</v>
      </c>
      <c r="Q1059" s="69">
        <v>0</v>
      </c>
      <c r="R1059" s="69">
        <v>11.037599999999657</v>
      </c>
      <c r="S1059" s="69">
        <v>11.037599999999657</v>
      </c>
      <c r="T1059" s="69">
        <v>11.037599999999657</v>
      </c>
      <c r="U1059" s="69">
        <v>11.037599999999657</v>
      </c>
      <c r="V1059" s="69">
        <v>11.037599999999657</v>
      </c>
      <c r="W1059" s="69">
        <v>11.037599999999657</v>
      </c>
      <c r="X1059" s="69">
        <v>11.037599999999657</v>
      </c>
      <c r="Y1059" s="69">
        <v>11.037599999999657</v>
      </c>
      <c r="Z1059" s="69">
        <v>11.037599999999657</v>
      </c>
      <c r="AA1059" s="69">
        <v>11.037599999999657</v>
      </c>
      <c r="AB1059" s="69">
        <v>11.037599999999657</v>
      </c>
      <c r="AC1059" s="69">
        <v>11.037599999999657</v>
      </c>
      <c r="AD1059" s="69">
        <v>11.037599999999657</v>
      </c>
      <c r="AE1059" s="69">
        <v>11.037599999999657</v>
      </c>
      <c r="AF1059" s="69">
        <v>11.037599999999657</v>
      </c>
      <c r="AG1059" s="69">
        <v>11.037599999999657</v>
      </c>
    </row>
    <row r="1060" spans="1:33" ht="12.75" customHeight="1">
      <c r="A1060" s="231" t="s">
        <v>2377</v>
      </c>
      <c r="B1060" s="69" t="s">
        <v>477</v>
      </c>
      <c r="C1060" s="69" t="s">
        <v>137</v>
      </c>
      <c r="D1060" s="69" t="s">
        <v>191</v>
      </c>
      <c r="E1060" s="69" t="s">
        <v>191</v>
      </c>
      <c r="F1060" s="69" t="s">
        <v>153</v>
      </c>
      <c r="G1060" s="69" t="s">
        <v>201</v>
      </c>
      <c r="H1060" s="69" t="s">
        <v>2417</v>
      </c>
      <c r="I1060" s="69">
        <v>3</v>
      </c>
      <c r="J1060" s="238">
        <v>0.28132191221424191</v>
      </c>
      <c r="K1060" s="238">
        <v>0.19115206255806247</v>
      </c>
      <c r="L1060" s="69">
        <v>94.811948631100549</v>
      </c>
      <c r="M1060" s="69">
        <v>0</v>
      </c>
      <c r="N1060" s="69">
        <v>0</v>
      </c>
      <c r="O1060" s="69">
        <v>0</v>
      </c>
      <c r="P1060" s="69">
        <v>0</v>
      </c>
      <c r="Q1060" s="69">
        <v>0</v>
      </c>
      <c r="R1060" s="69">
        <v>1433.8009000000018</v>
      </c>
      <c r="S1060" s="69">
        <v>1433.8009000000018</v>
      </c>
      <c r="T1060" s="69">
        <v>1433.8009000000018</v>
      </c>
      <c r="U1060" s="69">
        <v>1433.8009000000018</v>
      </c>
      <c r="V1060" s="69">
        <v>1433.8009000000018</v>
      </c>
      <c r="W1060" s="69">
        <v>1433.8009000000018</v>
      </c>
      <c r="X1060" s="69">
        <v>1433.8009000000018</v>
      </c>
      <c r="Y1060" s="69">
        <v>1433.8009000000018</v>
      </c>
      <c r="Z1060" s="69">
        <v>1433.8009000000018</v>
      </c>
      <c r="AA1060" s="69">
        <v>1433.8009000000018</v>
      </c>
      <c r="AB1060" s="69">
        <v>1433.8009000000018</v>
      </c>
      <c r="AC1060" s="69">
        <v>1433.8009000000018</v>
      </c>
      <c r="AD1060" s="69">
        <v>1433.8009000000018</v>
      </c>
      <c r="AE1060" s="69">
        <v>1433.8009000000018</v>
      </c>
      <c r="AF1060" s="69">
        <v>1433.8009000000018</v>
      </c>
      <c r="AG1060" s="69">
        <v>1433.8009000000018</v>
      </c>
    </row>
    <row r="1061" spans="1:33" ht="12.75" customHeight="1">
      <c r="A1061" s="231" t="s">
        <v>2377</v>
      </c>
      <c r="B1061" s="69" t="s">
        <v>478</v>
      </c>
      <c r="C1061" s="69" t="s">
        <v>137</v>
      </c>
      <c r="D1061" s="69" t="s">
        <v>191</v>
      </c>
      <c r="E1061" s="69" t="s">
        <v>191</v>
      </c>
      <c r="F1061" s="69" t="s">
        <v>153</v>
      </c>
      <c r="G1061" s="69" t="s">
        <v>201</v>
      </c>
      <c r="H1061" s="69" t="s">
        <v>2417</v>
      </c>
      <c r="I1061" s="69">
        <v>3</v>
      </c>
      <c r="J1061" s="238">
        <v>0.28132191221424191</v>
      </c>
      <c r="K1061" s="238">
        <v>0.19115206255806247</v>
      </c>
      <c r="L1061" s="69">
        <v>97.937801979446078</v>
      </c>
      <c r="M1061" s="69">
        <v>0</v>
      </c>
      <c r="N1061" s="69">
        <v>0</v>
      </c>
      <c r="O1061" s="69">
        <v>0</v>
      </c>
      <c r="P1061" s="69">
        <v>0</v>
      </c>
      <c r="Q1061" s="69">
        <v>0</v>
      </c>
      <c r="R1061" s="69">
        <v>1277.5684524541939</v>
      </c>
      <c r="S1061" s="69">
        <v>1277.5684524541939</v>
      </c>
      <c r="T1061" s="69">
        <v>1277.5684524541939</v>
      </c>
      <c r="U1061" s="69">
        <v>1277.5684524541939</v>
      </c>
      <c r="V1061" s="69">
        <v>1277.5684524541939</v>
      </c>
      <c r="W1061" s="69">
        <v>1277.5684524541939</v>
      </c>
      <c r="X1061" s="69">
        <v>1277.5684524541939</v>
      </c>
      <c r="Y1061" s="69">
        <v>1277.5684524541939</v>
      </c>
      <c r="Z1061" s="69">
        <v>1277.5684524541939</v>
      </c>
      <c r="AA1061" s="69">
        <v>1277.5684524541939</v>
      </c>
      <c r="AB1061" s="69">
        <v>1277.5684524541939</v>
      </c>
      <c r="AC1061" s="69">
        <v>1277.5684524541939</v>
      </c>
      <c r="AD1061" s="69">
        <v>1277.5684524541939</v>
      </c>
      <c r="AE1061" s="69">
        <v>1277.5684524541939</v>
      </c>
      <c r="AF1061" s="69">
        <v>1277.5684524541939</v>
      </c>
      <c r="AG1061" s="69">
        <v>1277.5684524541939</v>
      </c>
    </row>
    <row r="1062" spans="1:33" ht="12.75" customHeight="1">
      <c r="A1062" s="231" t="s">
        <v>2377</v>
      </c>
      <c r="B1062" s="69" t="s">
        <v>479</v>
      </c>
      <c r="C1062" s="69" t="s">
        <v>137</v>
      </c>
      <c r="D1062" s="69" t="s">
        <v>191</v>
      </c>
      <c r="E1062" s="69" t="s">
        <v>191</v>
      </c>
      <c r="F1062" s="69" t="s">
        <v>156</v>
      </c>
      <c r="G1062" s="69" t="s">
        <v>313</v>
      </c>
      <c r="H1062" s="69" t="s">
        <v>2417</v>
      </c>
      <c r="I1062" s="69">
        <v>3</v>
      </c>
      <c r="J1062" s="238">
        <v>0.3229992325422778</v>
      </c>
      <c r="K1062" s="238">
        <v>0.18058588251804827</v>
      </c>
      <c r="L1062" s="69">
        <v>92.392208968430936</v>
      </c>
      <c r="M1062" s="69">
        <v>0</v>
      </c>
      <c r="N1062" s="69">
        <v>0</v>
      </c>
      <c r="O1062" s="69">
        <v>0</v>
      </c>
      <c r="P1062" s="69">
        <v>0</v>
      </c>
      <c r="Q1062" s="69">
        <v>0</v>
      </c>
      <c r="R1062" s="69">
        <v>1969.1442000000027</v>
      </c>
      <c r="S1062" s="69">
        <v>1969.1442000000027</v>
      </c>
      <c r="T1062" s="69">
        <v>1969.1442000000027</v>
      </c>
      <c r="U1062" s="69">
        <v>1969.1442000000027</v>
      </c>
      <c r="V1062" s="69">
        <v>1969.1442000000027</v>
      </c>
      <c r="W1062" s="69">
        <v>1969.1442000000027</v>
      </c>
      <c r="X1062" s="69">
        <v>1969.1442000000027</v>
      </c>
      <c r="Y1062" s="69">
        <v>1969.1442000000027</v>
      </c>
      <c r="Z1062" s="69">
        <v>1969.1442000000027</v>
      </c>
      <c r="AA1062" s="69">
        <v>1969.1442000000027</v>
      </c>
      <c r="AB1062" s="69">
        <v>1969.1442000000027</v>
      </c>
      <c r="AC1062" s="69">
        <v>1969.1442000000027</v>
      </c>
      <c r="AD1062" s="69">
        <v>1969.1442000000027</v>
      </c>
      <c r="AE1062" s="69">
        <v>1969.1442000000027</v>
      </c>
      <c r="AF1062" s="69">
        <v>1969.1442000000027</v>
      </c>
      <c r="AG1062" s="69">
        <v>1969.1442000000027</v>
      </c>
    </row>
    <row r="1063" spans="1:33" ht="12.75" customHeight="1">
      <c r="A1063" s="231" t="s">
        <v>2377</v>
      </c>
      <c r="B1063" s="69" t="s">
        <v>480</v>
      </c>
      <c r="C1063" s="69" t="s">
        <v>137</v>
      </c>
      <c r="D1063" s="69" t="s">
        <v>191</v>
      </c>
      <c r="E1063" s="69" t="s">
        <v>191</v>
      </c>
      <c r="F1063" s="69" t="s">
        <v>156</v>
      </c>
      <c r="G1063" s="69" t="s">
        <v>313</v>
      </c>
      <c r="H1063" s="69" t="s">
        <v>2417</v>
      </c>
      <c r="I1063" s="69">
        <v>3</v>
      </c>
      <c r="J1063" s="238">
        <v>0.28132191221424191</v>
      </c>
      <c r="K1063" s="238">
        <v>0.18058588251804827</v>
      </c>
      <c r="L1063" s="69">
        <v>94.826871576376831</v>
      </c>
      <c r="M1063" s="69">
        <v>0</v>
      </c>
      <c r="N1063" s="69">
        <v>0</v>
      </c>
      <c r="O1063" s="69">
        <v>0</v>
      </c>
      <c r="P1063" s="69">
        <v>0</v>
      </c>
      <c r="Q1063" s="69">
        <v>0</v>
      </c>
      <c r="R1063" s="69">
        <v>629.6670673699482</v>
      </c>
      <c r="S1063" s="69">
        <v>629.6670673699482</v>
      </c>
      <c r="T1063" s="69">
        <v>629.6670673699482</v>
      </c>
      <c r="U1063" s="69">
        <v>629.6670673699482</v>
      </c>
      <c r="V1063" s="69">
        <v>629.6670673699482</v>
      </c>
      <c r="W1063" s="69">
        <v>629.6670673699482</v>
      </c>
      <c r="X1063" s="69">
        <v>629.6670673699482</v>
      </c>
      <c r="Y1063" s="69">
        <v>629.6670673699482</v>
      </c>
      <c r="Z1063" s="69">
        <v>629.6670673699482</v>
      </c>
      <c r="AA1063" s="69">
        <v>629.6670673699482</v>
      </c>
      <c r="AB1063" s="69">
        <v>629.6670673699482</v>
      </c>
      <c r="AC1063" s="69">
        <v>629.6670673699482</v>
      </c>
      <c r="AD1063" s="69">
        <v>629.6670673699482</v>
      </c>
      <c r="AE1063" s="69">
        <v>629.6670673699482</v>
      </c>
      <c r="AF1063" s="69">
        <v>629.6670673699482</v>
      </c>
      <c r="AG1063" s="69">
        <v>629.6670673699482</v>
      </c>
    </row>
    <row r="1064" spans="1:33" ht="12.75" customHeight="1">
      <c r="A1064" s="231" t="s">
        <v>2377</v>
      </c>
      <c r="B1064" s="69" t="s">
        <v>481</v>
      </c>
      <c r="C1064" s="69" t="s">
        <v>137</v>
      </c>
      <c r="D1064" s="69" t="s">
        <v>191</v>
      </c>
      <c r="E1064" s="69" t="s">
        <v>191</v>
      </c>
      <c r="F1064" s="69" t="s">
        <v>166</v>
      </c>
      <c r="G1064" s="69" t="s">
        <v>236</v>
      </c>
      <c r="H1064" s="69" t="s">
        <v>2417</v>
      </c>
      <c r="I1064" s="69">
        <v>3</v>
      </c>
      <c r="J1064" s="238">
        <v>0.3229992325422778</v>
      </c>
      <c r="K1064" s="238">
        <v>0.18335451165254593</v>
      </c>
      <c r="L1064" s="69">
        <v>80.121384416570578</v>
      </c>
      <c r="M1064" s="69">
        <v>0</v>
      </c>
      <c r="N1064" s="69">
        <v>0</v>
      </c>
      <c r="O1064" s="69">
        <v>0</v>
      </c>
      <c r="P1064" s="69">
        <v>0</v>
      </c>
      <c r="Q1064" s="69">
        <v>0</v>
      </c>
      <c r="R1064" s="69">
        <v>2460.7382543787971</v>
      </c>
      <c r="S1064" s="69">
        <v>2460.7382543787971</v>
      </c>
      <c r="T1064" s="69">
        <v>2460.7382543787971</v>
      </c>
      <c r="U1064" s="69">
        <v>2460.7382543787971</v>
      </c>
      <c r="V1064" s="69">
        <v>2460.7382543787971</v>
      </c>
      <c r="W1064" s="69">
        <v>2460.7382543787971</v>
      </c>
      <c r="X1064" s="69">
        <v>2460.7382543787971</v>
      </c>
      <c r="Y1064" s="69">
        <v>2460.7382543787971</v>
      </c>
      <c r="Z1064" s="69">
        <v>2460.7382543787971</v>
      </c>
      <c r="AA1064" s="69">
        <v>2460.7382543787971</v>
      </c>
      <c r="AB1064" s="69">
        <v>2460.7382543787971</v>
      </c>
      <c r="AC1064" s="69">
        <v>2460.7382543787971</v>
      </c>
      <c r="AD1064" s="69">
        <v>2460.7382543787971</v>
      </c>
      <c r="AE1064" s="69">
        <v>2460.7382543787971</v>
      </c>
      <c r="AF1064" s="69">
        <v>2460.7382543787971</v>
      </c>
      <c r="AG1064" s="69">
        <v>2460.7382543787971</v>
      </c>
    </row>
    <row r="1065" spans="1:33" ht="12.75" customHeight="1">
      <c r="A1065" s="231" t="s">
        <v>2377</v>
      </c>
      <c r="B1065" s="69" t="s">
        <v>482</v>
      </c>
      <c r="C1065" s="69" t="s">
        <v>137</v>
      </c>
      <c r="D1065" s="69" t="s">
        <v>191</v>
      </c>
      <c r="E1065" s="69" t="s">
        <v>191</v>
      </c>
      <c r="F1065" s="69" t="s">
        <v>183</v>
      </c>
      <c r="G1065" s="69" t="s">
        <v>329</v>
      </c>
      <c r="H1065" s="69" t="s">
        <v>2417</v>
      </c>
      <c r="I1065" s="69">
        <v>3</v>
      </c>
      <c r="J1065" s="238">
        <v>0.35425722278830468</v>
      </c>
      <c r="K1065" s="238">
        <v>0.17884977722471748</v>
      </c>
      <c r="L1065" s="69">
        <v>72.301236618554668</v>
      </c>
      <c r="M1065" s="69">
        <v>0</v>
      </c>
      <c r="N1065" s="69">
        <v>0</v>
      </c>
      <c r="O1065" s="69">
        <v>0</v>
      </c>
      <c r="P1065" s="69">
        <v>0</v>
      </c>
      <c r="Q1065" s="69">
        <v>0</v>
      </c>
      <c r="R1065" s="69">
        <v>1121.1222756749194</v>
      </c>
      <c r="S1065" s="69">
        <v>1121.1222756749194</v>
      </c>
      <c r="T1065" s="69">
        <v>1121.1222756749194</v>
      </c>
      <c r="U1065" s="69">
        <v>1121.1222756749194</v>
      </c>
      <c r="V1065" s="69">
        <v>1121.1222756749194</v>
      </c>
      <c r="W1065" s="69">
        <v>1121.1222756749194</v>
      </c>
      <c r="X1065" s="69">
        <v>1121.1222756749194</v>
      </c>
      <c r="Y1065" s="69">
        <v>1121.1222756749194</v>
      </c>
      <c r="Z1065" s="69">
        <v>1121.1222756749194</v>
      </c>
      <c r="AA1065" s="69">
        <v>1121.1222756749194</v>
      </c>
      <c r="AB1065" s="69">
        <v>1121.1222756749194</v>
      </c>
      <c r="AC1065" s="69">
        <v>1121.1222756749194</v>
      </c>
      <c r="AD1065" s="69">
        <v>1121.1222756749194</v>
      </c>
      <c r="AE1065" s="69">
        <v>1121.1222756749194</v>
      </c>
      <c r="AF1065" s="69">
        <v>1121.1222756749194</v>
      </c>
      <c r="AG1065" s="69">
        <v>1121.1222756749194</v>
      </c>
    </row>
    <row r="1066" spans="1:33" ht="12.75" customHeight="1">
      <c r="A1066" s="231" t="s">
        <v>2377</v>
      </c>
      <c r="B1066" s="69" t="s">
        <v>483</v>
      </c>
      <c r="C1066" s="69" t="s">
        <v>186</v>
      </c>
      <c r="D1066" s="69" t="s">
        <v>334</v>
      </c>
      <c r="E1066" s="69" t="s">
        <v>260</v>
      </c>
      <c r="F1066" s="69" t="s">
        <v>157</v>
      </c>
      <c r="G1066" s="69" t="s">
        <v>192</v>
      </c>
      <c r="H1066" s="69" t="s">
        <v>805</v>
      </c>
      <c r="I1066" s="69">
        <v>2</v>
      </c>
      <c r="J1066" s="238">
        <v>0.19559527787058692</v>
      </c>
      <c r="K1066" s="238">
        <v>0</v>
      </c>
      <c r="L1066" s="69">
        <v>307.09437722419932</v>
      </c>
      <c r="M1066" s="69">
        <v>-26.263345195729539</v>
      </c>
      <c r="N1066" s="69">
        <v>0</v>
      </c>
      <c r="O1066" s="69">
        <v>0</v>
      </c>
      <c r="P1066" s="69">
        <v>0</v>
      </c>
      <c r="Q1066" s="69">
        <v>155.23413069012531</v>
      </c>
      <c r="R1066" s="69">
        <v>155.23413069012531</v>
      </c>
      <c r="S1066" s="69">
        <v>155.23413069012531</v>
      </c>
      <c r="T1066" s="69">
        <v>155.23413069012531</v>
      </c>
      <c r="U1066" s="69">
        <v>155.23413069012531</v>
      </c>
      <c r="V1066" s="69">
        <v>155.23413069012531</v>
      </c>
      <c r="W1066" s="69">
        <v>155.23413069012531</v>
      </c>
      <c r="X1066" s="69">
        <v>155.23413069012531</v>
      </c>
      <c r="Y1066" s="69">
        <v>155.23413069012531</v>
      </c>
      <c r="Z1066" s="69">
        <v>155.23413069012531</v>
      </c>
      <c r="AA1066" s="69">
        <v>155.23413069012531</v>
      </c>
      <c r="AB1066" s="69">
        <v>155.23413069012531</v>
      </c>
      <c r="AC1066" s="69">
        <v>155.23413069012531</v>
      </c>
      <c r="AD1066" s="69">
        <v>155.23413069012531</v>
      </c>
      <c r="AE1066" s="69">
        <v>155.23413069012531</v>
      </c>
      <c r="AF1066" s="69">
        <v>155.23413069012531</v>
      </c>
      <c r="AG1066" s="69">
        <v>155.23413069012531</v>
      </c>
    </row>
    <row r="1067" spans="1:33" ht="12.75" customHeight="1">
      <c r="A1067" s="231" t="s">
        <v>2377</v>
      </c>
      <c r="B1067" s="69" t="s">
        <v>484</v>
      </c>
      <c r="C1067" s="69" t="s">
        <v>186</v>
      </c>
      <c r="D1067" s="69" t="s">
        <v>334</v>
      </c>
      <c r="E1067" s="69" t="s">
        <v>260</v>
      </c>
      <c r="F1067" s="69" t="s">
        <v>157</v>
      </c>
      <c r="G1067" s="69" t="s">
        <v>192</v>
      </c>
      <c r="H1067" s="69" t="s">
        <v>805</v>
      </c>
      <c r="I1067" s="69">
        <v>2</v>
      </c>
      <c r="J1067" s="238">
        <v>0.19559527787058692</v>
      </c>
      <c r="K1067" s="238">
        <v>0</v>
      </c>
      <c r="L1067" s="69">
        <v>307.09437722419932</v>
      </c>
      <c r="M1067" s="69">
        <v>-26.263345195729539</v>
      </c>
      <c r="N1067" s="69">
        <v>0</v>
      </c>
      <c r="O1067" s="69">
        <v>0</v>
      </c>
      <c r="P1067" s="69">
        <v>0</v>
      </c>
      <c r="Q1067" s="69">
        <v>0</v>
      </c>
      <c r="R1067" s="69">
        <v>155.23413069012531</v>
      </c>
      <c r="S1067" s="69">
        <v>155.23413069012531</v>
      </c>
      <c r="T1067" s="69">
        <v>155.23413069012531</v>
      </c>
      <c r="U1067" s="69">
        <v>155.23413069012531</v>
      </c>
      <c r="V1067" s="69">
        <v>155.23413069012531</v>
      </c>
      <c r="W1067" s="69">
        <v>155.23413069012531</v>
      </c>
      <c r="X1067" s="69">
        <v>155.23413069012531</v>
      </c>
      <c r="Y1067" s="69">
        <v>155.23413069012531</v>
      </c>
      <c r="Z1067" s="69">
        <v>155.23413069012531</v>
      </c>
      <c r="AA1067" s="69">
        <v>155.23413069012531</v>
      </c>
      <c r="AB1067" s="69">
        <v>155.23413069012531</v>
      </c>
      <c r="AC1067" s="69">
        <v>155.23413069012531</v>
      </c>
      <c r="AD1067" s="69">
        <v>155.23413069012531</v>
      </c>
      <c r="AE1067" s="69">
        <v>155.23413069012531</v>
      </c>
      <c r="AF1067" s="69">
        <v>155.23413069012531</v>
      </c>
      <c r="AG1067" s="69">
        <v>155.23413069012531</v>
      </c>
    </row>
    <row r="1068" spans="1:33" ht="12.75" customHeight="1">
      <c r="A1068" s="231" t="s">
        <v>2377</v>
      </c>
      <c r="B1068" s="69" t="s">
        <v>490</v>
      </c>
      <c r="C1068" s="69" t="s">
        <v>186</v>
      </c>
      <c r="D1068" s="69" t="s">
        <v>491</v>
      </c>
      <c r="E1068" s="69" t="s">
        <v>203</v>
      </c>
      <c r="F1068" s="69" t="s">
        <v>157</v>
      </c>
      <c r="G1068" s="69" t="s">
        <v>192</v>
      </c>
      <c r="H1068" s="69" t="s">
        <v>805</v>
      </c>
      <c r="I1068" s="69">
        <v>2</v>
      </c>
      <c r="J1068" s="238">
        <v>0.25568920072762369</v>
      </c>
      <c r="K1068" s="238">
        <v>0</v>
      </c>
      <c r="L1068" s="69">
        <v>224.96275862068964</v>
      </c>
      <c r="M1068" s="69">
        <v>-20.090744101633398</v>
      </c>
      <c r="N1068" s="69">
        <v>0</v>
      </c>
      <c r="O1068" s="69">
        <v>0</v>
      </c>
      <c r="P1068" s="69">
        <v>0</v>
      </c>
      <c r="Q1068" s="69">
        <v>7.3988971149810823</v>
      </c>
      <c r="R1068" s="69">
        <v>7.3988971149810823</v>
      </c>
      <c r="S1068" s="69">
        <v>7.3988971149810823</v>
      </c>
      <c r="T1068" s="69">
        <v>7.3988971149810823</v>
      </c>
      <c r="U1068" s="69">
        <v>7.3988971149810823</v>
      </c>
      <c r="V1068" s="69">
        <v>7.3988971149810823</v>
      </c>
      <c r="W1068" s="69">
        <v>7.3988971149810823</v>
      </c>
      <c r="X1068" s="69">
        <v>7.3988971149810823</v>
      </c>
      <c r="Y1068" s="69">
        <v>7.3988971149810823</v>
      </c>
      <c r="Z1068" s="69">
        <v>7.3988971149810823</v>
      </c>
      <c r="AA1068" s="69">
        <v>7.3988971149810823</v>
      </c>
      <c r="AB1068" s="69">
        <v>7.3988971149810823</v>
      </c>
      <c r="AC1068" s="69">
        <v>7.3988971149810823</v>
      </c>
      <c r="AD1068" s="69">
        <v>7.3988971149810823</v>
      </c>
      <c r="AE1068" s="69">
        <v>7.3988971149810823</v>
      </c>
      <c r="AF1068" s="69">
        <v>7.3988971149810823</v>
      </c>
      <c r="AG1068" s="69">
        <v>7.3988971149810823</v>
      </c>
    </row>
    <row r="1069" spans="1:33" ht="12.75" customHeight="1">
      <c r="A1069" s="231" t="s">
        <v>2377</v>
      </c>
      <c r="B1069" s="69" t="s">
        <v>492</v>
      </c>
      <c r="C1069" s="69" t="s">
        <v>186</v>
      </c>
      <c r="D1069" s="69" t="s">
        <v>491</v>
      </c>
      <c r="E1069" s="69" t="s">
        <v>203</v>
      </c>
      <c r="F1069" s="69" t="s">
        <v>157</v>
      </c>
      <c r="G1069" s="69" t="s">
        <v>192</v>
      </c>
      <c r="H1069" s="69" t="s">
        <v>805</v>
      </c>
      <c r="I1069" s="69">
        <v>2</v>
      </c>
      <c r="J1069" s="238">
        <v>0.25568920072762369</v>
      </c>
      <c r="K1069" s="238">
        <v>0</v>
      </c>
      <c r="L1069" s="69">
        <v>224.96275862068964</v>
      </c>
      <c r="M1069" s="69">
        <v>-20.090744101633398</v>
      </c>
      <c r="N1069" s="69">
        <v>0</v>
      </c>
      <c r="O1069" s="69">
        <v>0</v>
      </c>
      <c r="P1069" s="69">
        <v>0</v>
      </c>
      <c r="Q1069" s="69">
        <v>0</v>
      </c>
      <c r="R1069" s="69">
        <v>7.3988971149810823</v>
      </c>
      <c r="S1069" s="69">
        <v>7.3988971149810823</v>
      </c>
      <c r="T1069" s="69">
        <v>7.3988971149810823</v>
      </c>
      <c r="U1069" s="69">
        <v>7.3988971149810823</v>
      </c>
      <c r="V1069" s="69">
        <v>7.3988971149810823</v>
      </c>
      <c r="W1069" s="69">
        <v>7.3988971149810823</v>
      </c>
      <c r="X1069" s="69">
        <v>7.3988971149810823</v>
      </c>
      <c r="Y1069" s="69">
        <v>7.3988971149810823</v>
      </c>
      <c r="Z1069" s="69">
        <v>7.3988971149810823</v>
      </c>
      <c r="AA1069" s="69">
        <v>7.3988971149810823</v>
      </c>
      <c r="AB1069" s="69">
        <v>7.3988971149810823</v>
      </c>
      <c r="AC1069" s="69">
        <v>7.3988971149810823</v>
      </c>
      <c r="AD1069" s="69">
        <v>7.3988971149810823</v>
      </c>
      <c r="AE1069" s="69">
        <v>7.3988971149810823</v>
      </c>
      <c r="AF1069" s="69">
        <v>7.3988971149810823</v>
      </c>
      <c r="AG1069" s="69">
        <v>7.3988971149810823</v>
      </c>
    </row>
    <row r="1070" spans="1:33" ht="12.75" customHeight="1">
      <c r="A1070" s="231" t="s">
        <v>2377</v>
      </c>
      <c r="B1070" s="69" t="s">
        <v>498</v>
      </c>
      <c r="C1070" s="69" t="s">
        <v>186</v>
      </c>
      <c r="D1070" s="69" t="s">
        <v>491</v>
      </c>
      <c r="E1070" s="69" t="s">
        <v>260</v>
      </c>
      <c r="F1070" s="69" t="s">
        <v>157</v>
      </c>
      <c r="G1070" s="69" t="s">
        <v>192</v>
      </c>
      <c r="H1070" s="69" t="s">
        <v>805</v>
      </c>
      <c r="I1070" s="69">
        <v>2</v>
      </c>
      <c r="J1070" s="238">
        <v>0.23712737127371272</v>
      </c>
      <c r="K1070" s="238">
        <v>0</v>
      </c>
      <c r="L1070" s="69">
        <v>242.57236790606657</v>
      </c>
      <c r="M1070" s="69">
        <v>-21.663405088062625</v>
      </c>
      <c r="N1070" s="69">
        <v>0</v>
      </c>
      <c r="O1070" s="69">
        <v>0</v>
      </c>
      <c r="P1070" s="69">
        <v>0</v>
      </c>
      <c r="Q1070" s="69">
        <v>3.8391234146329225</v>
      </c>
      <c r="R1070" s="69">
        <v>3.8391234146329225</v>
      </c>
      <c r="S1070" s="69">
        <v>3.8391234146329225</v>
      </c>
      <c r="T1070" s="69">
        <v>3.8391234146329225</v>
      </c>
      <c r="U1070" s="69">
        <v>3.8391234146329225</v>
      </c>
      <c r="V1070" s="69">
        <v>3.8391234146329225</v>
      </c>
      <c r="W1070" s="69">
        <v>3.8391234146329225</v>
      </c>
      <c r="X1070" s="69">
        <v>3.8391234146329225</v>
      </c>
      <c r="Y1070" s="69">
        <v>3.8391234146329225</v>
      </c>
      <c r="Z1070" s="69">
        <v>3.8391234146329225</v>
      </c>
      <c r="AA1070" s="69">
        <v>3.8391234146329225</v>
      </c>
      <c r="AB1070" s="69">
        <v>3.8391234146329225</v>
      </c>
      <c r="AC1070" s="69">
        <v>3.8391234146329225</v>
      </c>
      <c r="AD1070" s="69">
        <v>3.8391234146329225</v>
      </c>
      <c r="AE1070" s="69">
        <v>3.8391234146329225</v>
      </c>
      <c r="AF1070" s="69">
        <v>3.8391234146329225</v>
      </c>
      <c r="AG1070" s="69">
        <v>3.8391234146329225</v>
      </c>
    </row>
    <row r="1071" spans="1:33" ht="12.75" customHeight="1">
      <c r="A1071" s="231" t="s">
        <v>2377</v>
      </c>
      <c r="B1071" s="69" t="s">
        <v>499</v>
      </c>
      <c r="C1071" s="69" t="s">
        <v>186</v>
      </c>
      <c r="D1071" s="69" t="s">
        <v>491</v>
      </c>
      <c r="E1071" s="69" t="s">
        <v>260</v>
      </c>
      <c r="F1071" s="69" t="s">
        <v>157</v>
      </c>
      <c r="G1071" s="69" t="s">
        <v>192</v>
      </c>
      <c r="H1071" s="69" t="s">
        <v>805</v>
      </c>
      <c r="I1071" s="69">
        <v>2</v>
      </c>
      <c r="J1071" s="238">
        <v>0.23712737127371272</v>
      </c>
      <c r="K1071" s="238">
        <v>0</v>
      </c>
      <c r="L1071" s="69">
        <v>242.57236790606657</v>
      </c>
      <c r="M1071" s="69">
        <v>-21.663405088062625</v>
      </c>
      <c r="N1071" s="69">
        <v>0</v>
      </c>
      <c r="O1071" s="69">
        <v>0</v>
      </c>
      <c r="P1071" s="69">
        <v>0</v>
      </c>
      <c r="Q1071" s="69">
        <v>0</v>
      </c>
      <c r="R1071" s="69">
        <v>3.8391234146329225</v>
      </c>
      <c r="S1071" s="69">
        <v>3.8391234146329225</v>
      </c>
      <c r="T1071" s="69">
        <v>3.8391234146329225</v>
      </c>
      <c r="U1071" s="69">
        <v>3.8391234146329225</v>
      </c>
      <c r="V1071" s="69">
        <v>3.8391234146329225</v>
      </c>
      <c r="W1071" s="69">
        <v>3.8391234146329225</v>
      </c>
      <c r="X1071" s="69">
        <v>3.8391234146329225</v>
      </c>
      <c r="Y1071" s="69">
        <v>3.8391234146329225</v>
      </c>
      <c r="Z1071" s="69">
        <v>3.8391234146329225</v>
      </c>
      <c r="AA1071" s="69">
        <v>3.8391234146329225</v>
      </c>
      <c r="AB1071" s="69">
        <v>3.8391234146329225</v>
      </c>
      <c r="AC1071" s="69">
        <v>3.8391234146329225</v>
      </c>
      <c r="AD1071" s="69">
        <v>3.8391234146329225</v>
      </c>
      <c r="AE1071" s="69">
        <v>3.8391234146329225</v>
      </c>
      <c r="AF1071" s="69">
        <v>3.8391234146329225</v>
      </c>
      <c r="AG1071" s="69">
        <v>3.8391234146329225</v>
      </c>
    </row>
    <row r="1072" spans="1:33" ht="12.75" customHeight="1">
      <c r="A1072" s="231" t="s">
        <v>2377</v>
      </c>
      <c r="B1072" s="69" t="s">
        <v>505</v>
      </c>
      <c r="C1072" s="69" t="s">
        <v>186</v>
      </c>
      <c r="D1072" s="69" t="s">
        <v>259</v>
      </c>
      <c r="E1072" s="69" t="s">
        <v>203</v>
      </c>
      <c r="F1072" s="69" t="s">
        <v>157</v>
      </c>
      <c r="G1072" s="69" t="s">
        <v>192</v>
      </c>
      <c r="H1072" s="69" t="s">
        <v>805</v>
      </c>
      <c r="I1072" s="69">
        <v>2</v>
      </c>
      <c r="J1072" s="238">
        <v>0.23561922263058246</v>
      </c>
      <c r="K1072" s="238">
        <v>0</v>
      </c>
      <c r="L1072" s="69">
        <v>208.597341211226</v>
      </c>
      <c r="M1072" s="69">
        <v>-4.8449039881831615</v>
      </c>
      <c r="N1072" s="69">
        <v>0</v>
      </c>
      <c r="O1072" s="69">
        <v>0</v>
      </c>
      <c r="P1072" s="69">
        <v>0</v>
      </c>
      <c r="Q1072" s="69">
        <v>32.416682491289976</v>
      </c>
      <c r="R1072" s="69">
        <v>32.416682491289976</v>
      </c>
      <c r="S1072" s="69">
        <v>32.416682491289976</v>
      </c>
      <c r="T1072" s="69">
        <v>32.416682491289976</v>
      </c>
      <c r="U1072" s="69">
        <v>32.416682491289976</v>
      </c>
      <c r="V1072" s="69">
        <v>32.416682491289976</v>
      </c>
      <c r="W1072" s="69">
        <v>32.416682491289976</v>
      </c>
      <c r="X1072" s="69">
        <v>32.416682491289976</v>
      </c>
      <c r="Y1072" s="69">
        <v>32.416682491289976</v>
      </c>
      <c r="Z1072" s="69">
        <v>32.416682491289976</v>
      </c>
      <c r="AA1072" s="69">
        <v>32.416682491289976</v>
      </c>
      <c r="AB1072" s="69">
        <v>32.416682491289976</v>
      </c>
      <c r="AC1072" s="69">
        <v>32.416682491289976</v>
      </c>
      <c r="AD1072" s="69">
        <v>32.416682491289976</v>
      </c>
      <c r="AE1072" s="69">
        <v>32.416682491289976</v>
      </c>
      <c r="AF1072" s="69">
        <v>32.416682491289976</v>
      </c>
      <c r="AG1072" s="69">
        <v>32.416682491289976</v>
      </c>
    </row>
    <row r="1073" spans="1:33" ht="12.75" customHeight="1">
      <c r="A1073" s="231" t="s">
        <v>2377</v>
      </c>
      <c r="B1073" s="69" t="s">
        <v>506</v>
      </c>
      <c r="C1073" s="69" t="s">
        <v>186</v>
      </c>
      <c r="D1073" s="69" t="s">
        <v>259</v>
      </c>
      <c r="E1073" s="69" t="s">
        <v>203</v>
      </c>
      <c r="F1073" s="69" t="s">
        <v>157</v>
      </c>
      <c r="G1073" s="69" t="s">
        <v>192</v>
      </c>
      <c r="H1073" s="69" t="s">
        <v>805</v>
      </c>
      <c r="I1073" s="69">
        <v>2</v>
      </c>
      <c r="J1073" s="238">
        <v>0.23561922263058246</v>
      </c>
      <c r="K1073" s="238">
        <v>0</v>
      </c>
      <c r="L1073" s="69">
        <v>208.597341211226</v>
      </c>
      <c r="M1073" s="69">
        <v>-4.8449039881831615</v>
      </c>
      <c r="N1073" s="69">
        <v>0</v>
      </c>
      <c r="O1073" s="69">
        <v>0</v>
      </c>
      <c r="P1073" s="69">
        <v>0</v>
      </c>
      <c r="Q1073" s="69">
        <v>0</v>
      </c>
      <c r="R1073" s="69">
        <v>32.416682491289976</v>
      </c>
      <c r="S1073" s="69">
        <v>32.416682491289976</v>
      </c>
      <c r="T1073" s="69">
        <v>32.416682491289976</v>
      </c>
      <c r="U1073" s="69">
        <v>32.416682491289976</v>
      </c>
      <c r="V1073" s="69">
        <v>32.416682491289976</v>
      </c>
      <c r="W1073" s="69">
        <v>32.416682491289976</v>
      </c>
      <c r="X1073" s="69">
        <v>32.416682491289976</v>
      </c>
      <c r="Y1073" s="69">
        <v>32.416682491289976</v>
      </c>
      <c r="Z1073" s="69">
        <v>32.416682491289976</v>
      </c>
      <c r="AA1073" s="69">
        <v>32.416682491289976</v>
      </c>
      <c r="AB1073" s="69">
        <v>32.416682491289976</v>
      </c>
      <c r="AC1073" s="69">
        <v>32.416682491289976</v>
      </c>
      <c r="AD1073" s="69">
        <v>32.416682491289976</v>
      </c>
      <c r="AE1073" s="69">
        <v>32.416682491289976</v>
      </c>
      <c r="AF1073" s="69">
        <v>32.416682491289976</v>
      </c>
      <c r="AG1073" s="69">
        <v>32.416682491289976</v>
      </c>
    </row>
    <row r="1074" spans="1:33" ht="12.75" customHeight="1">
      <c r="A1074" s="231" t="s">
        <v>2377</v>
      </c>
      <c r="B1074" s="69" t="s">
        <v>512</v>
      </c>
      <c r="C1074" s="69" t="s">
        <v>186</v>
      </c>
      <c r="D1074" s="69" t="s">
        <v>259</v>
      </c>
      <c r="E1074" s="69" t="s">
        <v>260</v>
      </c>
      <c r="F1074" s="69" t="s">
        <v>157</v>
      </c>
      <c r="G1074" s="69" t="s">
        <v>192</v>
      </c>
      <c r="H1074" s="69" t="s">
        <v>805</v>
      </c>
      <c r="I1074" s="69">
        <v>2</v>
      </c>
      <c r="J1074" s="238">
        <v>0.21868155325388869</v>
      </c>
      <c r="K1074" s="238">
        <v>0</v>
      </c>
      <c r="L1074" s="69">
        <v>224.75395225464192</v>
      </c>
      <c r="M1074" s="69">
        <v>-5.2201591511936343</v>
      </c>
      <c r="N1074" s="69">
        <v>0</v>
      </c>
      <c r="O1074" s="69">
        <v>0</v>
      </c>
      <c r="P1074" s="69">
        <v>0</v>
      </c>
      <c r="Q1074" s="69">
        <v>12.488086686993483</v>
      </c>
      <c r="R1074" s="69">
        <v>12.488086686993483</v>
      </c>
      <c r="S1074" s="69">
        <v>12.488086686993483</v>
      </c>
      <c r="T1074" s="69">
        <v>12.488086686993483</v>
      </c>
      <c r="U1074" s="69">
        <v>12.488086686993483</v>
      </c>
      <c r="V1074" s="69">
        <v>12.488086686993483</v>
      </c>
      <c r="W1074" s="69">
        <v>12.488086686993483</v>
      </c>
      <c r="X1074" s="69">
        <v>12.488086686993483</v>
      </c>
      <c r="Y1074" s="69">
        <v>12.488086686993483</v>
      </c>
      <c r="Z1074" s="69">
        <v>12.488086686993483</v>
      </c>
      <c r="AA1074" s="69">
        <v>12.488086686993483</v>
      </c>
      <c r="AB1074" s="69">
        <v>12.488086686993483</v>
      </c>
      <c r="AC1074" s="69">
        <v>12.488086686993483</v>
      </c>
      <c r="AD1074" s="69">
        <v>12.488086686993483</v>
      </c>
      <c r="AE1074" s="69">
        <v>12.488086686993483</v>
      </c>
      <c r="AF1074" s="69">
        <v>12.488086686993483</v>
      </c>
      <c r="AG1074" s="69">
        <v>12.488086686993483</v>
      </c>
    </row>
    <row r="1075" spans="1:33" ht="12.75" customHeight="1">
      <c r="A1075" s="231" t="s">
        <v>2377</v>
      </c>
      <c r="B1075" s="69" t="s">
        <v>513</v>
      </c>
      <c r="C1075" s="69" t="s">
        <v>186</v>
      </c>
      <c r="D1075" s="69" t="s">
        <v>259</v>
      </c>
      <c r="E1075" s="69" t="s">
        <v>260</v>
      </c>
      <c r="F1075" s="69" t="s">
        <v>157</v>
      </c>
      <c r="G1075" s="69" t="s">
        <v>192</v>
      </c>
      <c r="H1075" s="69" t="s">
        <v>805</v>
      </c>
      <c r="I1075" s="69">
        <v>2</v>
      </c>
      <c r="J1075" s="238">
        <v>0.21868155325388869</v>
      </c>
      <c r="K1075" s="238">
        <v>0</v>
      </c>
      <c r="L1075" s="69">
        <v>224.75395225464192</v>
      </c>
      <c r="M1075" s="69">
        <v>-5.2201591511936343</v>
      </c>
      <c r="N1075" s="69">
        <v>0</v>
      </c>
      <c r="O1075" s="69">
        <v>0</v>
      </c>
      <c r="P1075" s="69">
        <v>0</v>
      </c>
      <c r="Q1075" s="69">
        <v>0</v>
      </c>
      <c r="R1075" s="69">
        <v>12.488086686993483</v>
      </c>
      <c r="S1075" s="69">
        <v>12.488086686993483</v>
      </c>
      <c r="T1075" s="69">
        <v>12.488086686993483</v>
      </c>
      <c r="U1075" s="69">
        <v>12.488086686993483</v>
      </c>
      <c r="V1075" s="69">
        <v>12.488086686993483</v>
      </c>
      <c r="W1075" s="69">
        <v>12.488086686993483</v>
      </c>
      <c r="X1075" s="69">
        <v>12.488086686993483</v>
      </c>
      <c r="Y1075" s="69">
        <v>12.488086686993483</v>
      </c>
      <c r="Z1075" s="69">
        <v>12.488086686993483</v>
      </c>
      <c r="AA1075" s="69">
        <v>12.488086686993483</v>
      </c>
      <c r="AB1075" s="69">
        <v>12.488086686993483</v>
      </c>
      <c r="AC1075" s="69">
        <v>12.488086686993483</v>
      </c>
      <c r="AD1075" s="69">
        <v>12.488086686993483</v>
      </c>
      <c r="AE1075" s="69">
        <v>12.488086686993483</v>
      </c>
      <c r="AF1075" s="69">
        <v>12.488086686993483</v>
      </c>
      <c r="AG1075" s="69">
        <v>12.488086686993483</v>
      </c>
    </row>
    <row r="1076" spans="1:33" ht="12.75" customHeight="1">
      <c r="A1076" s="231" t="s">
        <v>2377</v>
      </c>
      <c r="B1076" s="69" t="s">
        <v>519</v>
      </c>
      <c r="C1076" s="69" t="s">
        <v>186</v>
      </c>
      <c r="D1076" s="69" t="s">
        <v>218</v>
      </c>
      <c r="E1076" s="69" t="s">
        <v>203</v>
      </c>
      <c r="F1076" s="69" t="s">
        <v>157</v>
      </c>
      <c r="G1076" s="69" t="s">
        <v>192</v>
      </c>
      <c r="H1076" s="69" t="s">
        <v>805</v>
      </c>
      <c r="I1076" s="69">
        <v>2</v>
      </c>
      <c r="J1076" s="238">
        <v>0.23561922263058246</v>
      </c>
      <c r="K1076" s="238">
        <v>0</v>
      </c>
      <c r="L1076" s="69">
        <v>200.17205317577549</v>
      </c>
      <c r="M1076" s="69">
        <v>-4.8449039881831615</v>
      </c>
      <c r="N1076" s="69">
        <v>0</v>
      </c>
      <c r="O1076" s="69">
        <v>0</v>
      </c>
      <c r="P1076" s="69">
        <v>0</v>
      </c>
      <c r="Q1076" s="69">
        <v>26.540714410009969</v>
      </c>
      <c r="R1076" s="69">
        <v>26.540714410009969</v>
      </c>
      <c r="S1076" s="69">
        <v>26.540714410009969</v>
      </c>
      <c r="T1076" s="69">
        <v>26.540714410009969</v>
      </c>
      <c r="U1076" s="69">
        <v>26.540714410009969</v>
      </c>
      <c r="V1076" s="69">
        <v>26.540714410009969</v>
      </c>
      <c r="W1076" s="69">
        <v>26.540714410009969</v>
      </c>
      <c r="X1076" s="69">
        <v>26.540714410009969</v>
      </c>
      <c r="Y1076" s="69">
        <v>26.540714410009969</v>
      </c>
      <c r="Z1076" s="69">
        <v>26.540714410009969</v>
      </c>
      <c r="AA1076" s="69">
        <v>26.540714410009969</v>
      </c>
      <c r="AB1076" s="69">
        <v>26.540714410009969</v>
      </c>
      <c r="AC1076" s="69">
        <v>26.540714410009969</v>
      </c>
      <c r="AD1076" s="69">
        <v>26.540714410009969</v>
      </c>
      <c r="AE1076" s="69">
        <v>26.540714410009969</v>
      </c>
      <c r="AF1076" s="69">
        <v>26.540714410009969</v>
      </c>
      <c r="AG1076" s="69">
        <v>26.540714410009969</v>
      </c>
    </row>
    <row r="1077" spans="1:33" ht="12.75" customHeight="1">
      <c r="A1077" s="231" t="s">
        <v>2377</v>
      </c>
      <c r="B1077" s="69" t="s">
        <v>520</v>
      </c>
      <c r="C1077" s="69" t="s">
        <v>186</v>
      </c>
      <c r="D1077" s="69" t="s">
        <v>218</v>
      </c>
      <c r="E1077" s="69" t="s">
        <v>203</v>
      </c>
      <c r="F1077" s="69" t="s">
        <v>157</v>
      </c>
      <c r="G1077" s="69" t="s">
        <v>192</v>
      </c>
      <c r="H1077" s="69" t="s">
        <v>805</v>
      </c>
      <c r="I1077" s="69">
        <v>2</v>
      </c>
      <c r="J1077" s="238">
        <v>0.23561922263058246</v>
      </c>
      <c r="K1077" s="238">
        <v>0</v>
      </c>
      <c r="L1077" s="69">
        <v>200.17205317577549</v>
      </c>
      <c r="M1077" s="69">
        <v>-4.8449039881831615</v>
      </c>
      <c r="N1077" s="69">
        <v>0</v>
      </c>
      <c r="O1077" s="69">
        <v>0</v>
      </c>
      <c r="P1077" s="69">
        <v>0</v>
      </c>
      <c r="Q1077" s="69">
        <v>0</v>
      </c>
      <c r="R1077" s="69">
        <v>26.540714410009969</v>
      </c>
      <c r="S1077" s="69">
        <v>26.540714410009969</v>
      </c>
      <c r="T1077" s="69">
        <v>26.540714410009969</v>
      </c>
      <c r="U1077" s="69">
        <v>26.540714410009969</v>
      </c>
      <c r="V1077" s="69">
        <v>26.540714410009969</v>
      </c>
      <c r="W1077" s="69">
        <v>26.540714410009969</v>
      </c>
      <c r="X1077" s="69">
        <v>26.540714410009969</v>
      </c>
      <c r="Y1077" s="69">
        <v>26.540714410009969</v>
      </c>
      <c r="Z1077" s="69">
        <v>26.540714410009969</v>
      </c>
      <c r="AA1077" s="69">
        <v>26.540714410009969</v>
      </c>
      <c r="AB1077" s="69">
        <v>26.540714410009969</v>
      </c>
      <c r="AC1077" s="69">
        <v>26.540714410009969</v>
      </c>
      <c r="AD1077" s="69">
        <v>26.540714410009969</v>
      </c>
      <c r="AE1077" s="69">
        <v>26.540714410009969</v>
      </c>
      <c r="AF1077" s="69">
        <v>26.540714410009969</v>
      </c>
      <c r="AG1077" s="69">
        <v>26.540714410009969</v>
      </c>
    </row>
    <row r="1078" spans="1:33" ht="12.75" customHeight="1">
      <c r="A1078" s="231" t="s">
        <v>2377</v>
      </c>
      <c r="B1078" s="69" t="s">
        <v>526</v>
      </c>
      <c r="C1078" s="69" t="s">
        <v>186</v>
      </c>
      <c r="D1078" s="69" t="s">
        <v>218</v>
      </c>
      <c r="E1078" s="69" t="s">
        <v>260</v>
      </c>
      <c r="F1078" s="69" t="s">
        <v>157</v>
      </c>
      <c r="G1078" s="69" t="s">
        <v>192</v>
      </c>
      <c r="H1078" s="69" t="s">
        <v>805</v>
      </c>
      <c r="I1078" s="69">
        <v>2</v>
      </c>
      <c r="J1078" s="238">
        <v>0.21868155325388869</v>
      </c>
      <c r="K1078" s="238">
        <v>0</v>
      </c>
      <c r="L1078" s="69">
        <v>215.67609549071619</v>
      </c>
      <c r="M1078" s="69">
        <v>-5.2201591511936343</v>
      </c>
      <c r="N1078" s="69">
        <v>0</v>
      </c>
      <c r="O1078" s="69">
        <v>0</v>
      </c>
      <c r="P1078" s="69">
        <v>0</v>
      </c>
      <c r="Q1078" s="69">
        <v>27.295410512964736</v>
      </c>
      <c r="R1078" s="69">
        <v>27.295410512964736</v>
      </c>
      <c r="S1078" s="69">
        <v>27.295410512964736</v>
      </c>
      <c r="T1078" s="69">
        <v>27.295410512964736</v>
      </c>
      <c r="U1078" s="69">
        <v>27.295410512964736</v>
      </c>
      <c r="V1078" s="69">
        <v>27.295410512964736</v>
      </c>
      <c r="W1078" s="69">
        <v>27.295410512964736</v>
      </c>
      <c r="X1078" s="69">
        <v>27.295410512964736</v>
      </c>
      <c r="Y1078" s="69">
        <v>27.295410512964736</v>
      </c>
      <c r="Z1078" s="69">
        <v>27.295410512964736</v>
      </c>
      <c r="AA1078" s="69">
        <v>27.295410512964736</v>
      </c>
      <c r="AB1078" s="69">
        <v>27.295410512964736</v>
      </c>
      <c r="AC1078" s="69">
        <v>27.295410512964736</v>
      </c>
      <c r="AD1078" s="69">
        <v>27.295410512964736</v>
      </c>
      <c r="AE1078" s="69">
        <v>27.295410512964736</v>
      </c>
      <c r="AF1078" s="69">
        <v>27.295410512964736</v>
      </c>
      <c r="AG1078" s="69">
        <v>27.295410512964736</v>
      </c>
    </row>
    <row r="1079" spans="1:33" ht="12.75" customHeight="1">
      <c r="A1079" s="231" t="s">
        <v>2377</v>
      </c>
      <c r="B1079" s="69" t="s">
        <v>527</v>
      </c>
      <c r="C1079" s="69" t="s">
        <v>186</v>
      </c>
      <c r="D1079" s="69" t="s">
        <v>218</v>
      </c>
      <c r="E1079" s="69" t="s">
        <v>260</v>
      </c>
      <c r="F1079" s="69" t="s">
        <v>157</v>
      </c>
      <c r="G1079" s="69" t="s">
        <v>192</v>
      </c>
      <c r="H1079" s="69" t="s">
        <v>805</v>
      </c>
      <c r="I1079" s="69">
        <v>2</v>
      </c>
      <c r="J1079" s="238">
        <v>0.21868155325388869</v>
      </c>
      <c r="K1079" s="238">
        <v>0</v>
      </c>
      <c r="L1079" s="69">
        <v>215.67609549071619</v>
      </c>
      <c r="M1079" s="69">
        <v>-5.2201591511936343</v>
      </c>
      <c r="N1079" s="69">
        <v>0</v>
      </c>
      <c r="O1079" s="69">
        <v>0</v>
      </c>
      <c r="P1079" s="69">
        <v>0</v>
      </c>
      <c r="Q1079" s="69">
        <v>0</v>
      </c>
      <c r="R1079" s="69">
        <v>27.295410512964736</v>
      </c>
      <c r="S1079" s="69">
        <v>27.295410512964736</v>
      </c>
      <c r="T1079" s="69">
        <v>27.295410512964736</v>
      </c>
      <c r="U1079" s="69">
        <v>27.295410512964736</v>
      </c>
      <c r="V1079" s="69">
        <v>27.295410512964736</v>
      </c>
      <c r="W1079" s="69">
        <v>27.295410512964736</v>
      </c>
      <c r="X1079" s="69">
        <v>27.295410512964736</v>
      </c>
      <c r="Y1079" s="69">
        <v>27.295410512964736</v>
      </c>
      <c r="Z1079" s="69">
        <v>27.295410512964736</v>
      </c>
      <c r="AA1079" s="69">
        <v>27.295410512964736</v>
      </c>
      <c r="AB1079" s="69">
        <v>27.295410512964736</v>
      </c>
      <c r="AC1079" s="69">
        <v>27.295410512964736</v>
      </c>
      <c r="AD1079" s="69">
        <v>27.295410512964736</v>
      </c>
      <c r="AE1079" s="69">
        <v>27.295410512964736</v>
      </c>
      <c r="AF1079" s="69">
        <v>27.295410512964736</v>
      </c>
      <c r="AG1079" s="69">
        <v>27.295410512964736</v>
      </c>
    </row>
    <row r="1080" spans="1:33" ht="12.75" customHeight="1">
      <c r="A1080" s="231" t="s">
        <v>2377</v>
      </c>
      <c r="B1080" s="69" t="s">
        <v>533</v>
      </c>
      <c r="C1080" s="69" t="s">
        <v>186</v>
      </c>
      <c r="D1080" s="69" t="s">
        <v>334</v>
      </c>
      <c r="E1080" s="69" t="s">
        <v>242</v>
      </c>
      <c r="F1080" s="69" t="s">
        <v>158</v>
      </c>
      <c r="G1080" s="69" t="s">
        <v>192</v>
      </c>
      <c r="H1080" s="69" t="s">
        <v>804</v>
      </c>
      <c r="I1080" s="69">
        <v>2</v>
      </c>
      <c r="J1080" s="238">
        <v>0.21172086720867209</v>
      </c>
      <c r="K1080" s="238">
        <v>0</v>
      </c>
      <c r="L1080" s="69">
        <v>283.7047232876713</v>
      </c>
      <c r="M1080" s="69">
        <v>-24.263013698630136</v>
      </c>
      <c r="N1080" s="69">
        <v>0</v>
      </c>
      <c r="O1080" s="69">
        <v>0</v>
      </c>
      <c r="P1080" s="69">
        <v>0</v>
      </c>
      <c r="Q1080" s="69">
        <v>212.6818080546218</v>
      </c>
      <c r="R1080" s="69">
        <v>212.6818080546218</v>
      </c>
      <c r="S1080" s="69">
        <v>212.6818080546218</v>
      </c>
      <c r="T1080" s="69">
        <v>212.6818080546218</v>
      </c>
      <c r="U1080" s="69">
        <v>212.6818080546218</v>
      </c>
      <c r="V1080" s="69">
        <v>212.6818080546218</v>
      </c>
      <c r="W1080" s="69">
        <v>212.6818080546218</v>
      </c>
      <c r="X1080" s="69">
        <v>212.6818080546218</v>
      </c>
      <c r="Y1080" s="69">
        <v>212.6818080546218</v>
      </c>
      <c r="Z1080" s="69">
        <v>212.6818080546218</v>
      </c>
      <c r="AA1080" s="69">
        <v>212.6818080546218</v>
      </c>
      <c r="AB1080" s="69">
        <v>212.6818080546218</v>
      </c>
      <c r="AC1080" s="69">
        <v>212.6818080546218</v>
      </c>
      <c r="AD1080" s="69">
        <v>212.6818080546218</v>
      </c>
      <c r="AE1080" s="69">
        <v>212.6818080546218</v>
      </c>
      <c r="AF1080" s="69">
        <v>212.6818080546218</v>
      </c>
      <c r="AG1080" s="69">
        <v>212.6818080546218</v>
      </c>
    </row>
    <row r="1081" spans="1:33" ht="12.75" customHeight="1">
      <c r="A1081" s="231" t="s">
        <v>2377</v>
      </c>
      <c r="B1081" s="69" t="s">
        <v>534</v>
      </c>
      <c r="C1081" s="69" t="s">
        <v>186</v>
      </c>
      <c r="D1081" s="69" t="s">
        <v>334</v>
      </c>
      <c r="E1081" s="69" t="s">
        <v>242</v>
      </c>
      <c r="F1081" s="69" t="s">
        <v>158</v>
      </c>
      <c r="G1081" s="69" t="s">
        <v>192</v>
      </c>
      <c r="H1081" s="69" t="s">
        <v>804</v>
      </c>
      <c r="I1081" s="69">
        <v>2</v>
      </c>
      <c r="J1081" s="238">
        <v>0.21172086720867209</v>
      </c>
      <c r="K1081" s="238">
        <v>0</v>
      </c>
      <c r="L1081" s="69">
        <v>283.7047232876713</v>
      </c>
      <c r="M1081" s="69">
        <v>-24.263013698630136</v>
      </c>
      <c r="N1081" s="69">
        <v>0</v>
      </c>
      <c r="O1081" s="69">
        <v>0</v>
      </c>
      <c r="P1081" s="69">
        <v>0</v>
      </c>
      <c r="Q1081" s="69">
        <v>0</v>
      </c>
      <c r="R1081" s="69">
        <v>212.6818080546218</v>
      </c>
      <c r="S1081" s="69">
        <v>212.6818080546218</v>
      </c>
      <c r="T1081" s="69">
        <v>212.6818080546218</v>
      </c>
      <c r="U1081" s="69">
        <v>212.6818080546218</v>
      </c>
      <c r="V1081" s="69">
        <v>212.6818080546218</v>
      </c>
      <c r="W1081" s="69">
        <v>212.6818080546218</v>
      </c>
      <c r="X1081" s="69">
        <v>212.6818080546218</v>
      </c>
      <c r="Y1081" s="69">
        <v>212.6818080546218</v>
      </c>
      <c r="Z1081" s="69">
        <v>212.6818080546218</v>
      </c>
      <c r="AA1081" s="69">
        <v>212.6818080546218</v>
      </c>
      <c r="AB1081" s="69">
        <v>212.6818080546218</v>
      </c>
      <c r="AC1081" s="69">
        <v>212.6818080546218</v>
      </c>
      <c r="AD1081" s="69">
        <v>212.6818080546218</v>
      </c>
      <c r="AE1081" s="69">
        <v>212.6818080546218</v>
      </c>
      <c r="AF1081" s="69">
        <v>212.6818080546218</v>
      </c>
      <c r="AG1081" s="69">
        <v>212.6818080546218</v>
      </c>
    </row>
    <row r="1082" spans="1:33" ht="12.75" customHeight="1">
      <c r="A1082" s="231" t="s">
        <v>2377</v>
      </c>
      <c r="B1082" s="69" t="s">
        <v>540</v>
      </c>
      <c r="C1082" s="69" t="s">
        <v>186</v>
      </c>
      <c r="D1082" s="69" t="s">
        <v>491</v>
      </c>
      <c r="E1082" s="69" t="s">
        <v>244</v>
      </c>
      <c r="F1082" s="69" t="s">
        <v>158</v>
      </c>
      <c r="G1082" s="69" t="s">
        <v>192</v>
      </c>
      <c r="H1082" s="69" t="s">
        <v>804</v>
      </c>
      <c r="I1082" s="69">
        <v>2</v>
      </c>
      <c r="J1082" s="238">
        <v>0.29362493967405423</v>
      </c>
      <c r="K1082" s="238">
        <v>0</v>
      </c>
      <c r="L1082" s="69">
        <v>195.89803239826159</v>
      </c>
      <c r="M1082" s="69">
        <v>-17.495061240616362</v>
      </c>
      <c r="N1082" s="69">
        <v>0</v>
      </c>
      <c r="O1082" s="69">
        <v>0</v>
      </c>
      <c r="P1082" s="69">
        <v>0</v>
      </c>
      <c r="Q1082" s="69">
        <v>0.84711615406558849</v>
      </c>
      <c r="R1082" s="69">
        <v>0.84711615406558849</v>
      </c>
      <c r="S1082" s="69">
        <v>0.84711615406558849</v>
      </c>
      <c r="T1082" s="69">
        <v>0.84711615406558849</v>
      </c>
      <c r="U1082" s="69">
        <v>0.84711615406558849</v>
      </c>
      <c r="V1082" s="69">
        <v>0.84711615406558849</v>
      </c>
      <c r="W1082" s="69">
        <v>0.84711615406558849</v>
      </c>
      <c r="X1082" s="69">
        <v>0.84711615406558849</v>
      </c>
      <c r="Y1082" s="69">
        <v>0.84711615406558849</v>
      </c>
      <c r="Z1082" s="69">
        <v>0.84711615406558849</v>
      </c>
      <c r="AA1082" s="69">
        <v>0.84711615406558849</v>
      </c>
      <c r="AB1082" s="69">
        <v>0.84711615406558849</v>
      </c>
      <c r="AC1082" s="69">
        <v>0.84711615406558849</v>
      </c>
      <c r="AD1082" s="69">
        <v>0.84711615406558849</v>
      </c>
      <c r="AE1082" s="69">
        <v>0.84711615406558849</v>
      </c>
      <c r="AF1082" s="69">
        <v>0.84711615406558849</v>
      </c>
      <c r="AG1082" s="69">
        <v>0.84711615406558849</v>
      </c>
    </row>
    <row r="1083" spans="1:33" ht="12.75" customHeight="1">
      <c r="A1083" s="231" t="s">
        <v>2377</v>
      </c>
      <c r="B1083" s="69" t="s">
        <v>541</v>
      </c>
      <c r="C1083" s="69" t="s">
        <v>186</v>
      </c>
      <c r="D1083" s="69" t="s">
        <v>491</v>
      </c>
      <c r="E1083" s="69" t="s">
        <v>244</v>
      </c>
      <c r="F1083" s="69" t="s">
        <v>158</v>
      </c>
      <c r="G1083" s="69" t="s">
        <v>192</v>
      </c>
      <c r="H1083" s="69" t="s">
        <v>804</v>
      </c>
      <c r="I1083" s="69">
        <v>2</v>
      </c>
      <c r="J1083" s="238">
        <v>0.29362493967405423</v>
      </c>
      <c r="K1083" s="238">
        <v>0</v>
      </c>
      <c r="L1083" s="69">
        <v>195.89803239826159</v>
      </c>
      <c r="M1083" s="69">
        <v>-17.495061240616362</v>
      </c>
      <c r="N1083" s="69">
        <v>0</v>
      </c>
      <c r="O1083" s="69">
        <v>0</v>
      </c>
      <c r="P1083" s="69">
        <v>0</v>
      </c>
      <c r="Q1083" s="69">
        <v>0</v>
      </c>
      <c r="R1083" s="69">
        <v>0.84711615406558849</v>
      </c>
      <c r="S1083" s="69">
        <v>0.84711615406558849</v>
      </c>
      <c r="T1083" s="69">
        <v>0.84711615406558849</v>
      </c>
      <c r="U1083" s="69">
        <v>0.84711615406558849</v>
      </c>
      <c r="V1083" s="69">
        <v>0.84711615406558849</v>
      </c>
      <c r="W1083" s="69">
        <v>0.84711615406558849</v>
      </c>
      <c r="X1083" s="69">
        <v>0.84711615406558849</v>
      </c>
      <c r="Y1083" s="69">
        <v>0.84711615406558849</v>
      </c>
      <c r="Z1083" s="69">
        <v>0.84711615406558849</v>
      </c>
      <c r="AA1083" s="69">
        <v>0.84711615406558849</v>
      </c>
      <c r="AB1083" s="69">
        <v>0.84711615406558849</v>
      </c>
      <c r="AC1083" s="69">
        <v>0.84711615406558849</v>
      </c>
      <c r="AD1083" s="69">
        <v>0.84711615406558849</v>
      </c>
      <c r="AE1083" s="69">
        <v>0.84711615406558849</v>
      </c>
      <c r="AF1083" s="69">
        <v>0.84711615406558849</v>
      </c>
      <c r="AG1083" s="69">
        <v>0.84711615406558849</v>
      </c>
    </row>
    <row r="1084" spans="1:33" ht="12.75" customHeight="1">
      <c r="A1084" s="231" t="s">
        <v>2377</v>
      </c>
      <c r="B1084" s="69" t="s">
        <v>547</v>
      </c>
      <c r="C1084" s="69" t="s">
        <v>186</v>
      </c>
      <c r="D1084" s="69" t="s">
        <v>491</v>
      </c>
      <c r="E1084" s="69" t="s">
        <v>203</v>
      </c>
      <c r="F1084" s="69" t="s">
        <v>158</v>
      </c>
      <c r="G1084" s="69" t="s">
        <v>192</v>
      </c>
      <c r="H1084" s="69" t="s">
        <v>804</v>
      </c>
      <c r="I1084" s="69">
        <v>2</v>
      </c>
      <c r="J1084" s="238">
        <v>0.25568920072762369</v>
      </c>
      <c r="K1084" s="238">
        <v>0</v>
      </c>
      <c r="L1084" s="69">
        <v>224.96275862068964</v>
      </c>
      <c r="M1084" s="69">
        <v>-20.090744101633398</v>
      </c>
      <c r="N1084" s="69">
        <v>0</v>
      </c>
      <c r="O1084" s="69">
        <v>0</v>
      </c>
      <c r="P1084" s="69">
        <v>0</v>
      </c>
      <c r="Q1084" s="69">
        <v>0.70717022799726692</v>
      </c>
      <c r="R1084" s="69">
        <v>0.70717022799726692</v>
      </c>
      <c r="S1084" s="69">
        <v>0.70717022799726692</v>
      </c>
      <c r="T1084" s="69">
        <v>0.70717022799726692</v>
      </c>
      <c r="U1084" s="69">
        <v>0.70717022799726692</v>
      </c>
      <c r="V1084" s="69">
        <v>0.70717022799726692</v>
      </c>
      <c r="W1084" s="69">
        <v>0.70717022799726692</v>
      </c>
      <c r="X1084" s="69">
        <v>0.70717022799726692</v>
      </c>
      <c r="Y1084" s="69">
        <v>0.70717022799726692</v>
      </c>
      <c r="Z1084" s="69">
        <v>0.70717022799726692</v>
      </c>
      <c r="AA1084" s="69">
        <v>0.70717022799726692</v>
      </c>
      <c r="AB1084" s="69">
        <v>0.70717022799726692</v>
      </c>
      <c r="AC1084" s="69">
        <v>0.70717022799726692</v>
      </c>
      <c r="AD1084" s="69">
        <v>0.70717022799726692</v>
      </c>
      <c r="AE1084" s="69">
        <v>0.70717022799726692</v>
      </c>
      <c r="AF1084" s="69">
        <v>0.70717022799726692</v>
      </c>
      <c r="AG1084" s="69">
        <v>0.70717022799726692</v>
      </c>
    </row>
    <row r="1085" spans="1:33" ht="12.75" customHeight="1">
      <c r="A1085" s="231" t="s">
        <v>2377</v>
      </c>
      <c r="B1085" s="69" t="s">
        <v>548</v>
      </c>
      <c r="C1085" s="69" t="s">
        <v>186</v>
      </c>
      <c r="D1085" s="69" t="s">
        <v>491</v>
      </c>
      <c r="E1085" s="69" t="s">
        <v>203</v>
      </c>
      <c r="F1085" s="69" t="s">
        <v>158</v>
      </c>
      <c r="G1085" s="69" t="s">
        <v>192</v>
      </c>
      <c r="H1085" s="69" t="s">
        <v>804</v>
      </c>
      <c r="I1085" s="69">
        <v>2</v>
      </c>
      <c r="J1085" s="238">
        <v>0.25568920072762369</v>
      </c>
      <c r="K1085" s="238">
        <v>0</v>
      </c>
      <c r="L1085" s="69">
        <v>224.96275862068964</v>
      </c>
      <c r="M1085" s="69">
        <v>-20.090744101633398</v>
      </c>
      <c r="N1085" s="69">
        <v>0</v>
      </c>
      <c r="O1085" s="69">
        <v>0</v>
      </c>
      <c r="P1085" s="69">
        <v>0</v>
      </c>
      <c r="Q1085" s="69">
        <v>0</v>
      </c>
      <c r="R1085" s="69">
        <v>0.70717022799726692</v>
      </c>
      <c r="S1085" s="69">
        <v>0.70717022799726692</v>
      </c>
      <c r="T1085" s="69">
        <v>0.70717022799726692</v>
      </c>
      <c r="U1085" s="69">
        <v>0.70717022799726692</v>
      </c>
      <c r="V1085" s="69">
        <v>0.70717022799726692</v>
      </c>
      <c r="W1085" s="69">
        <v>0.70717022799726692</v>
      </c>
      <c r="X1085" s="69">
        <v>0.70717022799726692</v>
      </c>
      <c r="Y1085" s="69">
        <v>0.70717022799726692</v>
      </c>
      <c r="Z1085" s="69">
        <v>0.70717022799726692</v>
      </c>
      <c r="AA1085" s="69">
        <v>0.70717022799726692</v>
      </c>
      <c r="AB1085" s="69">
        <v>0.70717022799726692</v>
      </c>
      <c r="AC1085" s="69">
        <v>0.70717022799726692</v>
      </c>
      <c r="AD1085" s="69">
        <v>0.70717022799726692</v>
      </c>
      <c r="AE1085" s="69">
        <v>0.70717022799726692</v>
      </c>
      <c r="AF1085" s="69">
        <v>0.70717022799726692</v>
      </c>
      <c r="AG1085" s="69">
        <v>0.70717022799726692</v>
      </c>
    </row>
    <row r="1086" spans="1:33" ht="12.75" customHeight="1">
      <c r="A1086" s="231" t="s">
        <v>2377</v>
      </c>
      <c r="B1086" s="69" t="s">
        <v>554</v>
      </c>
      <c r="C1086" s="69" t="s">
        <v>186</v>
      </c>
      <c r="D1086" s="69" t="s">
        <v>491</v>
      </c>
      <c r="E1086" s="69" t="s">
        <v>242</v>
      </c>
      <c r="F1086" s="69" t="s">
        <v>158</v>
      </c>
      <c r="G1086" s="69" t="s">
        <v>192</v>
      </c>
      <c r="H1086" s="69" t="s">
        <v>804</v>
      </c>
      <c r="I1086" s="69">
        <v>2</v>
      </c>
      <c r="J1086" s="238">
        <v>0.26090971526153617</v>
      </c>
      <c r="K1086" s="238">
        <v>0</v>
      </c>
      <c r="L1086" s="69">
        <v>220.46150289017342</v>
      </c>
      <c r="M1086" s="69">
        <v>-19.688750555802578</v>
      </c>
      <c r="N1086" s="69">
        <v>0</v>
      </c>
      <c r="O1086" s="69">
        <v>0</v>
      </c>
      <c r="P1086" s="69">
        <v>0</v>
      </c>
      <c r="Q1086" s="69">
        <v>0.19613295063754776</v>
      </c>
      <c r="R1086" s="69">
        <v>0.19613295063754776</v>
      </c>
      <c r="S1086" s="69">
        <v>0.19613295063754776</v>
      </c>
      <c r="T1086" s="69">
        <v>0.19613295063754776</v>
      </c>
      <c r="U1086" s="69">
        <v>0.19613295063754776</v>
      </c>
      <c r="V1086" s="69">
        <v>0.19613295063754776</v>
      </c>
      <c r="W1086" s="69">
        <v>0.19613295063754776</v>
      </c>
      <c r="X1086" s="69">
        <v>0.19613295063754776</v>
      </c>
      <c r="Y1086" s="69">
        <v>0.19613295063754776</v>
      </c>
      <c r="Z1086" s="69">
        <v>0.19613295063754776</v>
      </c>
      <c r="AA1086" s="69">
        <v>0.19613295063754776</v>
      </c>
      <c r="AB1086" s="69">
        <v>0.19613295063754776</v>
      </c>
      <c r="AC1086" s="69">
        <v>0.19613295063754776</v>
      </c>
      <c r="AD1086" s="69">
        <v>0.19613295063754776</v>
      </c>
      <c r="AE1086" s="69">
        <v>0.19613295063754776</v>
      </c>
      <c r="AF1086" s="69">
        <v>0.19613295063754776</v>
      </c>
      <c r="AG1086" s="69">
        <v>0.19613295063754776</v>
      </c>
    </row>
    <row r="1087" spans="1:33" ht="12.75" customHeight="1">
      <c r="A1087" s="231" t="s">
        <v>2377</v>
      </c>
      <c r="B1087" s="69" t="s">
        <v>555</v>
      </c>
      <c r="C1087" s="69" t="s">
        <v>186</v>
      </c>
      <c r="D1087" s="69" t="s">
        <v>491</v>
      </c>
      <c r="E1087" s="69" t="s">
        <v>242</v>
      </c>
      <c r="F1087" s="69" t="s">
        <v>158</v>
      </c>
      <c r="G1087" s="69" t="s">
        <v>192</v>
      </c>
      <c r="H1087" s="69" t="s">
        <v>804</v>
      </c>
      <c r="I1087" s="69">
        <v>2</v>
      </c>
      <c r="J1087" s="238">
        <v>0.26090971526153617</v>
      </c>
      <c r="K1087" s="238">
        <v>0</v>
      </c>
      <c r="L1087" s="69">
        <v>220.46150289017342</v>
      </c>
      <c r="M1087" s="69">
        <v>-19.688750555802578</v>
      </c>
      <c r="N1087" s="69">
        <v>0</v>
      </c>
      <c r="O1087" s="69">
        <v>0</v>
      </c>
      <c r="P1087" s="69">
        <v>0</v>
      </c>
      <c r="Q1087" s="69">
        <v>0</v>
      </c>
      <c r="R1087" s="69">
        <v>0.19613295063754776</v>
      </c>
      <c r="S1087" s="69">
        <v>0.19613295063754776</v>
      </c>
      <c r="T1087" s="69">
        <v>0.19613295063754776</v>
      </c>
      <c r="U1087" s="69">
        <v>0.19613295063754776</v>
      </c>
      <c r="V1087" s="69">
        <v>0.19613295063754776</v>
      </c>
      <c r="W1087" s="69">
        <v>0.19613295063754776</v>
      </c>
      <c r="X1087" s="69">
        <v>0.19613295063754776</v>
      </c>
      <c r="Y1087" s="69">
        <v>0.19613295063754776</v>
      </c>
      <c r="Z1087" s="69">
        <v>0.19613295063754776</v>
      </c>
      <c r="AA1087" s="69">
        <v>0.19613295063754776</v>
      </c>
      <c r="AB1087" s="69">
        <v>0.19613295063754776</v>
      </c>
      <c r="AC1087" s="69">
        <v>0.19613295063754776</v>
      </c>
      <c r="AD1087" s="69">
        <v>0.19613295063754776</v>
      </c>
      <c r="AE1087" s="69">
        <v>0.19613295063754776</v>
      </c>
      <c r="AF1087" s="69">
        <v>0.19613295063754776</v>
      </c>
      <c r="AG1087" s="69">
        <v>0.19613295063754776</v>
      </c>
    </row>
    <row r="1088" spans="1:33" ht="12.75" customHeight="1">
      <c r="A1088" s="231" t="s">
        <v>2377</v>
      </c>
      <c r="B1088" s="69" t="s">
        <v>561</v>
      </c>
      <c r="C1088" s="69" t="s">
        <v>186</v>
      </c>
      <c r="D1088" s="69" t="s">
        <v>259</v>
      </c>
      <c r="E1088" s="69" t="s">
        <v>244</v>
      </c>
      <c r="F1088" s="69" t="s">
        <v>158</v>
      </c>
      <c r="G1088" s="69" t="s">
        <v>192</v>
      </c>
      <c r="H1088" s="69" t="s">
        <v>804</v>
      </c>
      <c r="I1088" s="69">
        <v>2</v>
      </c>
      <c r="J1088" s="238">
        <v>0.2668262983999703</v>
      </c>
      <c r="K1088" s="238">
        <v>0</v>
      </c>
      <c r="L1088" s="69">
        <v>184.20052173913041</v>
      </c>
      <c r="M1088" s="69">
        <v>-4.2782608695652176</v>
      </c>
      <c r="N1088" s="69">
        <v>0</v>
      </c>
      <c r="O1088" s="69">
        <v>0</v>
      </c>
      <c r="P1088" s="69">
        <v>0</v>
      </c>
      <c r="Q1088" s="69">
        <v>2.9891244601385552</v>
      </c>
      <c r="R1088" s="69">
        <v>2.9891244601385552</v>
      </c>
      <c r="S1088" s="69">
        <v>2.9891244601385552</v>
      </c>
      <c r="T1088" s="69">
        <v>2.9891244601385552</v>
      </c>
      <c r="U1088" s="69">
        <v>2.9891244601385552</v>
      </c>
      <c r="V1088" s="69">
        <v>2.9891244601385552</v>
      </c>
      <c r="W1088" s="69">
        <v>2.9891244601385552</v>
      </c>
      <c r="X1088" s="69">
        <v>2.9891244601385552</v>
      </c>
      <c r="Y1088" s="69">
        <v>2.9891244601385552</v>
      </c>
      <c r="Z1088" s="69">
        <v>2.9891244601385552</v>
      </c>
      <c r="AA1088" s="69">
        <v>2.9891244601385552</v>
      </c>
      <c r="AB1088" s="69">
        <v>2.9891244601385552</v>
      </c>
      <c r="AC1088" s="69">
        <v>2.9891244601385552</v>
      </c>
      <c r="AD1088" s="69">
        <v>2.9891244601385552</v>
      </c>
      <c r="AE1088" s="69">
        <v>2.9891244601385552</v>
      </c>
      <c r="AF1088" s="69">
        <v>2.9891244601385552</v>
      </c>
      <c r="AG1088" s="69">
        <v>2.9891244601385552</v>
      </c>
    </row>
    <row r="1089" spans="1:33" ht="12.75" customHeight="1">
      <c r="A1089" s="231" t="s">
        <v>2377</v>
      </c>
      <c r="B1089" s="69" t="s">
        <v>562</v>
      </c>
      <c r="C1089" s="69" t="s">
        <v>186</v>
      </c>
      <c r="D1089" s="69" t="s">
        <v>259</v>
      </c>
      <c r="E1089" s="69" t="s">
        <v>244</v>
      </c>
      <c r="F1089" s="69" t="s">
        <v>158</v>
      </c>
      <c r="G1089" s="69" t="s">
        <v>192</v>
      </c>
      <c r="H1089" s="69" t="s">
        <v>804</v>
      </c>
      <c r="I1089" s="69">
        <v>2</v>
      </c>
      <c r="J1089" s="238">
        <v>0.2668262983999703</v>
      </c>
      <c r="K1089" s="238">
        <v>0</v>
      </c>
      <c r="L1089" s="69">
        <v>184.20052173913041</v>
      </c>
      <c r="M1089" s="69">
        <v>-4.2782608695652176</v>
      </c>
      <c r="N1089" s="69">
        <v>0</v>
      </c>
      <c r="O1089" s="69">
        <v>0</v>
      </c>
      <c r="P1089" s="69">
        <v>0</v>
      </c>
      <c r="Q1089" s="69">
        <v>0</v>
      </c>
      <c r="R1089" s="69">
        <v>2.9891244601385552</v>
      </c>
      <c r="S1089" s="69">
        <v>2.9891244601385552</v>
      </c>
      <c r="T1089" s="69">
        <v>2.9891244601385552</v>
      </c>
      <c r="U1089" s="69">
        <v>2.9891244601385552</v>
      </c>
      <c r="V1089" s="69">
        <v>2.9891244601385552</v>
      </c>
      <c r="W1089" s="69">
        <v>2.9891244601385552</v>
      </c>
      <c r="X1089" s="69">
        <v>2.9891244601385552</v>
      </c>
      <c r="Y1089" s="69">
        <v>2.9891244601385552</v>
      </c>
      <c r="Z1089" s="69">
        <v>2.9891244601385552</v>
      </c>
      <c r="AA1089" s="69">
        <v>2.9891244601385552</v>
      </c>
      <c r="AB1089" s="69">
        <v>2.9891244601385552</v>
      </c>
      <c r="AC1089" s="69">
        <v>2.9891244601385552</v>
      </c>
      <c r="AD1089" s="69">
        <v>2.9891244601385552</v>
      </c>
      <c r="AE1089" s="69">
        <v>2.9891244601385552</v>
      </c>
      <c r="AF1089" s="69">
        <v>2.9891244601385552</v>
      </c>
      <c r="AG1089" s="69">
        <v>2.9891244601385552</v>
      </c>
    </row>
    <row r="1090" spans="1:33" ht="12.75" customHeight="1">
      <c r="A1090" s="231" t="s">
        <v>2377</v>
      </c>
      <c r="B1090" s="69" t="s">
        <v>568</v>
      </c>
      <c r="C1090" s="69" t="s">
        <v>186</v>
      </c>
      <c r="D1090" s="69" t="s">
        <v>259</v>
      </c>
      <c r="E1090" s="69" t="s">
        <v>203</v>
      </c>
      <c r="F1090" s="69" t="s">
        <v>158</v>
      </c>
      <c r="G1090" s="69" t="s">
        <v>192</v>
      </c>
      <c r="H1090" s="69" t="s">
        <v>804</v>
      </c>
      <c r="I1090" s="69">
        <v>2</v>
      </c>
      <c r="J1090" s="238">
        <v>0.23561922263058244</v>
      </c>
      <c r="K1090" s="238">
        <v>0</v>
      </c>
      <c r="L1090" s="69">
        <v>208.59734121122602</v>
      </c>
      <c r="M1090" s="69">
        <v>-4.8449039881831615</v>
      </c>
      <c r="N1090" s="69">
        <v>0</v>
      </c>
      <c r="O1090" s="69">
        <v>0</v>
      </c>
      <c r="P1090" s="69">
        <v>0</v>
      </c>
      <c r="Q1090" s="69">
        <v>4.1553228229131491</v>
      </c>
      <c r="R1090" s="69">
        <v>4.1553228229131491</v>
      </c>
      <c r="S1090" s="69">
        <v>4.1553228229131491</v>
      </c>
      <c r="T1090" s="69">
        <v>4.1553228229131491</v>
      </c>
      <c r="U1090" s="69">
        <v>4.1553228229131491</v>
      </c>
      <c r="V1090" s="69">
        <v>4.1553228229131491</v>
      </c>
      <c r="W1090" s="69">
        <v>4.1553228229131491</v>
      </c>
      <c r="X1090" s="69">
        <v>4.1553228229131491</v>
      </c>
      <c r="Y1090" s="69">
        <v>4.1553228229131491</v>
      </c>
      <c r="Z1090" s="69">
        <v>4.1553228229131491</v>
      </c>
      <c r="AA1090" s="69">
        <v>4.1553228229131491</v>
      </c>
      <c r="AB1090" s="69">
        <v>4.1553228229131491</v>
      </c>
      <c r="AC1090" s="69">
        <v>4.1553228229131491</v>
      </c>
      <c r="AD1090" s="69">
        <v>4.1553228229131491</v>
      </c>
      <c r="AE1090" s="69">
        <v>4.1553228229131491</v>
      </c>
      <c r="AF1090" s="69">
        <v>4.1553228229131491</v>
      </c>
      <c r="AG1090" s="69">
        <v>4.1553228229131491</v>
      </c>
    </row>
    <row r="1091" spans="1:33" ht="12.75" customHeight="1">
      <c r="A1091" s="231" t="s">
        <v>2377</v>
      </c>
      <c r="B1091" s="69" t="s">
        <v>569</v>
      </c>
      <c r="C1091" s="69" t="s">
        <v>186</v>
      </c>
      <c r="D1091" s="69" t="s">
        <v>259</v>
      </c>
      <c r="E1091" s="69" t="s">
        <v>203</v>
      </c>
      <c r="F1091" s="69" t="s">
        <v>158</v>
      </c>
      <c r="G1091" s="69" t="s">
        <v>192</v>
      </c>
      <c r="H1091" s="69" t="s">
        <v>804</v>
      </c>
      <c r="I1091" s="69">
        <v>2</v>
      </c>
      <c r="J1091" s="238">
        <v>0.23561922263058244</v>
      </c>
      <c r="K1091" s="238">
        <v>0</v>
      </c>
      <c r="L1091" s="69">
        <v>208.59734121122602</v>
      </c>
      <c r="M1091" s="69">
        <v>-4.8449039881831615</v>
      </c>
      <c r="N1091" s="69">
        <v>0</v>
      </c>
      <c r="O1091" s="69">
        <v>0</v>
      </c>
      <c r="P1091" s="69">
        <v>0</v>
      </c>
      <c r="Q1091" s="69">
        <v>0</v>
      </c>
      <c r="R1091" s="69">
        <v>4.1553228229131491</v>
      </c>
      <c r="S1091" s="69">
        <v>4.1553228229131491</v>
      </c>
      <c r="T1091" s="69">
        <v>4.1553228229131491</v>
      </c>
      <c r="U1091" s="69">
        <v>4.1553228229131491</v>
      </c>
      <c r="V1091" s="69">
        <v>4.1553228229131491</v>
      </c>
      <c r="W1091" s="69">
        <v>4.1553228229131491</v>
      </c>
      <c r="X1091" s="69">
        <v>4.1553228229131491</v>
      </c>
      <c r="Y1091" s="69">
        <v>4.1553228229131491</v>
      </c>
      <c r="Z1091" s="69">
        <v>4.1553228229131491</v>
      </c>
      <c r="AA1091" s="69">
        <v>4.1553228229131491</v>
      </c>
      <c r="AB1091" s="69">
        <v>4.1553228229131491</v>
      </c>
      <c r="AC1091" s="69">
        <v>4.1553228229131491</v>
      </c>
      <c r="AD1091" s="69">
        <v>4.1553228229131491</v>
      </c>
      <c r="AE1091" s="69">
        <v>4.1553228229131491</v>
      </c>
      <c r="AF1091" s="69">
        <v>4.1553228229131491</v>
      </c>
      <c r="AG1091" s="69">
        <v>4.1553228229131491</v>
      </c>
    </row>
    <row r="1092" spans="1:33" ht="12.75" customHeight="1">
      <c r="A1092" s="231" t="s">
        <v>2377</v>
      </c>
      <c r="B1092" s="69" t="s">
        <v>575</v>
      </c>
      <c r="C1092" s="69" t="s">
        <v>186</v>
      </c>
      <c r="D1092" s="69" t="s">
        <v>259</v>
      </c>
      <c r="E1092" s="69" t="s">
        <v>242</v>
      </c>
      <c r="F1092" s="69" t="s">
        <v>158</v>
      </c>
      <c r="G1092" s="69" t="s">
        <v>192</v>
      </c>
      <c r="H1092" s="69" t="s">
        <v>804</v>
      </c>
      <c r="I1092" s="69">
        <v>2</v>
      </c>
      <c r="J1092" s="238">
        <v>0.24339198871440765</v>
      </c>
      <c r="K1092" s="238">
        <v>0</v>
      </c>
      <c r="L1092" s="69">
        <v>201.93574833174455</v>
      </c>
      <c r="M1092" s="69">
        <v>-4.6901811248808389</v>
      </c>
      <c r="N1092" s="69">
        <v>0</v>
      </c>
      <c r="O1092" s="69">
        <v>0</v>
      </c>
      <c r="P1092" s="69">
        <v>0</v>
      </c>
      <c r="Q1092" s="69">
        <v>1.2880827428271007</v>
      </c>
      <c r="R1092" s="69">
        <v>1.2880827428271007</v>
      </c>
      <c r="S1092" s="69">
        <v>1.2880827428271007</v>
      </c>
      <c r="T1092" s="69">
        <v>1.2880827428271007</v>
      </c>
      <c r="U1092" s="69">
        <v>1.2880827428271007</v>
      </c>
      <c r="V1092" s="69">
        <v>1.2880827428271007</v>
      </c>
      <c r="W1092" s="69">
        <v>1.2880827428271007</v>
      </c>
      <c r="X1092" s="69">
        <v>1.2880827428271007</v>
      </c>
      <c r="Y1092" s="69">
        <v>1.2880827428271007</v>
      </c>
      <c r="Z1092" s="69">
        <v>1.2880827428271007</v>
      </c>
      <c r="AA1092" s="69">
        <v>1.2880827428271007</v>
      </c>
      <c r="AB1092" s="69">
        <v>1.2880827428271007</v>
      </c>
      <c r="AC1092" s="69">
        <v>1.2880827428271007</v>
      </c>
      <c r="AD1092" s="69">
        <v>1.2880827428271007</v>
      </c>
      <c r="AE1092" s="69">
        <v>1.2880827428271007</v>
      </c>
      <c r="AF1092" s="69">
        <v>1.2880827428271007</v>
      </c>
      <c r="AG1092" s="69">
        <v>1.2880827428271007</v>
      </c>
    </row>
    <row r="1093" spans="1:33" ht="12.75" customHeight="1">
      <c r="A1093" s="231" t="s">
        <v>2377</v>
      </c>
      <c r="B1093" s="69" t="s">
        <v>576</v>
      </c>
      <c r="C1093" s="69" t="s">
        <v>186</v>
      </c>
      <c r="D1093" s="69" t="s">
        <v>259</v>
      </c>
      <c r="E1093" s="69" t="s">
        <v>242</v>
      </c>
      <c r="F1093" s="69" t="s">
        <v>158</v>
      </c>
      <c r="G1093" s="69" t="s">
        <v>192</v>
      </c>
      <c r="H1093" s="69" t="s">
        <v>804</v>
      </c>
      <c r="I1093" s="69">
        <v>2</v>
      </c>
      <c r="J1093" s="238">
        <v>0.24339198871440765</v>
      </c>
      <c r="K1093" s="238">
        <v>0</v>
      </c>
      <c r="L1093" s="69">
        <v>201.93574833174455</v>
      </c>
      <c r="M1093" s="69">
        <v>-4.6901811248808389</v>
      </c>
      <c r="N1093" s="69">
        <v>0</v>
      </c>
      <c r="O1093" s="69">
        <v>0</v>
      </c>
      <c r="P1093" s="69">
        <v>0</v>
      </c>
      <c r="Q1093" s="69">
        <v>0</v>
      </c>
      <c r="R1093" s="69">
        <v>1.2880827428271007</v>
      </c>
      <c r="S1093" s="69">
        <v>1.2880827428271007</v>
      </c>
      <c r="T1093" s="69">
        <v>1.2880827428271007</v>
      </c>
      <c r="U1093" s="69">
        <v>1.2880827428271007</v>
      </c>
      <c r="V1093" s="69">
        <v>1.2880827428271007</v>
      </c>
      <c r="W1093" s="69">
        <v>1.2880827428271007</v>
      </c>
      <c r="X1093" s="69">
        <v>1.2880827428271007</v>
      </c>
      <c r="Y1093" s="69">
        <v>1.2880827428271007</v>
      </c>
      <c r="Z1093" s="69">
        <v>1.2880827428271007</v>
      </c>
      <c r="AA1093" s="69">
        <v>1.2880827428271007</v>
      </c>
      <c r="AB1093" s="69">
        <v>1.2880827428271007</v>
      </c>
      <c r="AC1093" s="69">
        <v>1.2880827428271007</v>
      </c>
      <c r="AD1093" s="69">
        <v>1.2880827428271007</v>
      </c>
      <c r="AE1093" s="69">
        <v>1.2880827428271007</v>
      </c>
      <c r="AF1093" s="69">
        <v>1.2880827428271007</v>
      </c>
      <c r="AG1093" s="69">
        <v>1.2880827428271007</v>
      </c>
    </row>
    <row r="1094" spans="1:33" ht="12.75" customHeight="1">
      <c r="A1094" s="231" t="s">
        <v>2377</v>
      </c>
      <c r="B1094" s="69" t="s">
        <v>582</v>
      </c>
      <c r="C1094" s="69" t="s">
        <v>186</v>
      </c>
      <c r="D1094" s="69" t="s">
        <v>218</v>
      </c>
      <c r="E1094" s="69" t="s">
        <v>244</v>
      </c>
      <c r="F1094" s="69" t="s">
        <v>158</v>
      </c>
      <c r="G1094" s="69" t="s">
        <v>192</v>
      </c>
      <c r="H1094" s="69" t="s">
        <v>804</v>
      </c>
      <c r="I1094" s="69">
        <v>2</v>
      </c>
      <c r="J1094" s="238">
        <v>0.2668262983999703</v>
      </c>
      <c r="K1094" s="238">
        <v>0</v>
      </c>
      <c r="L1094" s="69">
        <v>176.76062608695653</v>
      </c>
      <c r="M1094" s="69">
        <v>-4.2782608695652176</v>
      </c>
      <c r="N1094" s="69">
        <v>0</v>
      </c>
      <c r="O1094" s="69">
        <v>0</v>
      </c>
      <c r="P1094" s="69">
        <v>0</v>
      </c>
      <c r="Q1094" s="69">
        <v>12.221656373312726</v>
      </c>
      <c r="R1094" s="69">
        <v>12.221656373312726</v>
      </c>
      <c r="S1094" s="69">
        <v>12.221656373312726</v>
      </c>
      <c r="T1094" s="69">
        <v>12.221656373312726</v>
      </c>
      <c r="U1094" s="69">
        <v>12.221656373312726</v>
      </c>
      <c r="V1094" s="69">
        <v>12.221656373312726</v>
      </c>
      <c r="W1094" s="69">
        <v>12.221656373312726</v>
      </c>
      <c r="X1094" s="69">
        <v>12.221656373312726</v>
      </c>
      <c r="Y1094" s="69">
        <v>12.221656373312726</v>
      </c>
      <c r="Z1094" s="69">
        <v>12.221656373312726</v>
      </c>
      <c r="AA1094" s="69">
        <v>12.221656373312726</v>
      </c>
      <c r="AB1094" s="69">
        <v>12.221656373312726</v>
      </c>
      <c r="AC1094" s="69">
        <v>12.221656373312726</v>
      </c>
      <c r="AD1094" s="69">
        <v>12.221656373312726</v>
      </c>
      <c r="AE1094" s="69">
        <v>12.221656373312726</v>
      </c>
      <c r="AF1094" s="69">
        <v>12.221656373312726</v>
      </c>
      <c r="AG1094" s="69">
        <v>12.221656373312726</v>
      </c>
    </row>
    <row r="1095" spans="1:33" ht="12.75" customHeight="1">
      <c r="A1095" s="231" t="s">
        <v>2377</v>
      </c>
      <c r="B1095" s="69" t="s">
        <v>583</v>
      </c>
      <c r="C1095" s="69" t="s">
        <v>186</v>
      </c>
      <c r="D1095" s="69" t="s">
        <v>218</v>
      </c>
      <c r="E1095" s="69" t="s">
        <v>244</v>
      </c>
      <c r="F1095" s="69" t="s">
        <v>158</v>
      </c>
      <c r="G1095" s="69" t="s">
        <v>192</v>
      </c>
      <c r="H1095" s="69" t="s">
        <v>804</v>
      </c>
      <c r="I1095" s="69">
        <v>2</v>
      </c>
      <c r="J1095" s="238">
        <v>0.2668262983999703</v>
      </c>
      <c r="K1095" s="238">
        <v>0</v>
      </c>
      <c r="L1095" s="69">
        <v>176.76062608695653</v>
      </c>
      <c r="M1095" s="69">
        <v>-4.2782608695652176</v>
      </c>
      <c r="N1095" s="69">
        <v>0</v>
      </c>
      <c r="O1095" s="69">
        <v>0</v>
      </c>
      <c r="P1095" s="69">
        <v>0</v>
      </c>
      <c r="Q1095" s="69">
        <v>0</v>
      </c>
      <c r="R1095" s="69">
        <v>12.221656373312726</v>
      </c>
      <c r="S1095" s="69">
        <v>12.221656373312726</v>
      </c>
      <c r="T1095" s="69">
        <v>12.221656373312726</v>
      </c>
      <c r="U1095" s="69">
        <v>12.221656373312726</v>
      </c>
      <c r="V1095" s="69">
        <v>12.221656373312726</v>
      </c>
      <c r="W1095" s="69">
        <v>12.221656373312726</v>
      </c>
      <c r="X1095" s="69">
        <v>12.221656373312726</v>
      </c>
      <c r="Y1095" s="69">
        <v>12.221656373312726</v>
      </c>
      <c r="Z1095" s="69">
        <v>12.221656373312726</v>
      </c>
      <c r="AA1095" s="69">
        <v>12.221656373312726</v>
      </c>
      <c r="AB1095" s="69">
        <v>12.221656373312726</v>
      </c>
      <c r="AC1095" s="69">
        <v>12.221656373312726</v>
      </c>
      <c r="AD1095" s="69">
        <v>12.221656373312726</v>
      </c>
      <c r="AE1095" s="69">
        <v>12.221656373312726</v>
      </c>
      <c r="AF1095" s="69">
        <v>12.221656373312726</v>
      </c>
      <c r="AG1095" s="69">
        <v>12.221656373312726</v>
      </c>
    </row>
    <row r="1096" spans="1:33" ht="12.75" customHeight="1">
      <c r="A1096" s="231" t="s">
        <v>2377</v>
      </c>
      <c r="B1096" s="69" t="s">
        <v>589</v>
      </c>
      <c r="C1096" s="69" t="s">
        <v>186</v>
      </c>
      <c r="D1096" s="69" t="s">
        <v>218</v>
      </c>
      <c r="E1096" s="69" t="s">
        <v>203</v>
      </c>
      <c r="F1096" s="69" t="s">
        <v>158</v>
      </c>
      <c r="G1096" s="69" t="s">
        <v>192</v>
      </c>
      <c r="H1096" s="69" t="s">
        <v>804</v>
      </c>
      <c r="I1096" s="69">
        <v>2</v>
      </c>
      <c r="J1096" s="238">
        <v>0.23561922263058244</v>
      </c>
      <c r="K1096" s="238">
        <v>0</v>
      </c>
      <c r="L1096" s="69">
        <v>200.17205317577552</v>
      </c>
      <c r="M1096" s="69">
        <v>-4.8449039881831615</v>
      </c>
      <c r="N1096" s="69">
        <v>0</v>
      </c>
      <c r="O1096" s="69">
        <v>0</v>
      </c>
      <c r="P1096" s="69">
        <v>0</v>
      </c>
      <c r="Q1096" s="69">
        <v>19.36462463935095</v>
      </c>
      <c r="R1096" s="69">
        <v>19.36462463935095</v>
      </c>
      <c r="S1096" s="69">
        <v>19.36462463935095</v>
      </c>
      <c r="T1096" s="69">
        <v>19.36462463935095</v>
      </c>
      <c r="U1096" s="69">
        <v>19.36462463935095</v>
      </c>
      <c r="V1096" s="69">
        <v>19.36462463935095</v>
      </c>
      <c r="W1096" s="69">
        <v>19.36462463935095</v>
      </c>
      <c r="X1096" s="69">
        <v>19.36462463935095</v>
      </c>
      <c r="Y1096" s="69">
        <v>19.36462463935095</v>
      </c>
      <c r="Z1096" s="69">
        <v>19.36462463935095</v>
      </c>
      <c r="AA1096" s="69">
        <v>19.36462463935095</v>
      </c>
      <c r="AB1096" s="69">
        <v>19.36462463935095</v>
      </c>
      <c r="AC1096" s="69">
        <v>19.36462463935095</v>
      </c>
      <c r="AD1096" s="69">
        <v>19.36462463935095</v>
      </c>
      <c r="AE1096" s="69">
        <v>19.36462463935095</v>
      </c>
      <c r="AF1096" s="69">
        <v>19.36462463935095</v>
      </c>
      <c r="AG1096" s="69">
        <v>19.36462463935095</v>
      </c>
    </row>
    <row r="1097" spans="1:33" ht="12.75" customHeight="1">
      <c r="A1097" s="231" t="s">
        <v>2377</v>
      </c>
      <c r="B1097" s="69" t="s">
        <v>590</v>
      </c>
      <c r="C1097" s="69" t="s">
        <v>186</v>
      </c>
      <c r="D1097" s="69" t="s">
        <v>218</v>
      </c>
      <c r="E1097" s="69" t="s">
        <v>203</v>
      </c>
      <c r="F1097" s="69" t="s">
        <v>158</v>
      </c>
      <c r="G1097" s="69" t="s">
        <v>192</v>
      </c>
      <c r="H1097" s="69" t="s">
        <v>804</v>
      </c>
      <c r="I1097" s="69">
        <v>2</v>
      </c>
      <c r="J1097" s="238">
        <v>0.23561922263058244</v>
      </c>
      <c r="K1097" s="238">
        <v>0</v>
      </c>
      <c r="L1097" s="69">
        <v>200.17205317577552</v>
      </c>
      <c r="M1097" s="69">
        <v>-4.8449039881831615</v>
      </c>
      <c r="N1097" s="69">
        <v>0</v>
      </c>
      <c r="O1097" s="69">
        <v>0</v>
      </c>
      <c r="P1097" s="69">
        <v>0</v>
      </c>
      <c r="Q1097" s="69">
        <v>0</v>
      </c>
      <c r="R1097" s="69">
        <v>19.36462463935095</v>
      </c>
      <c r="S1097" s="69">
        <v>19.36462463935095</v>
      </c>
      <c r="T1097" s="69">
        <v>19.36462463935095</v>
      </c>
      <c r="U1097" s="69">
        <v>19.36462463935095</v>
      </c>
      <c r="V1097" s="69">
        <v>19.36462463935095</v>
      </c>
      <c r="W1097" s="69">
        <v>19.36462463935095</v>
      </c>
      <c r="X1097" s="69">
        <v>19.36462463935095</v>
      </c>
      <c r="Y1097" s="69">
        <v>19.36462463935095</v>
      </c>
      <c r="Z1097" s="69">
        <v>19.36462463935095</v>
      </c>
      <c r="AA1097" s="69">
        <v>19.36462463935095</v>
      </c>
      <c r="AB1097" s="69">
        <v>19.36462463935095</v>
      </c>
      <c r="AC1097" s="69">
        <v>19.36462463935095</v>
      </c>
      <c r="AD1097" s="69">
        <v>19.36462463935095</v>
      </c>
      <c r="AE1097" s="69">
        <v>19.36462463935095</v>
      </c>
      <c r="AF1097" s="69">
        <v>19.36462463935095</v>
      </c>
      <c r="AG1097" s="69">
        <v>19.36462463935095</v>
      </c>
    </row>
    <row r="1098" spans="1:33" ht="12.75" customHeight="1">
      <c r="A1098" s="231" t="s">
        <v>2377</v>
      </c>
      <c r="B1098" s="69" t="s">
        <v>596</v>
      </c>
      <c r="C1098" s="69" t="s">
        <v>186</v>
      </c>
      <c r="D1098" s="69" t="s">
        <v>218</v>
      </c>
      <c r="E1098" s="69" t="s">
        <v>242</v>
      </c>
      <c r="F1098" s="69" t="s">
        <v>158</v>
      </c>
      <c r="G1098" s="69" t="s">
        <v>192</v>
      </c>
      <c r="H1098" s="69" t="s">
        <v>804</v>
      </c>
      <c r="I1098" s="69">
        <v>2</v>
      </c>
      <c r="J1098" s="238">
        <v>0.2433919887144077</v>
      </c>
      <c r="K1098" s="238">
        <v>0</v>
      </c>
      <c r="L1098" s="69">
        <v>193.77952335557671</v>
      </c>
      <c r="M1098" s="69">
        <v>-4.6901811248808389</v>
      </c>
      <c r="N1098" s="69">
        <v>0</v>
      </c>
      <c r="O1098" s="69">
        <v>0</v>
      </c>
      <c r="P1098" s="69">
        <v>0</v>
      </c>
      <c r="Q1098" s="69">
        <v>135.43675364029696</v>
      </c>
      <c r="R1098" s="69">
        <v>135.43675364029696</v>
      </c>
      <c r="S1098" s="69">
        <v>135.43675364029696</v>
      </c>
      <c r="T1098" s="69">
        <v>135.43675364029696</v>
      </c>
      <c r="U1098" s="69">
        <v>135.43675364029696</v>
      </c>
      <c r="V1098" s="69">
        <v>135.43675364029696</v>
      </c>
      <c r="W1098" s="69">
        <v>135.43675364029696</v>
      </c>
      <c r="X1098" s="69">
        <v>135.43675364029696</v>
      </c>
      <c r="Y1098" s="69">
        <v>135.43675364029696</v>
      </c>
      <c r="Z1098" s="69">
        <v>135.43675364029696</v>
      </c>
      <c r="AA1098" s="69">
        <v>135.43675364029696</v>
      </c>
      <c r="AB1098" s="69">
        <v>135.43675364029696</v>
      </c>
      <c r="AC1098" s="69">
        <v>135.43675364029696</v>
      </c>
      <c r="AD1098" s="69">
        <v>135.43675364029696</v>
      </c>
      <c r="AE1098" s="69">
        <v>135.43675364029696</v>
      </c>
      <c r="AF1098" s="69">
        <v>135.43675364029696</v>
      </c>
      <c r="AG1098" s="69">
        <v>135.43675364029696</v>
      </c>
    </row>
    <row r="1099" spans="1:33" ht="12.75" customHeight="1">
      <c r="A1099" s="231" t="s">
        <v>2377</v>
      </c>
      <c r="B1099" s="69" t="s">
        <v>597</v>
      </c>
      <c r="C1099" s="69" t="s">
        <v>186</v>
      </c>
      <c r="D1099" s="69" t="s">
        <v>218</v>
      </c>
      <c r="E1099" s="69" t="s">
        <v>242</v>
      </c>
      <c r="F1099" s="69" t="s">
        <v>158</v>
      </c>
      <c r="G1099" s="69" t="s">
        <v>192</v>
      </c>
      <c r="H1099" s="69" t="s">
        <v>804</v>
      </c>
      <c r="I1099" s="69">
        <v>2</v>
      </c>
      <c r="J1099" s="238">
        <v>0.2433919887144077</v>
      </c>
      <c r="K1099" s="238">
        <v>0</v>
      </c>
      <c r="L1099" s="69">
        <v>193.77952335557671</v>
      </c>
      <c r="M1099" s="69">
        <v>-4.6901811248808389</v>
      </c>
      <c r="N1099" s="69">
        <v>0</v>
      </c>
      <c r="O1099" s="69">
        <v>0</v>
      </c>
      <c r="P1099" s="69">
        <v>0</v>
      </c>
      <c r="Q1099" s="69">
        <v>0</v>
      </c>
      <c r="R1099" s="69">
        <v>135.43675364029696</v>
      </c>
      <c r="S1099" s="69">
        <v>135.43675364029696</v>
      </c>
      <c r="T1099" s="69">
        <v>135.43675364029696</v>
      </c>
      <c r="U1099" s="69">
        <v>135.43675364029696</v>
      </c>
      <c r="V1099" s="69">
        <v>135.43675364029696</v>
      </c>
      <c r="W1099" s="69">
        <v>135.43675364029696</v>
      </c>
      <c r="X1099" s="69">
        <v>135.43675364029696</v>
      </c>
      <c r="Y1099" s="69">
        <v>135.43675364029696</v>
      </c>
      <c r="Z1099" s="69">
        <v>135.43675364029696</v>
      </c>
      <c r="AA1099" s="69">
        <v>135.43675364029696</v>
      </c>
      <c r="AB1099" s="69">
        <v>135.43675364029696</v>
      </c>
      <c r="AC1099" s="69">
        <v>135.43675364029696</v>
      </c>
      <c r="AD1099" s="69">
        <v>135.43675364029696</v>
      </c>
      <c r="AE1099" s="69">
        <v>135.43675364029696</v>
      </c>
      <c r="AF1099" s="69">
        <v>135.43675364029696</v>
      </c>
      <c r="AG1099" s="69">
        <v>135.43675364029696</v>
      </c>
    </row>
    <row r="1100" spans="1:33" ht="12.75" customHeight="1">
      <c r="A1100" s="231" t="s">
        <v>2377</v>
      </c>
      <c r="B1100" s="69" t="s">
        <v>603</v>
      </c>
      <c r="C1100" s="69" t="s">
        <v>186</v>
      </c>
      <c r="D1100" s="69" t="s">
        <v>334</v>
      </c>
      <c r="E1100" s="69" t="s">
        <v>244</v>
      </c>
      <c r="F1100" s="69" t="s">
        <v>159</v>
      </c>
      <c r="G1100" s="69" t="s">
        <v>192</v>
      </c>
      <c r="H1100" s="69" t="s">
        <v>2130</v>
      </c>
      <c r="I1100" s="69">
        <v>2</v>
      </c>
      <c r="J1100" s="238">
        <v>0.22877454801945279</v>
      </c>
      <c r="K1100" s="238">
        <v>0</v>
      </c>
      <c r="L1100" s="69">
        <v>262.55634888438135</v>
      </c>
      <c r="M1100" s="69">
        <v>-22.454361054766736</v>
      </c>
      <c r="N1100" s="69">
        <v>0</v>
      </c>
      <c r="O1100" s="69">
        <v>0</v>
      </c>
      <c r="P1100" s="69">
        <v>0</v>
      </c>
      <c r="Q1100" s="69">
        <v>16.752147213439457</v>
      </c>
      <c r="R1100" s="69">
        <v>16.752147213439457</v>
      </c>
      <c r="S1100" s="69">
        <v>16.752147213439457</v>
      </c>
      <c r="T1100" s="69">
        <v>16.752147213439457</v>
      </c>
      <c r="U1100" s="69">
        <v>16.752147213439457</v>
      </c>
      <c r="V1100" s="69">
        <v>16.752147213439457</v>
      </c>
      <c r="W1100" s="69">
        <v>16.752147213439457</v>
      </c>
      <c r="X1100" s="69">
        <v>16.752147213439457</v>
      </c>
      <c r="Y1100" s="69">
        <v>16.752147213439457</v>
      </c>
      <c r="Z1100" s="69">
        <v>16.752147213439457</v>
      </c>
      <c r="AA1100" s="69">
        <v>16.752147213439457</v>
      </c>
      <c r="AB1100" s="69">
        <v>16.752147213439457</v>
      </c>
      <c r="AC1100" s="69">
        <v>16.752147213439457</v>
      </c>
      <c r="AD1100" s="69">
        <v>16.752147213439457</v>
      </c>
      <c r="AE1100" s="69">
        <v>16.752147213439457</v>
      </c>
      <c r="AF1100" s="69">
        <v>16.752147213439457</v>
      </c>
      <c r="AG1100" s="69">
        <v>16.752147213439457</v>
      </c>
    </row>
    <row r="1101" spans="1:33" ht="12.75" customHeight="1">
      <c r="A1101" s="231" t="s">
        <v>2377</v>
      </c>
      <c r="B1101" s="69" t="s">
        <v>604</v>
      </c>
      <c r="C1101" s="69" t="s">
        <v>186</v>
      </c>
      <c r="D1101" s="69" t="s">
        <v>334</v>
      </c>
      <c r="E1101" s="69" t="s">
        <v>244</v>
      </c>
      <c r="F1101" s="69" t="s">
        <v>159</v>
      </c>
      <c r="G1101" s="69" t="s">
        <v>192</v>
      </c>
      <c r="H1101" s="69" t="s">
        <v>2130</v>
      </c>
      <c r="I1101" s="69">
        <v>2</v>
      </c>
      <c r="J1101" s="238">
        <v>0.22877454801945279</v>
      </c>
      <c r="K1101" s="238">
        <v>0</v>
      </c>
      <c r="L1101" s="69">
        <v>262.55634888438135</v>
      </c>
      <c r="M1101" s="69">
        <v>-22.454361054766736</v>
      </c>
      <c r="N1101" s="69">
        <v>0</v>
      </c>
      <c r="O1101" s="69">
        <v>0</v>
      </c>
      <c r="P1101" s="69">
        <v>0</v>
      </c>
      <c r="Q1101" s="69">
        <v>0</v>
      </c>
      <c r="R1101" s="69">
        <v>16.752147213439457</v>
      </c>
      <c r="S1101" s="69">
        <v>16.752147213439457</v>
      </c>
      <c r="T1101" s="69">
        <v>16.752147213439457</v>
      </c>
      <c r="U1101" s="69">
        <v>16.752147213439457</v>
      </c>
      <c r="V1101" s="69">
        <v>16.752147213439457</v>
      </c>
      <c r="W1101" s="69">
        <v>16.752147213439457</v>
      </c>
      <c r="X1101" s="69">
        <v>16.752147213439457</v>
      </c>
      <c r="Y1101" s="69">
        <v>16.752147213439457</v>
      </c>
      <c r="Z1101" s="69">
        <v>16.752147213439457</v>
      </c>
      <c r="AA1101" s="69">
        <v>16.752147213439457</v>
      </c>
      <c r="AB1101" s="69">
        <v>16.752147213439457</v>
      </c>
      <c r="AC1101" s="69">
        <v>16.752147213439457</v>
      </c>
      <c r="AD1101" s="69">
        <v>16.752147213439457</v>
      </c>
      <c r="AE1101" s="69">
        <v>16.752147213439457</v>
      </c>
      <c r="AF1101" s="69">
        <v>16.752147213439457</v>
      </c>
      <c r="AG1101" s="69">
        <v>16.752147213439457</v>
      </c>
    </row>
    <row r="1102" spans="1:33" ht="12.75" customHeight="1">
      <c r="A1102" s="231" t="s">
        <v>2377</v>
      </c>
      <c r="B1102" s="69" t="s">
        <v>610</v>
      </c>
      <c r="C1102" s="69" t="s">
        <v>186</v>
      </c>
      <c r="D1102" s="69" t="s">
        <v>334</v>
      </c>
      <c r="E1102" s="69" t="s">
        <v>242</v>
      </c>
      <c r="F1102" s="69" t="s">
        <v>159</v>
      </c>
      <c r="G1102" s="69" t="s">
        <v>192</v>
      </c>
      <c r="H1102" s="69" t="s">
        <v>2130</v>
      </c>
      <c r="I1102" s="69">
        <v>2</v>
      </c>
      <c r="J1102" s="238">
        <v>0.21172086720867209</v>
      </c>
      <c r="K1102" s="238">
        <v>0</v>
      </c>
      <c r="L1102" s="69">
        <v>283.70472328767124</v>
      </c>
      <c r="M1102" s="69">
        <v>-24.263013698630136</v>
      </c>
      <c r="N1102" s="69">
        <v>0</v>
      </c>
      <c r="O1102" s="69">
        <v>0</v>
      </c>
      <c r="P1102" s="69">
        <v>0</v>
      </c>
      <c r="Q1102" s="69">
        <v>29.71481487847268</v>
      </c>
      <c r="R1102" s="69">
        <v>29.71481487847268</v>
      </c>
      <c r="S1102" s="69">
        <v>29.71481487847268</v>
      </c>
      <c r="T1102" s="69">
        <v>29.71481487847268</v>
      </c>
      <c r="U1102" s="69">
        <v>29.71481487847268</v>
      </c>
      <c r="V1102" s="69">
        <v>29.71481487847268</v>
      </c>
      <c r="W1102" s="69">
        <v>29.71481487847268</v>
      </c>
      <c r="X1102" s="69">
        <v>29.71481487847268</v>
      </c>
      <c r="Y1102" s="69">
        <v>29.71481487847268</v>
      </c>
      <c r="Z1102" s="69">
        <v>29.71481487847268</v>
      </c>
      <c r="AA1102" s="69">
        <v>29.71481487847268</v>
      </c>
      <c r="AB1102" s="69">
        <v>29.71481487847268</v>
      </c>
      <c r="AC1102" s="69">
        <v>29.71481487847268</v>
      </c>
      <c r="AD1102" s="69">
        <v>29.71481487847268</v>
      </c>
      <c r="AE1102" s="69">
        <v>29.71481487847268</v>
      </c>
      <c r="AF1102" s="69">
        <v>29.71481487847268</v>
      </c>
      <c r="AG1102" s="69">
        <v>29.71481487847268</v>
      </c>
    </row>
    <row r="1103" spans="1:33" ht="12.75" customHeight="1">
      <c r="A1103" s="231" t="s">
        <v>2377</v>
      </c>
      <c r="B1103" s="69" t="s">
        <v>611</v>
      </c>
      <c r="C1103" s="69" t="s">
        <v>186</v>
      </c>
      <c r="D1103" s="69" t="s">
        <v>334</v>
      </c>
      <c r="E1103" s="69" t="s">
        <v>242</v>
      </c>
      <c r="F1103" s="69" t="s">
        <v>159</v>
      </c>
      <c r="G1103" s="69" t="s">
        <v>192</v>
      </c>
      <c r="H1103" s="69" t="s">
        <v>2130</v>
      </c>
      <c r="I1103" s="69">
        <v>2</v>
      </c>
      <c r="J1103" s="238">
        <v>0.21172086720867209</v>
      </c>
      <c r="K1103" s="238">
        <v>0</v>
      </c>
      <c r="L1103" s="69">
        <v>283.70472328767124</v>
      </c>
      <c r="M1103" s="69">
        <v>-24.263013698630136</v>
      </c>
      <c r="N1103" s="69">
        <v>0</v>
      </c>
      <c r="O1103" s="69">
        <v>0</v>
      </c>
      <c r="P1103" s="69">
        <v>0</v>
      </c>
      <c r="Q1103" s="69">
        <v>0</v>
      </c>
      <c r="R1103" s="69">
        <v>29.71481487847268</v>
      </c>
      <c r="S1103" s="69">
        <v>29.71481487847268</v>
      </c>
      <c r="T1103" s="69">
        <v>29.71481487847268</v>
      </c>
      <c r="U1103" s="69">
        <v>29.71481487847268</v>
      </c>
      <c r="V1103" s="69">
        <v>29.71481487847268</v>
      </c>
      <c r="W1103" s="69">
        <v>29.71481487847268</v>
      </c>
      <c r="X1103" s="69">
        <v>29.71481487847268</v>
      </c>
      <c r="Y1103" s="69">
        <v>29.71481487847268</v>
      </c>
      <c r="Z1103" s="69">
        <v>29.71481487847268</v>
      </c>
      <c r="AA1103" s="69">
        <v>29.71481487847268</v>
      </c>
      <c r="AB1103" s="69">
        <v>29.71481487847268</v>
      </c>
      <c r="AC1103" s="69">
        <v>29.71481487847268</v>
      </c>
      <c r="AD1103" s="69">
        <v>29.71481487847268</v>
      </c>
      <c r="AE1103" s="69">
        <v>29.71481487847268</v>
      </c>
      <c r="AF1103" s="69">
        <v>29.71481487847268</v>
      </c>
      <c r="AG1103" s="69">
        <v>29.71481487847268</v>
      </c>
    </row>
    <row r="1104" spans="1:33" ht="12.75" customHeight="1">
      <c r="A1104" s="231" t="s">
        <v>2377</v>
      </c>
      <c r="B1104" s="69" t="s">
        <v>617</v>
      </c>
      <c r="C1104" s="69" t="s">
        <v>186</v>
      </c>
      <c r="D1104" s="69" t="s">
        <v>491</v>
      </c>
      <c r="E1104" s="69" t="s">
        <v>244</v>
      </c>
      <c r="F1104" s="69" t="s">
        <v>159</v>
      </c>
      <c r="G1104" s="69" t="s">
        <v>192</v>
      </c>
      <c r="H1104" s="69" t="s">
        <v>2130</v>
      </c>
      <c r="I1104" s="69">
        <v>2</v>
      </c>
      <c r="J1104" s="238">
        <v>0.29362493967405423</v>
      </c>
      <c r="K1104" s="238">
        <v>0</v>
      </c>
      <c r="L1104" s="69">
        <v>195.89803239826159</v>
      </c>
      <c r="M1104" s="69">
        <v>-17.495061240616362</v>
      </c>
      <c r="N1104" s="69">
        <v>0</v>
      </c>
      <c r="O1104" s="69">
        <v>0</v>
      </c>
      <c r="P1104" s="69">
        <v>0</v>
      </c>
      <c r="Q1104" s="69">
        <v>8.7501780184538816E-2</v>
      </c>
      <c r="R1104" s="69">
        <v>8.7501780184538816E-2</v>
      </c>
      <c r="S1104" s="69">
        <v>8.7501780184538816E-2</v>
      </c>
      <c r="T1104" s="69">
        <v>8.7501780184538816E-2</v>
      </c>
      <c r="U1104" s="69">
        <v>8.7501780184538816E-2</v>
      </c>
      <c r="V1104" s="69">
        <v>8.7501780184538816E-2</v>
      </c>
      <c r="W1104" s="69">
        <v>8.7501780184538816E-2</v>
      </c>
      <c r="X1104" s="69">
        <v>8.7501780184538816E-2</v>
      </c>
      <c r="Y1104" s="69">
        <v>8.7501780184538816E-2</v>
      </c>
      <c r="Z1104" s="69">
        <v>8.7501780184538816E-2</v>
      </c>
      <c r="AA1104" s="69">
        <v>8.7501780184538816E-2</v>
      </c>
      <c r="AB1104" s="69">
        <v>8.7501780184538816E-2</v>
      </c>
      <c r="AC1104" s="69">
        <v>8.7501780184538816E-2</v>
      </c>
      <c r="AD1104" s="69">
        <v>8.7501780184538816E-2</v>
      </c>
      <c r="AE1104" s="69">
        <v>8.7501780184538816E-2</v>
      </c>
      <c r="AF1104" s="69">
        <v>8.7501780184538816E-2</v>
      </c>
      <c r="AG1104" s="69">
        <v>8.7501780184538816E-2</v>
      </c>
    </row>
    <row r="1105" spans="1:33" ht="12.75" customHeight="1">
      <c r="A1105" s="231" t="s">
        <v>2377</v>
      </c>
      <c r="B1105" s="69" t="s">
        <v>618</v>
      </c>
      <c r="C1105" s="69" t="s">
        <v>186</v>
      </c>
      <c r="D1105" s="69" t="s">
        <v>491</v>
      </c>
      <c r="E1105" s="69" t="s">
        <v>244</v>
      </c>
      <c r="F1105" s="69" t="s">
        <v>159</v>
      </c>
      <c r="G1105" s="69" t="s">
        <v>192</v>
      </c>
      <c r="H1105" s="69" t="s">
        <v>2130</v>
      </c>
      <c r="I1105" s="69">
        <v>2</v>
      </c>
      <c r="J1105" s="238">
        <v>0.29362493967405423</v>
      </c>
      <c r="K1105" s="238">
        <v>0</v>
      </c>
      <c r="L1105" s="69">
        <v>195.89803239826159</v>
      </c>
      <c r="M1105" s="69">
        <v>-17.495061240616362</v>
      </c>
      <c r="N1105" s="69">
        <v>0</v>
      </c>
      <c r="O1105" s="69">
        <v>0</v>
      </c>
      <c r="P1105" s="69">
        <v>0</v>
      </c>
      <c r="Q1105" s="69">
        <v>0</v>
      </c>
      <c r="R1105" s="69">
        <v>8.7501780184538816E-2</v>
      </c>
      <c r="S1105" s="69">
        <v>8.7501780184538816E-2</v>
      </c>
      <c r="T1105" s="69">
        <v>8.7501780184538816E-2</v>
      </c>
      <c r="U1105" s="69">
        <v>8.7501780184538816E-2</v>
      </c>
      <c r="V1105" s="69">
        <v>8.7501780184538816E-2</v>
      </c>
      <c r="W1105" s="69">
        <v>8.7501780184538816E-2</v>
      </c>
      <c r="X1105" s="69">
        <v>8.7501780184538816E-2</v>
      </c>
      <c r="Y1105" s="69">
        <v>8.7501780184538816E-2</v>
      </c>
      <c r="Z1105" s="69">
        <v>8.7501780184538816E-2</v>
      </c>
      <c r="AA1105" s="69">
        <v>8.7501780184538816E-2</v>
      </c>
      <c r="AB1105" s="69">
        <v>8.7501780184538816E-2</v>
      </c>
      <c r="AC1105" s="69">
        <v>8.7501780184538816E-2</v>
      </c>
      <c r="AD1105" s="69">
        <v>8.7501780184538816E-2</v>
      </c>
      <c r="AE1105" s="69">
        <v>8.7501780184538816E-2</v>
      </c>
      <c r="AF1105" s="69">
        <v>8.7501780184538816E-2</v>
      </c>
      <c r="AG1105" s="69">
        <v>8.7501780184538816E-2</v>
      </c>
    </row>
    <row r="1106" spans="1:33" ht="12.75" customHeight="1">
      <c r="A1106" s="231" t="s">
        <v>2377</v>
      </c>
      <c r="B1106" s="69" t="s">
        <v>624</v>
      </c>
      <c r="C1106" s="69" t="s">
        <v>186</v>
      </c>
      <c r="D1106" s="69" t="s">
        <v>491</v>
      </c>
      <c r="E1106" s="69" t="s">
        <v>242</v>
      </c>
      <c r="F1106" s="69" t="s">
        <v>159</v>
      </c>
      <c r="G1106" s="69" t="s">
        <v>192</v>
      </c>
      <c r="H1106" s="69" t="s">
        <v>2130</v>
      </c>
      <c r="I1106" s="69">
        <v>2</v>
      </c>
      <c r="J1106" s="238">
        <v>0.26090971526153617</v>
      </c>
      <c r="K1106" s="238">
        <v>0</v>
      </c>
      <c r="L1106" s="69">
        <v>220.46150289017342</v>
      </c>
      <c r="M1106" s="69">
        <v>-19.688750555802578</v>
      </c>
      <c r="N1106" s="69">
        <v>0</v>
      </c>
      <c r="O1106" s="69">
        <v>0</v>
      </c>
      <c r="P1106" s="69">
        <v>0</v>
      </c>
      <c r="Q1106" s="69">
        <v>0.14902556906235986</v>
      </c>
      <c r="R1106" s="69">
        <v>0.14902556906235986</v>
      </c>
      <c r="S1106" s="69">
        <v>0.14902556906235986</v>
      </c>
      <c r="T1106" s="69">
        <v>0.14902556906235986</v>
      </c>
      <c r="U1106" s="69">
        <v>0.14902556906235986</v>
      </c>
      <c r="V1106" s="69">
        <v>0.14902556906235986</v>
      </c>
      <c r="W1106" s="69">
        <v>0.14902556906235986</v>
      </c>
      <c r="X1106" s="69">
        <v>0.14902556906235986</v>
      </c>
      <c r="Y1106" s="69">
        <v>0.14902556906235986</v>
      </c>
      <c r="Z1106" s="69">
        <v>0.14902556906235986</v>
      </c>
      <c r="AA1106" s="69">
        <v>0.14902556906235986</v>
      </c>
      <c r="AB1106" s="69">
        <v>0.14902556906235986</v>
      </c>
      <c r="AC1106" s="69">
        <v>0.14902556906235986</v>
      </c>
      <c r="AD1106" s="69">
        <v>0.14902556906235986</v>
      </c>
      <c r="AE1106" s="69">
        <v>0.14902556906235986</v>
      </c>
      <c r="AF1106" s="69">
        <v>0.14902556906235986</v>
      </c>
      <c r="AG1106" s="69">
        <v>0.14902556906235986</v>
      </c>
    </row>
    <row r="1107" spans="1:33" ht="12.75" customHeight="1">
      <c r="A1107" s="231" t="s">
        <v>2377</v>
      </c>
      <c r="B1107" s="69" t="s">
        <v>625</v>
      </c>
      <c r="C1107" s="69" t="s">
        <v>186</v>
      </c>
      <c r="D1107" s="69" t="s">
        <v>491</v>
      </c>
      <c r="E1107" s="69" t="s">
        <v>242</v>
      </c>
      <c r="F1107" s="69" t="s">
        <v>159</v>
      </c>
      <c r="G1107" s="69" t="s">
        <v>192</v>
      </c>
      <c r="H1107" s="69" t="s">
        <v>2130</v>
      </c>
      <c r="I1107" s="69">
        <v>2</v>
      </c>
      <c r="J1107" s="238">
        <v>0.26090971526153617</v>
      </c>
      <c r="K1107" s="238">
        <v>0</v>
      </c>
      <c r="L1107" s="69">
        <v>220.46150289017342</v>
      </c>
      <c r="M1107" s="69">
        <v>-19.688750555802578</v>
      </c>
      <c r="N1107" s="69">
        <v>0</v>
      </c>
      <c r="O1107" s="69">
        <v>0</v>
      </c>
      <c r="P1107" s="69">
        <v>0</v>
      </c>
      <c r="Q1107" s="69">
        <v>0</v>
      </c>
      <c r="R1107" s="69">
        <v>0.14902556906235986</v>
      </c>
      <c r="S1107" s="69">
        <v>0.14902556906235986</v>
      </c>
      <c r="T1107" s="69">
        <v>0.14902556906235986</v>
      </c>
      <c r="U1107" s="69">
        <v>0.14902556906235986</v>
      </c>
      <c r="V1107" s="69">
        <v>0.14902556906235986</v>
      </c>
      <c r="W1107" s="69">
        <v>0.14902556906235986</v>
      </c>
      <c r="X1107" s="69">
        <v>0.14902556906235986</v>
      </c>
      <c r="Y1107" s="69">
        <v>0.14902556906235986</v>
      </c>
      <c r="Z1107" s="69">
        <v>0.14902556906235986</v>
      </c>
      <c r="AA1107" s="69">
        <v>0.14902556906235986</v>
      </c>
      <c r="AB1107" s="69">
        <v>0.14902556906235986</v>
      </c>
      <c r="AC1107" s="69">
        <v>0.14902556906235986</v>
      </c>
      <c r="AD1107" s="69">
        <v>0.14902556906235986</v>
      </c>
      <c r="AE1107" s="69">
        <v>0.14902556906235986</v>
      </c>
      <c r="AF1107" s="69">
        <v>0.14902556906235986</v>
      </c>
      <c r="AG1107" s="69">
        <v>0.14902556906235986</v>
      </c>
    </row>
    <row r="1108" spans="1:33" ht="12.75" customHeight="1">
      <c r="A1108" s="231" t="s">
        <v>2377</v>
      </c>
      <c r="B1108" s="69" t="s">
        <v>631</v>
      </c>
      <c r="C1108" s="69" t="s">
        <v>186</v>
      </c>
      <c r="D1108" s="69" t="s">
        <v>259</v>
      </c>
      <c r="E1108" s="69" t="s">
        <v>244</v>
      </c>
      <c r="F1108" s="69" t="s">
        <v>159</v>
      </c>
      <c r="G1108" s="69" t="s">
        <v>192</v>
      </c>
      <c r="H1108" s="69" t="s">
        <v>2130</v>
      </c>
      <c r="I1108" s="69">
        <v>2</v>
      </c>
      <c r="J1108" s="238">
        <v>0.2668262983999703</v>
      </c>
      <c r="K1108" s="238">
        <v>0</v>
      </c>
      <c r="L1108" s="69">
        <v>184.20052173913044</v>
      </c>
      <c r="M1108" s="69">
        <v>-4.2782608695652176</v>
      </c>
      <c r="N1108" s="69">
        <v>0</v>
      </c>
      <c r="O1108" s="69">
        <v>0</v>
      </c>
      <c r="P1108" s="69">
        <v>0</v>
      </c>
      <c r="Q1108" s="69">
        <v>0.42388262832901091</v>
      </c>
      <c r="R1108" s="69">
        <v>0.42388262832901091</v>
      </c>
      <c r="S1108" s="69">
        <v>0.42388262832901091</v>
      </c>
      <c r="T1108" s="69">
        <v>0.42388262832901091</v>
      </c>
      <c r="U1108" s="69">
        <v>0.42388262832901091</v>
      </c>
      <c r="V1108" s="69">
        <v>0.42388262832901091</v>
      </c>
      <c r="W1108" s="69">
        <v>0.42388262832901091</v>
      </c>
      <c r="X1108" s="69">
        <v>0.42388262832901091</v>
      </c>
      <c r="Y1108" s="69">
        <v>0.42388262832901091</v>
      </c>
      <c r="Z1108" s="69">
        <v>0.42388262832901091</v>
      </c>
      <c r="AA1108" s="69">
        <v>0.42388262832901091</v>
      </c>
      <c r="AB1108" s="69">
        <v>0.42388262832901091</v>
      </c>
      <c r="AC1108" s="69">
        <v>0.42388262832901091</v>
      </c>
      <c r="AD1108" s="69">
        <v>0.42388262832901091</v>
      </c>
      <c r="AE1108" s="69">
        <v>0.42388262832901091</v>
      </c>
      <c r="AF1108" s="69">
        <v>0.42388262832901091</v>
      </c>
      <c r="AG1108" s="69">
        <v>0.42388262832901091</v>
      </c>
    </row>
    <row r="1109" spans="1:33" ht="12.75" customHeight="1">
      <c r="A1109" s="231" t="s">
        <v>2377</v>
      </c>
      <c r="B1109" s="69" t="s">
        <v>632</v>
      </c>
      <c r="C1109" s="69" t="s">
        <v>186</v>
      </c>
      <c r="D1109" s="69" t="s">
        <v>259</v>
      </c>
      <c r="E1109" s="69" t="s">
        <v>244</v>
      </c>
      <c r="F1109" s="69" t="s">
        <v>159</v>
      </c>
      <c r="G1109" s="69" t="s">
        <v>192</v>
      </c>
      <c r="H1109" s="69" t="s">
        <v>2130</v>
      </c>
      <c r="I1109" s="69">
        <v>2</v>
      </c>
      <c r="J1109" s="238">
        <v>0.2668262983999703</v>
      </c>
      <c r="K1109" s="238">
        <v>0</v>
      </c>
      <c r="L1109" s="69">
        <v>184.20052173913044</v>
      </c>
      <c r="M1109" s="69">
        <v>-4.2782608695652176</v>
      </c>
      <c r="N1109" s="69">
        <v>0</v>
      </c>
      <c r="O1109" s="69">
        <v>0</v>
      </c>
      <c r="P1109" s="69">
        <v>0</v>
      </c>
      <c r="Q1109" s="69">
        <v>0</v>
      </c>
      <c r="R1109" s="69">
        <v>0.42388262832901091</v>
      </c>
      <c r="S1109" s="69">
        <v>0.42388262832901091</v>
      </c>
      <c r="T1109" s="69">
        <v>0.42388262832901091</v>
      </c>
      <c r="U1109" s="69">
        <v>0.42388262832901091</v>
      </c>
      <c r="V1109" s="69">
        <v>0.42388262832901091</v>
      </c>
      <c r="W1109" s="69">
        <v>0.42388262832901091</v>
      </c>
      <c r="X1109" s="69">
        <v>0.42388262832901091</v>
      </c>
      <c r="Y1109" s="69">
        <v>0.42388262832901091</v>
      </c>
      <c r="Z1109" s="69">
        <v>0.42388262832901091</v>
      </c>
      <c r="AA1109" s="69">
        <v>0.42388262832901091</v>
      </c>
      <c r="AB1109" s="69">
        <v>0.42388262832901091</v>
      </c>
      <c r="AC1109" s="69">
        <v>0.42388262832901091</v>
      </c>
      <c r="AD1109" s="69">
        <v>0.42388262832901091</v>
      </c>
      <c r="AE1109" s="69">
        <v>0.42388262832901091</v>
      </c>
      <c r="AF1109" s="69">
        <v>0.42388262832901091</v>
      </c>
      <c r="AG1109" s="69">
        <v>0.42388262832901091</v>
      </c>
    </row>
    <row r="1110" spans="1:33" ht="12.75" customHeight="1">
      <c r="A1110" s="231" t="s">
        <v>2377</v>
      </c>
      <c r="B1110" s="69" t="s">
        <v>638</v>
      </c>
      <c r="C1110" s="69" t="s">
        <v>186</v>
      </c>
      <c r="D1110" s="69" t="s">
        <v>259</v>
      </c>
      <c r="E1110" s="69" t="s">
        <v>242</v>
      </c>
      <c r="F1110" s="69" t="s">
        <v>159</v>
      </c>
      <c r="G1110" s="69" t="s">
        <v>192</v>
      </c>
      <c r="H1110" s="69" t="s">
        <v>2130</v>
      </c>
      <c r="I1110" s="69">
        <v>2</v>
      </c>
      <c r="J1110" s="238">
        <v>0.2433919887144077</v>
      </c>
      <c r="K1110" s="238">
        <v>0</v>
      </c>
      <c r="L1110" s="69">
        <v>201.93574833174449</v>
      </c>
      <c r="M1110" s="69">
        <v>-4.6901811248808389</v>
      </c>
      <c r="N1110" s="69">
        <v>0</v>
      </c>
      <c r="O1110" s="69">
        <v>0</v>
      </c>
      <c r="P1110" s="69">
        <v>0</v>
      </c>
      <c r="Q1110" s="69">
        <v>0.74108812853228301</v>
      </c>
      <c r="R1110" s="69">
        <v>0.74108812853228301</v>
      </c>
      <c r="S1110" s="69">
        <v>0.74108812853228301</v>
      </c>
      <c r="T1110" s="69">
        <v>0.74108812853228301</v>
      </c>
      <c r="U1110" s="69">
        <v>0.74108812853228301</v>
      </c>
      <c r="V1110" s="69">
        <v>0.74108812853228301</v>
      </c>
      <c r="W1110" s="69">
        <v>0.74108812853228301</v>
      </c>
      <c r="X1110" s="69">
        <v>0.74108812853228301</v>
      </c>
      <c r="Y1110" s="69">
        <v>0.74108812853228301</v>
      </c>
      <c r="Z1110" s="69">
        <v>0.74108812853228301</v>
      </c>
      <c r="AA1110" s="69">
        <v>0.74108812853228301</v>
      </c>
      <c r="AB1110" s="69">
        <v>0.74108812853228301</v>
      </c>
      <c r="AC1110" s="69">
        <v>0.74108812853228301</v>
      </c>
      <c r="AD1110" s="69">
        <v>0.74108812853228301</v>
      </c>
      <c r="AE1110" s="69">
        <v>0.74108812853228301</v>
      </c>
      <c r="AF1110" s="69">
        <v>0.74108812853228301</v>
      </c>
      <c r="AG1110" s="69">
        <v>0.74108812853228301</v>
      </c>
    </row>
    <row r="1111" spans="1:33" ht="12.75" customHeight="1">
      <c r="A1111" s="231" t="s">
        <v>2377</v>
      </c>
      <c r="B1111" s="69" t="s">
        <v>639</v>
      </c>
      <c r="C1111" s="69" t="s">
        <v>186</v>
      </c>
      <c r="D1111" s="69" t="s">
        <v>259</v>
      </c>
      <c r="E1111" s="69" t="s">
        <v>242</v>
      </c>
      <c r="F1111" s="69" t="s">
        <v>159</v>
      </c>
      <c r="G1111" s="69" t="s">
        <v>192</v>
      </c>
      <c r="H1111" s="69" t="s">
        <v>2130</v>
      </c>
      <c r="I1111" s="69">
        <v>2</v>
      </c>
      <c r="J1111" s="238">
        <v>0.2433919887144077</v>
      </c>
      <c r="K1111" s="238">
        <v>0</v>
      </c>
      <c r="L1111" s="69">
        <v>201.93574833174449</v>
      </c>
      <c r="M1111" s="69">
        <v>-4.6901811248808389</v>
      </c>
      <c r="N1111" s="69">
        <v>0</v>
      </c>
      <c r="O1111" s="69">
        <v>0</v>
      </c>
      <c r="P1111" s="69">
        <v>0</v>
      </c>
      <c r="Q1111" s="69">
        <v>0</v>
      </c>
      <c r="R1111" s="69">
        <v>0.74108812853228301</v>
      </c>
      <c r="S1111" s="69">
        <v>0.74108812853228301</v>
      </c>
      <c r="T1111" s="69">
        <v>0.74108812853228301</v>
      </c>
      <c r="U1111" s="69">
        <v>0.74108812853228301</v>
      </c>
      <c r="V1111" s="69">
        <v>0.74108812853228301</v>
      </c>
      <c r="W1111" s="69">
        <v>0.74108812853228301</v>
      </c>
      <c r="X1111" s="69">
        <v>0.74108812853228301</v>
      </c>
      <c r="Y1111" s="69">
        <v>0.74108812853228301</v>
      </c>
      <c r="Z1111" s="69">
        <v>0.74108812853228301</v>
      </c>
      <c r="AA1111" s="69">
        <v>0.74108812853228301</v>
      </c>
      <c r="AB1111" s="69">
        <v>0.74108812853228301</v>
      </c>
      <c r="AC1111" s="69">
        <v>0.74108812853228301</v>
      </c>
      <c r="AD1111" s="69">
        <v>0.74108812853228301</v>
      </c>
      <c r="AE1111" s="69">
        <v>0.74108812853228301</v>
      </c>
      <c r="AF1111" s="69">
        <v>0.74108812853228301</v>
      </c>
      <c r="AG1111" s="69">
        <v>0.74108812853228301</v>
      </c>
    </row>
    <row r="1112" spans="1:33" ht="12.75" customHeight="1">
      <c r="A1112" s="231" t="s">
        <v>2377</v>
      </c>
      <c r="B1112" s="69" t="s">
        <v>645</v>
      </c>
      <c r="C1112" s="69" t="s">
        <v>186</v>
      </c>
      <c r="D1112" s="69" t="s">
        <v>218</v>
      </c>
      <c r="E1112" s="69" t="s">
        <v>244</v>
      </c>
      <c r="F1112" s="69" t="s">
        <v>159</v>
      </c>
      <c r="G1112" s="69" t="s">
        <v>192</v>
      </c>
      <c r="H1112" s="69" t="s">
        <v>2130</v>
      </c>
      <c r="I1112" s="69">
        <v>2</v>
      </c>
      <c r="J1112" s="238">
        <v>0.2668262983999703</v>
      </c>
      <c r="K1112" s="238">
        <v>0</v>
      </c>
      <c r="L1112" s="69">
        <v>176.76062608695656</v>
      </c>
      <c r="M1112" s="69">
        <v>-4.2782608695652176</v>
      </c>
      <c r="N1112" s="69">
        <v>0</v>
      </c>
      <c r="O1112" s="69">
        <v>0</v>
      </c>
      <c r="P1112" s="69">
        <v>0</v>
      </c>
      <c r="Q1112" s="69">
        <v>9.9393453580123605</v>
      </c>
      <c r="R1112" s="69">
        <v>9.9393453580123605</v>
      </c>
      <c r="S1112" s="69">
        <v>9.9393453580123605</v>
      </c>
      <c r="T1112" s="69">
        <v>9.9393453580123605</v>
      </c>
      <c r="U1112" s="69">
        <v>9.9393453580123605</v>
      </c>
      <c r="V1112" s="69">
        <v>9.9393453580123605</v>
      </c>
      <c r="W1112" s="69">
        <v>9.9393453580123605</v>
      </c>
      <c r="X1112" s="69">
        <v>9.9393453580123605</v>
      </c>
      <c r="Y1112" s="69">
        <v>9.9393453580123605</v>
      </c>
      <c r="Z1112" s="69">
        <v>9.9393453580123605</v>
      </c>
      <c r="AA1112" s="69">
        <v>9.9393453580123605</v>
      </c>
      <c r="AB1112" s="69">
        <v>9.9393453580123605</v>
      </c>
      <c r="AC1112" s="69">
        <v>9.9393453580123605</v>
      </c>
      <c r="AD1112" s="69">
        <v>9.9393453580123605</v>
      </c>
      <c r="AE1112" s="69">
        <v>9.9393453580123605</v>
      </c>
      <c r="AF1112" s="69">
        <v>9.9393453580123605</v>
      </c>
      <c r="AG1112" s="69">
        <v>9.9393453580123605</v>
      </c>
    </row>
    <row r="1113" spans="1:33" ht="12.75" customHeight="1">
      <c r="A1113" s="231" t="s">
        <v>2377</v>
      </c>
      <c r="B1113" s="69" t="s">
        <v>646</v>
      </c>
      <c r="C1113" s="69" t="s">
        <v>186</v>
      </c>
      <c r="D1113" s="69" t="s">
        <v>218</v>
      </c>
      <c r="E1113" s="69" t="s">
        <v>244</v>
      </c>
      <c r="F1113" s="69" t="s">
        <v>159</v>
      </c>
      <c r="G1113" s="69" t="s">
        <v>192</v>
      </c>
      <c r="H1113" s="69" t="s">
        <v>2130</v>
      </c>
      <c r="I1113" s="69">
        <v>2</v>
      </c>
      <c r="J1113" s="238">
        <v>0.2668262983999703</v>
      </c>
      <c r="K1113" s="238">
        <v>0</v>
      </c>
      <c r="L1113" s="69">
        <v>176.76062608695656</v>
      </c>
      <c r="M1113" s="69">
        <v>-4.2782608695652176</v>
      </c>
      <c r="N1113" s="69">
        <v>0</v>
      </c>
      <c r="O1113" s="69">
        <v>0</v>
      </c>
      <c r="P1113" s="69">
        <v>0</v>
      </c>
      <c r="Q1113" s="69">
        <v>0</v>
      </c>
      <c r="R1113" s="69">
        <v>9.9393453580123605</v>
      </c>
      <c r="S1113" s="69">
        <v>9.9393453580123605</v>
      </c>
      <c r="T1113" s="69">
        <v>9.9393453580123605</v>
      </c>
      <c r="U1113" s="69">
        <v>9.9393453580123605</v>
      </c>
      <c r="V1113" s="69">
        <v>9.9393453580123605</v>
      </c>
      <c r="W1113" s="69">
        <v>9.9393453580123605</v>
      </c>
      <c r="X1113" s="69">
        <v>9.9393453580123605</v>
      </c>
      <c r="Y1113" s="69">
        <v>9.9393453580123605</v>
      </c>
      <c r="Z1113" s="69">
        <v>9.9393453580123605</v>
      </c>
      <c r="AA1113" s="69">
        <v>9.9393453580123605</v>
      </c>
      <c r="AB1113" s="69">
        <v>9.9393453580123605</v>
      </c>
      <c r="AC1113" s="69">
        <v>9.9393453580123605</v>
      </c>
      <c r="AD1113" s="69">
        <v>9.9393453580123605</v>
      </c>
      <c r="AE1113" s="69">
        <v>9.9393453580123605</v>
      </c>
      <c r="AF1113" s="69">
        <v>9.9393453580123605</v>
      </c>
      <c r="AG1113" s="69">
        <v>9.9393453580123605</v>
      </c>
    </row>
    <row r="1114" spans="1:33" ht="12.75" customHeight="1">
      <c r="A1114" s="231" t="s">
        <v>2377</v>
      </c>
      <c r="B1114" s="69" t="s">
        <v>652</v>
      </c>
      <c r="C1114" s="69" t="s">
        <v>186</v>
      </c>
      <c r="D1114" s="69" t="s">
        <v>218</v>
      </c>
      <c r="E1114" s="69" t="s">
        <v>242</v>
      </c>
      <c r="F1114" s="69" t="s">
        <v>159</v>
      </c>
      <c r="G1114" s="69" t="s">
        <v>192</v>
      </c>
      <c r="H1114" s="69" t="s">
        <v>2130</v>
      </c>
      <c r="I1114" s="69">
        <v>2</v>
      </c>
      <c r="J1114" s="238">
        <v>0.24339198871440765</v>
      </c>
      <c r="K1114" s="238">
        <v>0</v>
      </c>
      <c r="L1114" s="69">
        <v>193.77952335557677</v>
      </c>
      <c r="M1114" s="69">
        <v>-4.6901811248808389</v>
      </c>
      <c r="N1114" s="69">
        <v>0</v>
      </c>
      <c r="O1114" s="69">
        <v>0</v>
      </c>
      <c r="P1114" s="69">
        <v>0</v>
      </c>
      <c r="Q1114" s="69">
        <v>17.377288800922543</v>
      </c>
      <c r="R1114" s="69">
        <v>17.377288800922543</v>
      </c>
      <c r="S1114" s="69">
        <v>17.377288800922543</v>
      </c>
      <c r="T1114" s="69">
        <v>17.377288800922543</v>
      </c>
      <c r="U1114" s="69">
        <v>17.377288800922543</v>
      </c>
      <c r="V1114" s="69">
        <v>17.377288800922543</v>
      </c>
      <c r="W1114" s="69">
        <v>17.377288800922543</v>
      </c>
      <c r="X1114" s="69">
        <v>17.377288800922543</v>
      </c>
      <c r="Y1114" s="69">
        <v>17.377288800922543</v>
      </c>
      <c r="Z1114" s="69">
        <v>17.377288800922543</v>
      </c>
      <c r="AA1114" s="69">
        <v>17.377288800922543</v>
      </c>
      <c r="AB1114" s="69">
        <v>17.377288800922543</v>
      </c>
      <c r="AC1114" s="69">
        <v>17.377288800922543</v>
      </c>
      <c r="AD1114" s="69">
        <v>17.377288800922543</v>
      </c>
      <c r="AE1114" s="69">
        <v>17.377288800922543</v>
      </c>
      <c r="AF1114" s="69">
        <v>17.377288800922543</v>
      </c>
      <c r="AG1114" s="69">
        <v>17.377288800922543</v>
      </c>
    </row>
    <row r="1115" spans="1:33" ht="12.75" customHeight="1">
      <c r="A1115" s="231" t="s">
        <v>2377</v>
      </c>
      <c r="B1115" s="69" t="s">
        <v>653</v>
      </c>
      <c r="C1115" s="69" t="s">
        <v>186</v>
      </c>
      <c r="D1115" s="69" t="s">
        <v>218</v>
      </c>
      <c r="E1115" s="69" t="s">
        <v>242</v>
      </c>
      <c r="F1115" s="69" t="s">
        <v>159</v>
      </c>
      <c r="G1115" s="69" t="s">
        <v>192</v>
      </c>
      <c r="H1115" s="69" t="s">
        <v>2130</v>
      </c>
      <c r="I1115" s="69">
        <v>2</v>
      </c>
      <c r="J1115" s="238">
        <v>0.24339198871440765</v>
      </c>
      <c r="K1115" s="238">
        <v>0</v>
      </c>
      <c r="L1115" s="69">
        <v>193.77952335557677</v>
      </c>
      <c r="M1115" s="69">
        <v>-4.6901811248808389</v>
      </c>
      <c r="N1115" s="69">
        <v>0</v>
      </c>
      <c r="O1115" s="69">
        <v>0</v>
      </c>
      <c r="P1115" s="69">
        <v>0</v>
      </c>
      <c r="Q1115" s="69">
        <v>0</v>
      </c>
      <c r="R1115" s="69">
        <v>17.377288800922543</v>
      </c>
      <c r="S1115" s="69">
        <v>17.377288800922543</v>
      </c>
      <c r="T1115" s="69">
        <v>17.377288800922543</v>
      </c>
      <c r="U1115" s="69">
        <v>17.377288800922543</v>
      </c>
      <c r="V1115" s="69">
        <v>17.377288800922543</v>
      </c>
      <c r="W1115" s="69">
        <v>17.377288800922543</v>
      </c>
      <c r="X1115" s="69">
        <v>17.377288800922543</v>
      </c>
      <c r="Y1115" s="69">
        <v>17.377288800922543</v>
      </c>
      <c r="Z1115" s="69">
        <v>17.377288800922543</v>
      </c>
      <c r="AA1115" s="69">
        <v>17.377288800922543</v>
      </c>
      <c r="AB1115" s="69">
        <v>17.377288800922543</v>
      </c>
      <c r="AC1115" s="69">
        <v>17.377288800922543</v>
      </c>
      <c r="AD1115" s="69">
        <v>17.377288800922543</v>
      </c>
      <c r="AE1115" s="69">
        <v>17.377288800922543</v>
      </c>
      <c r="AF1115" s="69">
        <v>17.377288800922543</v>
      </c>
      <c r="AG1115" s="69">
        <v>17.377288800922543</v>
      </c>
    </row>
    <row r="1116" spans="1:33" ht="12.75" customHeight="1">
      <c r="A1116" s="231" t="s">
        <v>2377</v>
      </c>
      <c r="B1116" s="69" t="s">
        <v>659</v>
      </c>
      <c r="C1116" s="69" t="s">
        <v>186</v>
      </c>
      <c r="D1116" s="69" t="s">
        <v>334</v>
      </c>
      <c r="E1116" s="69" t="s">
        <v>244</v>
      </c>
      <c r="F1116" s="69" t="s">
        <v>160</v>
      </c>
      <c r="G1116" s="69" t="s">
        <v>192</v>
      </c>
      <c r="H1116" s="69" t="s">
        <v>148</v>
      </c>
      <c r="I1116" s="69">
        <v>4</v>
      </c>
      <c r="J1116" s="238">
        <v>0.22877454801945279</v>
      </c>
      <c r="K1116" s="238">
        <v>0</v>
      </c>
      <c r="L1116" s="69">
        <v>262.55634888438135</v>
      </c>
      <c r="M1116" s="69">
        <v>-22.454361054766736</v>
      </c>
      <c r="N1116" s="69">
        <v>0</v>
      </c>
      <c r="O1116" s="69">
        <v>0</v>
      </c>
      <c r="P1116" s="69">
        <v>0</v>
      </c>
      <c r="Q1116" s="69">
        <v>98.859578933323064</v>
      </c>
      <c r="R1116" s="69">
        <v>98.859578933323064</v>
      </c>
      <c r="S1116" s="69">
        <v>98.859578933323064</v>
      </c>
      <c r="T1116" s="69">
        <v>98.859578933323064</v>
      </c>
      <c r="U1116" s="69">
        <v>98.859578933323064</v>
      </c>
      <c r="V1116" s="69">
        <v>98.859578933323064</v>
      </c>
      <c r="W1116" s="69">
        <v>98.859578933323064</v>
      </c>
      <c r="X1116" s="69">
        <v>98.859578933323064</v>
      </c>
      <c r="Y1116" s="69">
        <v>98.859578933323064</v>
      </c>
      <c r="Z1116" s="69">
        <v>98.859578933323064</v>
      </c>
      <c r="AA1116" s="69">
        <v>98.859578933323064</v>
      </c>
      <c r="AB1116" s="69">
        <v>98.859578933323064</v>
      </c>
      <c r="AC1116" s="69">
        <v>98.859578933323064</v>
      </c>
      <c r="AD1116" s="69">
        <v>98.859578933323064</v>
      </c>
      <c r="AE1116" s="69">
        <v>98.859578933323064</v>
      </c>
      <c r="AF1116" s="69">
        <v>98.859578933323064</v>
      </c>
      <c r="AG1116" s="69">
        <v>98.859578933323064</v>
      </c>
    </row>
    <row r="1117" spans="1:33" ht="12.75" customHeight="1">
      <c r="A1117" s="231" t="s">
        <v>2377</v>
      </c>
      <c r="B1117" s="69" t="s">
        <v>660</v>
      </c>
      <c r="C1117" s="69" t="s">
        <v>186</v>
      </c>
      <c r="D1117" s="69" t="s">
        <v>334</v>
      </c>
      <c r="E1117" s="69" t="s">
        <v>244</v>
      </c>
      <c r="F1117" s="69" t="s">
        <v>160</v>
      </c>
      <c r="G1117" s="69" t="s">
        <v>192</v>
      </c>
      <c r="H1117" s="69" t="s">
        <v>148</v>
      </c>
      <c r="I1117" s="69">
        <v>4</v>
      </c>
      <c r="J1117" s="238">
        <v>0.22877454801945279</v>
      </c>
      <c r="K1117" s="238">
        <v>0</v>
      </c>
      <c r="L1117" s="69">
        <v>262.55634888438135</v>
      </c>
      <c r="M1117" s="69">
        <v>-22.454361054766736</v>
      </c>
      <c r="N1117" s="69">
        <v>0</v>
      </c>
      <c r="O1117" s="69">
        <v>0</v>
      </c>
      <c r="P1117" s="69">
        <v>0</v>
      </c>
      <c r="Q1117" s="69">
        <v>0</v>
      </c>
      <c r="R1117" s="69">
        <v>98.859578933323064</v>
      </c>
      <c r="S1117" s="69">
        <v>98.859578933323064</v>
      </c>
      <c r="T1117" s="69">
        <v>98.859578933323064</v>
      </c>
      <c r="U1117" s="69">
        <v>98.859578933323064</v>
      </c>
      <c r="V1117" s="69">
        <v>98.859578933323064</v>
      </c>
      <c r="W1117" s="69">
        <v>98.859578933323064</v>
      </c>
      <c r="X1117" s="69">
        <v>98.859578933323064</v>
      </c>
      <c r="Y1117" s="69">
        <v>98.859578933323064</v>
      </c>
      <c r="Z1117" s="69">
        <v>98.859578933323064</v>
      </c>
      <c r="AA1117" s="69">
        <v>98.859578933323064</v>
      </c>
      <c r="AB1117" s="69">
        <v>98.859578933323064</v>
      </c>
      <c r="AC1117" s="69">
        <v>98.859578933323064</v>
      </c>
      <c r="AD1117" s="69">
        <v>98.859578933323064</v>
      </c>
      <c r="AE1117" s="69">
        <v>98.859578933323064</v>
      </c>
      <c r="AF1117" s="69">
        <v>98.859578933323064</v>
      </c>
      <c r="AG1117" s="69">
        <v>98.859578933323064</v>
      </c>
    </row>
    <row r="1118" spans="1:33" ht="12.75" customHeight="1">
      <c r="A1118" s="231" t="s">
        <v>2377</v>
      </c>
      <c r="B1118" s="69" t="s">
        <v>666</v>
      </c>
      <c r="C1118" s="69" t="s">
        <v>186</v>
      </c>
      <c r="D1118" s="69" t="s">
        <v>334</v>
      </c>
      <c r="E1118" s="69" t="s">
        <v>203</v>
      </c>
      <c r="F1118" s="69" t="s">
        <v>160</v>
      </c>
      <c r="G1118" s="69" t="s">
        <v>192</v>
      </c>
      <c r="H1118" s="69" t="s">
        <v>148</v>
      </c>
      <c r="I1118" s="69">
        <v>4</v>
      </c>
      <c r="J1118" s="238">
        <v>0.20371607825667298</v>
      </c>
      <c r="K1118" s="238">
        <v>0</v>
      </c>
      <c r="L1118" s="69">
        <v>294.85257403189064</v>
      </c>
      <c r="M1118" s="69">
        <v>-25.216400911161731</v>
      </c>
      <c r="N1118" s="69">
        <v>0</v>
      </c>
      <c r="O1118" s="69">
        <v>0</v>
      </c>
      <c r="P1118" s="69">
        <v>0</v>
      </c>
      <c r="Q1118" s="69">
        <v>147.40098924121412</v>
      </c>
      <c r="R1118" s="69">
        <v>147.40098924121412</v>
      </c>
      <c r="S1118" s="69">
        <v>147.40098924121412</v>
      </c>
      <c r="T1118" s="69">
        <v>147.40098924121412</v>
      </c>
      <c r="U1118" s="69">
        <v>147.40098924121412</v>
      </c>
      <c r="V1118" s="69">
        <v>147.40098924121412</v>
      </c>
      <c r="W1118" s="69">
        <v>147.40098924121412</v>
      </c>
      <c r="X1118" s="69">
        <v>147.40098924121412</v>
      </c>
      <c r="Y1118" s="69">
        <v>147.40098924121412</v>
      </c>
      <c r="Z1118" s="69">
        <v>147.40098924121412</v>
      </c>
      <c r="AA1118" s="69">
        <v>147.40098924121412</v>
      </c>
      <c r="AB1118" s="69">
        <v>147.40098924121412</v>
      </c>
      <c r="AC1118" s="69">
        <v>147.40098924121412</v>
      </c>
      <c r="AD1118" s="69">
        <v>147.40098924121412</v>
      </c>
      <c r="AE1118" s="69">
        <v>147.40098924121412</v>
      </c>
      <c r="AF1118" s="69">
        <v>147.40098924121412</v>
      </c>
      <c r="AG1118" s="69">
        <v>147.40098924121412</v>
      </c>
    </row>
    <row r="1119" spans="1:33" ht="12.75" customHeight="1">
      <c r="A1119" s="231" t="s">
        <v>2377</v>
      </c>
      <c r="B1119" s="69" t="s">
        <v>667</v>
      </c>
      <c r="C1119" s="69" t="s">
        <v>186</v>
      </c>
      <c r="D1119" s="69" t="s">
        <v>334</v>
      </c>
      <c r="E1119" s="69" t="s">
        <v>203</v>
      </c>
      <c r="F1119" s="69" t="s">
        <v>160</v>
      </c>
      <c r="G1119" s="69" t="s">
        <v>192</v>
      </c>
      <c r="H1119" s="69" t="s">
        <v>148</v>
      </c>
      <c r="I1119" s="69">
        <v>4</v>
      </c>
      <c r="J1119" s="238">
        <v>0.20371607825667298</v>
      </c>
      <c r="K1119" s="238">
        <v>0</v>
      </c>
      <c r="L1119" s="69">
        <v>294.85257403189064</v>
      </c>
      <c r="M1119" s="69">
        <v>-25.216400911161731</v>
      </c>
      <c r="N1119" s="69">
        <v>0</v>
      </c>
      <c r="O1119" s="69">
        <v>0</v>
      </c>
      <c r="P1119" s="69">
        <v>0</v>
      </c>
      <c r="Q1119" s="69">
        <v>0</v>
      </c>
      <c r="R1119" s="69">
        <v>147.40098924121412</v>
      </c>
      <c r="S1119" s="69">
        <v>147.40098924121412</v>
      </c>
      <c r="T1119" s="69">
        <v>147.40098924121412</v>
      </c>
      <c r="U1119" s="69">
        <v>147.40098924121412</v>
      </c>
      <c r="V1119" s="69">
        <v>147.40098924121412</v>
      </c>
      <c r="W1119" s="69">
        <v>147.40098924121412</v>
      </c>
      <c r="X1119" s="69">
        <v>147.40098924121412</v>
      </c>
      <c r="Y1119" s="69">
        <v>147.40098924121412</v>
      </c>
      <c r="Z1119" s="69">
        <v>147.40098924121412</v>
      </c>
      <c r="AA1119" s="69">
        <v>147.40098924121412</v>
      </c>
      <c r="AB1119" s="69">
        <v>147.40098924121412</v>
      </c>
      <c r="AC1119" s="69">
        <v>147.40098924121412</v>
      </c>
      <c r="AD1119" s="69">
        <v>147.40098924121412</v>
      </c>
      <c r="AE1119" s="69">
        <v>147.40098924121412</v>
      </c>
      <c r="AF1119" s="69">
        <v>147.40098924121412</v>
      </c>
      <c r="AG1119" s="69">
        <v>147.40098924121412</v>
      </c>
    </row>
    <row r="1120" spans="1:33" ht="12.75" customHeight="1">
      <c r="A1120" s="231" t="s">
        <v>2377</v>
      </c>
      <c r="B1120" s="69" t="s">
        <v>673</v>
      </c>
      <c r="C1120" s="69" t="s">
        <v>186</v>
      </c>
      <c r="D1120" s="69" t="s">
        <v>334</v>
      </c>
      <c r="E1120" s="69" t="s">
        <v>260</v>
      </c>
      <c r="F1120" s="69" t="s">
        <v>160</v>
      </c>
      <c r="G1120" s="69" t="s">
        <v>192</v>
      </c>
      <c r="H1120" s="69" t="s">
        <v>148</v>
      </c>
      <c r="I1120" s="69">
        <v>4</v>
      </c>
      <c r="J1120" s="238">
        <v>0.19559527787058692</v>
      </c>
      <c r="K1120" s="238">
        <v>0</v>
      </c>
      <c r="L1120" s="69">
        <v>307.09437722419932</v>
      </c>
      <c r="M1120" s="69">
        <v>-26.263345195729539</v>
      </c>
      <c r="N1120" s="69">
        <v>0</v>
      </c>
      <c r="O1120" s="69">
        <v>0</v>
      </c>
      <c r="P1120" s="69">
        <v>0</v>
      </c>
      <c r="Q1120" s="69">
        <v>26.53595542362018</v>
      </c>
      <c r="R1120" s="69">
        <v>26.53595542362018</v>
      </c>
      <c r="S1120" s="69">
        <v>26.53595542362018</v>
      </c>
      <c r="T1120" s="69">
        <v>26.53595542362018</v>
      </c>
      <c r="U1120" s="69">
        <v>26.53595542362018</v>
      </c>
      <c r="V1120" s="69">
        <v>26.53595542362018</v>
      </c>
      <c r="W1120" s="69">
        <v>26.53595542362018</v>
      </c>
      <c r="X1120" s="69">
        <v>26.53595542362018</v>
      </c>
      <c r="Y1120" s="69">
        <v>26.53595542362018</v>
      </c>
      <c r="Z1120" s="69">
        <v>26.53595542362018</v>
      </c>
      <c r="AA1120" s="69">
        <v>26.53595542362018</v>
      </c>
      <c r="AB1120" s="69">
        <v>26.53595542362018</v>
      </c>
      <c r="AC1120" s="69">
        <v>26.53595542362018</v>
      </c>
      <c r="AD1120" s="69">
        <v>26.53595542362018</v>
      </c>
      <c r="AE1120" s="69">
        <v>26.53595542362018</v>
      </c>
      <c r="AF1120" s="69">
        <v>26.53595542362018</v>
      </c>
      <c r="AG1120" s="69">
        <v>26.53595542362018</v>
      </c>
    </row>
    <row r="1121" spans="1:33" ht="12.75" customHeight="1">
      <c r="A1121" s="231" t="s">
        <v>2377</v>
      </c>
      <c r="B1121" s="69" t="s">
        <v>674</v>
      </c>
      <c r="C1121" s="69" t="s">
        <v>186</v>
      </c>
      <c r="D1121" s="69" t="s">
        <v>334</v>
      </c>
      <c r="E1121" s="69" t="s">
        <v>260</v>
      </c>
      <c r="F1121" s="69" t="s">
        <v>160</v>
      </c>
      <c r="G1121" s="69" t="s">
        <v>192</v>
      </c>
      <c r="H1121" s="69" t="s">
        <v>148</v>
      </c>
      <c r="I1121" s="69">
        <v>4</v>
      </c>
      <c r="J1121" s="238">
        <v>0.19559527787058692</v>
      </c>
      <c r="K1121" s="238">
        <v>0</v>
      </c>
      <c r="L1121" s="69">
        <v>307.09437722419932</v>
      </c>
      <c r="M1121" s="69">
        <v>-26.263345195729539</v>
      </c>
      <c r="N1121" s="69">
        <v>0</v>
      </c>
      <c r="O1121" s="69">
        <v>0</v>
      </c>
      <c r="P1121" s="69">
        <v>0</v>
      </c>
      <c r="Q1121" s="69">
        <v>0</v>
      </c>
      <c r="R1121" s="69">
        <v>26.53595542362018</v>
      </c>
      <c r="S1121" s="69">
        <v>26.53595542362018</v>
      </c>
      <c r="T1121" s="69">
        <v>26.53595542362018</v>
      </c>
      <c r="U1121" s="69">
        <v>26.53595542362018</v>
      </c>
      <c r="V1121" s="69">
        <v>26.53595542362018</v>
      </c>
      <c r="W1121" s="69">
        <v>26.53595542362018</v>
      </c>
      <c r="X1121" s="69">
        <v>26.53595542362018</v>
      </c>
      <c r="Y1121" s="69">
        <v>26.53595542362018</v>
      </c>
      <c r="Z1121" s="69">
        <v>26.53595542362018</v>
      </c>
      <c r="AA1121" s="69">
        <v>26.53595542362018</v>
      </c>
      <c r="AB1121" s="69">
        <v>26.53595542362018</v>
      </c>
      <c r="AC1121" s="69">
        <v>26.53595542362018</v>
      </c>
      <c r="AD1121" s="69">
        <v>26.53595542362018</v>
      </c>
      <c r="AE1121" s="69">
        <v>26.53595542362018</v>
      </c>
      <c r="AF1121" s="69">
        <v>26.53595542362018</v>
      </c>
      <c r="AG1121" s="69">
        <v>26.53595542362018</v>
      </c>
    </row>
    <row r="1122" spans="1:33" ht="12.75" customHeight="1">
      <c r="A1122" s="231" t="s">
        <v>2377</v>
      </c>
      <c r="B1122" s="69" t="s">
        <v>680</v>
      </c>
      <c r="C1122" s="69" t="s">
        <v>186</v>
      </c>
      <c r="D1122" s="69" t="s">
        <v>491</v>
      </c>
      <c r="E1122" s="69" t="s">
        <v>244</v>
      </c>
      <c r="F1122" s="69" t="s">
        <v>160</v>
      </c>
      <c r="G1122" s="69" t="s">
        <v>192</v>
      </c>
      <c r="H1122" s="69" t="s">
        <v>148</v>
      </c>
      <c r="I1122" s="69">
        <v>4</v>
      </c>
      <c r="J1122" s="238">
        <v>0.29362493967405423</v>
      </c>
      <c r="K1122" s="238">
        <v>0</v>
      </c>
      <c r="L1122" s="69">
        <v>195.89803239826156</v>
      </c>
      <c r="M1122" s="69">
        <v>-17.495061240616362</v>
      </c>
      <c r="N1122" s="69">
        <v>0</v>
      </c>
      <c r="O1122" s="69">
        <v>0</v>
      </c>
      <c r="P1122" s="69">
        <v>0</v>
      </c>
      <c r="Q1122" s="69">
        <v>0.16026113913903831</v>
      </c>
      <c r="R1122" s="69">
        <v>0.16026113913903831</v>
      </c>
      <c r="S1122" s="69">
        <v>0.16026113913903831</v>
      </c>
      <c r="T1122" s="69">
        <v>0.16026113913903831</v>
      </c>
      <c r="U1122" s="69">
        <v>0.16026113913903831</v>
      </c>
      <c r="V1122" s="69">
        <v>0.16026113913903831</v>
      </c>
      <c r="W1122" s="69">
        <v>0.16026113913903831</v>
      </c>
      <c r="X1122" s="69">
        <v>0.16026113913903831</v>
      </c>
      <c r="Y1122" s="69">
        <v>0.16026113913903831</v>
      </c>
      <c r="Z1122" s="69">
        <v>0.16026113913903831</v>
      </c>
      <c r="AA1122" s="69">
        <v>0.16026113913903831</v>
      </c>
      <c r="AB1122" s="69">
        <v>0.16026113913903831</v>
      </c>
      <c r="AC1122" s="69">
        <v>0.16026113913903831</v>
      </c>
      <c r="AD1122" s="69">
        <v>0.16026113913903831</v>
      </c>
      <c r="AE1122" s="69">
        <v>0.16026113913903831</v>
      </c>
      <c r="AF1122" s="69">
        <v>0.16026113913903831</v>
      </c>
      <c r="AG1122" s="69">
        <v>0.16026113913903831</v>
      </c>
    </row>
    <row r="1123" spans="1:33" ht="12.75" customHeight="1">
      <c r="A1123" s="231" t="s">
        <v>2377</v>
      </c>
      <c r="B1123" s="69" t="s">
        <v>681</v>
      </c>
      <c r="C1123" s="69" t="s">
        <v>186</v>
      </c>
      <c r="D1123" s="69" t="s">
        <v>491</v>
      </c>
      <c r="E1123" s="69" t="s">
        <v>244</v>
      </c>
      <c r="F1123" s="69" t="s">
        <v>160</v>
      </c>
      <c r="G1123" s="69" t="s">
        <v>192</v>
      </c>
      <c r="H1123" s="69" t="s">
        <v>148</v>
      </c>
      <c r="I1123" s="69">
        <v>4</v>
      </c>
      <c r="J1123" s="238">
        <v>0.29362493967405423</v>
      </c>
      <c r="K1123" s="238">
        <v>0</v>
      </c>
      <c r="L1123" s="69">
        <v>195.89803239826156</v>
      </c>
      <c r="M1123" s="69">
        <v>-17.495061240616362</v>
      </c>
      <c r="N1123" s="69">
        <v>0</v>
      </c>
      <c r="O1123" s="69">
        <v>0</v>
      </c>
      <c r="P1123" s="69">
        <v>0</v>
      </c>
      <c r="Q1123" s="69">
        <v>0</v>
      </c>
      <c r="R1123" s="69">
        <v>0.16026113913903828</v>
      </c>
      <c r="S1123" s="69">
        <v>0.16026113913903828</v>
      </c>
      <c r="T1123" s="69">
        <v>0.16026113913903828</v>
      </c>
      <c r="U1123" s="69">
        <v>0.16026113913903828</v>
      </c>
      <c r="V1123" s="69">
        <v>0.16026113913903828</v>
      </c>
      <c r="W1123" s="69">
        <v>0.16026113913903828</v>
      </c>
      <c r="X1123" s="69">
        <v>0.16026113913903828</v>
      </c>
      <c r="Y1123" s="69">
        <v>0.16026113913903828</v>
      </c>
      <c r="Z1123" s="69">
        <v>0.16026113913903828</v>
      </c>
      <c r="AA1123" s="69">
        <v>0.16026113913903828</v>
      </c>
      <c r="AB1123" s="69">
        <v>0.16026113913903828</v>
      </c>
      <c r="AC1123" s="69">
        <v>0.16026113913903828</v>
      </c>
      <c r="AD1123" s="69">
        <v>0.16026113913903828</v>
      </c>
      <c r="AE1123" s="69">
        <v>0.16026113913903828</v>
      </c>
      <c r="AF1123" s="69">
        <v>0.16026113913903828</v>
      </c>
      <c r="AG1123" s="69">
        <v>0.16026113913903828</v>
      </c>
    </row>
    <row r="1124" spans="1:33" ht="12.75" customHeight="1">
      <c r="A1124" s="231" t="s">
        <v>2377</v>
      </c>
      <c r="B1124" s="69" t="s">
        <v>687</v>
      </c>
      <c r="C1124" s="69" t="s">
        <v>186</v>
      </c>
      <c r="D1124" s="69" t="s">
        <v>491</v>
      </c>
      <c r="E1124" s="69" t="s">
        <v>203</v>
      </c>
      <c r="F1124" s="69" t="s">
        <v>160</v>
      </c>
      <c r="G1124" s="69" t="s">
        <v>192</v>
      </c>
      <c r="H1124" s="69" t="s">
        <v>148</v>
      </c>
      <c r="I1124" s="69">
        <v>4</v>
      </c>
      <c r="J1124" s="238">
        <v>0.25568920072762369</v>
      </c>
      <c r="K1124" s="238">
        <v>0</v>
      </c>
      <c r="L1124" s="69">
        <v>224.9627586206897</v>
      </c>
      <c r="M1124" s="69">
        <v>-20.090744101633398</v>
      </c>
      <c r="N1124" s="69">
        <v>0</v>
      </c>
      <c r="O1124" s="69">
        <v>0</v>
      </c>
      <c r="P1124" s="69">
        <v>0</v>
      </c>
      <c r="Q1124" s="69">
        <v>0.23367470939410853</v>
      </c>
      <c r="R1124" s="69">
        <v>0.23367470939410853</v>
      </c>
      <c r="S1124" s="69">
        <v>0.23367470939410853</v>
      </c>
      <c r="T1124" s="69">
        <v>0.23367470939410853</v>
      </c>
      <c r="U1124" s="69">
        <v>0.23367470939410853</v>
      </c>
      <c r="V1124" s="69">
        <v>0.23367470939410853</v>
      </c>
      <c r="W1124" s="69">
        <v>0.23367470939410853</v>
      </c>
      <c r="X1124" s="69">
        <v>0.23367470939410853</v>
      </c>
      <c r="Y1124" s="69">
        <v>0.23367470939410853</v>
      </c>
      <c r="Z1124" s="69">
        <v>0.23367470939410853</v>
      </c>
      <c r="AA1124" s="69">
        <v>0.23367470939410853</v>
      </c>
      <c r="AB1124" s="69">
        <v>0.23367470939410853</v>
      </c>
      <c r="AC1124" s="69">
        <v>0.23367470939410853</v>
      </c>
      <c r="AD1124" s="69">
        <v>0.23367470939410853</v>
      </c>
      <c r="AE1124" s="69">
        <v>0.23367470939410853</v>
      </c>
      <c r="AF1124" s="69">
        <v>0.23367470939410853</v>
      </c>
      <c r="AG1124" s="69">
        <v>0.23367470939410853</v>
      </c>
    </row>
    <row r="1125" spans="1:33" ht="12.75" customHeight="1">
      <c r="A1125" s="231" t="s">
        <v>2377</v>
      </c>
      <c r="B1125" s="69" t="s">
        <v>688</v>
      </c>
      <c r="C1125" s="69" t="s">
        <v>186</v>
      </c>
      <c r="D1125" s="69" t="s">
        <v>491</v>
      </c>
      <c r="E1125" s="69" t="s">
        <v>203</v>
      </c>
      <c r="F1125" s="69" t="s">
        <v>160</v>
      </c>
      <c r="G1125" s="69" t="s">
        <v>192</v>
      </c>
      <c r="H1125" s="69" t="s">
        <v>148</v>
      </c>
      <c r="I1125" s="69">
        <v>4</v>
      </c>
      <c r="J1125" s="238">
        <v>0.25568920072762369</v>
      </c>
      <c r="K1125" s="238">
        <v>0</v>
      </c>
      <c r="L1125" s="69">
        <v>224.9627586206897</v>
      </c>
      <c r="M1125" s="69">
        <v>-20.090744101633398</v>
      </c>
      <c r="N1125" s="69">
        <v>0</v>
      </c>
      <c r="O1125" s="69">
        <v>0</v>
      </c>
      <c r="P1125" s="69">
        <v>0</v>
      </c>
      <c r="Q1125" s="69">
        <v>0</v>
      </c>
      <c r="R1125" s="69">
        <v>0.23367470939410853</v>
      </c>
      <c r="S1125" s="69">
        <v>0.23367470939410853</v>
      </c>
      <c r="T1125" s="69">
        <v>0.23367470939410853</v>
      </c>
      <c r="U1125" s="69">
        <v>0.23367470939410853</v>
      </c>
      <c r="V1125" s="69">
        <v>0.23367470939410853</v>
      </c>
      <c r="W1125" s="69">
        <v>0.23367470939410853</v>
      </c>
      <c r="X1125" s="69">
        <v>0.23367470939410853</v>
      </c>
      <c r="Y1125" s="69">
        <v>0.23367470939410853</v>
      </c>
      <c r="Z1125" s="69">
        <v>0.23367470939410853</v>
      </c>
      <c r="AA1125" s="69">
        <v>0.23367470939410853</v>
      </c>
      <c r="AB1125" s="69">
        <v>0.23367470939410853</v>
      </c>
      <c r="AC1125" s="69">
        <v>0.23367470939410853</v>
      </c>
      <c r="AD1125" s="69">
        <v>0.23367470939410853</v>
      </c>
      <c r="AE1125" s="69">
        <v>0.23367470939410853</v>
      </c>
      <c r="AF1125" s="69">
        <v>0.23367470939410853</v>
      </c>
      <c r="AG1125" s="69">
        <v>0.23367470939410853</v>
      </c>
    </row>
    <row r="1126" spans="1:33" ht="12.75" customHeight="1">
      <c r="A1126" s="231" t="s">
        <v>2377</v>
      </c>
      <c r="B1126" s="69" t="s">
        <v>694</v>
      </c>
      <c r="C1126" s="69" t="s">
        <v>186</v>
      </c>
      <c r="D1126" s="69" t="s">
        <v>491</v>
      </c>
      <c r="E1126" s="69" t="s">
        <v>260</v>
      </c>
      <c r="F1126" s="69" t="s">
        <v>160</v>
      </c>
      <c r="G1126" s="69" t="s">
        <v>192</v>
      </c>
      <c r="H1126" s="69" t="s">
        <v>148</v>
      </c>
      <c r="I1126" s="69">
        <v>4</v>
      </c>
      <c r="J1126" s="238">
        <v>0.23712737127371272</v>
      </c>
      <c r="K1126" s="238">
        <v>0</v>
      </c>
      <c r="L1126" s="69">
        <v>242.57236790606655</v>
      </c>
      <c r="M1126" s="69">
        <v>-21.663405088062625</v>
      </c>
      <c r="N1126" s="69">
        <v>0</v>
      </c>
      <c r="O1126" s="69">
        <v>0</v>
      </c>
      <c r="P1126" s="69">
        <v>0</v>
      </c>
      <c r="Q1126" s="69">
        <v>4.0633317774336319E-2</v>
      </c>
      <c r="R1126" s="69">
        <v>4.0633317774336319E-2</v>
      </c>
      <c r="S1126" s="69">
        <v>4.0633317774336319E-2</v>
      </c>
      <c r="T1126" s="69">
        <v>4.0633317774336319E-2</v>
      </c>
      <c r="U1126" s="69">
        <v>4.0633317774336319E-2</v>
      </c>
      <c r="V1126" s="69">
        <v>4.0633317774336319E-2</v>
      </c>
      <c r="W1126" s="69">
        <v>4.0633317774336319E-2</v>
      </c>
      <c r="X1126" s="69">
        <v>4.0633317774336319E-2</v>
      </c>
      <c r="Y1126" s="69">
        <v>4.0633317774336319E-2</v>
      </c>
      <c r="Z1126" s="69">
        <v>4.0633317774336319E-2</v>
      </c>
      <c r="AA1126" s="69">
        <v>4.0633317774336319E-2</v>
      </c>
      <c r="AB1126" s="69">
        <v>4.0633317774336319E-2</v>
      </c>
      <c r="AC1126" s="69">
        <v>4.0633317774336319E-2</v>
      </c>
      <c r="AD1126" s="69">
        <v>4.0633317774336319E-2</v>
      </c>
      <c r="AE1126" s="69">
        <v>4.0633317774336319E-2</v>
      </c>
      <c r="AF1126" s="69">
        <v>4.0633317774336319E-2</v>
      </c>
      <c r="AG1126" s="69">
        <v>4.0633317774336319E-2</v>
      </c>
    </row>
    <row r="1127" spans="1:33" ht="12.75" customHeight="1">
      <c r="A1127" s="231" t="s">
        <v>2377</v>
      </c>
      <c r="B1127" s="69" t="s">
        <v>695</v>
      </c>
      <c r="C1127" s="69" t="s">
        <v>186</v>
      </c>
      <c r="D1127" s="69" t="s">
        <v>491</v>
      </c>
      <c r="E1127" s="69" t="s">
        <v>260</v>
      </c>
      <c r="F1127" s="69" t="s">
        <v>160</v>
      </c>
      <c r="G1127" s="69" t="s">
        <v>192</v>
      </c>
      <c r="H1127" s="69" t="s">
        <v>148</v>
      </c>
      <c r="I1127" s="69">
        <v>4</v>
      </c>
      <c r="J1127" s="238">
        <v>0.23712737127371272</v>
      </c>
      <c r="K1127" s="238">
        <v>0</v>
      </c>
      <c r="L1127" s="69">
        <v>242.57236790606655</v>
      </c>
      <c r="M1127" s="69">
        <v>-21.663405088062625</v>
      </c>
      <c r="N1127" s="69">
        <v>0</v>
      </c>
      <c r="O1127" s="69">
        <v>0</v>
      </c>
      <c r="P1127" s="69">
        <v>0</v>
      </c>
      <c r="Q1127" s="69">
        <v>0</v>
      </c>
      <c r="R1127" s="69">
        <v>4.0633317774336319E-2</v>
      </c>
      <c r="S1127" s="69">
        <v>4.0633317774336319E-2</v>
      </c>
      <c r="T1127" s="69">
        <v>4.0633317774336319E-2</v>
      </c>
      <c r="U1127" s="69">
        <v>4.0633317774336319E-2</v>
      </c>
      <c r="V1127" s="69">
        <v>4.0633317774336319E-2</v>
      </c>
      <c r="W1127" s="69">
        <v>4.0633317774336319E-2</v>
      </c>
      <c r="X1127" s="69">
        <v>4.0633317774336319E-2</v>
      </c>
      <c r="Y1127" s="69">
        <v>4.0633317774336319E-2</v>
      </c>
      <c r="Z1127" s="69">
        <v>4.0633317774336319E-2</v>
      </c>
      <c r="AA1127" s="69">
        <v>4.0633317774336319E-2</v>
      </c>
      <c r="AB1127" s="69">
        <v>4.0633317774336319E-2</v>
      </c>
      <c r="AC1127" s="69">
        <v>4.0633317774336319E-2</v>
      </c>
      <c r="AD1127" s="69">
        <v>4.0633317774336319E-2</v>
      </c>
      <c r="AE1127" s="69">
        <v>4.0633317774336319E-2</v>
      </c>
      <c r="AF1127" s="69">
        <v>4.0633317774336319E-2</v>
      </c>
      <c r="AG1127" s="69">
        <v>4.0633317774336319E-2</v>
      </c>
    </row>
    <row r="1128" spans="1:33" ht="12.75" customHeight="1">
      <c r="A1128" s="231" t="s">
        <v>2377</v>
      </c>
      <c r="B1128" s="69" t="s">
        <v>701</v>
      </c>
      <c r="C1128" s="69" t="s">
        <v>186</v>
      </c>
      <c r="D1128" s="69" t="s">
        <v>259</v>
      </c>
      <c r="E1128" s="69" t="s">
        <v>244</v>
      </c>
      <c r="F1128" s="69" t="s">
        <v>160</v>
      </c>
      <c r="G1128" s="69" t="s">
        <v>192</v>
      </c>
      <c r="H1128" s="69" t="s">
        <v>148</v>
      </c>
      <c r="I1128" s="69">
        <v>4</v>
      </c>
      <c r="J1128" s="238">
        <v>0.2668262983999703</v>
      </c>
      <c r="K1128" s="238">
        <v>0</v>
      </c>
      <c r="L1128" s="69">
        <v>184.20052173913047</v>
      </c>
      <c r="M1128" s="69">
        <v>-4.2782608695652176</v>
      </c>
      <c r="N1128" s="69">
        <v>0</v>
      </c>
      <c r="O1128" s="69">
        <v>0</v>
      </c>
      <c r="P1128" s="69">
        <v>0</v>
      </c>
      <c r="Q1128" s="69">
        <v>0.77634892380956444</v>
      </c>
      <c r="R1128" s="69">
        <v>0.77634892380956444</v>
      </c>
      <c r="S1128" s="69">
        <v>0.77634892380956444</v>
      </c>
      <c r="T1128" s="69">
        <v>0.77634892380956444</v>
      </c>
      <c r="U1128" s="69">
        <v>0.77634892380956444</v>
      </c>
      <c r="V1128" s="69">
        <v>0.77634892380956444</v>
      </c>
      <c r="W1128" s="69">
        <v>0.77634892380956444</v>
      </c>
      <c r="X1128" s="69">
        <v>0.77634892380956444</v>
      </c>
      <c r="Y1128" s="69">
        <v>0.77634892380956444</v>
      </c>
      <c r="Z1128" s="69">
        <v>0.77634892380956444</v>
      </c>
      <c r="AA1128" s="69">
        <v>0.77634892380956444</v>
      </c>
      <c r="AB1128" s="69">
        <v>0.77634892380956444</v>
      </c>
      <c r="AC1128" s="69">
        <v>0.77634892380956444</v>
      </c>
      <c r="AD1128" s="69">
        <v>0.77634892380956444</v>
      </c>
      <c r="AE1128" s="69">
        <v>0.77634892380956444</v>
      </c>
      <c r="AF1128" s="69">
        <v>0.77634892380956444</v>
      </c>
      <c r="AG1128" s="69">
        <v>0.77634892380956444</v>
      </c>
    </row>
    <row r="1129" spans="1:33" ht="12.75" customHeight="1">
      <c r="A1129" s="231" t="s">
        <v>2377</v>
      </c>
      <c r="B1129" s="69" t="s">
        <v>702</v>
      </c>
      <c r="C1129" s="69" t="s">
        <v>186</v>
      </c>
      <c r="D1129" s="69" t="s">
        <v>259</v>
      </c>
      <c r="E1129" s="69" t="s">
        <v>244</v>
      </c>
      <c r="F1129" s="69" t="s">
        <v>160</v>
      </c>
      <c r="G1129" s="69" t="s">
        <v>192</v>
      </c>
      <c r="H1129" s="69" t="s">
        <v>148</v>
      </c>
      <c r="I1129" s="69">
        <v>4</v>
      </c>
      <c r="J1129" s="238">
        <v>0.2668262983999703</v>
      </c>
      <c r="K1129" s="238">
        <v>0</v>
      </c>
      <c r="L1129" s="69">
        <v>184.20052173913047</v>
      </c>
      <c r="M1129" s="69">
        <v>-4.2782608695652176</v>
      </c>
      <c r="N1129" s="69">
        <v>0</v>
      </c>
      <c r="O1129" s="69">
        <v>0</v>
      </c>
      <c r="P1129" s="69">
        <v>0</v>
      </c>
      <c r="Q1129" s="69">
        <v>0</v>
      </c>
      <c r="R1129" s="69">
        <v>0.77634892380956444</v>
      </c>
      <c r="S1129" s="69">
        <v>0.77634892380956444</v>
      </c>
      <c r="T1129" s="69">
        <v>0.77634892380956444</v>
      </c>
      <c r="U1129" s="69">
        <v>0.77634892380956444</v>
      </c>
      <c r="V1129" s="69">
        <v>0.77634892380956444</v>
      </c>
      <c r="W1129" s="69">
        <v>0.77634892380956444</v>
      </c>
      <c r="X1129" s="69">
        <v>0.77634892380956444</v>
      </c>
      <c r="Y1129" s="69">
        <v>0.77634892380956444</v>
      </c>
      <c r="Z1129" s="69">
        <v>0.77634892380956444</v>
      </c>
      <c r="AA1129" s="69">
        <v>0.77634892380956444</v>
      </c>
      <c r="AB1129" s="69">
        <v>0.77634892380956444</v>
      </c>
      <c r="AC1129" s="69">
        <v>0.77634892380956444</v>
      </c>
      <c r="AD1129" s="69">
        <v>0.77634892380956444</v>
      </c>
      <c r="AE1129" s="69">
        <v>0.77634892380956444</v>
      </c>
      <c r="AF1129" s="69">
        <v>0.77634892380956444</v>
      </c>
      <c r="AG1129" s="69">
        <v>0.77634892380956444</v>
      </c>
    </row>
    <row r="1130" spans="1:33" ht="12.75" customHeight="1">
      <c r="A1130" s="231" t="s">
        <v>2377</v>
      </c>
      <c r="B1130" s="69" t="s">
        <v>708</v>
      </c>
      <c r="C1130" s="69" t="s">
        <v>186</v>
      </c>
      <c r="D1130" s="69" t="s">
        <v>259</v>
      </c>
      <c r="E1130" s="69" t="s">
        <v>203</v>
      </c>
      <c r="F1130" s="69" t="s">
        <v>160</v>
      </c>
      <c r="G1130" s="69" t="s">
        <v>192</v>
      </c>
      <c r="H1130" s="69" t="s">
        <v>148</v>
      </c>
      <c r="I1130" s="69">
        <v>4</v>
      </c>
      <c r="J1130" s="238">
        <v>0.23561922263058246</v>
      </c>
      <c r="K1130" s="238">
        <v>0</v>
      </c>
      <c r="L1130" s="69">
        <v>208.59734121122602</v>
      </c>
      <c r="M1130" s="69">
        <v>-4.8449039881831615</v>
      </c>
      <c r="N1130" s="69">
        <v>0</v>
      </c>
      <c r="O1130" s="69">
        <v>0</v>
      </c>
      <c r="P1130" s="69">
        <v>0</v>
      </c>
      <c r="Q1130" s="69">
        <v>1.1478974299934634</v>
      </c>
      <c r="R1130" s="69">
        <v>1.1478974299934634</v>
      </c>
      <c r="S1130" s="69">
        <v>1.1478974299934634</v>
      </c>
      <c r="T1130" s="69">
        <v>1.1478974299934634</v>
      </c>
      <c r="U1130" s="69">
        <v>1.1478974299934634</v>
      </c>
      <c r="V1130" s="69">
        <v>1.1478974299934634</v>
      </c>
      <c r="W1130" s="69">
        <v>1.1478974299934634</v>
      </c>
      <c r="X1130" s="69">
        <v>1.1478974299934634</v>
      </c>
      <c r="Y1130" s="69">
        <v>1.1478974299934634</v>
      </c>
      <c r="Z1130" s="69">
        <v>1.1478974299934634</v>
      </c>
      <c r="AA1130" s="69">
        <v>1.1478974299934634</v>
      </c>
      <c r="AB1130" s="69">
        <v>1.1478974299934634</v>
      </c>
      <c r="AC1130" s="69">
        <v>1.1478974299934634</v>
      </c>
      <c r="AD1130" s="69">
        <v>1.1478974299934634</v>
      </c>
      <c r="AE1130" s="69">
        <v>1.1478974299934634</v>
      </c>
      <c r="AF1130" s="69">
        <v>1.1478974299934634</v>
      </c>
      <c r="AG1130" s="69">
        <v>1.1478974299934634</v>
      </c>
    </row>
    <row r="1131" spans="1:33" ht="12.75" customHeight="1">
      <c r="A1131" s="231" t="s">
        <v>2377</v>
      </c>
      <c r="B1131" s="69" t="s">
        <v>709</v>
      </c>
      <c r="C1131" s="69" t="s">
        <v>186</v>
      </c>
      <c r="D1131" s="69" t="s">
        <v>259</v>
      </c>
      <c r="E1131" s="69" t="s">
        <v>203</v>
      </c>
      <c r="F1131" s="69" t="s">
        <v>160</v>
      </c>
      <c r="G1131" s="69" t="s">
        <v>192</v>
      </c>
      <c r="H1131" s="69" t="s">
        <v>148</v>
      </c>
      <c r="I1131" s="69">
        <v>4</v>
      </c>
      <c r="J1131" s="238">
        <v>0.23561922263058246</v>
      </c>
      <c r="K1131" s="238">
        <v>0</v>
      </c>
      <c r="L1131" s="69">
        <v>208.59734121122602</v>
      </c>
      <c r="M1131" s="69">
        <v>-4.8449039881831615</v>
      </c>
      <c r="N1131" s="69">
        <v>0</v>
      </c>
      <c r="O1131" s="69">
        <v>0</v>
      </c>
      <c r="P1131" s="69">
        <v>0</v>
      </c>
      <c r="Q1131" s="69">
        <v>0</v>
      </c>
      <c r="R1131" s="69">
        <v>1.1478974299934634</v>
      </c>
      <c r="S1131" s="69">
        <v>1.1478974299934634</v>
      </c>
      <c r="T1131" s="69">
        <v>1.1478974299934634</v>
      </c>
      <c r="U1131" s="69">
        <v>1.1478974299934634</v>
      </c>
      <c r="V1131" s="69">
        <v>1.1478974299934634</v>
      </c>
      <c r="W1131" s="69">
        <v>1.1478974299934634</v>
      </c>
      <c r="X1131" s="69">
        <v>1.1478974299934634</v>
      </c>
      <c r="Y1131" s="69">
        <v>1.1478974299934634</v>
      </c>
      <c r="Z1131" s="69">
        <v>1.1478974299934634</v>
      </c>
      <c r="AA1131" s="69">
        <v>1.1478974299934634</v>
      </c>
      <c r="AB1131" s="69">
        <v>1.1478974299934634</v>
      </c>
      <c r="AC1131" s="69">
        <v>1.1478974299934634</v>
      </c>
      <c r="AD1131" s="69">
        <v>1.1478974299934634</v>
      </c>
      <c r="AE1131" s="69">
        <v>1.1478974299934634</v>
      </c>
      <c r="AF1131" s="69">
        <v>1.1478974299934634</v>
      </c>
      <c r="AG1131" s="69">
        <v>1.1478974299934634</v>
      </c>
    </row>
    <row r="1132" spans="1:33" ht="12.75" customHeight="1">
      <c r="A1132" s="231" t="s">
        <v>2377</v>
      </c>
      <c r="B1132" s="69" t="s">
        <v>715</v>
      </c>
      <c r="C1132" s="69" t="s">
        <v>186</v>
      </c>
      <c r="D1132" s="69" t="s">
        <v>259</v>
      </c>
      <c r="E1132" s="69" t="s">
        <v>260</v>
      </c>
      <c r="F1132" s="69" t="s">
        <v>160</v>
      </c>
      <c r="G1132" s="69" t="s">
        <v>192</v>
      </c>
      <c r="H1132" s="69" t="s">
        <v>148</v>
      </c>
      <c r="I1132" s="69">
        <v>4</v>
      </c>
      <c r="J1132" s="238">
        <v>0.21868155325388869</v>
      </c>
      <c r="K1132" s="238">
        <v>0</v>
      </c>
      <c r="L1132" s="69">
        <v>224.75395225464189</v>
      </c>
      <c r="M1132" s="69">
        <v>-5.2201591511936343</v>
      </c>
      <c r="N1132" s="69">
        <v>0</v>
      </c>
      <c r="O1132" s="69">
        <v>0</v>
      </c>
      <c r="P1132" s="69">
        <v>0</v>
      </c>
      <c r="Q1132" s="69">
        <v>0.19975873850853532</v>
      </c>
      <c r="R1132" s="69">
        <v>0.19975873850853532</v>
      </c>
      <c r="S1132" s="69">
        <v>0.19975873850853532</v>
      </c>
      <c r="T1132" s="69">
        <v>0.19975873850853532</v>
      </c>
      <c r="U1132" s="69">
        <v>0.19975873850853532</v>
      </c>
      <c r="V1132" s="69">
        <v>0.19975873850853532</v>
      </c>
      <c r="W1132" s="69">
        <v>0.19975873850853532</v>
      </c>
      <c r="X1132" s="69">
        <v>0.19975873850853532</v>
      </c>
      <c r="Y1132" s="69">
        <v>0.19975873850853532</v>
      </c>
      <c r="Z1132" s="69">
        <v>0.19975873850853532</v>
      </c>
      <c r="AA1132" s="69">
        <v>0.19975873850853532</v>
      </c>
      <c r="AB1132" s="69">
        <v>0.19975873850853532</v>
      </c>
      <c r="AC1132" s="69">
        <v>0.19975873850853532</v>
      </c>
      <c r="AD1132" s="69">
        <v>0.19975873850853532</v>
      </c>
      <c r="AE1132" s="69">
        <v>0.19975873850853532</v>
      </c>
      <c r="AF1132" s="69">
        <v>0.19975873850853532</v>
      </c>
      <c r="AG1132" s="69">
        <v>0.19975873850853532</v>
      </c>
    </row>
    <row r="1133" spans="1:33" ht="12.75" customHeight="1">
      <c r="A1133" s="231" t="s">
        <v>2377</v>
      </c>
      <c r="B1133" s="69" t="s">
        <v>716</v>
      </c>
      <c r="C1133" s="69" t="s">
        <v>186</v>
      </c>
      <c r="D1133" s="69" t="s">
        <v>259</v>
      </c>
      <c r="E1133" s="69" t="s">
        <v>260</v>
      </c>
      <c r="F1133" s="69" t="s">
        <v>160</v>
      </c>
      <c r="G1133" s="69" t="s">
        <v>192</v>
      </c>
      <c r="H1133" s="69" t="s">
        <v>148</v>
      </c>
      <c r="I1133" s="69">
        <v>4</v>
      </c>
      <c r="J1133" s="238">
        <v>0.21868155325388869</v>
      </c>
      <c r="K1133" s="238">
        <v>0</v>
      </c>
      <c r="L1133" s="69">
        <v>224.75395225464189</v>
      </c>
      <c r="M1133" s="69">
        <v>-5.2201591511936343</v>
      </c>
      <c r="N1133" s="69">
        <v>0</v>
      </c>
      <c r="O1133" s="69">
        <v>0</v>
      </c>
      <c r="P1133" s="69">
        <v>0</v>
      </c>
      <c r="Q1133" s="69">
        <v>0</v>
      </c>
      <c r="R1133" s="69">
        <v>0.19975873850853532</v>
      </c>
      <c r="S1133" s="69">
        <v>0.19975873850853532</v>
      </c>
      <c r="T1133" s="69">
        <v>0.19975873850853532</v>
      </c>
      <c r="U1133" s="69">
        <v>0.19975873850853532</v>
      </c>
      <c r="V1133" s="69">
        <v>0.19975873850853532</v>
      </c>
      <c r="W1133" s="69">
        <v>0.19975873850853532</v>
      </c>
      <c r="X1133" s="69">
        <v>0.19975873850853532</v>
      </c>
      <c r="Y1133" s="69">
        <v>0.19975873850853532</v>
      </c>
      <c r="Z1133" s="69">
        <v>0.19975873850853532</v>
      </c>
      <c r="AA1133" s="69">
        <v>0.19975873850853532</v>
      </c>
      <c r="AB1133" s="69">
        <v>0.19975873850853532</v>
      </c>
      <c r="AC1133" s="69">
        <v>0.19975873850853532</v>
      </c>
      <c r="AD1133" s="69">
        <v>0.19975873850853532</v>
      </c>
      <c r="AE1133" s="69">
        <v>0.19975873850853532</v>
      </c>
      <c r="AF1133" s="69">
        <v>0.19975873850853532</v>
      </c>
      <c r="AG1133" s="69">
        <v>0.19975873850853532</v>
      </c>
    </row>
    <row r="1134" spans="1:33" ht="12.75" customHeight="1">
      <c r="A1134" s="231" t="s">
        <v>2377</v>
      </c>
      <c r="B1134" s="69" t="s">
        <v>722</v>
      </c>
      <c r="C1134" s="69" t="s">
        <v>186</v>
      </c>
      <c r="D1134" s="69" t="s">
        <v>218</v>
      </c>
      <c r="E1134" s="69" t="s">
        <v>244</v>
      </c>
      <c r="F1134" s="69" t="s">
        <v>160</v>
      </c>
      <c r="G1134" s="69" t="s">
        <v>192</v>
      </c>
      <c r="H1134" s="69" t="s">
        <v>148</v>
      </c>
      <c r="I1134" s="69">
        <v>4</v>
      </c>
      <c r="J1134" s="238">
        <v>0.2668262983999703</v>
      </c>
      <c r="K1134" s="238">
        <v>0</v>
      </c>
      <c r="L1134" s="69">
        <v>176.76062608695653</v>
      </c>
      <c r="M1134" s="69">
        <v>-4.2782608695652176</v>
      </c>
      <c r="N1134" s="69">
        <v>0</v>
      </c>
      <c r="O1134" s="69">
        <v>0</v>
      </c>
      <c r="P1134" s="69">
        <v>0</v>
      </c>
      <c r="Q1134" s="69">
        <v>18.204096031135123</v>
      </c>
      <c r="R1134" s="69">
        <v>18.204096031135123</v>
      </c>
      <c r="S1134" s="69">
        <v>18.204096031135123</v>
      </c>
      <c r="T1134" s="69">
        <v>18.204096031135123</v>
      </c>
      <c r="U1134" s="69">
        <v>18.204096031135123</v>
      </c>
      <c r="V1134" s="69">
        <v>18.204096031135123</v>
      </c>
      <c r="W1134" s="69">
        <v>18.204096031135123</v>
      </c>
      <c r="X1134" s="69">
        <v>18.204096031135123</v>
      </c>
      <c r="Y1134" s="69">
        <v>18.204096031135123</v>
      </c>
      <c r="Z1134" s="69">
        <v>18.204096031135123</v>
      </c>
      <c r="AA1134" s="69">
        <v>18.204096031135123</v>
      </c>
      <c r="AB1134" s="69">
        <v>18.204096031135123</v>
      </c>
      <c r="AC1134" s="69">
        <v>18.204096031135123</v>
      </c>
      <c r="AD1134" s="69">
        <v>18.204096031135123</v>
      </c>
      <c r="AE1134" s="69">
        <v>18.204096031135123</v>
      </c>
      <c r="AF1134" s="69">
        <v>18.204096031135123</v>
      </c>
      <c r="AG1134" s="69">
        <v>18.204096031135123</v>
      </c>
    </row>
    <row r="1135" spans="1:33" ht="12.75" customHeight="1">
      <c r="A1135" s="231" t="s">
        <v>2377</v>
      </c>
      <c r="B1135" s="69" t="s">
        <v>723</v>
      </c>
      <c r="C1135" s="69" t="s">
        <v>186</v>
      </c>
      <c r="D1135" s="69" t="s">
        <v>218</v>
      </c>
      <c r="E1135" s="69" t="s">
        <v>244</v>
      </c>
      <c r="F1135" s="69" t="s">
        <v>160</v>
      </c>
      <c r="G1135" s="69" t="s">
        <v>192</v>
      </c>
      <c r="H1135" s="69" t="s">
        <v>148</v>
      </c>
      <c r="I1135" s="69">
        <v>4</v>
      </c>
      <c r="J1135" s="238">
        <v>0.2668262983999703</v>
      </c>
      <c r="K1135" s="238">
        <v>0</v>
      </c>
      <c r="L1135" s="69">
        <v>176.76062608695653</v>
      </c>
      <c r="M1135" s="69">
        <v>-4.2782608695652176</v>
      </c>
      <c r="N1135" s="69">
        <v>0</v>
      </c>
      <c r="O1135" s="69">
        <v>0</v>
      </c>
      <c r="P1135" s="69">
        <v>0</v>
      </c>
      <c r="Q1135" s="69">
        <v>0</v>
      </c>
      <c r="R1135" s="69">
        <v>18.204096031135123</v>
      </c>
      <c r="S1135" s="69">
        <v>18.204096031135123</v>
      </c>
      <c r="T1135" s="69">
        <v>18.204096031135123</v>
      </c>
      <c r="U1135" s="69">
        <v>18.204096031135123</v>
      </c>
      <c r="V1135" s="69">
        <v>18.204096031135123</v>
      </c>
      <c r="W1135" s="69">
        <v>18.204096031135123</v>
      </c>
      <c r="X1135" s="69">
        <v>18.204096031135123</v>
      </c>
      <c r="Y1135" s="69">
        <v>18.204096031135123</v>
      </c>
      <c r="Z1135" s="69">
        <v>18.204096031135123</v>
      </c>
      <c r="AA1135" s="69">
        <v>18.204096031135123</v>
      </c>
      <c r="AB1135" s="69">
        <v>18.204096031135123</v>
      </c>
      <c r="AC1135" s="69">
        <v>18.204096031135123</v>
      </c>
      <c r="AD1135" s="69">
        <v>18.204096031135123</v>
      </c>
      <c r="AE1135" s="69">
        <v>18.204096031135123</v>
      </c>
      <c r="AF1135" s="69">
        <v>18.204096031135123</v>
      </c>
      <c r="AG1135" s="69">
        <v>18.204096031135123</v>
      </c>
    </row>
    <row r="1136" spans="1:33" ht="12.75" customHeight="1">
      <c r="A1136" s="231" t="s">
        <v>2377</v>
      </c>
      <c r="B1136" s="69" t="s">
        <v>729</v>
      </c>
      <c r="C1136" s="69" t="s">
        <v>186</v>
      </c>
      <c r="D1136" s="69" t="s">
        <v>218</v>
      </c>
      <c r="E1136" s="69" t="s">
        <v>203</v>
      </c>
      <c r="F1136" s="69" t="s">
        <v>160</v>
      </c>
      <c r="G1136" s="69" t="s">
        <v>192</v>
      </c>
      <c r="H1136" s="69" t="s">
        <v>148</v>
      </c>
      <c r="I1136" s="69">
        <v>4</v>
      </c>
      <c r="J1136" s="238">
        <v>0.23561922263058246</v>
      </c>
      <c r="K1136" s="238">
        <v>0</v>
      </c>
      <c r="L1136" s="69">
        <v>200.17205317577552</v>
      </c>
      <c r="M1136" s="69">
        <v>-4.8449039881831615</v>
      </c>
      <c r="N1136" s="69">
        <v>0</v>
      </c>
      <c r="O1136" s="69">
        <v>0</v>
      </c>
      <c r="P1136" s="69">
        <v>0</v>
      </c>
      <c r="Q1136" s="69">
        <v>26.91629293048754</v>
      </c>
      <c r="R1136" s="69">
        <v>26.91629293048754</v>
      </c>
      <c r="S1136" s="69">
        <v>26.91629293048754</v>
      </c>
      <c r="T1136" s="69">
        <v>26.91629293048754</v>
      </c>
      <c r="U1136" s="69">
        <v>26.91629293048754</v>
      </c>
      <c r="V1136" s="69">
        <v>26.91629293048754</v>
      </c>
      <c r="W1136" s="69">
        <v>26.91629293048754</v>
      </c>
      <c r="X1136" s="69">
        <v>26.91629293048754</v>
      </c>
      <c r="Y1136" s="69">
        <v>26.91629293048754</v>
      </c>
      <c r="Z1136" s="69">
        <v>26.91629293048754</v>
      </c>
      <c r="AA1136" s="69">
        <v>26.91629293048754</v>
      </c>
      <c r="AB1136" s="69">
        <v>26.91629293048754</v>
      </c>
      <c r="AC1136" s="69">
        <v>26.91629293048754</v>
      </c>
      <c r="AD1136" s="69">
        <v>26.91629293048754</v>
      </c>
      <c r="AE1136" s="69">
        <v>26.91629293048754</v>
      </c>
      <c r="AF1136" s="69">
        <v>26.91629293048754</v>
      </c>
      <c r="AG1136" s="69">
        <v>26.91629293048754</v>
      </c>
    </row>
    <row r="1137" spans="1:33" ht="12.75" customHeight="1">
      <c r="A1137" s="231" t="s">
        <v>2377</v>
      </c>
      <c r="B1137" s="69" t="s">
        <v>730</v>
      </c>
      <c r="C1137" s="69" t="s">
        <v>186</v>
      </c>
      <c r="D1137" s="69" t="s">
        <v>218</v>
      </c>
      <c r="E1137" s="69" t="s">
        <v>203</v>
      </c>
      <c r="F1137" s="69" t="s">
        <v>160</v>
      </c>
      <c r="G1137" s="69" t="s">
        <v>192</v>
      </c>
      <c r="H1137" s="69" t="s">
        <v>148</v>
      </c>
      <c r="I1137" s="69">
        <v>4</v>
      </c>
      <c r="J1137" s="238">
        <v>0.23561922263058246</v>
      </c>
      <c r="K1137" s="238">
        <v>0</v>
      </c>
      <c r="L1137" s="69">
        <v>200.17205317577552</v>
      </c>
      <c r="M1137" s="69">
        <v>-4.8449039881831615</v>
      </c>
      <c r="N1137" s="69">
        <v>0</v>
      </c>
      <c r="O1137" s="69">
        <v>0</v>
      </c>
      <c r="P1137" s="69">
        <v>0</v>
      </c>
      <c r="Q1137" s="69">
        <v>0</v>
      </c>
      <c r="R1137" s="69">
        <v>26.916292930487543</v>
      </c>
      <c r="S1137" s="69">
        <v>26.916292930487543</v>
      </c>
      <c r="T1137" s="69">
        <v>26.916292930487543</v>
      </c>
      <c r="U1137" s="69">
        <v>26.916292930487543</v>
      </c>
      <c r="V1137" s="69">
        <v>26.916292930487543</v>
      </c>
      <c r="W1137" s="69">
        <v>26.916292930487543</v>
      </c>
      <c r="X1137" s="69">
        <v>26.916292930487543</v>
      </c>
      <c r="Y1137" s="69">
        <v>26.916292930487543</v>
      </c>
      <c r="Z1137" s="69">
        <v>26.916292930487543</v>
      </c>
      <c r="AA1137" s="69">
        <v>26.916292930487543</v>
      </c>
      <c r="AB1137" s="69">
        <v>26.916292930487543</v>
      </c>
      <c r="AC1137" s="69">
        <v>26.916292930487543</v>
      </c>
      <c r="AD1137" s="69">
        <v>26.916292930487543</v>
      </c>
      <c r="AE1137" s="69">
        <v>26.916292930487543</v>
      </c>
      <c r="AF1137" s="69">
        <v>26.916292930487543</v>
      </c>
      <c r="AG1137" s="69">
        <v>26.916292930487543</v>
      </c>
    </row>
    <row r="1138" spans="1:33" ht="12.75" customHeight="1">
      <c r="A1138" s="231" t="s">
        <v>2377</v>
      </c>
      <c r="B1138" s="69" t="s">
        <v>736</v>
      </c>
      <c r="C1138" s="69" t="s">
        <v>186</v>
      </c>
      <c r="D1138" s="69" t="s">
        <v>218</v>
      </c>
      <c r="E1138" s="69" t="s">
        <v>260</v>
      </c>
      <c r="F1138" s="69" t="s">
        <v>160</v>
      </c>
      <c r="G1138" s="69" t="s">
        <v>192</v>
      </c>
      <c r="H1138" s="69" t="s">
        <v>148</v>
      </c>
      <c r="I1138" s="69">
        <v>4</v>
      </c>
      <c r="J1138" s="238">
        <v>0.21868155325388872</v>
      </c>
      <c r="K1138" s="238">
        <v>0</v>
      </c>
      <c r="L1138" s="69">
        <v>215.67609549071619</v>
      </c>
      <c r="M1138" s="69">
        <v>-5.2201591511936343</v>
      </c>
      <c r="N1138" s="69">
        <v>0</v>
      </c>
      <c r="O1138" s="69">
        <v>0</v>
      </c>
      <c r="P1138" s="69">
        <v>0</v>
      </c>
      <c r="Q1138" s="69">
        <v>4.6840114636215731</v>
      </c>
      <c r="R1138" s="69">
        <v>4.6840114636215731</v>
      </c>
      <c r="S1138" s="69">
        <v>4.6840114636215731</v>
      </c>
      <c r="T1138" s="69">
        <v>4.6840114636215731</v>
      </c>
      <c r="U1138" s="69">
        <v>4.6840114636215731</v>
      </c>
      <c r="V1138" s="69">
        <v>4.6840114636215731</v>
      </c>
      <c r="W1138" s="69">
        <v>4.6840114636215731</v>
      </c>
      <c r="X1138" s="69">
        <v>4.6840114636215731</v>
      </c>
      <c r="Y1138" s="69">
        <v>4.6840114636215731</v>
      </c>
      <c r="Z1138" s="69">
        <v>4.6840114636215731</v>
      </c>
      <c r="AA1138" s="69">
        <v>4.6840114636215731</v>
      </c>
      <c r="AB1138" s="69">
        <v>4.6840114636215731</v>
      </c>
      <c r="AC1138" s="69">
        <v>4.6840114636215731</v>
      </c>
      <c r="AD1138" s="69">
        <v>4.6840114636215731</v>
      </c>
      <c r="AE1138" s="69">
        <v>4.6840114636215731</v>
      </c>
      <c r="AF1138" s="69">
        <v>4.6840114636215731</v>
      </c>
      <c r="AG1138" s="69">
        <v>4.6840114636215731</v>
      </c>
    </row>
    <row r="1139" spans="1:33" ht="12.75" customHeight="1">
      <c r="A1139" s="231" t="s">
        <v>2377</v>
      </c>
      <c r="B1139" s="69" t="s">
        <v>737</v>
      </c>
      <c r="C1139" s="69" t="s">
        <v>186</v>
      </c>
      <c r="D1139" s="69" t="s">
        <v>218</v>
      </c>
      <c r="E1139" s="69" t="s">
        <v>260</v>
      </c>
      <c r="F1139" s="69" t="s">
        <v>160</v>
      </c>
      <c r="G1139" s="69" t="s">
        <v>192</v>
      </c>
      <c r="H1139" s="69" t="s">
        <v>148</v>
      </c>
      <c r="I1139" s="69">
        <v>4</v>
      </c>
      <c r="J1139" s="238">
        <v>0.21868155325388872</v>
      </c>
      <c r="K1139" s="238">
        <v>0</v>
      </c>
      <c r="L1139" s="69">
        <v>215.67609549071619</v>
      </c>
      <c r="M1139" s="69">
        <v>-5.2201591511936343</v>
      </c>
      <c r="N1139" s="69">
        <v>0</v>
      </c>
      <c r="O1139" s="69">
        <v>0</v>
      </c>
      <c r="P1139" s="69">
        <v>0</v>
      </c>
      <c r="Q1139" s="69">
        <v>0</v>
      </c>
      <c r="R1139" s="69">
        <v>4.6840114636215731</v>
      </c>
      <c r="S1139" s="69">
        <v>4.6840114636215731</v>
      </c>
      <c r="T1139" s="69">
        <v>4.6840114636215731</v>
      </c>
      <c r="U1139" s="69">
        <v>4.6840114636215731</v>
      </c>
      <c r="V1139" s="69">
        <v>4.6840114636215731</v>
      </c>
      <c r="W1139" s="69">
        <v>4.6840114636215731</v>
      </c>
      <c r="X1139" s="69">
        <v>4.6840114636215731</v>
      </c>
      <c r="Y1139" s="69">
        <v>4.6840114636215731</v>
      </c>
      <c r="Z1139" s="69">
        <v>4.6840114636215731</v>
      </c>
      <c r="AA1139" s="69">
        <v>4.6840114636215731</v>
      </c>
      <c r="AB1139" s="69">
        <v>4.6840114636215731</v>
      </c>
      <c r="AC1139" s="69">
        <v>4.6840114636215731</v>
      </c>
      <c r="AD1139" s="69">
        <v>4.6840114636215731</v>
      </c>
      <c r="AE1139" s="69">
        <v>4.6840114636215731</v>
      </c>
      <c r="AF1139" s="69">
        <v>4.6840114636215731</v>
      </c>
      <c r="AG1139" s="69">
        <v>4.6840114636215731</v>
      </c>
    </row>
    <row r="1140" spans="1:33" ht="12.75" customHeight="1">
      <c r="A1140" s="231" t="s">
        <v>2377</v>
      </c>
      <c r="B1140" s="69" t="s">
        <v>743</v>
      </c>
      <c r="C1140" s="69" t="s">
        <v>186</v>
      </c>
      <c r="D1140" s="69" t="s">
        <v>218</v>
      </c>
      <c r="E1140" s="69" t="s">
        <v>203</v>
      </c>
      <c r="F1140" s="69" t="s">
        <v>171</v>
      </c>
      <c r="G1140" s="69" t="s">
        <v>192</v>
      </c>
      <c r="H1140" s="69" t="s">
        <v>805</v>
      </c>
      <c r="I1140" s="69">
        <v>2</v>
      </c>
      <c r="J1140" s="238">
        <v>0.23561922263058246</v>
      </c>
      <c r="K1140" s="238">
        <v>0</v>
      </c>
      <c r="L1140" s="69">
        <v>200.17205317577552</v>
      </c>
      <c r="M1140" s="69">
        <v>0</v>
      </c>
      <c r="N1140" s="69">
        <v>0</v>
      </c>
      <c r="O1140" s="69">
        <v>0</v>
      </c>
      <c r="P1140" s="69">
        <v>0</v>
      </c>
      <c r="Q1140" s="69">
        <v>0</v>
      </c>
      <c r="R1140" s="69">
        <v>160.11243345770345</v>
      </c>
      <c r="S1140" s="69">
        <v>160.11243345770345</v>
      </c>
      <c r="T1140" s="69">
        <v>160.11243345770345</v>
      </c>
      <c r="U1140" s="69">
        <v>160.11243345770345</v>
      </c>
      <c r="V1140" s="69">
        <v>160.11243345770345</v>
      </c>
      <c r="W1140" s="69">
        <v>160.11243345770345</v>
      </c>
      <c r="X1140" s="69">
        <v>160.11243345770345</v>
      </c>
      <c r="Y1140" s="69">
        <v>160.11243345770345</v>
      </c>
      <c r="Z1140" s="69">
        <v>160.11243345770345</v>
      </c>
      <c r="AA1140" s="69">
        <v>160.11243345770345</v>
      </c>
      <c r="AB1140" s="69">
        <v>160.11243345770345</v>
      </c>
      <c r="AC1140" s="69">
        <v>160.11243345770345</v>
      </c>
      <c r="AD1140" s="69">
        <v>160.11243345770345</v>
      </c>
      <c r="AE1140" s="69">
        <v>160.11243345770345</v>
      </c>
      <c r="AF1140" s="69">
        <v>160.11243345770345</v>
      </c>
      <c r="AG1140" s="69">
        <v>160.11243345770345</v>
      </c>
    </row>
    <row r="1141" spans="1:33" ht="12.75" customHeight="1">
      <c r="A1141" s="231" t="s">
        <v>2377</v>
      </c>
      <c r="B1141" s="69" t="s">
        <v>749</v>
      </c>
      <c r="C1141" s="69" t="s">
        <v>186</v>
      </c>
      <c r="D1141" s="69" t="s">
        <v>218</v>
      </c>
      <c r="E1141" s="69" t="s">
        <v>260</v>
      </c>
      <c r="F1141" s="69" t="s">
        <v>171</v>
      </c>
      <c r="G1141" s="69" t="s">
        <v>192</v>
      </c>
      <c r="H1141" s="69" t="s">
        <v>805</v>
      </c>
      <c r="I1141" s="69">
        <v>2</v>
      </c>
      <c r="J1141" s="238">
        <v>0.21868155325388872</v>
      </c>
      <c r="K1141" s="238">
        <v>0</v>
      </c>
      <c r="L1141" s="69">
        <v>215.67609549071616</v>
      </c>
      <c r="M1141" s="69">
        <v>0</v>
      </c>
      <c r="N1141" s="69">
        <v>0</v>
      </c>
      <c r="O1141" s="69">
        <v>0</v>
      </c>
      <c r="P1141" s="69">
        <v>0</v>
      </c>
      <c r="Q1141" s="69">
        <v>0</v>
      </c>
      <c r="R1141" s="69">
        <v>43.884213523055223</v>
      </c>
      <c r="S1141" s="69">
        <v>43.884213523055223</v>
      </c>
      <c r="T1141" s="69">
        <v>43.884213523055223</v>
      </c>
      <c r="U1141" s="69">
        <v>43.884213523055223</v>
      </c>
      <c r="V1141" s="69">
        <v>43.884213523055223</v>
      </c>
      <c r="W1141" s="69">
        <v>43.884213523055223</v>
      </c>
      <c r="X1141" s="69">
        <v>43.884213523055223</v>
      </c>
      <c r="Y1141" s="69">
        <v>43.884213523055223</v>
      </c>
      <c r="Z1141" s="69">
        <v>43.884213523055223</v>
      </c>
      <c r="AA1141" s="69">
        <v>43.884213523055223</v>
      </c>
      <c r="AB1141" s="69">
        <v>43.884213523055223</v>
      </c>
      <c r="AC1141" s="69">
        <v>43.884213523055223</v>
      </c>
      <c r="AD1141" s="69">
        <v>43.884213523055223</v>
      </c>
      <c r="AE1141" s="69">
        <v>43.884213523055223</v>
      </c>
      <c r="AF1141" s="69">
        <v>43.884213523055223</v>
      </c>
      <c r="AG1141" s="69">
        <v>43.884213523055223</v>
      </c>
    </row>
    <row r="1142" spans="1:33" ht="12.75" customHeight="1">
      <c r="A1142" s="231" t="s">
        <v>2377</v>
      </c>
      <c r="B1142" s="69" t="s">
        <v>755</v>
      </c>
      <c r="C1142" s="69" t="s">
        <v>186</v>
      </c>
      <c r="D1142" s="69" t="s">
        <v>218</v>
      </c>
      <c r="E1142" s="69" t="s">
        <v>244</v>
      </c>
      <c r="F1142" s="69" t="s">
        <v>172</v>
      </c>
      <c r="G1142" s="69" t="s">
        <v>192</v>
      </c>
      <c r="H1142" s="69" t="s">
        <v>804</v>
      </c>
      <c r="I1142" s="69">
        <v>2</v>
      </c>
      <c r="J1142" s="238">
        <v>0.2668262983999703</v>
      </c>
      <c r="K1142" s="238">
        <v>0</v>
      </c>
      <c r="L1142" s="69">
        <v>176.76062608695656</v>
      </c>
      <c r="M1142" s="69">
        <v>0</v>
      </c>
      <c r="N1142" s="69">
        <v>0</v>
      </c>
      <c r="O1142" s="69">
        <v>0</v>
      </c>
      <c r="P1142" s="69">
        <v>0</v>
      </c>
      <c r="Q1142" s="69">
        <v>0</v>
      </c>
      <c r="R1142" s="69">
        <v>40.23012122052387</v>
      </c>
      <c r="S1142" s="69">
        <v>40.23012122052387</v>
      </c>
      <c r="T1142" s="69">
        <v>40.23012122052387</v>
      </c>
      <c r="U1142" s="69">
        <v>40.23012122052387</v>
      </c>
      <c r="V1142" s="69">
        <v>40.23012122052387</v>
      </c>
      <c r="W1142" s="69">
        <v>40.23012122052387</v>
      </c>
      <c r="X1142" s="69">
        <v>40.23012122052387</v>
      </c>
      <c r="Y1142" s="69">
        <v>40.23012122052387</v>
      </c>
      <c r="Z1142" s="69">
        <v>40.23012122052387</v>
      </c>
      <c r="AA1142" s="69">
        <v>40.23012122052387</v>
      </c>
      <c r="AB1142" s="69">
        <v>40.23012122052387</v>
      </c>
      <c r="AC1142" s="69">
        <v>40.23012122052387</v>
      </c>
      <c r="AD1142" s="69">
        <v>40.23012122052387</v>
      </c>
      <c r="AE1142" s="69">
        <v>40.23012122052387</v>
      </c>
      <c r="AF1142" s="69">
        <v>40.23012122052387</v>
      </c>
      <c r="AG1142" s="69">
        <v>40.23012122052387</v>
      </c>
    </row>
    <row r="1143" spans="1:33" ht="12.75" customHeight="1">
      <c r="A1143" s="231" t="s">
        <v>2377</v>
      </c>
      <c r="B1143" s="69" t="s">
        <v>761</v>
      </c>
      <c r="C1143" s="69" t="s">
        <v>186</v>
      </c>
      <c r="D1143" s="69" t="s">
        <v>218</v>
      </c>
      <c r="E1143" s="69" t="s">
        <v>203</v>
      </c>
      <c r="F1143" s="69" t="s">
        <v>172</v>
      </c>
      <c r="G1143" s="69" t="s">
        <v>192</v>
      </c>
      <c r="H1143" s="69" t="s">
        <v>804</v>
      </c>
      <c r="I1143" s="69">
        <v>2</v>
      </c>
      <c r="J1143" s="238">
        <v>0.23561922263058249</v>
      </c>
      <c r="K1143" s="238">
        <v>0</v>
      </c>
      <c r="L1143" s="69">
        <v>200.17205317577552</v>
      </c>
      <c r="M1143" s="69">
        <v>0</v>
      </c>
      <c r="N1143" s="69">
        <v>0</v>
      </c>
      <c r="O1143" s="69">
        <v>0</v>
      </c>
      <c r="P1143" s="69">
        <v>0</v>
      </c>
      <c r="Q1143" s="69">
        <v>0</v>
      </c>
      <c r="R1143" s="69">
        <v>17.512297409437451</v>
      </c>
      <c r="S1143" s="69">
        <v>17.512297409437451</v>
      </c>
      <c r="T1143" s="69">
        <v>17.512297409437451</v>
      </c>
      <c r="U1143" s="69">
        <v>17.512297409437451</v>
      </c>
      <c r="V1143" s="69">
        <v>17.512297409437451</v>
      </c>
      <c r="W1143" s="69">
        <v>17.512297409437451</v>
      </c>
      <c r="X1143" s="69">
        <v>17.512297409437451</v>
      </c>
      <c r="Y1143" s="69">
        <v>17.512297409437451</v>
      </c>
      <c r="Z1143" s="69">
        <v>17.512297409437451</v>
      </c>
      <c r="AA1143" s="69">
        <v>17.512297409437451</v>
      </c>
      <c r="AB1143" s="69">
        <v>17.512297409437451</v>
      </c>
      <c r="AC1143" s="69">
        <v>17.512297409437451</v>
      </c>
      <c r="AD1143" s="69">
        <v>17.512297409437451</v>
      </c>
      <c r="AE1143" s="69">
        <v>17.512297409437451</v>
      </c>
      <c r="AF1143" s="69">
        <v>17.512297409437451</v>
      </c>
      <c r="AG1143" s="69">
        <v>17.512297409437451</v>
      </c>
    </row>
    <row r="1144" spans="1:33" ht="12.75" customHeight="1">
      <c r="A1144" s="231" t="s">
        <v>2377</v>
      </c>
      <c r="B1144" s="69" t="s">
        <v>767</v>
      </c>
      <c r="C1144" s="69" t="s">
        <v>186</v>
      </c>
      <c r="D1144" s="69" t="s">
        <v>218</v>
      </c>
      <c r="E1144" s="69" t="s">
        <v>242</v>
      </c>
      <c r="F1144" s="69" t="s">
        <v>172</v>
      </c>
      <c r="G1144" s="69" t="s">
        <v>192</v>
      </c>
      <c r="H1144" s="69" t="s">
        <v>804</v>
      </c>
      <c r="I1144" s="69">
        <v>2</v>
      </c>
      <c r="J1144" s="238">
        <v>0.24339198871440768</v>
      </c>
      <c r="K1144" s="238">
        <v>0</v>
      </c>
      <c r="L1144" s="69">
        <v>193.77952335557674</v>
      </c>
      <c r="M1144" s="69">
        <v>0</v>
      </c>
      <c r="N1144" s="69">
        <v>0</v>
      </c>
      <c r="O1144" s="69">
        <v>0</v>
      </c>
      <c r="P1144" s="69">
        <v>0</v>
      </c>
      <c r="Q1144" s="69">
        <v>0</v>
      </c>
      <c r="R1144" s="69">
        <v>10.854002943870002</v>
      </c>
      <c r="S1144" s="69">
        <v>10.854002943870002</v>
      </c>
      <c r="T1144" s="69">
        <v>10.854002943870002</v>
      </c>
      <c r="U1144" s="69">
        <v>10.854002943870002</v>
      </c>
      <c r="V1144" s="69">
        <v>10.854002943870002</v>
      </c>
      <c r="W1144" s="69">
        <v>10.854002943870002</v>
      </c>
      <c r="X1144" s="69">
        <v>10.854002943870002</v>
      </c>
      <c r="Y1144" s="69">
        <v>10.854002943870002</v>
      </c>
      <c r="Z1144" s="69">
        <v>10.854002943870002</v>
      </c>
      <c r="AA1144" s="69">
        <v>10.854002943870002</v>
      </c>
      <c r="AB1144" s="69">
        <v>10.854002943870002</v>
      </c>
      <c r="AC1144" s="69">
        <v>10.854002943870002</v>
      </c>
      <c r="AD1144" s="69">
        <v>10.854002943870002</v>
      </c>
      <c r="AE1144" s="69">
        <v>10.854002943870002</v>
      </c>
      <c r="AF1144" s="69">
        <v>10.854002943870002</v>
      </c>
      <c r="AG1144" s="69">
        <v>10.854002943870002</v>
      </c>
    </row>
    <row r="1145" spans="1:33" ht="12.75" customHeight="1">
      <c r="A1145" s="231" t="s">
        <v>2377</v>
      </c>
      <c r="B1145" s="69" t="s">
        <v>773</v>
      </c>
      <c r="C1145" s="69" t="s">
        <v>186</v>
      </c>
      <c r="D1145" s="69" t="s">
        <v>218</v>
      </c>
      <c r="E1145" s="69" t="s">
        <v>244</v>
      </c>
      <c r="F1145" s="69" t="s">
        <v>173</v>
      </c>
      <c r="G1145" s="69" t="s">
        <v>192</v>
      </c>
      <c r="H1145" s="69" t="s">
        <v>2130</v>
      </c>
      <c r="I1145" s="69">
        <v>2</v>
      </c>
      <c r="J1145" s="238">
        <v>0.2668262983999703</v>
      </c>
      <c r="K1145" s="238">
        <v>0</v>
      </c>
      <c r="L1145" s="69">
        <v>176.76062608695653</v>
      </c>
      <c r="M1145" s="69">
        <v>0</v>
      </c>
      <c r="N1145" s="69">
        <v>0</v>
      </c>
      <c r="O1145" s="69">
        <v>0</v>
      </c>
      <c r="P1145" s="69">
        <v>0</v>
      </c>
      <c r="Q1145" s="69">
        <v>0</v>
      </c>
      <c r="R1145" s="69">
        <v>3.3997285538462165</v>
      </c>
      <c r="S1145" s="69">
        <v>3.3997285538462165</v>
      </c>
      <c r="T1145" s="69">
        <v>3.3997285538462165</v>
      </c>
      <c r="U1145" s="69">
        <v>3.3997285538462165</v>
      </c>
      <c r="V1145" s="69">
        <v>3.3997285538462165</v>
      </c>
      <c r="W1145" s="69">
        <v>3.3997285538462165</v>
      </c>
      <c r="X1145" s="69">
        <v>3.3997285538462165</v>
      </c>
      <c r="Y1145" s="69">
        <v>3.3997285538462165</v>
      </c>
      <c r="Z1145" s="69">
        <v>3.3997285538462165</v>
      </c>
      <c r="AA1145" s="69">
        <v>3.3997285538462165</v>
      </c>
      <c r="AB1145" s="69">
        <v>3.3997285538462165</v>
      </c>
      <c r="AC1145" s="69">
        <v>3.3997285538462165</v>
      </c>
      <c r="AD1145" s="69">
        <v>3.3997285538462165</v>
      </c>
      <c r="AE1145" s="69">
        <v>3.3997285538462165</v>
      </c>
      <c r="AF1145" s="69">
        <v>3.3997285538462165</v>
      </c>
      <c r="AG1145" s="69">
        <v>3.3997285538462165</v>
      </c>
    </row>
    <row r="1146" spans="1:33" ht="12.75" customHeight="1">
      <c r="A1146" s="231" t="s">
        <v>2377</v>
      </c>
      <c r="B1146" s="69" t="s">
        <v>779</v>
      </c>
      <c r="C1146" s="69" t="s">
        <v>186</v>
      </c>
      <c r="D1146" s="69" t="s">
        <v>218</v>
      </c>
      <c r="E1146" s="69" t="s">
        <v>242</v>
      </c>
      <c r="F1146" s="69" t="s">
        <v>173</v>
      </c>
      <c r="G1146" s="69" t="s">
        <v>192</v>
      </c>
      <c r="H1146" s="69" t="s">
        <v>2130</v>
      </c>
      <c r="I1146" s="69">
        <v>2</v>
      </c>
      <c r="J1146" s="238">
        <v>0.24339198871440768</v>
      </c>
      <c r="K1146" s="238">
        <v>0</v>
      </c>
      <c r="L1146" s="69">
        <v>193.77952335557677</v>
      </c>
      <c r="M1146" s="69">
        <v>0</v>
      </c>
      <c r="N1146" s="69">
        <v>0</v>
      </c>
      <c r="O1146" s="69">
        <v>0</v>
      </c>
      <c r="P1146" s="69">
        <v>0</v>
      </c>
      <c r="Q1146" s="69">
        <v>0</v>
      </c>
      <c r="R1146" s="69">
        <v>5.9438587549775548</v>
      </c>
      <c r="S1146" s="69">
        <v>5.9438587549775548</v>
      </c>
      <c r="T1146" s="69">
        <v>5.9438587549775548</v>
      </c>
      <c r="U1146" s="69">
        <v>5.9438587549775548</v>
      </c>
      <c r="V1146" s="69">
        <v>5.9438587549775548</v>
      </c>
      <c r="W1146" s="69">
        <v>5.9438587549775548</v>
      </c>
      <c r="X1146" s="69">
        <v>5.9438587549775548</v>
      </c>
      <c r="Y1146" s="69">
        <v>5.9438587549775548</v>
      </c>
      <c r="Z1146" s="69">
        <v>5.9438587549775548</v>
      </c>
      <c r="AA1146" s="69">
        <v>5.9438587549775548</v>
      </c>
      <c r="AB1146" s="69">
        <v>5.9438587549775548</v>
      </c>
      <c r="AC1146" s="69">
        <v>5.9438587549775548</v>
      </c>
      <c r="AD1146" s="69">
        <v>5.9438587549775548</v>
      </c>
      <c r="AE1146" s="69">
        <v>5.9438587549775548</v>
      </c>
      <c r="AF1146" s="69">
        <v>5.9438587549775548</v>
      </c>
      <c r="AG1146" s="69">
        <v>5.9438587549775548</v>
      </c>
    </row>
    <row r="1147" spans="1:33" ht="12.75" customHeight="1">
      <c r="A1147" s="231" t="s">
        <v>2377</v>
      </c>
      <c r="B1147" s="69" t="s">
        <v>785</v>
      </c>
      <c r="C1147" s="69" t="s">
        <v>186</v>
      </c>
      <c r="D1147" s="69" t="s">
        <v>218</v>
      </c>
      <c r="E1147" s="69" t="s">
        <v>244</v>
      </c>
      <c r="F1147" s="69" t="s">
        <v>174</v>
      </c>
      <c r="G1147" s="69" t="s">
        <v>192</v>
      </c>
      <c r="H1147" s="69" t="s">
        <v>148</v>
      </c>
      <c r="I1147" s="69">
        <v>4</v>
      </c>
      <c r="J1147" s="238">
        <v>0.2668262983999703</v>
      </c>
      <c r="K1147" s="238">
        <v>0</v>
      </c>
      <c r="L1147" s="69">
        <v>176.76062608695653</v>
      </c>
      <c r="M1147" s="69">
        <v>0</v>
      </c>
      <c r="N1147" s="69">
        <v>0</v>
      </c>
      <c r="O1147" s="69">
        <v>0</v>
      </c>
      <c r="P1147" s="69">
        <v>0</v>
      </c>
      <c r="Q1147" s="69">
        <v>0</v>
      </c>
      <c r="R1147" s="69">
        <v>24.364721302572431</v>
      </c>
      <c r="S1147" s="69">
        <v>24.364721302572431</v>
      </c>
      <c r="T1147" s="69">
        <v>24.364721302572431</v>
      </c>
      <c r="U1147" s="69">
        <v>24.364721302572431</v>
      </c>
      <c r="V1147" s="69">
        <v>24.364721302572431</v>
      </c>
      <c r="W1147" s="69">
        <v>24.364721302572431</v>
      </c>
      <c r="X1147" s="69">
        <v>24.364721302572431</v>
      </c>
      <c r="Y1147" s="69">
        <v>24.364721302572431</v>
      </c>
      <c r="Z1147" s="69">
        <v>24.364721302572431</v>
      </c>
      <c r="AA1147" s="69">
        <v>24.364721302572431</v>
      </c>
      <c r="AB1147" s="69">
        <v>24.364721302572431</v>
      </c>
      <c r="AC1147" s="69">
        <v>24.364721302572431</v>
      </c>
      <c r="AD1147" s="69">
        <v>24.364721302572431</v>
      </c>
      <c r="AE1147" s="69">
        <v>24.364721302572431</v>
      </c>
      <c r="AF1147" s="69">
        <v>24.364721302572431</v>
      </c>
      <c r="AG1147" s="69">
        <v>24.364721302572431</v>
      </c>
    </row>
    <row r="1148" spans="1:33" ht="12.75" customHeight="1">
      <c r="A1148" s="231" t="s">
        <v>2377</v>
      </c>
      <c r="B1148" s="69" t="s">
        <v>791</v>
      </c>
      <c r="C1148" s="69" t="s">
        <v>186</v>
      </c>
      <c r="D1148" s="69" t="s">
        <v>218</v>
      </c>
      <c r="E1148" s="69" t="s">
        <v>203</v>
      </c>
      <c r="F1148" s="69" t="s">
        <v>174</v>
      </c>
      <c r="G1148" s="69" t="s">
        <v>192</v>
      </c>
      <c r="H1148" s="69" t="s">
        <v>148</v>
      </c>
      <c r="I1148" s="69">
        <v>4</v>
      </c>
      <c r="J1148" s="238">
        <v>0.23561922263058246</v>
      </c>
      <c r="K1148" s="238">
        <v>0</v>
      </c>
      <c r="L1148" s="69">
        <v>200.17205317577549</v>
      </c>
      <c r="M1148" s="69">
        <v>0</v>
      </c>
      <c r="N1148" s="69">
        <v>0</v>
      </c>
      <c r="O1148" s="69">
        <v>0</v>
      </c>
      <c r="P1148" s="69">
        <v>0</v>
      </c>
      <c r="Q1148" s="69">
        <v>0</v>
      </c>
      <c r="R1148" s="69">
        <v>36.025297527983639</v>
      </c>
      <c r="S1148" s="69">
        <v>36.025297527983639</v>
      </c>
      <c r="T1148" s="69">
        <v>36.025297527983639</v>
      </c>
      <c r="U1148" s="69">
        <v>36.025297527983639</v>
      </c>
      <c r="V1148" s="69">
        <v>36.025297527983639</v>
      </c>
      <c r="W1148" s="69">
        <v>36.025297527983639</v>
      </c>
      <c r="X1148" s="69">
        <v>36.025297527983639</v>
      </c>
      <c r="Y1148" s="69">
        <v>36.025297527983639</v>
      </c>
      <c r="Z1148" s="69">
        <v>36.025297527983639</v>
      </c>
      <c r="AA1148" s="69">
        <v>36.025297527983639</v>
      </c>
      <c r="AB1148" s="69">
        <v>36.025297527983639</v>
      </c>
      <c r="AC1148" s="69">
        <v>36.025297527983639</v>
      </c>
      <c r="AD1148" s="69">
        <v>36.025297527983639</v>
      </c>
      <c r="AE1148" s="69">
        <v>36.025297527983639</v>
      </c>
      <c r="AF1148" s="69">
        <v>36.025297527983639</v>
      </c>
      <c r="AG1148" s="69">
        <v>36.025297527983639</v>
      </c>
    </row>
    <row r="1149" spans="1:33" ht="12.75" customHeight="1">
      <c r="A1149" s="231" t="s">
        <v>2377</v>
      </c>
      <c r="B1149" s="69" t="s">
        <v>797</v>
      </c>
      <c r="C1149" s="69" t="s">
        <v>186</v>
      </c>
      <c r="D1149" s="69" t="s">
        <v>218</v>
      </c>
      <c r="E1149" s="69" t="s">
        <v>260</v>
      </c>
      <c r="F1149" s="69" t="s">
        <v>174</v>
      </c>
      <c r="G1149" s="69" t="s">
        <v>192</v>
      </c>
      <c r="H1149" s="69" t="s">
        <v>148</v>
      </c>
      <c r="I1149" s="69">
        <v>4</v>
      </c>
      <c r="J1149" s="238">
        <v>0.21868155325388869</v>
      </c>
      <c r="K1149" s="238">
        <v>0</v>
      </c>
      <c r="L1149" s="69">
        <v>215.67609549071616</v>
      </c>
      <c r="M1149" s="69">
        <v>0</v>
      </c>
      <c r="N1149" s="69">
        <v>0</v>
      </c>
      <c r="O1149" s="69">
        <v>0</v>
      </c>
      <c r="P1149" s="69">
        <v>0</v>
      </c>
      <c r="Q1149" s="69">
        <v>0</v>
      </c>
      <c r="R1149" s="69">
        <v>6.2691733604369801</v>
      </c>
      <c r="S1149" s="69">
        <v>6.2691733604369801</v>
      </c>
      <c r="T1149" s="69">
        <v>6.2691733604369801</v>
      </c>
      <c r="U1149" s="69">
        <v>6.2691733604369801</v>
      </c>
      <c r="V1149" s="69">
        <v>6.2691733604369801</v>
      </c>
      <c r="W1149" s="69">
        <v>6.2691733604369801</v>
      </c>
      <c r="X1149" s="69">
        <v>6.2691733604369801</v>
      </c>
      <c r="Y1149" s="69">
        <v>6.2691733604369801</v>
      </c>
      <c r="Z1149" s="69">
        <v>6.2691733604369801</v>
      </c>
      <c r="AA1149" s="69">
        <v>6.2691733604369801</v>
      </c>
      <c r="AB1149" s="69">
        <v>6.2691733604369801</v>
      </c>
      <c r="AC1149" s="69">
        <v>6.2691733604369801</v>
      </c>
      <c r="AD1149" s="69">
        <v>6.2691733604369801</v>
      </c>
      <c r="AE1149" s="69">
        <v>6.2691733604369801</v>
      </c>
      <c r="AF1149" s="69">
        <v>6.2691733604369801</v>
      </c>
      <c r="AG1149" s="69">
        <v>6.2691733604369801</v>
      </c>
    </row>
    <row r="1150" spans="1:33">
      <c r="A1150" s="236" t="s">
        <v>2380</v>
      </c>
      <c r="B1150" s="69" t="s">
        <v>190</v>
      </c>
      <c r="C1150" s="69" t="s">
        <v>137</v>
      </c>
      <c r="D1150" s="69" t="s">
        <v>191</v>
      </c>
      <c r="E1150" s="69" t="s">
        <v>191</v>
      </c>
      <c r="F1150" s="69" t="s">
        <v>180</v>
      </c>
      <c r="G1150" s="69" t="s">
        <v>192</v>
      </c>
      <c r="H1150" s="69" t="s">
        <v>804</v>
      </c>
      <c r="I1150" s="69">
        <v>1</v>
      </c>
      <c r="J1150" s="238">
        <v>0.32235762917068039</v>
      </c>
      <c r="K1150" s="238">
        <v>0.160195270625522</v>
      </c>
      <c r="L1150" s="69">
        <v>96.038728079112801</v>
      </c>
      <c r="M1150" s="69">
        <v>0</v>
      </c>
      <c r="N1150" s="69">
        <v>0</v>
      </c>
      <c r="O1150" s="69">
        <v>0</v>
      </c>
      <c r="P1150" s="69">
        <v>0</v>
      </c>
      <c r="Q1150" s="69">
        <v>0</v>
      </c>
      <c r="R1150" s="69">
        <v>533.70818516014515</v>
      </c>
      <c r="S1150" s="69">
        <v>533.70818516014515</v>
      </c>
      <c r="T1150" s="69">
        <v>533.70818516014515</v>
      </c>
      <c r="U1150" s="69">
        <v>533.70818516014515</v>
      </c>
      <c r="V1150" s="69">
        <v>533.70818516014515</v>
      </c>
      <c r="W1150" s="69">
        <v>533.70818516014515</v>
      </c>
      <c r="X1150" s="69">
        <v>533.70818516014515</v>
      </c>
      <c r="Y1150" s="69">
        <v>533.70818516014515</v>
      </c>
      <c r="Z1150" s="69">
        <v>533.70818516014515</v>
      </c>
      <c r="AA1150" s="69">
        <v>533.70818516014515</v>
      </c>
      <c r="AB1150" s="69">
        <v>533.70818516014515</v>
      </c>
      <c r="AC1150" s="69">
        <v>533.70818516014515</v>
      </c>
      <c r="AD1150" s="69">
        <v>533.70818516014515</v>
      </c>
      <c r="AE1150" s="69">
        <v>533.70818516014515</v>
      </c>
      <c r="AF1150" s="69">
        <v>533.70818516014515</v>
      </c>
      <c r="AG1150" s="69">
        <v>533.70818516014515</v>
      </c>
    </row>
    <row r="1151" spans="1:33">
      <c r="A1151" s="236" t="s">
        <v>2380</v>
      </c>
      <c r="B1151" s="69" t="s">
        <v>2158</v>
      </c>
      <c r="C1151" s="69" t="s">
        <v>185</v>
      </c>
      <c r="D1151" s="69" t="s">
        <v>193</v>
      </c>
      <c r="E1151" s="69" t="s">
        <v>194</v>
      </c>
      <c r="F1151" s="69" t="s">
        <v>2159</v>
      </c>
      <c r="G1151" s="69" t="s">
        <v>192</v>
      </c>
      <c r="H1151" s="69" t="s">
        <v>804</v>
      </c>
      <c r="I1151" s="69">
        <v>2</v>
      </c>
      <c r="J1151" s="238">
        <v>0.28999999999999998</v>
      </c>
      <c r="K1151" s="238">
        <v>0.64899944627365458</v>
      </c>
      <c r="L1151" s="69">
        <v>160.03163342556323</v>
      </c>
      <c r="M1151" s="69">
        <v>0</v>
      </c>
      <c r="N1151" s="69">
        <v>0</v>
      </c>
      <c r="O1151" s="69">
        <v>0</v>
      </c>
      <c r="P1151" s="69">
        <v>0</v>
      </c>
      <c r="Q1151" s="69">
        <v>0</v>
      </c>
      <c r="R1151" s="69">
        <v>0</v>
      </c>
      <c r="S1151" s="69">
        <v>0</v>
      </c>
      <c r="T1151" s="69">
        <v>0</v>
      </c>
      <c r="U1151" s="69">
        <v>0</v>
      </c>
      <c r="V1151" s="69">
        <v>8.2538986392700249</v>
      </c>
      <c r="W1151" s="69">
        <v>8.2538986392700249</v>
      </c>
      <c r="X1151" s="69">
        <v>8.2538986392700249</v>
      </c>
      <c r="Y1151" s="69">
        <v>8.2538986392700249</v>
      </c>
      <c r="Z1151" s="69">
        <v>8.2538986392700249</v>
      </c>
      <c r="AA1151" s="69">
        <v>8.2538986392700249</v>
      </c>
      <c r="AB1151" s="69">
        <v>8.2538986392700249</v>
      </c>
      <c r="AC1151" s="69">
        <v>8.2538986392700249</v>
      </c>
      <c r="AD1151" s="69">
        <v>8.2538986392700249</v>
      </c>
      <c r="AE1151" s="69">
        <v>8.2538986392700249</v>
      </c>
      <c r="AF1151" s="69">
        <v>8.2538986392700249</v>
      </c>
      <c r="AG1151" s="69">
        <v>8.2538986392700249</v>
      </c>
    </row>
    <row r="1152" spans="1:33">
      <c r="A1152" s="236" t="s">
        <v>2380</v>
      </c>
      <c r="B1152" s="69" t="s">
        <v>195</v>
      </c>
      <c r="C1152" s="69" t="s">
        <v>187</v>
      </c>
      <c r="D1152" s="69" t="s">
        <v>191</v>
      </c>
      <c r="E1152" s="69" t="s">
        <v>191</v>
      </c>
      <c r="F1152" s="69" t="s">
        <v>162</v>
      </c>
      <c r="G1152" s="69" t="s">
        <v>192</v>
      </c>
      <c r="H1152" s="69" t="s">
        <v>804</v>
      </c>
      <c r="I1152" s="69">
        <v>1</v>
      </c>
      <c r="J1152" s="238">
        <v>0.2668262983999703</v>
      </c>
      <c r="K1152" s="238">
        <v>0.80317779599171035</v>
      </c>
      <c r="L1152" s="69">
        <v>192.38629588063705</v>
      </c>
      <c r="M1152" s="69">
        <v>0</v>
      </c>
      <c r="N1152" s="69">
        <v>0</v>
      </c>
      <c r="O1152" s="69">
        <v>0</v>
      </c>
      <c r="P1152" s="69">
        <v>0</v>
      </c>
      <c r="Q1152" s="69">
        <v>0</v>
      </c>
      <c r="R1152" s="69">
        <v>144.91869918699012</v>
      </c>
      <c r="S1152" s="69">
        <v>144.91869918699012</v>
      </c>
      <c r="T1152" s="69">
        <v>144.91869918699012</v>
      </c>
      <c r="U1152" s="69">
        <v>144.91869918699012</v>
      </c>
      <c r="V1152" s="69">
        <v>144.91869918699012</v>
      </c>
      <c r="W1152" s="69">
        <v>144.91869918699012</v>
      </c>
      <c r="X1152" s="69">
        <v>144.91869918699012</v>
      </c>
      <c r="Y1152" s="69">
        <v>144.91869918699012</v>
      </c>
      <c r="Z1152" s="69">
        <v>144.91869918699012</v>
      </c>
      <c r="AA1152" s="69">
        <v>144.91869918699012</v>
      </c>
      <c r="AB1152" s="69">
        <v>144.91869918699012</v>
      </c>
      <c r="AC1152" s="69">
        <v>144.91869918699012</v>
      </c>
      <c r="AD1152" s="69">
        <v>144.91869918699012</v>
      </c>
      <c r="AE1152" s="69">
        <v>144.91869918699012</v>
      </c>
      <c r="AF1152" s="69">
        <v>144.91869918699012</v>
      </c>
      <c r="AG1152" s="69">
        <v>144.91869918699012</v>
      </c>
    </row>
    <row r="1153" spans="1:33">
      <c r="A1153" s="236" t="s">
        <v>2380</v>
      </c>
      <c r="B1153" s="69" t="s">
        <v>196</v>
      </c>
      <c r="C1153" s="69" t="s">
        <v>187</v>
      </c>
      <c r="D1153" s="69" t="s">
        <v>191</v>
      </c>
      <c r="E1153" s="69" t="s">
        <v>191</v>
      </c>
      <c r="F1153" s="69" t="s">
        <v>175</v>
      </c>
      <c r="G1153" s="69" t="s">
        <v>192</v>
      </c>
      <c r="H1153" s="69" t="s">
        <v>804</v>
      </c>
      <c r="I1153" s="69">
        <v>1</v>
      </c>
      <c r="J1153" s="238">
        <v>0.2668262983999703</v>
      </c>
      <c r="K1153" s="238">
        <v>0.69237077523038792</v>
      </c>
      <c r="L1153" s="69">
        <v>192.38629588063705</v>
      </c>
      <c r="M1153" s="69">
        <v>0</v>
      </c>
      <c r="N1153" s="69">
        <v>0</v>
      </c>
      <c r="O1153" s="69">
        <v>0</v>
      </c>
      <c r="P1153" s="69">
        <v>0</v>
      </c>
      <c r="Q1153" s="69">
        <v>292.17479674796778</v>
      </c>
      <c r="R1153" s="69">
        <v>292.17479674796778</v>
      </c>
      <c r="S1153" s="69">
        <v>292.17479674796778</v>
      </c>
      <c r="T1153" s="69">
        <v>292.17479674796778</v>
      </c>
      <c r="U1153" s="69">
        <v>292.17479674796778</v>
      </c>
      <c r="V1153" s="69">
        <v>292.17479674796778</v>
      </c>
      <c r="W1153" s="69">
        <v>292.17479674796778</v>
      </c>
      <c r="X1153" s="69">
        <v>292.17479674796778</v>
      </c>
      <c r="Y1153" s="69">
        <v>292.17479674796778</v>
      </c>
      <c r="Z1153" s="69">
        <v>292.17479674796778</v>
      </c>
      <c r="AA1153" s="69">
        <v>292.17479674796778</v>
      </c>
      <c r="AB1153" s="69">
        <v>292.17479674796778</v>
      </c>
      <c r="AC1153" s="69">
        <v>292.17479674796778</v>
      </c>
      <c r="AD1153" s="69">
        <v>292.17479674796778</v>
      </c>
      <c r="AE1153" s="69">
        <v>292.17479674796778</v>
      </c>
      <c r="AF1153" s="69">
        <v>292.17479674796778</v>
      </c>
      <c r="AG1153" s="69">
        <v>292.17479674796778</v>
      </c>
    </row>
    <row r="1154" spans="1:33">
      <c r="A1154" s="236" t="s">
        <v>2380</v>
      </c>
      <c r="B1154" s="69" t="s">
        <v>197</v>
      </c>
      <c r="C1154" s="69" t="s">
        <v>187</v>
      </c>
      <c r="D1154" s="69" t="s">
        <v>191</v>
      </c>
      <c r="E1154" s="69" t="s">
        <v>191</v>
      </c>
      <c r="F1154" s="69" t="s">
        <v>175</v>
      </c>
      <c r="G1154" s="69" t="s">
        <v>192</v>
      </c>
      <c r="H1154" s="69" t="s">
        <v>804</v>
      </c>
      <c r="I1154" s="69">
        <v>1</v>
      </c>
      <c r="J1154" s="238">
        <v>0.2668262983999703</v>
      </c>
      <c r="K1154" s="238">
        <v>0.69237077523038792</v>
      </c>
      <c r="L1154" s="69">
        <v>192.38629588063705</v>
      </c>
      <c r="M1154" s="69">
        <v>0</v>
      </c>
      <c r="N1154" s="69">
        <v>0</v>
      </c>
      <c r="O1154" s="69">
        <v>0</v>
      </c>
      <c r="P1154" s="69">
        <v>0</v>
      </c>
      <c r="Q1154" s="69">
        <v>0</v>
      </c>
      <c r="R1154" s="69">
        <v>292.17479674796778</v>
      </c>
      <c r="S1154" s="69">
        <v>292.17479674796778</v>
      </c>
      <c r="T1154" s="69">
        <v>292.17479674796778</v>
      </c>
      <c r="U1154" s="69">
        <v>292.17479674796778</v>
      </c>
      <c r="V1154" s="69">
        <v>292.17479674796778</v>
      </c>
      <c r="W1154" s="69">
        <v>292.17479674796778</v>
      </c>
      <c r="X1154" s="69">
        <v>292.17479674796778</v>
      </c>
      <c r="Y1154" s="69">
        <v>292.17479674796778</v>
      </c>
      <c r="Z1154" s="69">
        <v>292.17479674796778</v>
      </c>
      <c r="AA1154" s="69">
        <v>292.17479674796778</v>
      </c>
      <c r="AB1154" s="69">
        <v>292.17479674796778</v>
      </c>
      <c r="AC1154" s="69">
        <v>292.17479674796778</v>
      </c>
      <c r="AD1154" s="69">
        <v>292.17479674796778</v>
      </c>
      <c r="AE1154" s="69">
        <v>292.17479674796778</v>
      </c>
      <c r="AF1154" s="69">
        <v>292.17479674796778</v>
      </c>
      <c r="AG1154" s="69">
        <v>292.17479674796778</v>
      </c>
    </row>
    <row r="1155" spans="1:33">
      <c r="A1155" s="236" t="s">
        <v>2380</v>
      </c>
      <c r="B1155" s="69" t="s">
        <v>198</v>
      </c>
      <c r="C1155" s="69" t="s">
        <v>137</v>
      </c>
      <c r="D1155" s="69" t="s">
        <v>191</v>
      </c>
      <c r="E1155" s="69" t="s">
        <v>191</v>
      </c>
      <c r="F1155" s="69" t="s">
        <v>168</v>
      </c>
      <c r="G1155" s="69" t="s">
        <v>199</v>
      </c>
      <c r="H1155" s="69" t="s">
        <v>2417</v>
      </c>
      <c r="I1155" s="69">
        <v>1</v>
      </c>
      <c r="J1155" s="238">
        <v>0.29204999999999998</v>
      </c>
      <c r="K1155" s="238">
        <v>0.18436399478639695</v>
      </c>
      <c r="L1155" s="69">
        <v>95.155627725733936</v>
      </c>
      <c r="M1155" s="69">
        <v>0</v>
      </c>
      <c r="N1155" s="69">
        <v>230.25222000000034</v>
      </c>
      <c r="O1155" s="69">
        <v>230.25222000000034</v>
      </c>
      <c r="P1155" s="69">
        <v>230.25222000000034</v>
      </c>
      <c r="Q1155" s="69">
        <v>230.25222000000034</v>
      </c>
      <c r="R1155" s="69">
        <v>230.25222000000034</v>
      </c>
      <c r="S1155" s="69">
        <v>230.25222000000034</v>
      </c>
      <c r="T1155" s="69">
        <v>230.25222000000034</v>
      </c>
      <c r="U1155" s="69">
        <v>230.25222000000034</v>
      </c>
      <c r="V1155" s="69">
        <v>230.25222000000034</v>
      </c>
      <c r="W1155" s="69">
        <v>230.25222000000034</v>
      </c>
      <c r="X1155" s="69">
        <v>230.25222000000034</v>
      </c>
      <c r="Y1155" s="69">
        <v>230.25222000000034</v>
      </c>
      <c r="Z1155" s="69">
        <v>230.25222000000034</v>
      </c>
      <c r="AA1155" s="69">
        <v>230.25222000000034</v>
      </c>
      <c r="AB1155" s="69">
        <v>230.25222000000034</v>
      </c>
      <c r="AC1155" s="69">
        <v>230.25222000000034</v>
      </c>
      <c r="AD1155" s="69">
        <v>230.25222000000034</v>
      </c>
      <c r="AE1155" s="69">
        <v>230.25222000000034</v>
      </c>
      <c r="AF1155" s="69">
        <v>230.25222000000034</v>
      </c>
      <c r="AG1155" s="69">
        <v>230.25222000000034</v>
      </c>
    </row>
    <row r="1156" spans="1:33">
      <c r="A1156" s="236" t="s">
        <v>2380</v>
      </c>
      <c r="B1156" s="69" t="s">
        <v>200</v>
      </c>
      <c r="C1156" s="69" t="s">
        <v>185</v>
      </c>
      <c r="D1156" s="69" t="s">
        <v>193</v>
      </c>
      <c r="E1156" s="69" t="s">
        <v>194</v>
      </c>
      <c r="F1156" s="69" t="s">
        <v>153</v>
      </c>
      <c r="G1156" s="69" t="s">
        <v>201</v>
      </c>
      <c r="H1156" s="69" t="s">
        <v>2417</v>
      </c>
      <c r="I1156" s="69">
        <v>1</v>
      </c>
      <c r="J1156" s="238">
        <v>0.28999999999999998</v>
      </c>
      <c r="K1156" s="238">
        <v>0.621244203313703</v>
      </c>
      <c r="L1156" s="69">
        <v>144.14559944117298</v>
      </c>
      <c r="M1156" s="69">
        <v>0</v>
      </c>
      <c r="N1156" s="69">
        <v>0</v>
      </c>
      <c r="O1156" s="69">
        <v>0</v>
      </c>
      <c r="P1156" s="69">
        <v>0</v>
      </c>
      <c r="Q1156" s="69">
        <v>0</v>
      </c>
      <c r="R1156" s="69">
        <v>736.71599999999853</v>
      </c>
      <c r="S1156" s="69">
        <v>736.71599999999853</v>
      </c>
      <c r="T1156" s="69">
        <v>736.71599999999853</v>
      </c>
      <c r="U1156" s="69">
        <v>736.71599999999853</v>
      </c>
      <c r="V1156" s="69">
        <v>736.71599999999853</v>
      </c>
      <c r="W1156" s="69">
        <v>736.71599999999853</v>
      </c>
      <c r="X1156" s="69">
        <v>736.71599999999853</v>
      </c>
      <c r="Y1156" s="69">
        <v>736.71599999999853</v>
      </c>
      <c r="Z1156" s="69">
        <v>736.71599999999853</v>
      </c>
      <c r="AA1156" s="69">
        <v>736.71599999999853</v>
      </c>
      <c r="AB1156" s="69">
        <v>736.71599999999853</v>
      </c>
      <c r="AC1156" s="69">
        <v>736.71599999999853</v>
      </c>
      <c r="AD1156" s="69">
        <v>736.71599999999853</v>
      </c>
      <c r="AE1156" s="69">
        <v>736.71599999999853</v>
      </c>
      <c r="AF1156" s="69">
        <v>736.71599999999853</v>
      </c>
      <c r="AG1156" s="69">
        <v>736.71599999999853</v>
      </c>
    </row>
    <row r="1157" spans="1:33">
      <c r="A1157" s="236" t="s">
        <v>2380</v>
      </c>
      <c r="B1157" s="69" t="s">
        <v>202</v>
      </c>
      <c r="C1157" s="69" t="s">
        <v>185</v>
      </c>
      <c r="D1157" s="69" t="s">
        <v>193</v>
      </c>
      <c r="E1157" s="69" t="s">
        <v>203</v>
      </c>
      <c r="F1157" s="69" t="s">
        <v>167</v>
      </c>
      <c r="G1157" s="69" t="s">
        <v>192</v>
      </c>
      <c r="H1157" s="69" t="s">
        <v>805</v>
      </c>
      <c r="I1157" s="69">
        <v>1</v>
      </c>
      <c r="J1157" s="238">
        <v>0.26649999999999996</v>
      </c>
      <c r="K1157" s="238">
        <v>0.65</v>
      </c>
      <c r="L1157" s="69">
        <v>173.91260768823273</v>
      </c>
      <c r="M1157" s="69">
        <v>0</v>
      </c>
      <c r="N1157" s="69">
        <v>0</v>
      </c>
      <c r="O1157" s="69">
        <v>0</v>
      </c>
      <c r="P1157" s="69">
        <v>0</v>
      </c>
      <c r="Q1157" s="69">
        <v>116.72699999999895</v>
      </c>
      <c r="R1157" s="69">
        <v>116.72699999999895</v>
      </c>
      <c r="S1157" s="69">
        <v>116.72699999999895</v>
      </c>
      <c r="T1157" s="69">
        <v>116.72699999999895</v>
      </c>
      <c r="U1157" s="69">
        <v>116.72699999999895</v>
      </c>
      <c r="V1157" s="69">
        <v>116.72699999999895</v>
      </c>
      <c r="W1157" s="69">
        <v>116.72699999999895</v>
      </c>
      <c r="X1157" s="69">
        <v>116.72699999999895</v>
      </c>
      <c r="Y1157" s="69">
        <v>116.72699999999895</v>
      </c>
      <c r="Z1157" s="69">
        <v>116.72699999999895</v>
      </c>
      <c r="AA1157" s="69">
        <v>116.72699999999895</v>
      </c>
      <c r="AB1157" s="69">
        <v>116.72699999999895</v>
      </c>
      <c r="AC1157" s="69">
        <v>116.72699999999895</v>
      </c>
      <c r="AD1157" s="69">
        <v>116.72699999999895</v>
      </c>
      <c r="AE1157" s="69">
        <v>116.72699999999895</v>
      </c>
      <c r="AF1157" s="69">
        <v>116.72699999999895</v>
      </c>
      <c r="AG1157" s="69">
        <v>116.72699999999895</v>
      </c>
    </row>
    <row r="1158" spans="1:33">
      <c r="A1158" s="236" t="s">
        <v>2380</v>
      </c>
      <c r="B1158" s="69" t="s">
        <v>204</v>
      </c>
      <c r="C1158" s="69" t="s">
        <v>185</v>
      </c>
      <c r="D1158" s="69" t="s">
        <v>205</v>
      </c>
      <c r="E1158" s="69" t="s">
        <v>194</v>
      </c>
      <c r="F1158" s="69" t="s">
        <v>175</v>
      </c>
      <c r="G1158" s="69" t="s">
        <v>192</v>
      </c>
      <c r="H1158" s="69" t="s">
        <v>804</v>
      </c>
      <c r="I1158" s="69">
        <v>1</v>
      </c>
      <c r="J1158" s="238">
        <v>0.26624999999999999</v>
      </c>
      <c r="K1158" s="238">
        <v>0.50027165852802347</v>
      </c>
      <c r="L1158" s="69">
        <v>147.69233230629843</v>
      </c>
      <c r="M1158" s="69">
        <v>0</v>
      </c>
      <c r="N1158" s="69">
        <v>0</v>
      </c>
      <c r="O1158" s="69">
        <v>0</v>
      </c>
      <c r="P1158" s="69">
        <v>0</v>
      </c>
      <c r="Q1158" s="69">
        <v>0</v>
      </c>
      <c r="R1158" s="69">
        <v>0</v>
      </c>
      <c r="S1158" s="69">
        <v>699.70499999999993</v>
      </c>
      <c r="T1158" s="69">
        <v>699.70499999999993</v>
      </c>
      <c r="U1158" s="69">
        <v>699.70499999999993</v>
      </c>
      <c r="V1158" s="69">
        <v>699.70499999999993</v>
      </c>
      <c r="W1158" s="69">
        <v>699.70499999999993</v>
      </c>
      <c r="X1158" s="69">
        <v>699.70499999999993</v>
      </c>
      <c r="Y1158" s="69">
        <v>699.70499999999993</v>
      </c>
      <c r="Z1158" s="69">
        <v>699.70499999999993</v>
      </c>
      <c r="AA1158" s="69">
        <v>699.70499999999993</v>
      </c>
      <c r="AB1158" s="69">
        <v>699.70499999999993</v>
      </c>
      <c r="AC1158" s="69">
        <v>699.70499999999993</v>
      </c>
      <c r="AD1158" s="69">
        <v>699.70499999999993</v>
      </c>
      <c r="AE1158" s="69">
        <v>699.70499999999993</v>
      </c>
      <c r="AF1158" s="69">
        <v>699.70499999999993</v>
      </c>
      <c r="AG1158" s="69">
        <v>699.70499999999993</v>
      </c>
    </row>
    <row r="1159" spans="1:33">
      <c r="A1159" s="236" t="s">
        <v>2380</v>
      </c>
      <c r="B1159" s="69" t="s">
        <v>206</v>
      </c>
      <c r="C1159" s="69" t="s">
        <v>185</v>
      </c>
      <c r="D1159" s="69" t="s">
        <v>193</v>
      </c>
      <c r="E1159" s="69" t="s">
        <v>203</v>
      </c>
      <c r="F1159" s="69" t="s">
        <v>155</v>
      </c>
      <c r="G1159" s="69" t="s">
        <v>192</v>
      </c>
      <c r="H1159" s="69" t="s">
        <v>805</v>
      </c>
      <c r="I1159" s="69">
        <v>1</v>
      </c>
      <c r="J1159" s="238">
        <v>0.26649999999999996</v>
      </c>
      <c r="K1159" s="238">
        <v>0.63277303047366895</v>
      </c>
      <c r="L1159" s="69">
        <v>173.91260768823275</v>
      </c>
      <c r="M1159" s="69">
        <v>0</v>
      </c>
      <c r="N1159" s="69">
        <v>0</v>
      </c>
      <c r="O1159" s="69">
        <v>0</v>
      </c>
      <c r="P1159" s="69">
        <v>0</v>
      </c>
      <c r="Q1159" s="69">
        <v>0</v>
      </c>
      <c r="R1159" s="69">
        <v>0</v>
      </c>
      <c r="S1159" s="69">
        <v>93.38159999999985</v>
      </c>
      <c r="T1159" s="69">
        <v>93.38159999999985</v>
      </c>
      <c r="U1159" s="69">
        <v>93.38159999999985</v>
      </c>
      <c r="V1159" s="69">
        <v>93.38159999999985</v>
      </c>
      <c r="W1159" s="69">
        <v>93.38159999999985</v>
      </c>
      <c r="X1159" s="69">
        <v>93.38159999999985</v>
      </c>
      <c r="Y1159" s="69">
        <v>93.38159999999985</v>
      </c>
      <c r="Z1159" s="69">
        <v>93.38159999999985</v>
      </c>
      <c r="AA1159" s="69">
        <v>93.38159999999985</v>
      </c>
      <c r="AB1159" s="69">
        <v>93.38159999999985</v>
      </c>
      <c r="AC1159" s="69">
        <v>93.38159999999985</v>
      </c>
      <c r="AD1159" s="69">
        <v>93.38159999999985</v>
      </c>
      <c r="AE1159" s="69">
        <v>93.38159999999985</v>
      </c>
      <c r="AF1159" s="69">
        <v>93.38159999999985</v>
      </c>
      <c r="AG1159" s="69">
        <v>93.38159999999985</v>
      </c>
    </row>
    <row r="1160" spans="1:33">
      <c r="A1160" s="236" t="s">
        <v>2380</v>
      </c>
      <c r="B1160" s="69" t="s">
        <v>207</v>
      </c>
      <c r="C1160" s="69" t="s">
        <v>139</v>
      </c>
      <c r="D1160" s="69" t="s">
        <v>191</v>
      </c>
      <c r="E1160" s="69" t="s">
        <v>191</v>
      </c>
      <c r="F1160" s="69" t="s">
        <v>167</v>
      </c>
      <c r="G1160" s="69" t="s">
        <v>192</v>
      </c>
      <c r="H1160" s="69" t="s">
        <v>805</v>
      </c>
      <c r="I1160" s="69">
        <v>1</v>
      </c>
      <c r="J1160" s="238">
        <v>0.85</v>
      </c>
      <c r="K1160" s="238">
        <v>0.66</v>
      </c>
      <c r="L1160" s="69">
        <v>127.99027888971092</v>
      </c>
      <c r="M1160" s="69">
        <v>0</v>
      </c>
      <c r="N1160" s="69">
        <v>0</v>
      </c>
      <c r="O1160" s="69">
        <v>0</v>
      </c>
      <c r="P1160" s="69">
        <v>0</v>
      </c>
      <c r="Q1160" s="69">
        <v>335.07</v>
      </c>
      <c r="R1160" s="69">
        <v>335.07</v>
      </c>
      <c r="S1160" s="69">
        <v>335.07</v>
      </c>
      <c r="T1160" s="69">
        <v>335.07</v>
      </c>
      <c r="U1160" s="69">
        <v>335.07</v>
      </c>
      <c r="V1160" s="69">
        <v>335.07</v>
      </c>
      <c r="W1160" s="69">
        <v>335.07</v>
      </c>
      <c r="X1160" s="69">
        <v>335.07</v>
      </c>
      <c r="Y1160" s="69">
        <v>335.07</v>
      </c>
      <c r="Z1160" s="69">
        <v>335.07</v>
      </c>
      <c r="AA1160" s="69">
        <v>335.07</v>
      </c>
      <c r="AB1160" s="69">
        <v>335.07</v>
      </c>
      <c r="AC1160" s="69">
        <v>335.07</v>
      </c>
      <c r="AD1160" s="69">
        <v>335.07</v>
      </c>
      <c r="AE1160" s="69">
        <v>335.07</v>
      </c>
      <c r="AF1160" s="69">
        <v>335.07</v>
      </c>
      <c r="AG1160" s="69">
        <v>335.07</v>
      </c>
    </row>
    <row r="1161" spans="1:33">
      <c r="A1161" s="236" t="s">
        <v>2380</v>
      </c>
      <c r="B1161" s="69" t="s">
        <v>208</v>
      </c>
      <c r="C1161" s="69" t="s">
        <v>187</v>
      </c>
      <c r="D1161" s="69" t="s">
        <v>209</v>
      </c>
      <c r="E1161" s="69" t="s">
        <v>191</v>
      </c>
      <c r="F1161" s="69" t="s">
        <v>167</v>
      </c>
      <c r="G1161" s="69" t="s">
        <v>192</v>
      </c>
      <c r="H1161" s="69" t="s">
        <v>804</v>
      </c>
      <c r="I1161" s="69">
        <v>1</v>
      </c>
      <c r="J1161" s="238">
        <v>0.36</v>
      </c>
      <c r="K1161" s="238">
        <v>1</v>
      </c>
      <c r="L1161" s="69">
        <v>191.5297352118086</v>
      </c>
      <c r="M1161" s="69">
        <v>0</v>
      </c>
      <c r="N1161" s="69">
        <v>0</v>
      </c>
      <c r="O1161" s="69">
        <v>0</v>
      </c>
      <c r="P1161" s="69">
        <v>0</v>
      </c>
      <c r="Q1161" s="69">
        <v>473.04000000000093</v>
      </c>
      <c r="R1161" s="69">
        <v>473.04000000000093</v>
      </c>
      <c r="S1161" s="69">
        <v>473.04000000000093</v>
      </c>
      <c r="T1161" s="69">
        <v>473.04000000000093</v>
      </c>
      <c r="U1161" s="69">
        <v>473.04000000000093</v>
      </c>
      <c r="V1161" s="69">
        <v>473.04000000000093</v>
      </c>
      <c r="W1161" s="69">
        <v>473.04000000000093</v>
      </c>
      <c r="X1161" s="69">
        <v>473.04000000000093</v>
      </c>
      <c r="Y1161" s="69">
        <v>473.04000000000093</v>
      </c>
      <c r="Z1161" s="69">
        <v>473.04000000000093</v>
      </c>
      <c r="AA1161" s="69">
        <v>473.04000000000093</v>
      </c>
      <c r="AB1161" s="69">
        <v>473.04000000000093</v>
      </c>
      <c r="AC1161" s="69">
        <v>473.04000000000093</v>
      </c>
      <c r="AD1161" s="69">
        <v>473.04000000000093</v>
      </c>
      <c r="AE1161" s="69">
        <v>473.04000000000093</v>
      </c>
      <c r="AF1161" s="69">
        <v>473.04000000000093</v>
      </c>
      <c r="AG1161" s="69">
        <v>473.04000000000093</v>
      </c>
    </row>
    <row r="1162" spans="1:33">
      <c r="A1162" s="236" t="s">
        <v>2380</v>
      </c>
      <c r="B1162" s="69" t="s">
        <v>210</v>
      </c>
      <c r="C1162" s="69" t="s">
        <v>184</v>
      </c>
      <c r="D1162" s="69" t="s">
        <v>140</v>
      </c>
      <c r="E1162" s="69" t="s">
        <v>191</v>
      </c>
      <c r="F1162" s="69" t="s">
        <v>179</v>
      </c>
      <c r="G1162" s="69" t="s">
        <v>192</v>
      </c>
      <c r="H1162" s="69" t="s">
        <v>805</v>
      </c>
      <c r="I1162" s="69">
        <v>2</v>
      </c>
      <c r="J1162" s="238">
        <v>0.8</v>
      </c>
      <c r="K1162" s="238">
        <v>0</v>
      </c>
      <c r="L1162" s="69">
        <v>114.19797366361543</v>
      </c>
      <c r="M1162" s="69">
        <v>0</v>
      </c>
      <c r="N1162" s="69">
        <v>0</v>
      </c>
      <c r="O1162" s="69">
        <v>0</v>
      </c>
      <c r="P1162" s="69">
        <v>0</v>
      </c>
      <c r="Q1162" s="69">
        <v>0</v>
      </c>
      <c r="R1162" s="69">
        <v>0</v>
      </c>
      <c r="S1162" s="69">
        <v>0</v>
      </c>
      <c r="T1162" s="69">
        <v>21.024000000000033</v>
      </c>
      <c r="U1162" s="69">
        <v>21.024000000000033</v>
      </c>
      <c r="V1162" s="69">
        <v>21.024000000000033</v>
      </c>
      <c r="W1162" s="69">
        <v>21.024000000000033</v>
      </c>
      <c r="X1162" s="69">
        <v>21.024000000000033</v>
      </c>
      <c r="Y1162" s="69">
        <v>21.024000000000033</v>
      </c>
      <c r="Z1162" s="69">
        <v>21.024000000000033</v>
      </c>
      <c r="AA1162" s="69">
        <v>21.024000000000033</v>
      </c>
      <c r="AB1162" s="69">
        <v>21.024000000000033</v>
      </c>
      <c r="AC1162" s="69">
        <v>21.024000000000033</v>
      </c>
      <c r="AD1162" s="69">
        <v>21.024000000000033</v>
      </c>
      <c r="AE1162" s="69">
        <v>21.024000000000033</v>
      </c>
      <c r="AF1162" s="69">
        <v>21.024000000000033</v>
      </c>
      <c r="AG1162" s="69">
        <v>21.024000000000033</v>
      </c>
    </row>
    <row r="1163" spans="1:33">
      <c r="A1163" s="236" t="s">
        <v>2380</v>
      </c>
      <c r="B1163" s="69" t="s">
        <v>211</v>
      </c>
      <c r="C1163" s="69" t="s">
        <v>184</v>
      </c>
      <c r="D1163" s="69" t="s">
        <v>140</v>
      </c>
      <c r="E1163" s="69" t="s">
        <v>191</v>
      </c>
      <c r="F1163" s="69" t="s">
        <v>167</v>
      </c>
      <c r="G1163" s="69" t="s">
        <v>192</v>
      </c>
      <c r="H1163" s="69" t="s">
        <v>804</v>
      </c>
      <c r="I1163" s="69">
        <v>1</v>
      </c>
      <c r="J1163" s="238">
        <v>0.8</v>
      </c>
      <c r="K1163" s="238">
        <v>0</v>
      </c>
      <c r="L1163" s="69">
        <v>114.19797366361543</v>
      </c>
      <c r="M1163" s="69">
        <v>0</v>
      </c>
      <c r="N1163" s="69">
        <v>0</v>
      </c>
      <c r="O1163" s="69">
        <v>0</v>
      </c>
      <c r="P1163" s="69">
        <v>0</v>
      </c>
      <c r="Q1163" s="69">
        <v>0</v>
      </c>
      <c r="R1163" s="69">
        <v>70.08</v>
      </c>
      <c r="S1163" s="69">
        <v>70.08</v>
      </c>
      <c r="T1163" s="69">
        <v>70.08</v>
      </c>
      <c r="U1163" s="69">
        <v>70.08</v>
      </c>
      <c r="V1163" s="69">
        <v>70.08</v>
      </c>
      <c r="W1163" s="69">
        <v>70.08</v>
      </c>
      <c r="X1163" s="69">
        <v>70.08</v>
      </c>
      <c r="Y1163" s="69">
        <v>70.08</v>
      </c>
      <c r="Z1163" s="69">
        <v>70.08</v>
      </c>
      <c r="AA1163" s="69">
        <v>70.08</v>
      </c>
      <c r="AB1163" s="69">
        <v>70.08</v>
      </c>
      <c r="AC1163" s="69">
        <v>70.08</v>
      </c>
      <c r="AD1163" s="69">
        <v>70.08</v>
      </c>
      <c r="AE1163" s="69">
        <v>70.08</v>
      </c>
      <c r="AF1163" s="69">
        <v>70.08</v>
      </c>
      <c r="AG1163" s="69">
        <v>70.08</v>
      </c>
    </row>
    <row r="1164" spans="1:33">
      <c r="A1164" s="236" t="s">
        <v>2380</v>
      </c>
      <c r="B1164" s="69" t="s">
        <v>212</v>
      </c>
      <c r="C1164" s="69" t="s">
        <v>137</v>
      </c>
      <c r="D1164" s="69" t="s">
        <v>191</v>
      </c>
      <c r="E1164" s="69" t="s">
        <v>213</v>
      </c>
      <c r="F1164" s="69" t="s">
        <v>152</v>
      </c>
      <c r="G1164" s="69" t="s">
        <v>214</v>
      </c>
      <c r="H1164" s="69" t="s">
        <v>2417</v>
      </c>
      <c r="I1164" s="69">
        <v>1</v>
      </c>
      <c r="J1164" s="238">
        <v>0.312</v>
      </c>
      <c r="K1164" s="238">
        <v>0.17064699981121567</v>
      </c>
      <c r="L1164" s="69">
        <v>118.33197577111784</v>
      </c>
      <c r="M1164" s="69">
        <v>0</v>
      </c>
      <c r="N1164" s="69">
        <v>0</v>
      </c>
      <c r="O1164" s="69">
        <v>409.96800000000076</v>
      </c>
      <c r="P1164" s="69">
        <v>409.96800000000076</v>
      </c>
      <c r="Q1164" s="69">
        <v>409.96800000000076</v>
      </c>
      <c r="R1164" s="69">
        <v>409.96800000000076</v>
      </c>
      <c r="S1164" s="69">
        <v>409.96800000000076</v>
      </c>
      <c r="T1164" s="69">
        <v>409.96800000000076</v>
      </c>
      <c r="U1164" s="69">
        <v>409.96800000000076</v>
      </c>
      <c r="V1164" s="69">
        <v>409.96800000000076</v>
      </c>
      <c r="W1164" s="69">
        <v>409.96800000000076</v>
      </c>
      <c r="X1164" s="69">
        <v>409.96800000000076</v>
      </c>
      <c r="Y1164" s="69">
        <v>409.96800000000076</v>
      </c>
      <c r="Z1164" s="69">
        <v>409.96800000000076</v>
      </c>
      <c r="AA1164" s="69">
        <v>409.96800000000076</v>
      </c>
      <c r="AB1164" s="69">
        <v>409.96800000000076</v>
      </c>
      <c r="AC1164" s="69">
        <v>409.96800000000076</v>
      </c>
      <c r="AD1164" s="69">
        <v>409.96800000000076</v>
      </c>
      <c r="AE1164" s="69">
        <v>409.96800000000076</v>
      </c>
      <c r="AF1164" s="69">
        <v>409.96800000000076</v>
      </c>
      <c r="AG1164" s="69">
        <v>409.96800000000076</v>
      </c>
    </row>
    <row r="1165" spans="1:33">
      <c r="A1165" s="236" t="s">
        <v>2380</v>
      </c>
      <c r="B1165" s="69" t="s">
        <v>215</v>
      </c>
      <c r="C1165" s="69" t="s">
        <v>137</v>
      </c>
      <c r="D1165" s="69" t="s">
        <v>191</v>
      </c>
      <c r="E1165" s="69" t="s">
        <v>213</v>
      </c>
      <c r="F1165" s="69" t="s">
        <v>152</v>
      </c>
      <c r="G1165" s="69" t="s">
        <v>214</v>
      </c>
      <c r="H1165" s="69" t="s">
        <v>2417</v>
      </c>
      <c r="I1165" s="69">
        <v>1</v>
      </c>
      <c r="J1165" s="238">
        <v>0.312</v>
      </c>
      <c r="K1165" s="238">
        <v>0.17064699981121567</v>
      </c>
      <c r="L1165" s="69">
        <v>118.33197577111784</v>
      </c>
      <c r="M1165" s="69">
        <v>0</v>
      </c>
      <c r="N1165" s="69">
        <v>0</v>
      </c>
      <c r="O1165" s="69">
        <v>0</v>
      </c>
      <c r="P1165" s="69">
        <v>409.96800000000076</v>
      </c>
      <c r="Q1165" s="69">
        <v>409.96800000000076</v>
      </c>
      <c r="R1165" s="69">
        <v>409.96800000000076</v>
      </c>
      <c r="S1165" s="69">
        <v>409.96800000000076</v>
      </c>
      <c r="T1165" s="69">
        <v>409.96800000000076</v>
      </c>
      <c r="U1165" s="69">
        <v>409.96800000000076</v>
      </c>
      <c r="V1165" s="69">
        <v>409.96800000000076</v>
      </c>
      <c r="W1165" s="69">
        <v>409.96800000000076</v>
      </c>
      <c r="X1165" s="69">
        <v>409.96800000000076</v>
      </c>
      <c r="Y1165" s="69">
        <v>409.96800000000076</v>
      </c>
      <c r="Z1165" s="69">
        <v>409.96800000000076</v>
      </c>
      <c r="AA1165" s="69">
        <v>409.96800000000076</v>
      </c>
      <c r="AB1165" s="69">
        <v>409.96800000000076</v>
      </c>
      <c r="AC1165" s="69">
        <v>409.96800000000076</v>
      </c>
      <c r="AD1165" s="69">
        <v>409.96800000000076</v>
      </c>
      <c r="AE1165" s="69">
        <v>409.96800000000076</v>
      </c>
      <c r="AF1165" s="69">
        <v>409.96800000000076</v>
      </c>
      <c r="AG1165" s="69">
        <v>409.96800000000076</v>
      </c>
    </row>
    <row r="1166" spans="1:33">
      <c r="A1166" s="236" t="s">
        <v>2380</v>
      </c>
      <c r="B1166" s="69" t="s">
        <v>216</v>
      </c>
      <c r="C1166" s="69" t="s">
        <v>137</v>
      </c>
      <c r="D1166" s="69" t="s">
        <v>191</v>
      </c>
      <c r="E1166" s="69" t="s">
        <v>213</v>
      </c>
      <c r="F1166" s="69" t="s">
        <v>152</v>
      </c>
      <c r="G1166" s="69" t="s">
        <v>214</v>
      </c>
      <c r="H1166" s="69" t="s">
        <v>2417</v>
      </c>
      <c r="I1166" s="69">
        <v>1</v>
      </c>
      <c r="J1166" s="238">
        <v>0.312</v>
      </c>
      <c r="K1166" s="238">
        <v>0.17064699981121567</v>
      </c>
      <c r="L1166" s="69">
        <v>118.33197577111784</v>
      </c>
      <c r="M1166" s="69">
        <v>0</v>
      </c>
      <c r="N1166" s="69">
        <v>0</v>
      </c>
      <c r="O1166" s="69">
        <v>0</v>
      </c>
      <c r="P1166" s="69">
        <v>409.96800000000076</v>
      </c>
      <c r="Q1166" s="69">
        <v>409.96800000000076</v>
      </c>
      <c r="R1166" s="69">
        <v>409.96800000000076</v>
      </c>
      <c r="S1166" s="69">
        <v>409.96800000000076</v>
      </c>
      <c r="T1166" s="69">
        <v>409.96800000000076</v>
      </c>
      <c r="U1166" s="69">
        <v>409.96800000000076</v>
      </c>
      <c r="V1166" s="69">
        <v>409.96800000000076</v>
      </c>
      <c r="W1166" s="69">
        <v>409.96800000000076</v>
      </c>
      <c r="X1166" s="69">
        <v>409.96800000000076</v>
      </c>
      <c r="Y1166" s="69">
        <v>409.96800000000076</v>
      </c>
      <c r="Z1166" s="69">
        <v>409.96800000000076</v>
      </c>
      <c r="AA1166" s="69">
        <v>409.96800000000076</v>
      </c>
      <c r="AB1166" s="69">
        <v>409.96800000000076</v>
      </c>
      <c r="AC1166" s="69">
        <v>409.96800000000076</v>
      </c>
      <c r="AD1166" s="69">
        <v>409.96800000000076</v>
      </c>
      <c r="AE1166" s="69">
        <v>409.96800000000076</v>
      </c>
      <c r="AF1166" s="69">
        <v>409.96800000000076</v>
      </c>
      <c r="AG1166" s="69">
        <v>409.96800000000076</v>
      </c>
    </row>
    <row r="1167" spans="1:33">
      <c r="A1167" s="236" t="s">
        <v>2380</v>
      </c>
      <c r="B1167" s="69" t="s">
        <v>217</v>
      </c>
      <c r="C1167" s="69" t="s">
        <v>186</v>
      </c>
      <c r="D1167" s="69" t="s">
        <v>218</v>
      </c>
      <c r="E1167" s="69" t="s">
        <v>203</v>
      </c>
      <c r="F1167" s="69" t="s">
        <v>157</v>
      </c>
      <c r="G1167" s="69" t="s">
        <v>192</v>
      </c>
      <c r="H1167" s="69" t="s">
        <v>805</v>
      </c>
      <c r="I1167" s="69">
        <v>1</v>
      </c>
      <c r="J1167" s="238">
        <v>0.23561922263058244</v>
      </c>
      <c r="K1167" s="238">
        <v>0</v>
      </c>
      <c r="L1167" s="69">
        <v>200.17205317577552</v>
      </c>
      <c r="M1167" s="69">
        <v>-4.8449039881831615</v>
      </c>
      <c r="N1167" s="69">
        <v>0</v>
      </c>
      <c r="O1167" s="69">
        <v>0</v>
      </c>
      <c r="P1167" s="69">
        <v>41.280487804877339</v>
      </c>
      <c r="Q1167" s="69">
        <v>41.280487804877339</v>
      </c>
      <c r="R1167" s="69">
        <v>41.280487804877339</v>
      </c>
      <c r="S1167" s="69">
        <v>41.280487804877339</v>
      </c>
      <c r="T1167" s="69">
        <v>41.280487804877339</v>
      </c>
      <c r="U1167" s="69">
        <v>41.280487804877339</v>
      </c>
      <c r="V1167" s="69">
        <v>41.280487804877339</v>
      </c>
      <c r="W1167" s="69">
        <v>41.280487804877339</v>
      </c>
      <c r="X1167" s="69">
        <v>41.280487804877339</v>
      </c>
      <c r="Y1167" s="69">
        <v>41.280487804877339</v>
      </c>
      <c r="Z1167" s="69">
        <v>41.280487804877339</v>
      </c>
      <c r="AA1167" s="69">
        <v>41.280487804877339</v>
      </c>
      <c r="AB1167" s="69">
        <v>41.280487804877339</v>
      </c>
      <c r="AC1167" s="69">
        <v>41.280487804877339</v>
      </c>
      <c r="AD1167" s="69">
        <v>41.280487804877339</v>
      </c>
      <c r="AE1167" s="69">
        <v>41.280487804877339</v>
      </c>
      <c r="AF1167" s="69">
        <v>41.280487804877339</v>
      </c>
      <c r="AG1167" s="69">
        <v>41.280487804877339</v>
      </c>
    </row>
    <row r="1168" spans="1:33">
      <c r="A1168" s="236" t="s">
        <v>2380</v>
      </c>
      <c r="B1168" s="69" t="s">
        <v>219</v>
      </c>
      <c r="C1168" s="69" t="s">
        <v>186</v>
      </c>
      <c r="D1168" s="69" t="s">
        <v>218</v>
      </c>
      <c r="E1168" s="69" t="s">
        <v>203</v>
      </c>
      <c r="F1168" s="69" t="s">
        <v>157</v>
      </c>
      <c r="G1168" s="69" t="s">
        <v>192</v>
      </c>
      <c r="H1168" s="69" t="s">
        <v>805</v>
      </c>
      <c r="I1168" s="69">
        <v>1</v>
      </c>
      <c r="J1168" s="238">
        <v>0.23561922263058244</v>
      </c>
      <c r="K1168" s="238">
        <v>0</v>
      </c>
      <c r="L1168" s="69">
        <v>200.17205317577552</v>
      </c>
      <c r="M1168" s="69">
        <v>-4.8449039881831615</v>
      </c>
      <c r="N1168" s="69">
        <v>0</v>
      </c>
      <c r="O1168" s="69">
        <v>0</v>
      </c>
      <c r="P1168" s="69">
        <v>41.280487804877339</v>
      </c>
      <c r="Q1168" s="69">
        <v>41.280487804877339</v>
      </c>
      <c r="R1168" s="69">
        <v>41.280487804877339</v>
      </c>
      <c r="S1168" s="69">
        <v>41.280487804877339</v>
      </c>
      <c r="T1168" s="69">
        <v>41.280487804877339</v>
      </c>
      <c r="U1168" s="69">
        <v>41.280487804877339</v>
      </c>
      <c r="V1168" s="69">
        <v>41.280487804877339</v>
      </c>
      <c r="W1168" s="69">
        <v>41.280487804877339</v>
      </c>
      <c r="X1168" s="69">
        <v>41.280487804877339</v>
      </c>
      <c r="Y1168" s="69">
        <v>41.280487804877339</v>
      </c>
      <c r="Z1168" s="69">
        <v>41.280487804877339</v>
      </c>
      <c r="AA1168" s="69">
        <v>41.280487804877339</v>
      </c>
      <c r="AB1168" s="69">
        <v>41.280487804877339</v>
      </c>
      <c r="AC1168" s="69">
        <v>41.280487804877339</v>
      </c>
      <c r="AD1168" s="69">
        <v>41.280487804877339</v>
      </c>
      <c r="AE1168" s="69">
        <v>41.280487804877339</v>
      </c>
      <c r="AF1168" s="69">
        <v>41.280487804877339</v>
      </c>
      <c r="AG1168" s="69">
        <v>41.280487804877339</v>
      </c>
    </row>
    <row r="1169" spans="1:33">
      <c r="A1169" s="236" t="s">
        <v>2380</v>
      </c>
      <c r="B1169" s="69" t="s">
        <v>220</v>
      </c>
      <c r="C1169" s="69" t="s">
        <v>186</v>
      </c>
      <c r="D1169" s="69" t="s">
        <v>218</v>
      </c>
      <c r="E1169" s="69" t="s">
        <v>203</v>
      </c>
      <c r="F1169" s="69" t="s">
        <v>157</v>
      </c>
      <c r="G1169" s="69" t="s">
        <v>192</v>
      </c>
      <c r="H1169" s="69" t="s">
        <v>805</v>
      </c>
      <c r="I1169" s="69">
        <v>1</v>
      </c>
      <c r="J1169" s="238">
        <v>0.23561922263058244</v>
      </c>
      <c r="K1169" s="238">
        <v>0</v>
      </c>
      <c r="L1169" s="69">
        <v>200.17205317577552</v>
      </c>
      <c r="M1169" s="69">
        <v>-4.8449039881831615</v>
      </c>
      <c r="N1169" s="69">
        <v>0</v>
      </c>
      <c r="O1169" s="69">
        <v>0</v>
      </c>
      <c r="P1169" s="69">
        <v>41.280487804877339</v>
      </c>
      <c r="Q1169" s="69">
        <v>41.280487804877339</v>
      </c>
      <c r="R1169" s="69">
        <v>41.280487804877339</v>
      </c>
      <c r="S1169" s="69">
        <v>41.280487804877339</v>
      </c>
      <c r="T1169" s="69">
        <v>41.280487804877339</v>
      </c>
      <c r="U1169" s="69">
        <v>41.280487804877339</v>
      </c>
      <c r="V1169" s="69">
        <v>41.280487804877339</v>
      </c>
      <c r="W1169" s="69">
        <v>41.280487804877339</v>
      </c>
      <c r="X1169" s="69">
        <v>41.280487804877339</v>
      </c>
      <c r="Y1169" s="69">
        <v>41.280487804877339</v>
      </c>
      <c r="Z1169" s="69">
        <v>41.280487804877339</v>
      </c>
      <c r="AA1169" s="69">
        <v>41.280487804877339</v>
      </c>
      <c r="AB1169" s="69">
        <v>41.280487804877339</v>
      </c>
      <c r="AC1169" s="69">
        <v>41.280487804877339</v>
      </c>
      <c r="AD1169" s="69">
        <v>41.280487804877339</v>
      </c>
      <c r="AE1169" s="69">
        <v>41.280487804877339</v>
      </c>
      <c r="AF1169" s="69">
        <v>41.280487804877339</v>
      </c>
      <c r="AG1169" s="69">
        <v>41.280487804877339</v>
      </c>
    </row>
    <row r="1170" spans="1:33">
      <c r="A1170" s="236" t="s">
        <v>2380</v>
      </c>
      <c r="B1170" s="69" t="s">
        <v>221</v>
      </c>
      <c r="C1170" s="69" t="s">
        <v>186</v>
      </c>
      <c r="D1170" s="69" t="s">
        <v>218</v>
      </c>
      <c r="E1170" s="69" t="s">
        <v>203</v>
      </c>
      <c r="F1170" s="69" t="s">
        <v>157</v>
      </c>
      <c r="G1170" s="69" t="s">
        <v>192</v>
      </c>
      <c r="H1170" s="69" t="s">
        <v>805</v>
      </c>
      <c r="I1170" s="69">
        <v>1</v>
      </c>
      <c r="J1170" s="238">
        <v>0.23561922263058244</v>
      </c>
      <c r="K1170" s="238">
        <v>0</v>
      </c>
      <c r="L1170" s="69">
        <v>200.17205317577552</v>
      </c>
      <c r="M1170" s="69">
        <v>-4.8449039881831615</v>
      </c>
      <c r="N1170" s="69">
        <v>0</v>
      </c>
      <c r="O1170" s="69">
        <v>0</v>
      </c>
      <c r="P1170" s="69">
        <v>41.280487804877339</v>
      </c>
      <c r="Q1170" s="69">
        <v>41.280487804877339</v>
      </c>
      <c r="R1170" s="69">
        <v>41.280487804877339</v>
      </c>
      <c r="S1170" s="69">
        <v>41.280487804877339</v>
      </c>
      <c r="T1170" s="69">
        <v>41.280487804877339</v>
      </c>
      <c r="U1170" s="69">
        <v>41.280487804877339</v>
      </c>
      <c r="V1170" s="69">
        <v>41.280487804877339</v>
      </c>
      <c r="W1170" s="69">
        <v>41.280487804877339</v>
      </c>
      <c r="X1170" s="69">
        <v>41.280487804877339</v>
      </c>
      <c r="Y1170" s="69">
        <v>41.280487804877339</v>
      </c>
      <c r="Z1170" s="69">
        <v>41.280487804877339</v>
      </c>
      <c r="AA1170" s="69">
        <v>41.280487804877339</v>
      </c>
      <c r="AB1170" s="69">
        <v>41.280487804877339</v>
      </c>
      <c r="AC1170" s="69">
        <v>41.280487804877339</v>
      </c>
      <c r="AD1170" s="69">
        <v>41.280487804877339</v>
      </c>
      <c r="AE1170" s="69">
        <v>41.280487804877339</v>
      </c>
      <c r="AF1170" s="69">
        <v>41.280487804877339</v>
      </c>
      <c r="AG1170" s="69">
        <v>41.280487804877339</v>
      </c>
    </row>
    <row r="1171" spans="1:33">
      <c r="A1171" s="236" t="s">
        <v>2380</v>
      </c>
      <c r="B1171" s="69" t="s">
        <v>222</v>
      </c>
      <c r="C1171" s="69" t="s">
        <v>186</v>
      </c>
      <c r="D1171" s="69" t="s">
        <v>218</v>
      </c>
      <c r="E1171" s="69" t="s">
        <v>203</v>
      </c>
      <c r="F1171" s="69" t="s">
        <v>157</v>
      </c>
      <c r="G1171" s="69" t="s">
        <v>192</v>
      </c>
      <c r="H1171" s="69" t="s">
        <v>805</v>
      </c>
      <c r="I1171" s="69">
        <v>1</v>
      </c>
      <c r="J1171" s="238">
        <v>0.23561922263058249</v>
      </c>
      <c r="K1171" s="238">
        <v>0</v>
      </c>
      <c r="L1171" s="69">
        <v>200.17205317577549</v>
      </c>
      <c r="M1171" s="69">
        <v>-4.8449039881831615</v>
      </c>
      <c r="N1171" s="69">
        <v>0</v>
      </c>
      <c r="O1171" s="69">
        <v>18.576219512195166</v>
      </c>
      <c r="P1171" s="69">
        <v>18.576219512195166</v>
      </c>
      <c r="Q1171" s="69">
        <v>18.576219512195166</v>
      </c>
      <c r="R1171" s="69">
        <v>18.576219512195166</v>
      </c>
      <c r="S1171" s="69">
        <v>18.576219512195166</v>
      </c>
      <c r="T1171" s="69">
        <v>18.576219512195166</v>
      </c>
      <c r="U1171" s="69">
        <v>18.576219512195166</v>
      </c>
      <c r="V1171" s="69">
        <v>18.576219512195166</v>
      </c>
      <c r="W1171" s="69">
        <v>18.576219512195166</v>
      </c>
      <c r="X1171" s="69">
        <v>18.576219512195166</v>
      </c>
      <c r="Y1171" s="69">
        <v>18.576219512195166</v>
      </c>
      <c r="Z1171" s="69">
        <v>18.576219512195166</v>
      </c>
      <c r="AA1171" s="69">
        <v>18.576219512195166</v>
      </c>
      <c r="AB1171" s="69">
        <v>18.576219512195166</v>
      </c>
      <c r="AC1171" s="69">
        <v>18.576219512195166</v>
      </c>
      <c r="AD1171" s="69">
        <v>18.576219512195166</v>
      </c>
      <c r="AE1171" s="69">
        <v>18.576219512195166</v>
      </c>
      <c r="AF1171" s="69">
        <v>18.576219512195166</v>
      </c>
      <c r="AG1171" s="69">
        <v>18.576219512195166</v>
      </c>
    </row>
    <row r="1172" spans="1:33">
      <c r="A1172" s="236" t="s">
        <v>2380</v>
      </c>
      <c r="B1172" s="69" t="s">
        <v>223</v>
      </c>
      <c r="C1172" s="69" t="s">
        <v>186</v>
      </c>
      <c r="D1172" s="69" t="s">
        <v>218</v>
      </c>
      <c r="E1172" s="69" t="s">
        <v>203</v>
      </c>
      <c r="F1172" s="69" t="s">
        <v>157</v>
      </c>
      <c r="G1172" s="69" t="s">
        <v>192</v>
      </c>
      <c r="H1172" s="69" t="s">
        <v>805</v>
      </c>
      <c r="I1172" s="69">
        <v>1</v>
      </c>
      <c r="J1172" s="238">
        <v>0.23561922263058244</v>
      </c>
      <c r="K1172" s="238">
        <v>0</v>
      </c>
      <c r="L1172" s="69">
        <v>200.17205317577552</v>
      </c>
      <c r="M1172" s="69">
        <v>-4.8449039881831615</v>
      </c>
      <c r="N1172" s="69">
        <v>0</v>
      </c>
      <c r="O1172" s="69">
        <v>41.280487804877339</v>
      </c>
      <c r="P1172" s="69">
        <v>41.280487804877339</v>
      </c>
      <c r="Q1172" s="69">
        <v>41.280487804877339</v>
      </c>
      <c r="R1172" s="69">
        <v>41.280487804877339</v>
      </c>
      <c r="S1172" s="69">
        <v>41.280487804877339</v>
      </c>
      <c r="T1172" s="69">
        <v>41.280487804877339</v>
      </c>
      <c r="U1172" s="69">
        <v>41.280487804877339</v>
      </c>
      <c r="V1172" s="69">
        <v>41.280487804877339</v>
      </c>
      <c r="W1172" s="69">
        <v>41.280487804877339</v>
      </c>
      <c r="X1172" s="69">
        <v>41.280487804877339</v>
      </c>
      <c r="Y1172" s="69">
        <v>41.280487804877339</v>
      </c>
      <c r="Z1172" s="69">
        <v>41.280487804877339</v>
      </c>
      <c r="AA1172" s="69">
        <v>41.280487804877339</v>
      </c>
      <c r="AB1172" s="69">
        <v>41.280487804877339</v>
      </c>
      <c r="AC1172" s="69">
        <v>41.280487804877339</v>
      </c>
      <c r="AD1172" s="69">
        <v>41.280487804877339</v>
      </c>
      <c r="AE1172" s="69">
        <v>41.280487804877339</v>
      </c>
      <c r="AF1172" s="69">
        <v>41.280487804877339</v>
      </c>
      <c r="AG1172" s="69">
        <v>41.280487804877339</v>
      </c>
    </row>
    <row r="1173" spans="1:33">
      <c r="A1173" s="236" t="s">
        <v>2380</v>
      </c>
      <c r="B1173" s="69" t="s">
        <v>224</v>
      </c>
      <c r="C1173" s="69" t="s">
        <v>186</v>
      </c>
      <c r="D1173" s="69" t="s">
        <v>218</v>
      </c>
      <c r="E1173" s="69" t="s">
        <v>203</v>
      </c>
      <c r="F1173" s="69" t="s">
        <v>157</v>
      </c>
      <c r="G1173" s="69" t="s">
        <v>192</v>
      </c>
      <c r="H1173" s="69" t="s">
        <v>805</v>
      </c>
      <c r="I1173" s="69">
        <v>1</v>
      </c>
      <c r="J1173" s="238">
        <v>0.23561922263058244</v>
      </c>
      <c r="K1173" s="238">
        <v>0</v>
      </c>
      <c r="L1173" s="69">
        <v>200.17205317577549</v>
      </c>
      <c r="M1173" s="69">
        <v>-4.8449039881831615</v>
      </c>
      <c r="N1173" s="69">
        <v>0</v>
      </c>
      <c r="O1173" s="69">
        <v>39.216463414633836</v>
      </c>
      <c r="P1173" s="69">
        <v>39.216463414633836</v>
      </c>
      <c r="Q1173" s="69">
        <v>39.216463414633836</v>
      </c>
      <c r="R1173" s="69">
        <v>39.216463414633836</v>
      </c>
      <c r="S1173" s="69">
        <v>39.216463414633836</v>
      </c>
      <c r="T1173" s="69">
        <v>39.216463414633836</v>
      </c>
      <c r="U1173" s="69">
        <v>39.216463414633836</v>
      </c>
      <c r="V1173" s="69">
        <v>39.216463414633836</v>
      </c>
      <c r="W1173" s="69">
        <v>39.216463414633836</v>
      </c>
      <c r="X1173" s="69">
        <v>39.216463414633836</v>
      </c>
      <c r="Y1173" s="69">
        <v>39.216463414633836</v>
      </c>
      <c r="Z1173" s="69">
        <v>39.216463414633836</v>
      </c>
      <c r="AA1173" s="69">
        <v>39.216463414633836</v>
      </c>
      <c r="AB1173" s="69">
        <v>39.216463414633836</v>
      </c>
      <c r="AC1173" s="69">
        <v>39.216463414633836</v>
      </c>
      <c r="AD1173" s="69">
        <v>39.216463414633836</v>
      </c>
      <c r="AE1173" s="69">
        <v>39.216463414633836</v>
      </c>
      <c r="AF1173" s="69">
        <v>39.216463414633836</v>
      </c>
      <c r="AG1173" s="69">
        <v>39.216463414633836</v>
      </c>
    </row>
    <row r="1174" spans="1:33">
      <c r="A1174" s="236" t="s">
        <v>2380</v>
      </c>
      <c r="B1174" s="69" t="s">
        <v>226</v>
      </c>
      <c r="C1174" s="69" t="s">
        <v>185</v>
      </c>
      <c r="D1174" s="69" t="s">
        <v>193</v>
      </c>
      <c r="E1174" s="69" t="s">
        <v>194</v>
      </c>
      <c r="F1174" s="69" t="s">
        <v>164</v>
      </c>
      <c r="G1174" s="69" t="s">
        <v>192</v>
      </c>
      <c r="H1174" s="69" t="s">
        <v>804</v>
      </c>
      <c r="I1174" s="69">
        <v>2</v>
      </c>
      <c r="J1174" s="238">
        <v>0.28999999999999998</v>
      </c>
      <c r="K1174" s="238">
        <v>0.63584697705799376</v>
      </c>
      <c r="L1174" s="69">
        <v>160.03163342556326</v>
      </c>
      <c r="M1174" s="69">
        <v>0</v>
      </c>
      <c r="N1174" s="69">
        <v>0</v>
      </c>
      <c r="O1174" s="69">
        <v>0</v>
      </c>
      <c r="P1174" s="69">
        <v>0</v>
      </c>
      <c r="Q1174" s="69">
        <v>0</v>
      </c>
      <c r="R1174" s="69">
        <v>0</v>
      </c>
      <c r="S1174" s="69">
        <v>0</v>
      </c>
      <c r="T1174" s="69">
        <v>762.12000000000035</v>
      </c>
      <c r="U1174" s="69">
        <v>762.12000000000035</v>
      </c>
      <c r="V1174" s="69">
        <v>762.12000000000035</v>
      </c>
      <c r="W1174" s="69">
        <v>762.12000000000035</v>
      </c>
      <c r="X1174" s="69">
        <v>762.12000000000035</v>
      </c>
      <c r="Y1174" s="69">
        <v>762.12000000000035</v>
      </c>
      <c r="Z1174" s="69">
        <v>762.12000000000035</v>
      </c>
      <c r="AA1174" s="69">
        <v>762.12000000000035</v>
      </c>
      <c r="AB1174" s="69">
        <v>762.12000000000035</v>
      </c>
      <c r="AC1174" s="69">
        <v>762.12000000000035</v>
      </c>
      <c r="AD1174" s="69">
        <v>762.12000000000035</v>
      </c>
      <c r="AE1174" s="69">
        <v>762.12000000000035</v>
      </c>
      <c r="AF1174" s="69">
        <v>762.12000000000035</v>
      </c>
      <c r="AG1174" s="69">
        <v>762.12000000000035</v>
      </c>
    </row>
    <row r="1175" spans="1:33">
      <c r="A1175" s="236" t="s">
        <v>2380</v>
      </c>
      <c r="B1175" s="69" t="s">
        <v>227</v>
      </c>
      <c r="C1175" s="69" t="s">
        <v>187</v>
      </c>
      <c r="D1175" s="69" t="s">
        <v>191</v>
      </c>
      <c r="E1175" s="69" t="s">
        <v>191</v>
      </c>
      <c r="F1175" s="69" t="s">
        <v>175</v>
      </c>
      <c r="G1175" s="69" t="s">
        <v>192</v>
      </c>
      <c r="H1175" s="69" t="s">
        <v>804</v>
      </c>
      <c r="I1175" s="69">
        <v>1</v>
      </c>
      <c r="J1175" s="238">
        <v>0.2668262983999703</v>
      </c>
      <c r="K1175" s="238">
        <v>0.69237077523038804</v>
      </c>
      <c r="L1175" s="69">
        <v>192.38629588063705</v>
      </c>
      <c r="M1175" s="69">
        <v>0</v>
      </c>
      <c r="N1175" s="69">
        <v>0</v>
      </c>
      <c r="O1175" s="69">
        <v>0</v>
      </c>
      <c r="P1175" s="69">
        <v>565.65040650406445</v>
      </c>
      <c r="Q1175" s="69">
        <v>565.65040650406445</v>
      </c>
      <c r="R1175" s="69">
        <v>565.65040650406445</v>
      </c>
      <c r="S1175" s="69">
        <v>565.65040650406445</v>
      </c>
      <c r="T1175" s="69">
        <v>565.65040650406445</v>
      </c>
      <c r="U1175" s="69">
        <v>565.65040650406445</v>
      </c>
      <c r="V1175" s="69">
        <v>565.65040650406445</v>
      </c>
      <c r="W1175" s="69">
        <v>565.65040650406445</v>
      </c>
      <c r="X1175" s="69">
        <v>565.65040650406445</v>
      </c>
      <c r="Y1175" s="69">
        <v>565.65040650406445</v>
      </c>
      <c r="Z1175" s="69">
        <v>565.65040650406445</v>
      </c>
      <c r="AA1175" s="69">
        <v>565.65040650406445</v>
      </c>
      <c r="AB1175" s="69">
        <v>565.65040650406445</v>
      </c>
      <c r="AC1175" s="69">
        <v>565.65040650406445</v>
      </c>
      <c r="AD1175" s="69">
        <v>565.65040650406445</v>
      </c>
      <c r="AE1175" s="69">
        <v>565.65040650406445</v>
      </c>
      <c r="AF1175" s="69">
        <v>565.65040650406445</v>
      </c>
      <c r="AG1175" s="69">
        <v>565.65040650406445</v>
      </c>
    </row>
    <row r="1176" spans="1:33">
      <c r="A1176" s="236" t="s">
        <v>2380</v>
      </c>
      <c r="B1176" s="69" t="s">
        <v>228</v>
      </c>
      <c r="C1176" s="69" t="s">
        <v>187</v>
      </c>
      <c r="D1176" s="69" t="s">
        <v>191</v>
      </c>
      <c r="E1176" s="69" t="s">
        <v>191</v>
      </c>
      <c r="F1176" s="69" t="s">
        <v>164</v>
      </c>
      <c r="G1176" s="69" t="s">
        <v>192</v>
      </c>
      <c r="H1176" s="69" t="s">
        <v>804</v>
      </c>
      <c r="I1176" s="69">
        <v>1</v>
      </c>
      <c r="J1176" s="238">
        <v>0.2668262983999703</v>
      </c>
      <c r="K1176" s="238">
        <v>0.70735673955038636</v>
      </c>
      <c r="L1176" s="69">
        <v>192.38629588063705</v>
      </c>
      <c r="M1176" s="69">
        <v>0</v>
      </c>
      <c r="N1176" s="69">
        <v>0</v>
      </c>
      <c r="O1176" s="69">
        <v>0</v>
      </c>
      <c r="P1176" s="69">
        <v>0</v>
      </c>
      <c r="Q1176" s="69">
        <v>0</v>
      </c>
      <c r="R1176" s="69">
        <v>0</v>
      </c>
      <c r="S1176" s="69">
        <v>0</v>
      </c>
      <c r="T1176" s="69">
        <v>233.73983739837414</v>
      </c>
      <c r="U1176" s="69">
        <v>233.73983739837414</v>
      </c>
      <c r="V1176" s="69">
        <v>233.73983739837414</v>
      </c>
      <c r="W1176" s="69">
        <v>233.73983739837414</v>
      </c>
      <c r="X1176" s="69">
        <v>233.73983739837414</v>
      </c>
      <c r="Y1176" s="69">
        <v>233.73983739837414</v>
      </c>
      <c r="Z1176" s="69">
        <v>233.73983739837414</v>
      </c>
      <c r="AA1176" s="69">
        <v>233.73983739837414</v>
      </c>
      <c r="AB1176" s="69">
        <v>233.73983739837414</v>
      </c>
      <c r="AC1176" s="69">
        <v>233.73983739837414</v>
      </c>
      <c r="AD1176" s="69">
        <v>233.73983739837414</v>
      </c>
      <c r="AE1176" s="69">
        <v>233.73983739837414</v>
      </c>
      <c r="AF1176" s="69">
        <v>233.73983739837414</v>
      </c>
      <c r="AG1176" s="69">
        <v>233.73983739837414</v>
      </c>
    </row>
    <row r="1177" spans="1:33">
      <c r="A1177" s="236" t="s">
        <v>2380</v>
      </c>
      <c r="B1177" s="69" t="s">
        <v>229</v>
      </c>
      <c r="C1177" s="69" t="s">
        <v>187</v>
      </c>
      <c r="D1177" s="69" t="s">
        <v>191</v>
      </c>
      <c r="E1177" s="69" t="s">
        <v>191</v>
      </c>
      <c r="F1177" s="69" t="s">
        <v>170</v>
      </c>
      <c r="G1177" s="69" t="s">
        <v>192</v>
      </c>
      <c r="H1177" s="69" t="s">
        <v>804</v>
      </c>
      <c r="I1177" s="69">
        <v>2</v>
      </c>
      <c r="J1177" s="238">
        <v>0.2668262983999703</v>
      </c>
      <c r="K1177" s="238">
        <v>0.7167975850068431</v>
      </c>
      <c r="L1177" s="69">
        <v>192.38629588063705</v>
      </c>
      <c r="M1177" s="69">
        <v>0</v>
      </c>
      <c r="N1177" s="69">
        <v>0</v>
      </c>
      <c r="O1177" s="69">
        <v>0</v>
      </c>
      <c r="P1177" s="69">
        <v>0</v>
      </c>
      <c r="Q1177" s="69">
        <v>0</v>
      </c>
      <c r="R1177" s="69">
        <v>0</v>
      </c>
      <c r="S1177" s="69">
        <v>0</v>
      </c>
      <c r="T1177" s="69">
        <v>0</v>
      </c>
      <c r="U1177" s="69">
        <v>0</v>
      </c>
      <c r="V1177" s="69">
        <v>467.47967479674827</v>
      </c>
      <c r="W1177" s="69">
        <v>467.47967479674827</v>
      </c>
      <c r="X1177" s="69">
        <v>467.47967479674827</v>
      </c>
      <c r="Y1177" s="69">
        <v>467.47967479674827</v>
      </c>
      <c r="Z1177" s="69">
        <v>467.47967479674827</v>
      </c>
      <c r="AA1177" s="69">
        <v>467.47967479674827</v>
      </c>
      <c r="AB1177" s="69">
        <v>467.47967479674827</v>
      </c>
      <c r="AC1177" s="69">
        <v>467.47967479674827</v>
      </c>
      <c r="AD1177" s="69">
        <v>467.47967479674827</v>
      </c>
      <c r="AE1177" s="69">
        <v>467.47967479674827</v>
      </c>
      <c r="AF1177" s="69">
        <v>467.47967479674827</v>
      </c>
      <c r="AG1177" s="69">
        <v>467.47967479674827</v>
      </c>
    </row>
    <row r="1178" spans="1:33">
      <c r="A1178" s="236" t="s">
        <v>2380</v>
      </c>
      <c r="B1178" s="69" t="s">
        <v>230</v>
      </c>
      <c r="C1178" s="69" t="s">
        <v>187</v>
      </c>
      <c r="D1178" s="69" t="s">
        <v>191</v>
      </c>
      <c r="E1178" s="69" t="s">
        <v>191</v>
      </c>
      <c r="F1178" s="69" t="s">
        <v>170</v>
      </c>
      <c r="G1178" s="69" t="s">
        <v>192</v>
      </c>
      <c r="H1178" s="69" t="s">
        <v>804</v>
      </c>
      <c r="I1178" s="69">
        <v>2</v>
      </c>
      <c r="J1178" s="238">
        <v>0.2668262983999703</v>
      </c>
      <c r="K1178" s="238">
        <v>0.7167975850068431</v>
      </c>
      <c r="L1178" s="69">
        <v>192.38629588063705</v>
      </c>
      <c r="M1178" s="69">
        <v>0</v>
      </c>
      <c r="N1178" s="69">
        <v>0</v>
      </c>
      <c r="O1178" s="69">
        <v>0</v>
      </c>
      <c r="P1178" s="69">
        <v>0</v>
      </c>
      <c r="Q1178" s="69">
        <v>0</v>
      </c>
      <c r="R1178" s="69">
        <v>0</v>
      </c>
      <c r="S1178" s="69">
        <v>0</v>
      </c>
      <c r="T1178" s="69">
        <v>0</v>
      </c>
      <c r="U1178" s="69">
        <v>0</v>
      </c>
      <c r="V1178" s="69">
        <v>467.47967479674827</v>
      </c>
      <c r="W1178" s="69">
        <v>467.47967479674827</v>
      </c>
      <c r="X1178" s="69">
        <v>467.47967479674827</v>
      </c>
      <c r="Y1178" s="69">
        <v>467.47967479674827</v>
      </c>
      <c r="Z1178" s="69">
        <v>467.47967479674827</v>
      </c>
      <c r="AA1178" s="69">
        <v>467.47967479674827</v>
      </c>
      <c r="AB1178" s="69">
        <v>467.47967479674827</v>
      </c>
      <c r="AC1178" s="69">
        <v>467.47967479674827</v>
      </c>
      <c r="AD1178" s="69">
        <v>467.47967479674827</v>
      </c>
      <c r="AE1178" s="69">
        <v>467.47967479674827</v>
      </c>
      <c r="AF1178" s="69">
        <v>467.47967479674827</v>
      </c>
      <c r="AG1178" s="69">
        <v>467.47967479674827</v>
      </c>
    </row>
    <row r="1179" spans="1:33">
      <c r="A1179" s="236" t="s">
        <v>2380</v>
      </c>
      <c r="B1179" s="69" t="s">
        <v>231</v>
      </c>
      <c r="C1179" s="69" t="s">
        <v>187</v>
      </c>
      <c r="D1179" s="69" t="s">
        <v>191</v>
      </c>
      <c r="E1179" s="69" t="s">
        <v>191</v>
      </c>
      <c r="F1179" s="69" t="s">
        <v>170</v>
      </c>
      <c r="G1179" s="69" t="s">
        <v>192</v>
      </c>
      <c r="H1179" s="69" t="s">
        <v>804</v>
      </c>
      <c r="I1179" s="69">
        <v>2</v>
      </c>
      <c r="J1179" s="238">
        <v>0.2668262983999703</v>
      </c>
      <c r="K1179" s="238">
        <v>0.7167975850068431</v>
      </c>
      <c r="L1179" s="69">
        <v>192.38629588063705</v>
      </c>
      <c r="M1179" s="69">
        <v>0</v>
      </c>
      <c r="N1179" s="69">
        <v>0</v>
      </c>
      <c r="O1179" s="69">
        <v>0</v>
      </c>
      <c r="P1179" s="69">
        <v>0</v>
      </c>
      <c r="Q1179" s="69">
        <v>0</v>
      </c>
      <c r="R1179" s="69">
        <v>0</v>
      </c>
      <c r="S1179" s="69">
        <v>0</v>
      </c>
      <c r="T1179" s="69">
        <v>0</v>
      </c>
      <c r="U1179" s="69">
        <v>0</v>
      </c>
      <c r="V1179" s="69">
        <v>467.47967479674827</v>
      </c>
      <c r="W1179" s="69">
        <v>467.47967479674827</v>
      </c>
      <c r="X1179" s="69">
        <v>467.47967479674827</v>
      </c>
      <c r="Y1179" s="69">
        <v>467.47967479674827</v>
      </c>
      <c r="Z1179" s="69">
        <v>467.47967479674827</v>
      </c>
      <c r="AA1179" s="69">
        <v>467.47967479674827</v>
      </c>
      <c r="AB1179" s="69">
        <v>467.47967479674827</v>
      </c>
      <c r="AC1179" s="69">
        <v>467.47967479674827</v>
      </c>
      <c r="AD1179" s="69">
        <v>467.47967479674827</v>
      </c>
      <c r="AE1179" s="69">
        <v>467.47967479674827</v>
      </c>
      <c r="AF1179" s="69">
        <v>467.47967479674827</v>
      </c>
      <c r="AG1179" s="69">
        <v>467.47967479674827</v>
      </c>
    </row>
    <row r="1180" spans="1:33">
      <c r="A1180" s="236" t="s">
        <v>2380</v>
      </c>
      <c r="B1180" s="69" t="s">
        <v>232</v>
      </c>
      <c r="C1180" s="69" t="s">
        <v>187</v>
      </c>
      <c r="D1180" s="69" t="s">
        <v>191</v>
      </c>
      <c r="E1180" s="69" t="s">
        <v>191</v>
      </c>
      <c r="F1180" s="69" t="s">
        <v>170</v>
      </c>
      <c r="G1180" s="69" t="s">
        <v>192</v>
      </c>
      <c r="H1180" s="69" t="s">
        <v>804</v>
      </c>
      <c r="I1180" s="69">
        <v>2</v>
      </c>
      <c r="J1180" s="238">
        <v>0.2668262983999703</v>
      </c>
      <c r="K1180" s="238">
        <v>0.7167975850068431</v>
      </c>
      <c r="L1180" s="69">
        <v>192.38629588063705</v>
      </c>
      <c r="M1180" s="69">
        <v>0</v>
      </c>
      <c r="N1180" s="69">
        <v>0</v>
      </c>
      <c r="O1180" s="69">
        <v>0</v>
      </c>
      <c r="P1180" s="69">
        <v>0</v>
      </c>
      <c r="Q1180" s="69">
        <v>0</v>
      </c>
      <c r="R1180" s="69">
        <v>0</v>
      </c>
      <c r="S1180" s="69">
        <v>0</v>
      </c>
      <c r="T1180" s="69">
        <v>0</v>
      </c>
      <c r="U1180" s="69">
        <v>0</v>
      </c>
      <c r="V1180" s="69">
        <v>467.47967479674827</v>
      </c>
      <c r="W1180" s="69">
        <v>467.47967479674827</v>
      </c>
      <c r="X1180" s="69">
        <v>467.47967479674827</v>
      </c>
      <c r="Y1180" s="69">
        <v>467.47967479674827</v>
      </c>
      <c r="Z1180" s="69">
        <v>467.47967479674827</v>
      </c>
      <c r="AA1180" s="69">
        <v>467.47967479674827</v>
      </c>
      <c r="AB1180" s="69">
        <v>467.47967479674827</v>
      </c>
      <c r="AC1180" s="69">
        <v>467.47967479674827</v>
      </c>
      <c r="AD1180" s="69">
        <v>467.47967479674827</v>
      </c>
      <c r="AE1180" s="69">
        <v>467.47967479674827</v>
      </c>
      <c r="AF1180" s="69">
        <v>467.47967479674827</v>
      </c>
      <c r="AG1180" s="69">
        <v>467.47967479674827</v>
      </c>
    </row>
    <row r="1181" spans="1:33">
      <c r="A1181" s="236" t="s">
        <v>2380</v>
      </c>
      <c r="B1181" s="69" t="s">
        <v>233</v>
      </c>
      <c r="C1181" s="69" t="s">
        <v>187</v>
      </c>
      <c r="D1181" s="69" t="s">
        <v>191</v>
      </c>
      <c r="E1181" s="69" t="s">
        <v>191</v>
      </c>
      <c r="F1181" s="69" t="s">
        <v>170</v>
      </c>
      <c r="G1181" s="69" t="s">
        <v>192</v>
      </c>
      <c r="H1181" s="69" t="s">
        <v>804</v>
      </c>
      <c r="I1181" s="69">
        <v>2</v>
      </c>
      <c r="J1181" s="238">
        <v>0.2668262983999703</v>
      </c>
      <c r="K1181" s="238">
        <v>0.7167975850068431</v>
      </c>
      <c r="L1181" s="69">
        <v>192.38629588063705</v>
      </c>
      <c r="M1181" s="69">
        <v>0</v>
      </c>
      <c r="N1181" s="69">
        <v>0</v>
      </c>
      <c r="O1181" s="69">
        <v>0</v>
      </c>
      <c r="P1181" s="69">
        <v>0</v>
      </c>
      <c r="Q1181" s="69">
        <v>0</v>
      </c>
      <c r="R1181" s="69">
        <v>0</v>
      </c>
      <c r="S1181" s="69">
        <v>0</v>
      </c>
      <c r="T1181" s="69">
        <v>0</v>
      </c>
      <c r="U1181" s="69">
        <v>0</v>
      </c>
      <c r="V1181" s="69">
        <v>467.47967479674827</v>
      </c>
      <c r="W1181" s="69">
        <v>467.47967479674827</v>
      </c>
      <c r="X1181" s="69">
        <v>467.47967479674827</v>
      </c>
      <c r="Y1181" s="69">
        <v>467.47967479674827</v>
      </c>
      <c r="Z1181" s="69">
        <v>467.47967479674827</v>
      </c>
      <c r="AA1181" s="69">
        <v>467.47967479674827</v>
      </c>
      <c r="AB1181" s="69">
        <v>467.47967479674827</v>
      </c>
      <c r="AC1181" s="69">
        <v>467.47967479674827</v>
      </c>
      <c r="AD1181" s="69">
        <v>467.47967479674827</v>
      </c>
      <c r="AE1181" s="69">
        <v>467.47967479674827</v>
      </c>
      <c r="AF1181" s="69">
        <v>467.47967479674827</v>
      </c>
      <c r="AG1181" s="69">
        <v>467.47967479674827</v>
      </c>
    </row>
    <row r="1182" spans="1:33">
      <c r="A1182" s="236" t="s">
        <v>2380</v>
      </c>
      <c r="B1182" s="69" t="s">
        <v>234</v>
      </c>
      <c r="C1182" s="69" t="s">
        <v>187</v>
      </c>
      <c r="D1182" s="69" t="s">
        <v>191</v>
      </c>
      <c r="E1182" s="69" t="s">
        <v>191</v>
      </c>
      <c r="F1182" s="69" t="s">
        <v>170</v>
      </c>
      <c r="G1182" s="69" t="s">
        <v>192</v>
      </c>
      <c r="H1182" s="69" t="s">
        <v>804</v>
      </c>
      <c r="I1182" s="69">
        <v>2</v>
      </c>
      <c r="J1182" s="238">
        <v>0.2668262983999703</v>
      </c>
      <c r="K1182" s="238">
        <v>0.7167975850068431</v>
      </c>
      <c r="L1182" s="69">
        <v>192.38629588063705</v>
      </c>
      <c r="M1182" s="69">
        <v>0</v>
      </c>
      <c r="N1182" s="69">
        <v>0</v>
      </c>
      <c r="O1182" s="69">
        <v>0</v>
      </c>
      <c r="P1182" s="69">
        <v>0</v>
      </c>
      <c r="Q1182" s="69">
        <v>0</v>
      </c>
      <c r="R1182" s="69">
        <v>0</v>
      </c>
      <c r="S1182" s="69">
        <v>0</v>
      </c>
      <c r="T1182" s="69">
        <v>0</v>
      </c>
      <c r="U1182" s="69">
        <v>0</v>
      </c>
      <c r="V1182" s="69">
        <v>467.47967479674827</v>
      </c>
      <c r="W1182" s="69">
        <v>467.47967479674827</v>
      </c>
      <c r="X1182" s="69">
        <v>467.47967479674827</v>
      </c>
      <c r="Y1182" s="69">
        <v>467.47967479674827</v>
      </c>
      <c r="Z1182" s="69">
        <v>467.47967479674827</v>
      </c>
      <c r="AA1182" s="69">
        <v>467.47967479674827</v>
      </c>
      <c r="AB1182" s="69">
        <v>467.47967479674827</v>
      </c>
      <c r="AC1182" s="69">
        <v>467.47967479674827</v>
      </c>
      <c r="AD1182" s="69">
        <v>467.47967479674827</v>
      </c>
      <c r="AE1182" s="69">
        <v>467.47967479674827</v>
      </c>
      <c r="AF1182" s="69">
        <v>467.47967479674827</v>
      </c>
      <c r="AG1182" s="69">
        <v>467.47967479674827</v>
      </c>
    </row>
    <row r="1183" spans="1:33">
      <c r="A1183" s="236" t="s">
        <v>2380</v>
      </c>
      <c r="B1183" s="69" t="s">
        <v>235</v>
      </c>
      <c r="C1183" s="69" t="s">
        <v>139</v>
      </c>
      <c r="D1183" s="69" t="s">
        <v>191</v>
      </c>
      <c r="E1183" s="69" t="s">
        <v>191</v>
      </c>
      <c r="F1183" s="69" t="s">
        <v>166</v>
      </c>
      <c r="G1183" s="69" t="s">
        <v>236</v>
      </c>
      <c r="H1183" s="69" t="s">
        <v>2417</v>
      </c>
      <c r="I1183" s="69">
        <v>1</v>
      </c>
      <c r="J1183" s="238">
        <v>0.85</v>
      </c>
      <c r="K1183" s="238">
        <v>0.60506988845340159</v>
      </c>
      <c r="L1183" s="69">
        <v>123.91348598076651</v>
      </c>
      <c r="M1183" s="69">
        <v>0</v>
      </c>
      <c r="N1183" s="69">
        <v>0</v>
      </c>
      <c r="O1183" s="69">
        <v>0</v>
      </c>
      <c r="P1183" s="69">
        <v>0</v>
      </c>
      <c r="Q1183" s="69">
        <v>238.27199999999993</v>
      </c>
      <c r="R1183" s="69">
        <v>238.27199999999993</v>
      </c>
      <c r="S1183" s="69">
        <v>238.27199999999993</v>
      </c>
      <c r="T1183" s="69">
        <v>238.27199999999993</v>
      </c>
      <c r="U1183" s="69">
        <v>238.27199999999993</v>
      </c>
      <c r="V1183" s="69">
        <v>238.27199999999993</v>
      </c>
      <c r="W1183" s="69">
        <v>238.27199999999993</v>
      </c>
      <c r="X1183" s="69">
        <v>238.27199999999993</v>
      </c>
      <c r="Y1183" s="69">
        <v>238.27199999999993</v>
      </c>
      <c r="Z1183" s="69">
        <v>238.27199999999993</v>
      </c>
      <c r="AA1183" s="69">
        <v>238.27199999999993</v>
      </c>
      <c r="AB1183" s="69">
        <v>238.27199999999993</v>
      </c>
      <c r="AC1183" s="69">
        <v>238.27199999999993</v>
      </c>
      <c r="AD1183" s="69">
        <v>238.27199999999993</v>
      </c>
      <c r="AE1183" s="69">
        <v>238.27199999999993</v>
      </c>
      <c r="AF1183" s="69">
        <v>238.27199999999993</v>
      </c>
      <c r="AG1183" s="69">
        <v>238.27199999999993</v>
      </c>
    </row>
    <row r="1184" spans="1:33">
      <c r="A1184" s="236" t="s">
        <v>2380</v>
      </c>
      <c r="B1184" s="69" t="s">
        <v>237</v>
      </c>
      <c r="C1184" s="69" t="s">
        <v>185</v>
      </c>
      <c r="D1184" s="69" t="s">
        <v>205</v>
      </c>
      <c r="E1184" s="69" t="s">
        <v>194</v>
      </c>
      <c r="F1184" s="69" t="s">
        <v>175</v>
      </c>
      <c r="G1184" s="69" t="s">
        <v>192</v>
      </c>
      <c r="H1184" s="69" t="s">
        <v>804</v>
      </c>
      <c r="I1184" s="69">
        <v>1</v>
      </c>
      <c r="J1184" s="238">
        <v>0.26624999999999999</v>
      </c>
      <c r="K1184" s="238">
        <v>0.50027165852802347</v>
      </c>
      <c r="L1184" s="69">
        <v>147.69233230629843</v>
      </c>
      <c r="M1184" s="69">
        <v>0</v>
      </c>
      <c r="N1184" s="69">
        <v>0</v>
      </c>
      <c r="O1184" s="69">
        <v>0</v>
      </c>
      <c r="P1184" s="69">
        <v>0</v>
      </c>
      <c r="Q1184" s="69">
        <v>0</v>
      </c>
      <c r="R1184" s="69">
        <v>0</v>
      </c>
      <c r="S1184" s="69">
        <v>583.08749999999964</v>
      </c>
      <c r="T1184" s="69">
        <v>583.08749999999964</v>
      </c>
      <c r="U1184" s="69">
        <v>583.08749999999964</v>
      </c>
      <c r="V1184" s="69">
        <v>583.08749999999964</v>
      </c>
      <c r="W1184" s="69">
        <v>583.08749999999964</v>
      </c>
      <c r="X1184" s="69">
        <v>583.08749999999964</v>
      </c>
      <c r="Y1184" s="69">
        <v>583.08749999999964</v>
      </c>
      <c r="Z1184" s="69">
        <v>583.08749999999964</v>
      </c>
      <c r="AA1184" s="69">
        <v>583.08749999999964</v>
      </c>
      <c r="AB1184" s="69">
        <v>583.08749999999964</v>
      </c>
      <c r="AC1184" s="69">
        <v>583.08749999999964</v>
      </c>
      <c r="AD1184" s="69">
        <v>583.08749999999964</v>
      </c>
      <c r="AE1184" s="69">
        <v>583.08749999999964</v>
      </c>
      <c r="AF1184" s="69">
        <v>583.08749999999964</v>
      </c>
      <c r="AG1184" s="69">
        <v>583.08749999999964</v>
      </c>
    </row>
    <row r="1185" spans="1:33">
      <c r="A1185" s="236" t="s">
        <v>2380</v>
      </c>
      <c r="B1185" s="69" t="s">
        <v>238</v>
      </c>
      <c r="C1185" s="69" t="s">
        <v>136</v>
      </c>
      <c r="D1185" s="69" t="s">
        <v>191</v>
      </c>
      <c r="E1185" s="69" t="s">
        <v>191</v>
      </c>
      <c r="F1185" s="69" t="s">
        <v>161</v>
      </c>
      <c r="G1185" s="69" t="s">
        <v>192</v>
      </c>
      <c r="H1185" s="69" t="s">
        <v>2130</v>
      </c>
      <c r="I1185" s="69">
        <v>1</v>
      </c>
      <c r="J1185" s="238">
        <v>0.82499999999999996</v>
      </c>
      <c r="K1185" s="238">
        <v>0.70497163608542901</v>
      </c>
      <c r="L1185" s="69">
        <v>109.81489691553389</v>
      </c>
      <c r="M1185" s="69">
        <v>0</v>
      </c>
      <c r="N1185" s="69">
        <v>0</v>
      </c>
      <c r="O1185" s="69">
        <v>0</v>
      </c>
      <c r="P1185" s="69">
        <v>0</v>
      </c>
      <c r="Q1185" s="69">
        <v>0</v>
      </c>
      <c r="R1185" s="69">
        <v>289.07999999999981</v>
      </c>
      <c r="S1185" s="69">
        <v>289.07999999999981</v>
      </c>
      <c r="T1185" s="69">
        <v>289.07999999999981</v>
      </c>
      <c r="U1185" s="69">
        <v>289.07999999999981</v>
      </c>
      <c r="V1185" s="69">
        <v>289.07999999999981</v>
      </c>
      <c r="W1185" s="69">
        <v>289.07999999999981</v>
      </c>
      <c r="X1185" s="69">
        <v>289.07999999999981</v>
      </c>
      <c r="Y1185" s="69">
        <v>289.07999999999981</v>
      </c>
      <c r="Z1185" s="69">
        <v>289.07999999999981</v>
      </c>
      <c r="AA1185" s="69">
        <v>289.07999999999981</v>
      </c>
      <c r="AB1185" s="69">
        <v>289.07999999999981</v>
      </c>
      <c r="AC1185" s="69">
        <v>289.07999999999981</v>
      </c>
      <c r="AD1185" s="69">
        <v>289.07999999999981</v>
      </c>
      <c r="AE1185" s="69">
        <v>289.07999999999981</v>
      </c>
      <c r="AF1185" s="69">
        <v>289.07999999999981</v>
      </c>
      <c r="AG1185" s="69">
        <v>289.07999999999981</v>
      </c>
    </row>
    <row r="1186" spans="1:33">
      <c r="A1186" s="236" t="s">
        <v>2380</v>
      </c>
      <c r="B1186" s="69" t="s">
        <v>239</v>
      </c>
      <c r="C1186" s="69" t="s">
        <v>137</v>
      </c>
      <c r="D1186" s="69" t="s">
        <v>191</v>
      </c>
      <c r="E1186" s="69" t="s">
        <v>191</v>
      </c>
      <c r="F1186" s="69" t="s">
        <v>180</v>
      </c>
      <c r="G1186" s="69" t="s">
        <v>192</v>
      </c>
      <c r="H1186" s="69" t="s">
        <v>804</v>
      </c>
      <c r="I1186" s="69">
        <v>2</v>
      </c>
      <c r="J1186" s="238">
        <v>0.32235762917068039</v>
      </c>
      <c r="K1186" s="238">
        <v>0.160195270625522</v>
      </c>
      <c r="L1186" s="69">
        <v>96.038728079112801</v>
      </c>
      <c r="M1186" s="69">
        <v>0</v>
      </c>
      <c r="N1186" s="69">
        <v>0</v>
      </c>
      <c r="O1186" s="69">
        <v>0</v>
      </c>
      <c r="P1186" s="69">
        <v>0</v>
      </c>
      <c r="Q1186" s="69">
        <v>0</v>
      </c>
      <c r="R1186" s="69">
        <v>56.477056630701554</v>
      </c>
      <c r="S1186" s="69">
        <v>56.477056630701554</v>
      </c>
      <c r="T1186" s="69">
        <v>56.477056630701554</v>
      </c>
      <c r="U1186" s="69">
        <v>56.477056630701554</v>
      </c>
      <c r="V1186" s="69">
        <v>56.477056630701554</v>
      </c>
      <c r="W1186" s="69">
        <v>56.477056630701554</v>
      </c>
      <c r="X1186" s="69">
        <v>56.477056630701554</v>
      </c>
      <c r="Y1186" s="69">
        <v>56.477056630701554</v>
      </c>
      <c r="Z1186" s="69">
        <v>56.477056630701554</v>
      </c>
      <c r="AA1186" s="69">
        <v>56.477056630701554</v>
      </c>
      <c r="AB1186" s="69">
        <v>56.477056630701554</v>
      </c>
      <c r="AC1186" s="69">
        <v>56.477056630701554</v>
      </c>
      <c r="AD1186" s="69">
        <v>56.477056630701554</v>
      </c>
      <c r="AE1186" s="69">
        <v>56.477056630701554</v>
      </c>
      <c r="AF1186" s="69">
        <v>56.477056630701554</v>
      </c>
      <c r="AG1186" s="69">
        <v>56.477056630701554</v>
      </c>
    </row>
    <row r="1187" spans="1:33">
      <c r="A1187" s="236" t="s">
        <v>2380</v>
      </c>
      <c r="B1187" s="69" t="s">
        <v>240</v>
      </c>
      <c r="C1187" s="69" t="s">
        <v>137</v>
      </c>
      <c r="D1187" s="69" t="s">
        <v>191</v>
      </c>
      <c r="E1187" s="69" t="s">
        <v>191</v>
      </c>
      <c r="F1187" s="69" t="s">
        <v>180</v>
      </c>
      <c r="G1187" s="69" t="s">
        <v>192</v>
      </c>
      <c r="H1187" s="69" t="s">
        <v>804</v>
      </c>
      <c r="I1187" s="69">
        <v>2</v>
      </c>
      <c r="J1187" s="238">
        <v>0.32235762917068039</v>
      </c>
      <c r="K1187" s="238">
        <v>0.160195270625522</v>
      </c>
      <c r="L1187" s="69">
        <v>96.038728079112801</v>
      </c>
      <c r="M1187" s="69">
        <v>0</v>
      </c>
      <c r="N1187" s="69">
        <v>0</v>
      </c>
      <c r="O1187" s="69">
        <v>0</v>
      </c>
      <c r="P1187" s="69">
        <v>0</v>
      </c>
      <c r="Q1187" s="69">
        <v>0</v>
      </c>
      <c r="R1187" s="69">
        <v>11.295411326140311</v>
      </c>
      <c r="S1187" s="69">
        <v>11.295411326140311</v>
      </c>
      <c r="T1187" s="69">
        <v>11.295411326140311</v>
      </c>
      <c r="U1187" s="69">
        <v>11.295411326140311</v>
      </c>
      <c r="V1187" s="69">
        <v>11.295411326140311</v>
      </c>
      <c r="W1187" s="69">
        <v>11.295411326140311</v>
      </c>
      <c r="X1187" s="69">
        <v>11.295411326140311</v>
      </c>
      <c r="Y1187" s="69">
        <v>11.295411326140311</v>
      </c>
      <c r="Z1187" s="69">
        <v>11.295411326140311</v>
      </c>
      <c r="AA1187" s="69">
        <v>11.295411326140311</v>
      </c>
      <c r="AB1187" s="69">
        <v>11.295411326140311</v>
      </c>
      <c r="AC1187" s="69">
        <v>11.295411326140311</v>
      </c>
      <c r="AD1187" s="69">
        <v>11.295411326140311</v>
      </c>
      <c r="AE1187" s="69">
        <v>11.295411326140311</v>
      </c>
      <c r="AF1187" s="69">
        <v>11.295411326140311</v>
      </c>
      <c r="AG1187" s="69">
        <v>11.295411326140311</v>
      </c>
    </row>
    <row r="1188" spans="1:33">
      <c r="A1188" s="236" t="s">
        <v>2380</v>
      </c>
      <c r="B1188" s="69" t="s">
        <v>241</v>
      </c>
      <c r="C1188" s="69" t="s">
        <v>186</v>
      </c>
      <c r="D1188" s="69" t="s">
        <v>218</v>
      </c>
      <c r="E1188" s="69" t="s">
        <v>242</v>
      </c>
      <c r="F1188" s="69" t="s">
        <v>158</v>
      </c>
      <c r="G1188" s="69" t="s">
        <v>192</v>
      </c>
      <c r="H1188" s="69" t="s">
        <v>804</v>
      </c>
      <c r="I1188" s="69">
        <v>1</v>
      </c>
      <c r="J1188" s="238">
        <v>0.24339198871440765</v>
      </c>
      <c r="K1188" s="238">
        <v>0</v>
      </c>
      <c r="L1188" s="69">
        <v>193.77952335557677</v>
      </c>
      <c r="M1188" s="69">
        <v>-4.6901811248808389</v>
      </c>
      <c r="N1188" s="69">
        <v>0</v>
      </c>
      <c r="O1188" s="69">
        <v>0</v>
      </c>
      <c r="P1188" s="69">
        <v>0</v>
      </c>
      <c r="Q1188" s="69">
        <v>42.642276422764553</v>
      </c>
      <c r="R1188" s="69">
        <v>42.642276422764553</v>
      </c>
      <c r="S1188" s="69">
        <v>42.642276422764553</v>
      </c>
      <c r="T1188" s="69">
        <v>42.642276422764553</v>
      </c>
      <c r="U1188" s="69">
        <v>42.642276422764553</v>
      </c>
      <c r="V1188" s="69">
        <v>42.642276422764553</v>
      </c>
      <c r="W1188" s="69">
        <v>42.642276422764553</v>
      </c>
      <c r="X1188" s="69">
        <v>42.642276422764553</v>
      </c>
      <c r="Y1188" s="69">
        <v>42.642276422764553</v>
      </c>
      <c r="Z1188" s="69">
        <v>42.642276422764553</v>
      </c>
      <c r="AA1188" s="69">
        <v>42.642276422764553</v>
      </c>
      <c r="AB1188" s="69">
        <v>42.642276422764553</v>
      </c>
      <c r="AC1188" s="69">
        <v>42.642276422764553</v>
      </c>
      <c r="AD1188" s="69">
        <v>42.642276422764553</v>
      </c>
      <c r="AE1188" s="69">
        <v>42.642276422764553</v>
      </c>
      <c r="AF1188" s="69">
        <v>42.642276422764553</v>
      </c>
      <c r="AG1188" s="69">
        <v>42.642276422764553</v>
      </c>
    </row>
    <row r="1189" spans="1:33">
      <c r="A1189" s="236" t="s">
        <v>2380</v>
      </c>
      <c r="B1189" s="69" t="s">
        <v>243</v>
      </c>
      <c r="C1189" s="69" t="s">
        <v>186</v>
      </c>
      <c r="D1189" s="69" t="s">
        <v>218</v>
      </c>
      <c r="E1189" s="69" t="s">
        <v>244</v>
      </c>
      <c r="F1189" s="69" t="s">
        <v>158</v>
      </c>
      <c r="G1189" s="69" t="s">
        <v>192</v>
      </c>
      <c r="H1189" s="69" t="s">
        <v>804</v>
      </c>
      <c r="I1189" s="69">
        <v>1</v>
      </c>
      <c r="J1189" s="238">
        <v>0.2668262983999703</v>
      </c>
      <c r="K1189" s="238">
        <v>0</v>
      </c>
      <c r="L1189" s="69">
        <v>176.76062608695653</v>
      </c>
      <c r="M1189" s="69">
        <v>-4.2782608695652176</v>
      </c>
      <c r="N1189" s="69">
        <v>46.747967479674116</v>
      </c>
      <c r="O1189" s="69">
        <v>46.747967479674116</v>
      </c>
      <c r="P1189" s="69">
        <v>46.747967479674116</v>
      </c>
      <c r="Q1189" s="69">
        <v>46.747967479674116</v>
      </c>
      <c r="R1189" s="69">
        <v>46.747967479674116</v>
      </c>
      <c r="S1189" s="69">
        <v>46.747967479674116</v>
      </c>
      <c r="T1189" s="69">
        <v>46.747967479674116</v>
      </c>
      <c r="U1189" s="69">
        <v>46.747967479674116</v>
      </c>
      <c r="V1189" s="69">
        <v>46.747967479674116</v>
      </c>
      <c r="W1189" s="69">
        <v>46.747967479674116</v>
      </c>
      <c r="X1189" s="69">
        <v>46.747967479674116</v>
      </c>
      <c r="Y1189" s="69">
        <v>46.747967479674116</v>
      </c>
      <c r="Z1189" s="69">
        <v>46.747967479674116</v>
      </c>
      <c r="AA1189" s="69">
        <v>46.747967479674116</v>
      </c>
      <c r="AB1189" s="69">
        <v>46.747967479674116</v>
      </c>
      <c r="AC1189" s="69">
        <v>46.747967479674116</v>
      </c>
      <c r="AD1189" s="69">
        <v>46.747967479674116</v>
      </c>
      <c r="AE1189" s="69">
        <v>46.747967479674116</v>
      </c>
      <c r="AF1189" s="69">
        <v>46.747967479674116</v>
      </c>
      <c r="AG1189" s="69">
        <v>46.747967479674116</v>
      </c>
    </row>
    <row r="1190" spans="1:33">
      <c r="A1190" s="236" t="s">
        <v>2380</v>
      </c>
      <c r="B1190" s="69" t="s">
        <v>245</v>
      </c>
      <c r="C1190" s="69" t="s">
        <v>137</v>
      </c>
      <c r="D1190" s="69" t="s">
        <v>191</v>
      </c>
      <c r="E1190" s="69" t="s">
        <v>191</v>
      </c>
      <c r="F1190" s="69" t="s">
        <v>180</v>
      </c>
      <c r="G1190" s="69" t="s">
        <v>192</v>
      </c>
      <c r="H1190" s="69" t="s">
        <v>804</v>
      </c>
      <c r="I1190" s="69">
        <v>2</v>
      </c>
      <c r="J1190" s="238">
        <v>0.32235762917068039</v>
      </c>
      <c r="K1190" s="238">
        <v>0.160195270625522</v>
      </c>
      <c r="L1190" s="69">
        <v>96.038728079112801</v>
      </c>
      <c r="M1190" s="69">
        <v>0</v>
      </c>
      <c r="N1190" s="69">
        <v>0</v>
      </c>
      <c r="O1190" s="69">
        <v>0</v>
      </c>
      <c r="P1190" s="69">
        <v>0</v>
      </c>
      <c r="Q1190" s="69">
        <v>0</v>
      </c>
      <c r="R1190" s="69">
        <v>56.477056630701554</v>
      </c>
      <c r="S1190" s="69">
        <v>56.477056630701554</v>
      </c>
      <c r="T1190" s="69">
        <v>56.477056630701554</v>
      </c>
      <c r="U1190" s="69">
        <v>56.477056630701554</v>
      </c>
      <c r="V1190" s="69">
        <v>56.477056630701554</v>
      </c>
      <c r="W1190" s="69">
        <v>56.477056630701554</v>
      </c>
      <c r="X1190" s="69">
        <v>56.477056630701554</v>
      </c>
      <c r="Y1190" s="69">
        <v>56.477056630701554</v>
      </c>
      <c r="Z1190" s="69">
        <v>56.477056630701554</v>
      </c>
      <c r="AA1190" s="69">
        <v>56.477056630701554</v>
      </c>
      <c r="AB1190" s="69">
        <v>56.477056630701554</v>
      </c>
      <c r="AC1190" s="69">
        <v>56.477056630701554</v>
      </c>
      <c r="AD1190" s="69">
        <v>56.477056630701554</v>
      </c>
      <c r="AE1190" s="69">
        <v>56.477056630701554</v>
      </c>
      <c r="AF1190" s="69">
        <v>56.477056630701554</v>
      </c>
      <c r="AG1190" s="69">
        <v>56.477056630701554</v>
      </c>
    </row>
    <row r="1191" spans="1:33">
      <c r="A1191" s="236" t="s">
        <v>2380</v>
      </c>
      <c r="B1191" s="69" t="s">
        <v>246</v>
      </c>
      <c r="C1191" s="69" t="s">
        <v>186</v>
      </c>
      <c r="D1191" s="69" t="s">
        <v>218</v>
      </c>
      <c r="E1191" s="69" t="s">
        <v>244</v>
      </c>
      <c r="F1191" s="69" t="s">
        <v>158</v>
      </c>
      <c r="G1191" s="69" t="s">
        <v>192</v>
      </c>
      <c r="H1191" s="69" t="s">
        <v>804</v>
      </c>
      <c r="I1191" s="69">
        <v>1</v>
      </c>
      <c r="J1191" s="238">
        <v>0.2668262983999703</v>
      </c>
      <c r="K1191" s="238">
        <v>0</v>
      </c>
      <c r="L1191" s="69">
        <v>176.76062608695653</v>
      </c>
      <c r="M1191" s="69">
        <v>-4.2782608695652176</v>
      </c>
      <c r="N1191" s="69">
        <v>0</v>
      </c>
      <c r="O1191" s="69">
        <v>0</v>
      </c>
      <c r="P1191" s="69">
        <v>0</v>
      </c>
      <c r="Q1191" s="69">
        <v>11.686991869919437</v>
      </c>
      <c r="R1191" s="69">
        <v>11.686991869919437</v>
      </c>
      <c r="S1191" s="69">
        <v>11.686991869919437</v>
      </c>
      <c r="T1191" s="69">
        <v>11.686991869919437</v>
      </c>
      <c r="U1191" s="69">
        <v>11.686991869919437</v>
      </c>
      <c r="V1191" s="69">
        <v>11.686991869919437</v>
      </c>
      <c r="W1191" s="69">
        <v>11.686991869919437</v>
      </c>
      <c r="X1191" s="69">
        <v>11.686991869919437</v>
      </c>
      <c r="Y1191" s="69">
        <v>11.686991869919437</v>
      </c>
      <c r="Z1191" s="69">
        <v>11.686991869919437</v>
      </c>
      <c r="AA1191" s="69">
        <v>11.686991869919437</v>
      </c>
      <c r="AB1191" s="69">
        <v>11.686991869919437</v>
      </c>
      <c r="AC1191" s="69">
        <v>11.686991869919437</v>
      </c>
      <c r="AD1191" s="69">
        <v>11.686991869919437</v>
      </c>
      <c r="AE1191" s="69">
        <v>11.686991869919437</v>
      </c>
      <c r="AF1191" s="69">
        <v>11.686991869919437</v>
      </c>
      <c r="AG1191" s="69">
        <v>11.686991869919437</v>
      </c>
    </row>
    <row r="1192" spans="1:33">
      <c r="A1192" s="236" t="s">
        <v>2380</v>
      </c>
      <c r="B1192" s="69" t="s">
        <v>247</v>
      </c>
      <c r="C1192" s="69" t="s">
        <v>186</v>
      </c>
      <c r="D1192" s="69" t="s">
        <v>218</v>
      </c>
      <c r="E1192" s="69" t="s">
        <v>244</v>
      </c>
      <c r="F1192" s="69" t="s">
        <v>158</v>
      </c>
      <c r="G1192" s="69" t="s">
        <v>192</v>
      </c>
      <c r="H1192" s="69" t="s">
        <v>804</v>
      </c>
      <c r="I1192" s="69">
        <v>1</v>
      </c>
      <c r="J1192" s="238">
        <v>0.2668262983999703</v>
      </c>
      <c r="K1192" s="238">
        <v>0</v>
      </c>
      <c r="L1192" s="69">
        <v>176.76062608695653</v>
      </c>
      <c r="M1192" s="69">
        <v>-4.2782608695652176</v>
      </c>
      <c r="N1192" s="69">
        <v>0</v>
      </c>
      <c r="O1192" s="69">
        <v>0</v>
      </c>
      <c r="P1192" s="69">
        <v>0</v>
      </c>
      <c r="Q1192" s="69">
        <v>46.747967479674116</v>
      </c>
      <c r="R1192" s="69">
        <v>46.747967479674116</v>
      </c>
      <c r="S1192" s="69">
        <v>46.747967479674116</v>
      </c>
      <c r="T1192" s="69">
        <v>46.747967479674116</v>
      </c>
      <c r="U1192" s="69">
        <v>46.747967479674116</v>
      </c>
      <c r="V1192" s="69">
        <v>46.747967479674116</v>
      </c>
      <c r="W1192" s="69">
        <v>46.747967479674116</v>
      </c>
      <c r="X1192" s="69">
        <v>46.747967479674116</v>
      </c>
      <c r="Y1192" s="69">
        <v>46.747967479674116</v>
      </c>
      <c r="Z1192" s="69">
        <v>46.747967479674116</v>
      </c>
      <c r="AA1192" s="69">
        <v>46.747967479674116</v>
      </c>
      <c r="AB1192" s="69">
        <v>46.747967479674116</v>
      </c>
      <c r="AC1192" s="69">
        <v>46.747967479674116</v>
      </c>
      <c r="AD1192" s="69">
        <v>46.747967479674116</v>
      </c>
      <c r="AE1192" s="69">
        <v>46.747967479674116</v>
      </c>
      <c r="AF1192" s="69">
        <v>46.747967479674116</v>
      </c>
      <c r="AG1192" s="69">
        <v>46.747967479674116</v>
      </c>
    </row>
    <row r="1193" spans="1:33">
      <c r="A1193" s="236" t="s">
        <v>2380</v>
      </c>
      <c r="B1193" s="69" t="s">
        <v>248</v>
      </c>
      <c r="C1193" s="69" t="s">
        <v>186</v>
      </c>
      <c r="D1193" s="69" t="s">
        <v>218</v>
      </c>
      <c r="E1193" s="69" t="s">
        <v>244</v>
      </c>
      <c r="F1193" s="69" t="s">
        <v>158</v>
      </c>
      <c r="G1193" s="69" t="s">
        <v>192</v>
      </c>
      <c r="H1193" s="69" t="s">
        <v>804</v>
      </c>
      <c r="I1193" s="69">
        <v>1</v>
      </c>
      <c r="J1193" s="238">
        <v>0.2668262983999703</v>
      </c>
      <c r="K1193" s="238">
        <v>0</v>
      </c>
      <c r="L1193" s="69">
        <v>176.76062608695653</v>
      </c>
      <c r="M1193" s="69">
        <v>-4.2782608695652176</v>
      </c>
      <c r="N1193" s="69">
        <v>0</v>
      </c>
      <c r="O1193" s="69">
        <v>0</v>
      </c>
      <c r="P1193" s="69">
        <v>0</v>
      </c>
      <c r="Q1193" s="69">
        <v>46.747967479674116</v>
      </c>
      <c r="R1193" s="69">
        <v>46.747967479674116</v>
      </c>
      <c r="S1193" s="69">
        <v>46.747967479674116</v>
      </c>
      <c r="T1193" s="69">
        <v>46.747967479674116</v>
      </c>
      <c r="U1193" s="69">
        <v>46.747967479674116</v>
      </c>
      <c r="V1193" s="69">
        <v>46.747967479674116</v>
      </c>
      <c r="W1193" s="69">
        <v>46.747967479674116</v>
      </c>
      <c r="X1193" s="69">
        <v>46.747967479674116</v>
      </c>
      <c r="Y1193" s="69">
        <v>46.747967479674116</v>
      </c>
      <c r="Z1193" s="69">
        <v>46.747967479674116</v>
      </c>
      <c r="AA1193" s="69">
        <v>46.747967479674116</v>
      </c>
      <c r="AB1193" s="69">
        <v>46.747967479674116</v>
      </c>
      <c r="AC1193" s="69">
        <v>46.747967479674116</v>
      </c>
      <c r="AD1193" s="69">
        <v>46.747967479674116</v>
      </c>
      <c r="AE1193" s="69">
        <v>46.747967479674116</v>
      </c>
      <c r="AF1193" s="69">
        <v>46.747967479674116</v>
      </c>
      <c r="AG1193" s="69">
        <v>46.747967479674116</v>
      </c>
    </row>
    <row r="1194" spans="1:33">
      <c r="A1194" s="236" t="s">
        <v>2380</v>
      </c>
      <c r="B1194" s="69" t="s">
        <v>249</v>
      </c>
      <c r="C1194" s="69" t="s">
        <v>186</v>
      </c>
      <c r="D1194" s="69" t="s">
        <v>218</v>
      </c>
      <c r="E1194" s="69" t="s">
        <v>244</v>
      </c>
      <c r="F1194" s="69" t="s">
        <v>158</v>
      </c>
      <c r="G1194" s="69" t="s">
        <v>192</v>
      </c>
      <c r="H1194" s="69" t="s">
        <v>804</v>
      </c>
      <c r="I1194" s="69">
        <v>1</v>
      </c>
      <c r="J1194" s="238">
        <v>0.2668262983999703</v>
      </c>
      <c r="K1194" s="238">
        <v>0</v>
      </c>
      <c r="L1194" s="69">
        <v>176.76062608695653</v>
      </c>
      <c r="M1194" s="69">
        <v>-4.2782608695652176</v>
      </c>
      <c r="N1194" s="69">
        <v>0</v>
      </c>
      <c r="O1194" s="69">
        <v>0</v>
      </c>
      <c r="P1194" s="69">
        <v>0</v>
      </c>
      <c r="Q1194" s="69">
        <v>0</v>
      </c>
      <c r="R1194" s="69">
        <v>46.747967479674116</v>
      </c>
      <c r="S1194" s="69">
        <v>46.747967479674116</v>
      </c>
      <c r="T1194" s="69">
        <v>46.747967479674116</v>
      </c>
      <c r="U1194" s="69">
        <v>46.747967479674116</v>
      </c>
      <c r="V1194" s="69">
        <v>46.747967479674116</v>
      </c>
      <c r="W1194" s="69">
        <v>46.747967479674116</v>
      </c>
      <c r="X1194" s="69">
        <v>46.747967479674116</v>
      </c>
      <c r="Y1194" s="69">
        <v>46.747967479674116</v>
      </c>
      <c r="Z1194" s="69">
        <v>46.747967479674116</v>
      </c>
      <c r="AA1194" s="69">
        <v>46.747967479674116</v>
      </c>
      <c r="AB1194" s="69">
        <v>46.747967479674116</v>
      </c>
      <c r="AC1194" s="69">
        <v>46.747967479674116</v>
      </c>
      <c r="AD1194" s="69">
        <v>46.747967479674116</v>
      </c>
      <c r="AE1194" s="69">
        <v>46.747967479674116</v>
      </c>
      <c r="AF1194" s="69">
        <v>46.747967479674116</v>
      </c>
      <c r="AG1194" s="69">
        <v>46.747967479674116</v>
      </c>
    </row>
    <row r="1195" spans="1:33">
      <c r="A1195" s="236" t="s">
        <v>2380</v>
      </c>
      <c r="B1195" s="69" t="s">
        <v>250</v>
      </c>
      <c r="C1195" s="69" t="s">
        <v>186</v>
      </c>
      <c r="D1195" s="69" t="s">
        <v>218</v>
      </c>
      <c r="E1195" s="69" t="s">
        <v>244</v>
      </c>
      <c r="F1195" s="69" t="s">
        <v>158</v>
      </c>
      <c r="G1195" s="69" t="s">
        <v>192</v>
      </c>
      <c r="H1195" s="69" t="s">
        <v>804</v>
      </c>
      <c r="I1195" s="69">
        <v>1</v>
      </c>
      <c r="J1195" s="238">
        <v>0.2668262983999703</v>
      </c>
      <c r="K1195" s="238">
        <v>0</v>
      </c>
      <c r="L1195" s="69">
        <v>176.76062608695653</v>
      </c>
      <c r="M1195" s="69">
        <v>-4.2782608695652176</v>
      </c>
      <c r="N1195" s="69">
        <v>0</v>
      </c>
      <c r="O1195" s="69">
        <v>0</v>
      </c>
      <c r="P1195" s="69">
        <v>0</v>
      </c>
      <c r="Q1195" s="69">
        <v>0</v>
      </c>
      <c r="R1195" s="69">
        <v>46.747967479674116</v>
      </c>
      <c r="S1195" s="69">
        <v>46.747967479674116</v>
      </c>
      <c r="T1195" s="69">
        <v>46.747967479674116</v>
      </c>
      <c r="U1195" s="69">
        <v>46.747967479674116</v>
      </c>
      <c r="V1195" s="69">
        <v>46.747967479674116</v>
      </c>
      <c r="W1195" s="69">
        <v>46.747967479674116</v>
      </c>
      <c r="X1195" s="69">
        <v>46.747967479674116</v>
      </c>
      <c r="Y1195" s="69">
        <v>46.747967479674116</v>
      </c>
      <c r="Z1195" s="69">
        <v>46.747967479674116</v>
      </c>
      <c r="AA1195" s="69">
        <v>46.747967479674116</v>
      </c>
      <c r="AB1195" s="69">
        <v>46.747967479674116</v>
      </c>
      <c r="AC1195" s="69">
        <v>46.747967479674116</v>
      </c>
      <c r="AD1195" s="69">
        <v>46.747967479674116</v>
      </c>
      <c r="AE1195" s="69">
        <v>46.747967479674116</v>
      </c>
      <c r="AF1195" s="69">
        <v>46.747967479674116</v>
      </c>
      <c r="AG1195" s="69">
        <v>46.747967479674116</v>
      </c>
    </row>
    <row r="1196" spans="1:33">
      <c r="A1196" s="236" t="s">
        <v>2380</v>
      </c>
      <c r="B1196" s="69" t="s">
        <v>251</v>
      </c>
      <c r="C1196" s="69" t="s">
        <v>186</v>
      </c>
      <c r="D1196" s="69" t="s">
        <v>218</v>
      </c>
      <c r="E1196" s="69" t="s">
        <v>244</v>
      </c>
      <c r="F1196" s="69" t="s">
        <v>158</v>
      </c>
      <c r="G1196" s="69" t="s">
        <v>192</v>
      </c>
      <c r="H1196" s="69" t="s">
        <v>804</v>
      </c>
      <c r="I1196" s="69">
        <v>1</v>
      </c>
      <c r="J1196" s="238">
        <v>0.2668262983999703</v>
      </c>
      <c r="K1196" s="238">
        <v>0</v>
      </c>
      <c r="L1196" s="69">
        <v>176.76062608695653</v>
      </c>
      <c r="M1196" s="69">
        <v>-4.2782608695652176</v>
      </c>
      <c r="N1196" s="69">
        <v>0</v>
      </c>
      <c r="O1196" s="69">
        <v>0</v>
      </c>
      <c r="P1196" s="69">
        <v>0</v>
      </c>
      <c r="Q1196" s="69">
        <v>0</v>
      </c>
      <c r="R1196" s="69">
        <v>35.060975609756497</v>
      </c>
      <c r="S1196" s="69">
        <v>35.060975609756497</v>
      </c>
      <c r="T1196" s="69">
        <v>35.060975609756497</v>
      </c>
      <c r="U1196" s="69">
        <v>35.060975609756497</v>
      </c>
      <c r="V1196" s="69">
        <v>35.060975609756497</v>
      </c>
      <c r="W1196" s="69">
        <v>35.060975609756497</v>
      </c>
      <c r="X1196" s="69">
        <v>35.060975609756497</v>
      </c>
      <c r="Y1196" s="69">
        <v>35.060975609756497</v>
      </c>
      <c r="Z1196" s="69">
        <v>35.060975609756497</v>
      </c>
      <c r="AA1196" s="69">
        <v>35.060975609756497</v>
      </c>
      <c r="AB1196" s="69">
        <v>35.060975609756497</v>
      </c>
      <c r="AC1196" s="69">
        <v>35.060975609756497</v>
      </c>
      <c r="AD1196" s="69">
        <v>35.060975609756497</v>
      </c>
      <c r="AE1196" s="69">
        <v>35.060975609756497</v>
      </c>
      <c r="AF1196" s="69">
        <v>35.060975609756497</v>
      </c>
      <c r="AG1196" s="69">
        <v>35.060975609756497</v>
      </c>
    </row>
    <row r="1197" spans="1:33">
      <c r="A1197" s="236" t="s">
        <v>2380</v>
      </c>
      <c r="B1197" s="69" t="s">
        <v>252</v>
      </c>
      <c r="C1197" s="69" t="s">
        <v>137</v>
      </c>
      <c r="D1197" s="69" t="s">
        <v>191</v>
      </c>
      <c r="E1197" s="69" t="s">
        <v>191</v>
      </c>
      <c r="F1197" s="69" t="s">
        <v>169</v>
      </c>
      <c r="G1197" s="69" t="s">
        <v>192</v>
      </c>
      <c r="H1197" s="69" t="s">
        <v>804</v>
      </c>
      <c r="I1197" s="69">
        <v>1</v>
      </c>
      <c r="J1197" s="238">
        <v>0.32235762917068039</v>
      </c>
      <c r="K1197" s="238">
        <v>0.16115831843295012</v>
      </c>
      <c r="L1197" s="69">
        <v>96.038728079112801</v>
      </c>
      <c r="M1197" s="69">
        <v>0</v>
      </c>
      <c r="N1197" s="69">
        <v>0</v>
      </c>
      <c r="O1197" s="69">
        <v>112.95411326140641</v>
      </c>
      <c r="P1197" s="69">
        <v>112.95411326140641</v>
      </c>
      <c r="Q1197" s="69">
        <v>112.95411326140641</v>
      </c>
      <c r="R1197" s="69">
        <v>112.95411326140641</v>
      </c>
      <c r="S1197" s="69">
        <v>112.95411326140641</v>
      </c>
      <c r="T1197" s="69">
        <v>112.95411326140641</v>
      </c>
      <c r="U1197" s="69">
        <v>112.95411326140641</v>
      </c>
      <c r="V1197" s="69">
        <v>112.95411326140641</v>
      </c>
      <c r="W1197" s="69">
        <v>112.95411326140641</v>
      </c>
      <c r="X1197" s="69">
        <v>112.95411326140641</v>
      </c>
      <c r="Y1197" s="69">
        <v>112.95411326140641</v>
      </c>
      <c r="Z1197" s="69">
        <v>112.95411326140641</v>
      </c>
      <c r="AA1197" s="69">
        <v>112.95411326140641</v>
      </c>
      <c r="AB1197" s="69">
        <v>112.95411326140641</v>
      </c>
      <c r="AC1197" s="69">
        <v>112.95411326140641</v>
      </c>
      <c r="AD1197" s="69">
        <v>112.95411326140641</v>
      </c>
      <c r="AE1197" s="69">
        <v>112.95411326140641</v>
      </c>
      <c r="AF1197" s="69">
        <v>112.95411326140641</v>
      </c>
      <c r="AG1197" s="69">
        <v>112.95411326140641</v>
      </c>
    </row>
    <row r="1198" spans="1:33">
      <c r="A1198" s="236" t="s">
        <v>2380</v>
      </c>
      <c r="B1198" s="69" t="s">
        <v>253</v>
      </c>
      <c r="C1198" s="69" t="s">
        <v>185</v>
      </c>
      <c r="D1198" s="69" t="s">
        <v>193</v>
      </c>
      <c r="E1198" s="69" t="s">
        <v>194</v>
      </c>
      <c r="F1198" s="69" t="s">
        <v>161</v>
      </c>
      <c r="G1198" s="69" t="s">
        <v>192</v>
      </c>
      <c r="H1198" s="69" t="s">
        <v>2130</v>
      </c>
      <c r="I1198" s="69">
        <v>2</v>
      </c>
      <c r="J1198" s="238">
        <v>0.28999999999999998</v>
      </c>
      <c r="K1198" s="238">
        <v>0.63643272702156795</v>
      </c>
      <c r="L1198" s="69">
        <v>160.03163342556326</v>
      </c>
      <c r="M1198" s="69">
        <v>0</v>
      </c>
      <c r="N1198" s="69">
        <v>0</v>
      </c>
      <c r="O1198" s="69">
        <v>0</v>
      </c>
      <c r="P1198" s="69">
        <v>0</v>
      </c>
      <c r="Q1198" s="69">
        <v>0</v>
      </c>
      <c r="R1198" s="69">
        <v>0</v>
      </c>
      <c r="S1198" s="69">
        <v>0</v>
      </c>
      <c r="T1198" s="69">
        <v>0</v>
      </c>
      <c r="U1198" s="69">
        <v>0</v>
      </c>
      <c r="V1198" s="69">
        <v>317.54999999999995</v>
      </c>
      <c r="W1198" s="69">
        <v>317.54999999999995</v>
      </c>
      <c r="X1198" s="69">
        <v>317.54999999999995</v>
      </c>
      <c r="Y1198" s="69">
        <v>317.54999999999995</v>
      </c>
      <c r="Z1198" s="69">
        <v>317.54999999999995</v>
      </c>
      <c r="AA1198" s="69">
        <v>317.54999999999995</v>
      </c>
      <c r="AB1198" s="69">
        <v>317.54999999999995</v>
      </c>
      <c r="AC1198" s="69">
        <v>317.54999999999995</v>
      </c>
      <c r="AD1198" s="69">
        <v>317.54999999999995</v>
      </c>
      <c r="AE1198" s="69">
        <v>317.54999999999995</v>
      </c>
      <c r="AF1198" s="69">
        <v>317.54999999999995</v>
      </c>
      <c r="AG1198" s="69">
        <v>317.54999999999995</v>
      </c>
    </row>
    <row r="1199" spans="1:33">
      <c r="A1199" s="236" t="s">
        <v>2380</v>
      </c>
      <c r="B1199" s="69" t="s">
        <v>254</v>
      </c>
      <c r="C1199" s="69" t="s">
        <v>137</v>
      </c>
      <c r="D1199" s="69" t="s">
        <v>191</v>
      </c>
      <c r="E1199" s="69" t="s">
        <v>191</v>
      </c>
      <c r="F1199" s="69" t="s">
        <v>179</v>
      </c>
      <c r="G1199" s="69" t="s">
        <v>192</v>
      </c>
      <c r="H1199" s="69" t="s">
        <v>805</v>
      </c>
      <c r="I1199" s="69">
        <v>1</v>
      </c>
      <c r="J1199" s="238">
        <v>0.32235762917068039</v>
      </c>
      <c r="K1199" s="238">
        <v>0.16152665976075289</v>
      </c>
      <c r="L1199" s="69">
        <v>96.038728079112801</v>
      </c>
      <c r="M1199" s="69">
        <v>0</v>
      </c>
      <c r="N1199" s="69">
        <v>0</v>
      </c>
      <c r="O1199" s="69">
        <v>0</v>
      </c>
      <c r="P1199" s="69">
        <v>0</v>
      </c>
      <c r="Q1199" s="69">
        <v>0</v>
      </c>
      <c r="R1199" s="69">
        <v>0</v>
      </c>
      <c r="S1199" s="69">
        <v>0</v>
      </c>
      <c r="T1199" s="69">
        <v>107.30640759833626</v>
      </c>
      <c r="U1199" s="69">
        <v>107.30640759833626</v>
      </c>
      <c r="V1199" s="69">
        <v>107.30640759833626</v>
      </c>
      <c r="W1199" s="69">
        <v>107.30640759833626</v>
      </c>
      <c r="X1199" s="69">
        <v>107.30640759833626</v>
      </c>
      <c r="Y1199" s="69">
        <v>107.30640759833626</v>
      </c>
      <c r="Z1199" s="69">
        <v>107.30640759833626</v>
      </c>
      <c r="AA1199" s="69">
        <v>107.30640759833626</v>
      </c>
      <c r="AB1199" s="69">
        <v>107.30640759833626</v>
      </c>
      <c r="AC1199" s="69">
        <v>107.30640759833626</v>
      </c>
      <c r="AD1199" s="69">
        <v>107.30640759833626</v>
      </c>
      <c r="AE1199" s="69">
        <v>107.30640759833626</v>
      </c>
      <c r="AF1199" s="69">
        <v>107.30640759833626</v>
      </c>
      <c r="AG1199" s="69">
        <v>107.30640759833626</v>
      </c>
    </row>
    <row r="1200" spans="1:33">
      <c r="A1200" s="236" t="s">
        <v>2380</v>
      </c>
      <c r="B1200" s="69" t="s">
        <v>255</v>
      </c>
      <c r="C1200" s="69" t="s">
        <v>139</v>
      </c>
      <c r="D1200" s="69" t="s">
        <v>191</v>
      </c>
      <c r="E1200" s="69" t="s">
        <v>191</v>
      </c>
      <c r="F1200" s="69" t="s">
        <v>167</v>
      </c>
      <c r="G1200" s="69" t="s">
        <v>192</v>
      </c>
      <c r="H1200" s="69" t="s">
        <v>805</v>
      </c>
      <c r="I1200" s="69">
        <v>1</v>
      </c>
      <c r="J1200" s="238">
        <v>0.85</v>
      </c>
      <c r="K1200" s="238">
        <v>0.66</v>
      </c>
      <c r="L1200" s="69">
        <v>127.99027888971092</v>
      </c>
      <c r="M1200" s="69">
        <v>0</v>
      </c>
      <c r="N1200" s="69">
        <v>0</v>
      </c>
      <c r="O1200" s="69">
        <v>0</v>
      </c>
      <c r="P1200" s="69">
        <v>0</v>
      </c>
      <c r="Q1200" s="69">
        <v>37.230000000000018</v>
      </c>
      <c r="R1200" s="69">
        <v>37.230000000000018</v>
      </c>
      <c r="S1200" s="69">
        <v>37.230000000000018</v>
      </c>
      <c r="T1200" s="69">
        <v>37.230000000000018</v>
      </c>
      <c r="U1200" s="69">
        <v>37.230000000000018</v>
      </c>
      <c r="V1200" s="69">
        <v>37.230000000000018</v>
      </c>
      <c r="W1200" s="69">
        <v>37.230000000000018</v>
      </c>
      <c r="X1200" s="69">
        <v>37.230000000000018</v>
      </c>
      <c r="Y1200" s="69">
        <v>37.230000000000018</v>
      </c>
      <c r="Z1200" s="69">
        <v>37.230000000000018</v>
      </c>
      <c r="AA1200" s="69">
        <v>37.230000000000018</v>
      </c>
      <c r="AB1200" s="69">
        <v>37.230000000000018</v>
      </c>
      <c r="AC1200" s="69">
        <v>37.230000000000018</v>
      </c>
      <c r="AD1200" s="69">
        <v>37.230000000000018</v>
      </c>
      <c r="AE1200" s="69">
        <v>37.230000000000018</v>
      </c>
      <c r="AF1200" s="69">
        <v>37.230000000000018</v>
      </c>
      <c r="AG1200" s="69">
        <v>37.230000000000018</v>
      </c>
    </row>
    <row r="1201" spans="1:33">
      <c r="A1201" s="236" t="s">
        <v>2380</v>
      </c>
      <c r="B1201" s="69" t="s">
        <v>256</v>
      </c>
      <c r="C1201" s="69" t="s">
        <v>136</v>
      </c>
      <c r="D1201" s="69" t="s">
        <v>191</v>
      </c>
      <c r="E1201" s="69" t="s">
        <v>191</v>
      </c>
      <c r="F1201" s="69" t="s">
        <v>161</v>
      </c>
      <c r="G1201" s="69" t="s">
        <v>192</v>
      </c>
      <c r="H1201" s="69" t="s">
        <v>2130</v>
      </c>
      <c r="I1201" s="69">
        <v>2</v>
      </c>
      <c r="J1201" s="238">
        <v>0.82500000000000007</v>
      </c>
      <c r="K1201" s="238">
        <v>0.70497163608542901</v>
      </c>
      <c r="L1201" s="69">
        <v>109.81489691553389</v>
      </c>
      <c r="M1201" s="69">
        <v>0</v>
      </c>
      <c r="N1201" s="69">
        <v>0</v>
      </c>
      <c r="O1201" s="69">
        <v>0</v>
      </c>
      <c r="P1201" s="69">
        <v>0</v>
      </c>
      <c r="Q1201" s="69">
        <v>354.12299999999982</v>
      </c>
      <c r="R1201" s="69">
        <v>354.12299999999982</v>
      </c>
      <c r="S1201" s="69">
        <v>354.12299999999982</v>
      </c>
      <c r="T1201" s="69">
        <v>354.12299999999982</v>
      </c>
      <c r="U1201" s="69">
        <v>354.12299999999982</v>
      </c>
      <c r="V1201" s="69">
        <v>354.12299999999982</v>
      </c>
      <c r="W1201" s="69">
        <v>354.12299999999982</v>
      </c>
      <c r="X1201" s="69">
        <v>354.12299999999982</v>
      </c>
      <c r="Y1201" s="69">
        <v>354.12299999999982</v>
      </c>
      <c r="Z1201" s="69">
        <v>354.12299999999982</v>
      </c>
      <c r="AA1201" s="69">
        <v>354.12299999999982</v>
      </c>
      <c r="AB1201" s="69">
        <v>354.12299999999982</v>
      </c>
      <c r="AC1201" s="69">
        <v>354.12299999999982</v>
      </c>
      <c r="AD1201" s="69">
        <v>354.12299999999982</v>
      </c>
      <c r="AE1201" s="69">
        <v>354.12299999999982</v>
      </c>
      <c r="AF1201" s="69">
        <v>354.12299999999982</v>
      </c>
      <c r="AG1201" s="69">
        <v>354.12299999999982</v>
      </c>
    </row>
    <row r="1202" spans="1:33">
      <c r="A1202" s="236" t="s">
        <v>2380</v>
      </c>
      <c r="B1202" s="69" t="s">
        <v>257</v>
      </c>
      <c r="C1202" s="69" t="s">
        <v>137</v>
      </c>
      <c r="D1202" s="69" t="s">
        <v>191</v>
      </c>
      <c r="E1202" s="69" t="s">
        <v>191</v>
      </c>
      <c r="F1202" s="69" t="s">
        <v>176</v>
      </c>
      <c r="G1202" s="69" t="s">
        <v>192</v>
      </c>
      <c r="H1202" s="69" t="s">
        <v>805</v>
      </c>
      <c r="I1202" s="69">
        <v>1</v>
      </c>
      <c r="J1202" s="238">
        <v>0.32235762917068039</v>
      </c>
      <c r="K1202" s="238">
        <v>0.16099729857063147</v>
      </c>
      <c r="L1202" s="69">
        <v>96.038728079112801</v>
      </c>
      <c r="M1202" s="69">
        <v>0</v>
      </c>
      <c r="N1202" s="69">
        <v>220.82529142605017</v>
      </c>
      <c r="O1202" s="69">
        <v>220.82529142605017</v>
      </c>
      <c r="P1202" s="69">
        <v>220.82529142605017</v>
      </c>
      <c r="Q1202" s="69">
        <v>220.82529142605017</v>
      </c>
      <c r="R1202" s="69">
        <v>220.82529142605017</v>
      </c>
      <c r="S1202" s="69">
        <v>220.82529142605017</v>
      </c>
      <c r="T1202" s="69">
        <v>220.82529142605017</v>
      </c>
      <c r="U1202" s="69">
        <v>220.82529142605017</v>
      </c>
      <c r="V1202" s="69">
        <v>220.82529142605017</v>
      </c>
      <c r="W1202" s="69">
        <v>220.82529142605017</v>
      </c>
      <c r="X1202" s="69">
        <v>220.82529142605017</v>
      </c>
      <c r="Y1202" s="69">
        <v>220.82529142605017</v>
      </c>
      <c r="Z1202" s="69">
        <v>220.82529142605017</v>
      </c>
      <c r="AA1202" s="69">
        <v>220.82529142605017</v>
      </c>
      <c r="AB1202" s="69">
        <v>220.82529142605017</v>
      </c>
      <c r="AC1202" s="69">
        <v>220.82529142605017</v>
      </c>
      <c r="AD1202" s="69">
        <v>220.82529142605017</v>
      </c>
      <c r="AE1202" s="69">
        <v>220.82529142605017</v>
      </c>
      <c r="AF1202" s="69">
        <v>220.82529142605017</v>
      </c>
      <c r="AG1202" s="69">
        <v>220.82529142605017</v>
      </c>
    </row>
    <row r="1203" spans="1:33">
      <c r="A1203" s="236" t="s">
        <v>2380</v>
      </c>
      <c r="B1203" s="69" t="s">
        <v>258</v>
      </c>
      <c r="C1203" s="69" t="s">
        <v>186</v>
      </c>
      <c r="D1203" s="69" t="s">
        <v>259</v>
      </c>
      <c r="E1203" s="69" t="s">
        <v>260</v>
      </c>
      <c r="F1203" s="69" t="s">
        <v>157</v>
      </c>
      <c r="G1203" s="69" t="s">
        <v>192</v>
      </c>
      <c r="H1203" s="69" t="s">
        <v>805</v>
      </c>
      <c r="I1203" s="69">
        <v>1</v>
      </c>
      <c r="J1203" s="238">
        <v>0.21868155325388869</v>
      </c>
      <c r="K1203" s="238">
        <v>0</v>
      </c>
      <c r="L1203" s="69">
        <v>224.75395225464192</v>
      </c>
      <c r="M1203" s="69">
        <v>-5.2201591511936343</v>
      </c>
      <c r="N1203" s="69">
        <v>0</v>
      </c>
      <c r="O1203" s="69">
        <v>0</v>
      </c>
      <c r="P1203" s="69">
        <v>0</v>
      </c>
      <c r="Q1203" s="69">
        <v>3.8313008130080561</v>
      </c>
      <c r="R1203" s="69">
        <v>3.8313008130080561</v>
      </c>
      <c r="S1203" s="69">
        <v>3.8313008130080561</v>
      </c>
      <c r="T1203" s="69">
        <v>3.8313008130080561</v>
      </c>
      <c r="U1203" s="69">
        <v>3.8313008130080561</v>
      </c>
      <c r="V1203" s="69">
        <v>3.8313008130080561</v>
      </c>
      <c r="W1203" s="69">
        <v>3.8313008130080561</v>
      </c>
      <c r="X1203" s="69">
        <v>3.8313008130080561</v>
      </c>
      <c r="Y1203" s="69">
        <v>3.8313008130080561</v>
      </c>
      <c r="Z1203" s="69">
        <v>3.8313008130080561</v>
      </c>
      <c r="AA1203" s="69">
        <v>3.8313008130080561</v>
      </c>
      <c r="AB1203" s="69">
        <v>3.8313008130080561</v>
      </c>
      <c r="AC1203" s="69">
        <v>3.8313008130080561</v>
      </c>
      <c r="AD1203" s="69">
        <v>3.8313008130080561</v>
      </c>
      <c r="AE1203" s="69">
        <v>3.8313008130080561</v>
      </c>
      <c r="AF1203" s="69">
        <v>3.8313008130080561</v>
      </c>
      <c r="AG1203" s="69">
        <v>3.8313008130080561</v>
      </c>
    </row>
    <row r="1204" spans="1:33">
      <c r="A1204" s="236" t="s">
        <v>2380</v>
      </c>
      <c r="B1204" s="69" t="s">
        <v>261</v>
      </c>
      <c r="C1204" s="69" t="s">
        <v>186</v>
      </c>
      <c r="D1204" s="69" t="s">
        <v>259</v>
      </c>
      <c r="E1204" s="69" t="s">
        <v>203</v>
      </c>
      <c r="F1204" s="69" t="s">
        <v>157</v>
      </c>
      <c r="G1204" s="69" t="s">
        <v>192</v>
      </c>
      <c r="H1204" s="69" t="s">
        <v>805</v>
      </c>
      <c r="I1204" s="69">
        <v>1</v>
      </c>
      <c r="J1204" s="238">
        <v>0.23561922263058244</v>
      </c>
      <c r="K1204" s="238">
        <v>0</v>
      </c>
      <c r="L1204" s="69">
        <v>208.59734121122602</v>
      </c>
      <c r="M1204" s="69">
        <v>-4.8449039881831615</v>
      </c>
      <c r="N1204" s="69">
        <v>10.320121951219335</v>
      </c>
      <c r="O1204" s="69">
        <v>10.320121951219335</v>
      </c>
      <c r="P1204" s="69">
        <v>10.320121951219335</v>
      </c>
      <c r="Q1204" s="69">
        <v>10.320121951219335</v>
      </c>
      <c r="R1204" s="69">
        <v>10.320121951219335</v>
      </c>
      <c r="S1204" s="69">
        <v>10.320121951219335</v>
      </c>
      <c r="T1204" s="69">
        <v>10.320121951219335</v>
      </c>
      <c r="U1204" s="69">
        <v>10.320121951219335</v>
      </c>
      <c r="V1204" s="69">
        <v>10.320121951219335</v>
      </c>
      <c r="W1204" s="69">
        <v>10.320121951219335</v>
      </c>
      <c r="X1204" s="69">
        <v>10.320121951219335</v>
      </c>
      <c r="Y1204" s="69">
        <v>10.320121951219335</v>
      </c>
      <c r="Z1204" s="69">
        <v>10.320121951219335</v>
      </c>
      <c r="AA1204" s="69">
        <v>10.320121951219335</v>
      </c>
      <c r="AB1204" s="69">
        <v>10.320121951219335</v>
      </c>
      <c r="AC1204" s="69">
        <v>10.320121951219335</v>
      </c>
      <c r="AD1204" s="69">
        <v>10.320121951219335</v>
      </c>
      <c r="AE1204" s="69">
        <v>10.320121951219335</v>
      </c>
      <c r="AF1204" s="69">
        <v>10.320121951219335</v>
      </c>
      <c r="AG1204" s="69">
        <v>10.320121951219335</v>
      </c>
    </row>
    <row r="1205" spans="1:33">
      <c r="A1205" s="236" t="s">
        <v>2380</v>
      </c>
      <c r="B1205" s="69" t="s">
        <v>262</v>
      </c>
      <c r="C1205" s="69" t="s">
        <v>187</v>
      </c>
      <c r="D1205" s="69" t="s">
        <v>191</v>
      </c>
      <c r="E1205" s="69" t="s">
        <v>191</v>
      </c>
      <c r="F1205" s="69" t="s">
        <v>164</v>
      </c>
      <c r="G1205" s="69" t="s">
        <v>192</v>
      </c>
      <c r="H1205" s="69" t="s">
        <v>804</v>
      </c>
      <c r="I1205" s="69">
        <v>1</v>
      </c>
      <c r="J1205" s="238">
        <v>0.2668262983999703</v>
      </c>
      <c r="K1205" s="238">
        <v>0.70735673955038625</v>
      </c>
      <c r="L1205" s="69">
        <v>192.38629588063705</v>
      </c>
      <c r="M1205" s="69">
        <v>0</v>
      </c>
      <c r="N1205" s="69">
        <v>0</v>
      </c>
      <c r="O1205" s="69">
        <v>0</v>
      </c>
      <c r="P1205" s="69">
        <v>0</v>
      </c>
      <c r="Q1205" s="69">
        <v>0</v>
      </c>
      <c r="R1205" s="69">
        <v>0</v>
      </c>
      <c r="S1205" s="69">
        <v>0</v>
      </c>
      <c r="T1205" s="69">
        <v>257.11382113821156</v>
      </c>
      <c r="U1205" s="69">
        <v>257.11382113821156</v>
      </c>
      <c r="V1205" s="69">
        <v>257.11382113821156</v>
      </c>
      <c r="W1205" s="69">
        <v>257.11382113821156</v>
      </c>
      <c r="X1205" s="69">
        <v>257.11382113821156</v>
      </c>
      <c r="Y1205" s="69">
        <v>257.11382113821156</v>
      </c>
      <c r="Z1205" s="69">
        <v>257.11382113821156</v>
      </c>
      <c r="AA1205" s="69">
        <v>257.11382113821156</v>
      </c>
      <c r="AB1205" s="69">
        <v>257.11382113821156</v>
      </c>
      <c r="AC1205" s="69">
        <v>257.11382113821156</v>
      </c>
      <c r="AD1205" s="69">
        <v>257.11382113821156</v>
      </c>
      <c r="AE1205" s="69">
        <v>257.11382113821156</v>
      </c>
      <c r="AF1205" s="69">
        <v>257.11382113821156</v>
      </c>
      <c r="AG1205" s="69">
        <v>257.11382113821156</v>
      </c>
    </row>
    <row r="1206" spans="1:33">
      <c r="A1206" s="236" t="s">
        <v>2380</v>
      </c>
      <c r="B1206" s="69" t="s">
        <v>263</v>
      </c>
      <c r="C1206" s="69" t="s">
        <v>187</v>
      </c>
      <c r="D1206" s="69" t="s">
        <v>191</v>
      </c>
      <c r="E1206" s="69" t="s">
        <v>191</v>
      </c>
      <c r="F1206" s="69" t="s">
        <v>165</v>
      </c>
      <c r="G1206" s="69" t="s">
        <v>201</v>
      </c>
      <c r="H1206" s="69" t="s">
        <v>2417</v>
      </c>
      <c r="I1206" s="69">
        <v>1</v>
      </c>
      <c r="J1206" s="238">
        <v>0.2668262983999703</v>
      </c>
      <c r="K1206" s="238">
        <v>0.75151071165035721</v>
      </c>
      <c r="L1206" s="69">
        <v>173.23511247417511</v>
      </c>
      <c r="M1206" s="69">
        <v>0</v>
      </c>
      <c r="N1206" s="69">
        <v>0</v>
      </c>
      <c r="O1206" s="69">
        <v>0</v>
      </c>
      <c r="P1206" s="69">
        <v>0</v>
      </c>
      <c r="Q1206" s="69">
        <v>0</v>
      </c>
      <c r="R1206" s="69">
        <v>467.47967479674838</v>
      </c>
      <c r="S1206" s="69">
        <v>467.47967479674838</v>
      </c>
      <c r="T1206" s="69">
        <v>467.47967479674838</v>
      </c>
      <c r="U1206" s="69">
        <v>467.47967479674838</v>
      </c>
      <c r="V1206" s="69">
        <v>467.47967479674838</v>
      </c>
      <c r="W1206" s="69">
        <v>467.47967479674838</v>
      </c>
      <c r="X1206" s="69">
        <v>467.47967479674838</v>
      </c>
      <c r="Y1206" s="69">
        <v>467.47967479674838</v>
      </c>
      <c r="Z1206" s="69">
        <v>467.47967479674838</v>
      </c>
      <c r="AA1206" s="69">
        <v>467.47967479674838</v>
      </c>
      <c r="AB1206" s="69">
        <v>467.47967479674838</v>
      </c>
      <c r="AC1206" s="69">
        <v>467.47967479674838</v>
      </c>
      <c r="AD1206" s="69">
        <v>467.47967479674838</v>
      </c>
      <c r="AE1206" s="69">
        <v>467.47967479674838</v>
      </c>
      <c r="AF1206" s="69">
        <v>467.47967479674838</v>
      </c>
      <c r="AG1206" s="69">
        <v>467.47967479674838</v>
      </c>
    </row>
    <row r="1207" spans="1:33">
      <c r="A1207" s="236" t="s">
        <v>2380</v>
      </c>
      <c r="B1207" s="69" t="s">
        <v>264</v>
      </c>
      <c r="C1207" s="69" t="s">
        <v>187</v>
      </c>
      <c r="D1207" s="69" t="s">
        <v>191</v>
      </c>
      <c r="E1207" s="69" t="s">
        <v>191</v>
      </c>
      <c r="F1207" s="69" t="s">
        <v>164</v>
      </c>
      <c r="G1207" s="69" t="s">
        <v>192</v>
      </c>
      <c r="H1207" s="69" t="s">
        <v>804</v>
      </c>
      <c r="I1207" s="69">
        <v>1</v>
      </c>
      <c r="J1207" s="238">
        <v>0.2668262983999703</v>
      </c>
      <c r="K1207" s="238">
        <v>0.70735673955038636</v>
      </c>
      <c r="L1207" s="69">
        <v>192.38629588063705</v>
      </c>
      <c r="M1207" s="69">
        <v>0</v>
      </c>
      <c r="N1207" s="69">
        <v>0</v>
      </c>
      <c r="O1207" s="69">
        <v>0</v>
      </c>
      <c r="P1207" s="69">
        <v>0</v>
      </c>
      <c r="Q1207" s="69">
        <v>0</v>
      </c>
      <c r="R1207" s="69">
        <v>0</v>
      </c>
      <c r="S1207" s="69">
        <v>0</v>
      </c>
      <c r="T1207" s="69">
        <v>467.47967479674827</v>
      </c>
      <c r="U1207" s="69">
        <v>467.47967479674827</v>
      </c>
      <c r="V1207" s="69">
        <v>467.47967479674827</v>
      </c>
      <c r="W1207" s="69">
        <v>467.47967479674827</v>
      </c>
      <c r="X1207" s="69">
        <v>467.47967479674827</v>
      </c>
      <c r="Y1207" s="69">
        <v>467.47967479674827</v>
      </c>
      <c r="Z1207" s="69">
        <v>467.47967479674827</v>
      </c>
      <c r="AA1207" s="69">
        <v>467.47967479674827</v>
      </c>
      <c r="AB1207" s="69">
        <v>467.47967479674827</v>
      </c>
      <c r="AC1207" s="69">
        <v>467.47967479674827</v>
      </c>
      <c r="AD1207" s="69">
        <v>467.47967479674827</v>
      </c>
      <c r="AE1207" s="69">
        <v>467.47967479674827</v>
      </c>
      <c r="AF1207" s="69">
        <v>467.47967479674827</v>
      </c>
      <c r="AG1207" s="69">
        <v>467.47967479674827</v>
      </c>
    </row>
    <row r="1208" spans="1:33">
      <c r="A1208" s="236" t="s">
        <v>2380</v>
      </c>
      <c r="B1208" s="69" t="s">
        <v>265</v>
      </c>
      <c r="C1208" s="69" t="s">
        <v>187</v>
      </c>
      <c r="D1208" s="69" t="s">
        <v>191</v>
      </c>
      <c r="E1208" s="69" t="s">
        <v>191</v>
      </c>
      <c r="F1208" s="69" t="s">
        <v>165</v>
      </c>
      <c r="G1208" s="69" t="s">
        <v>201</v>
      </c>
      <c r="H1208" s="69" t="s">
        <v>2417</v>
      </c>
      <c r="I1208" s="69">
        <v>1</v>
      </c>
      <c r="J1208" s="238">
        <v>0.2668262983999703</v>
      </c>
      <c r="K1208" s="238">
        <v>0.75151071165035721</v>
      </c>
      <c r="L1208" s="69">
        <v>173.23511247417511</v>
      </c>
      <c r="M1208" s="69">
        <v>0</v>
      </c>
      <c r="N1208" s="69">
        <v>0</v>
      </c>
      <c r="O1208" s="69">
        <v>0</v>
      </c>
      <c r="P1208" s="69">
        <v>0</v>
      </c>
      <c r="Q1208" s="69">
        <v>0</v>
      </c>
      <c r="R1208" s="69">
        <v>0</v>
      </c>
      <c r="S1208" s="69">
        <v>467.47967479674838</v>
      </c>
      <c r="T1208" s="69">
        <v>467.47967479674838</v>
      </c>
      <c r="U1208" s="69">
        <v>467.47967479674838</v>
      </c>
      <c r="V1208" s="69">
        <v>467.47967479674838</v>
      </c>
      <c r="W1208" s="69">
        <v>467.47967479674838</v>
      </c>
      <c r="X1208" s="69">
        <v>467.47967479674838</v>
      </c>
      <c r="Y1208" s="69">
        <v>467.47967479674838</v>
      </c>
      <c r="Z1208" s="69">
        <v>467.47967479674838</v>
      </c>
      <c r="AA1208" s="69">
        <v>467.47967479674838</v>
      </c>
      <c r="AB1208" s="69">
        <v>467.47967479674838</v>
      </c>
      <c r="AC1208" s="69">
        <v>467.47967479674838</v>
      </c>
      <c r="AD1208" s="69">
        <v>467.47967479674838</v>
      </c>
      <c r="AE1208" s="69">
        <v>467.47967479674838</v>
      </c>
      <c r="AF1208" s="69">
        <v>467.47967479674838</v>
      </c>
      <c r="AG1208" s="69">
        <v>467.47967479674838</v>
      </c>
    </row>
    <row r="1209" spans="1:33">
      <c r="A1209" s="236" t="s">
        <v>2380</v>
      </c>
      <c r="B1209" s="69" t="s">
        <v>266</v>
      </c>
      <c r="C1209" s="69" t="s">
        <v>184</v>
      </c>
      <c r="D1209" s="69" t="s">
        <v>140</v>
      </c>
      <c r="E1209" s="69" t="s">
        <v>191</v>
      </c>
      <c r="F1209" s="69" t="s">
        <v>167</v>
      </c>
      <c r="G1209" s="69" t="s">
        <v>192</v>
      </c>
      <c r="H1209" s="69" t="s">
        <v>806</v>
      </c>
      <c r="I1209" s="69">
        <v>1</v>
      </c>
      <c r="J1209" s="238">
        <v>0.8</v>
      </c>
      <c r="K1209" s="238">
        <v>0</v>
      </c>
      <c r="L1209" s="69">
        <v>114.19797366361543</v>
      </c>
      <c r="M1209" s="69">
        <v>0</v>
      </c>
      <c r="N1209" s="69">
        <v>0</v>
      </c>
      <c r="O1209" s="69">
        <v>14.016000000000007</v>
      </c>
      <c r="P1209" s="69">
        <v>14.016000000000007</v>
      </c>
      <c r="Q1209" s="69">
        <v>14.016000000000007</v>
      </c>
      <c r="R1209" s="69">
        <v>14.016000000000007</v>
      </c>
      <c r="S1209" s="69">
        <v>14.016000000000007</v>
      </c>
      <c r="T1209" s="69">
        <v>14.016000000000007</v>
      </c>
      <c r="U1209" s="69">
        <v>14.016000000000007</v>
      </c>
      <c r="V1209" s="69">
        <v>14.016000000000007</v>
      </c>
      <c r="W1209" s="69">
        <v>14.016000000000007</v>
      </c>
      <c r="X1209" s="69">
        <v>14.016000000000007</v>
      </c>
      <c r="Y1209" s="69">
        <v>14.016000000000007</v>
      </c>
      <c r="Z1209" s="69">
        <v>14.016000000000007</v>
      </c>
      <c r="AA1209" s="69">
        <v>14.016000000000007</v>
      </c>
      <c r="AB1209" s="69">
        <v>14.016000000000007</v>
      </c>
      <c r="AC1209" s="69">
        <v>14.016000000000007</v>
      </c>
      <c r="AD1209" s="69">
        <v>14.016000000000007</v>
      </c>
      <c r="AE1209" s="69">
        <v>14.016000000000007</v>
      </c>
      <c r="AF1209" s="69">
        <v>14.016000000000007</v>
      </c>
      <c r="AG1209" s="69">
        <v>14.016000000000007</v>
      </c>
    </row>
    <row r="1210" spans="1:33">
      <c r="A1210" s="236" t="s">
        <v>2380</v>
      </c>
      <c r="B1210" s="69" t="s">
        <v>267</v>
      </c>
      <c r="C1210" s="69" t="s">
        <v>185</v>
      </c>
      <c r="D1210" s="69" t="s">
        <v>205</v>
      </c>
      <c r="E1210" s="69" t="s">
        <v>203</v>
      </c>
      <c r="F1210" s="69" t="s">
        <v>155</v>
      </c>
      <c r="G1210" s="69" t="s">
        <v>192</v>
      </c>
      <c r="H1210" s="69" t="s">
        <v>805</v>
      </c>
      <c r="I1210" s="69">
        <v>1</v>
      </c>
      <c r="J1210" s="238">
        <v>0.23499999999999996</v>
      </c>
      <c r="K1210" s="238">
        <v>0.49648345467934024</v>
      </c>
      <c r="L1210" s="69">
        <v>166.98446712238427</v>
      </c>
      <c r="M1210" s="69">
        <v>0</v>
      </c>
      <c r="N1210" s="69">
        <v>0</v>
      </c>
      <c r="O1210" s="69">
        <v>308.79000000000087</v>
      </c>
      <c r="P1210" s="69">
        <v>308.79000000000087</v>
      </c>
      <c r="Q1210" s="69">
        <v>308.79000000000087</v>
      </c>
      <c r="R1210" s="69">
        <v>308.79000000000087</v>
      </c>
      <c r="S1210" s="69">
        <v>308.79000000000087</v>
      </c>
      <c r="T1210" s="69">
        <v>308.79000000000087</v>
      </c>
      <c r="U1210" s="69">
        <v>308.79000000000087</v>
      </c>
      <c r="V1210" s="69">
        <v>308.79000000000087</v>
      </c>
      <c r="W1210" s="69">
        <v>308.79000000000087</v>
      </c>
      <c r="X1210" s="69">
        <v>308.79000000000087</v>
      </c>
      <c r="Y1210" s="69">
        <v>308.79000000000087</v>
      </c>
      <c r="Z1210" s="69">
        <v>308.79000000000087</v>
      </c>
      <c r="AA1210" s="69">
        <v>308.79000000000087</v>
      </c>
      <c r="AB1210" s="69">
        <v>308.79000000000087</v>
      </c>
      <c r="AC1210" s="69">
        <v>308.79000000000087</v>
      </c>
      <c r="AD1210" s="69">
        <v>308.79000000000087</v>
      </c>
      <c r="AE1210" s="69">
        <v>308.79000000000087</v>
      </c>
      <c r="AF1210" s="69">
        <v>308.79000000000087</v>
      </c>
      <c r="AG1210" s="69">
        <v>308.79000000000087</v>
      </c>
    </row>
    <row r="1211" spans="1:33">
      <c r="A1211" s="236" t="s">
        <v>2380</v>
      </c>
      <c r="B1211" s="69" t="s">
        <v>268</v>
      </c>
      <c r="C1211" s="69" t="s">
        <v>185</v>
      </c>
      <c r="D1211" s="69" t="s">
        <v>205</v>
      </c>
      <c r="E1211" s="69" t="s">
        <v>203</v>
      </c>
      <c r="F1211" s="69" t="s">
        <v>155</v>
      </c>
      <c r="G1211" s="69" t="s">
        <v>192</v>
      </c>
      <c r="H1211" s="69" t="s">
        <v>805</v>
      </c>
      <c r="I1211" s="69">
        <v>1</v>
      </c>
      <c r="J1211" s="238">
        <v>0.23499999999999999</v>
      </c>
      <c r="K1211" s="238">
        <v>0.49648345467934019</v>
      </c>
      <c r="L1211" s="69">
        <v>166.98446712238427</v>
      </c>
      <c r="M1211" s="69">
        <v>0</v>
      </c>
      <c r="N1211" s="69">
        <v>0</v>
      </c>
      <c r="O1211" s="69">
        <v>0</v>
      </c>
      <c r="P1211" s="69">
        <v>0</v>
      </c>
      <c r="Q1211" s="69">
        <v>308.79000000000087</v>
      </c>
      <c r="R1211" s="69">
        <v>308.79000000000087</v>
      </c>
      <c r="S1211" s="69">
        <v>823.44000000000017</v>
      </c>
      <c r="T1211" s="69">
        <v>823.44000000000017</v>
      </c>
      <c r="U1211" s="69">
        <v>823.44000000000017</v>
      </c>
      <c r="V1211" s="69">
        <v>823.44000000000017</v>
      </c>
      <c r="W1211" s="69">
        <v>823.44000000000017</v>
      </c>
      <c r="X1211" s="69">
        <v>823.44000000000017</v>
      </c>
      <c r="Y1211" s="69">
        <v>823.44000000000017</v>
      </c>
      <c r="Z1211" s="69">
        <v>823.44000000000017</v>
      </c>
      <c r="AA1211" s="69">
        <v>823.44000000000017</v>
      </c>
      <c r="AB1211" s="69">
        <v>823.44000000000017</v>
      </c>
      <c r="AC1211" s="69">
        <v>823.44000000000017</v>
      </c>
      <c r="AD1211" s="69">
        <v>823.44000000000017</v>
      </c>
      <c r="AE1211" s="69">
        <v>823.44000000000017</v>
      </c>
      <c r="AF1211" s="69">
        <v>823.44000000000017</v>
      </c>
      <c r="AG1211" s="69">
        <v>823.44000000000017</v>
      </c>
    </row>
    <row r="1212" spans="1:33">
      <c r="A1212" s="236" t="s">
        <v>2380</v>
      </c>
      <c r="B1212" s="69" t="s">
        <v>269</v>
      </c>
      <c r="C1212" s="69" t="s">
        <v>185</v>
      </c>
      <c r="D1212" s="69" t="s">
        <v>193</v>
      </c>
      <c r="E1212" s="69" t="s">
        <v>203</v>
      </c>
      <c r="F1212" s="69" t="s">
        <v>155</v>
      </c>
      <c r="G1212" s="69" t="s">
        <v>192</v>
      </c>
      <c r="H1212" s="69" t="s">
        <v>805</v>
      </c>
      <c r="I1212" s="69">
        <v>1</v>
      </c>
      <c r="J1212" s="238">
        <v>0.26649999999999996</v>
      </c>
      <c r="K1212" s="238">
        <v>0.63277303047366895</v>
      </c>
      <c r="L1212" s="69">
        <v>173.91260768823273</v>
      </c>
      <c r="M1212" s="69">
        <v>0</v>
      </c>
      <c r="N1212" s="69">
        <v>0</v>
      </c>
      <c r="O1212" s="69">
        <v>0</v>
      </c>
      <c r="P1212" s="69">
        <v>0</v>
      </c>
      <c r="Q1212" s="69">
        <v>0</v>
      </c>
      <c r="R1212" s="69">
        <v>0</v>
      </c>
      <c r="S1212" s="69">
        <v>49.025339999999929</v>
      </c>
      <c r="T1212" s="69">
        <v>49.025339999999929</v>
      </c>
      <c r="U1212" s="69">
        <v>49.025339999999929</v>
      </c>
      <c r="V1212" s="69">
        <v>49.025339999999929</v>
      </c>
      <c r="W1212" s="69">
        <v>49.025339999999929</v>
      </c>
      <c r="X1212" s="69">
        <v>49.025339999999929</v>
      </c>
      <c r="Y1212" s="69">
        <v>49.025339999999929</v>
      </c>
      <c r="Z1212" s="69">
        <v>49.025339999999929</v>
      </c>
      <c r="AA1212" s="69">
        <v>49.025339999999929</v>
      </c>
      <c r="AB1212" s="69">
        <v>49.025339999999929</v>
      </c>
      <c r="AC1212" s="69">
        <v>49.025339999999929</v>
      </c>
      <c r="AD1212" s="69">
        <v>49.025339999999929</v>
      </c>
      <c r="AE1212" s="69">
        <v>49.025339999999929</v>
      </c>
      <c r="AF1212" s="69">
        <v>49.025339999999929</v>
      </c>
      <c r="AG1212" s="69">
        <v>49.025339999999929</v>
      </c>
    </row>
    <row r="1213" spans="1:33">
      <c r="A1213" s="236" t="s">
        <v>2380</v>
      </c>
      <c r="B1213" s="69" t="s">
        <v>270</v>
      </c>
      <c r="C1213" s="69" t="s">
        <v>185</v>
      </c>
      <c r="D1213" s="69" t="s">
        <v>193</v>
      </c>
      <c r="E1213" s="69" t="s">
        <v>203</v>
      </c>
      <c r="F1213" s="69" t="s">
        <v>155</v>
      </c>
      <c r="G1213" s="69" t="s">
        <v>192</v>
      </c>
      <c r="H1213" s="69" t="s">
        <v>805</v>
      </c>
      <c r="I1213" s="69">
        <v>1</v>
      </c>
      <c r="J1213" s="238">
        <v>0.26649999999999996</v>
      </c>
      <c r="K1213" s="238">
        <v>0.63277303047366895</v>
      </c>
      <c r="L1213" s="69">
        <v>173.91260768823275</v>
      </c>
      <c r="M1213" s="69">
        <v>0</v>
      </c>
      <c r="N1213" s="69">
        <v>0</v>
      </c>
      <c r="O1213" s="69">
        <v>0</v>
      </c>
      <c r="P1213" s="69">
        <v>0</v>
      </c>
      <c r="Q1213" s="69">
        <v>0</v>
      </c>
      <c r="R1213" s="69">
        <v>0</v>
      </c>
      <c r="S1213" s="69">
        <v>147.07601999999977</v>
      </c>
      <c r="T1213" s="69">
        <v>147.07601999999977</v>
      </c>
      <c r="U1213" s="69">
        <v>147.07601999999977</v>
      </c>
      <c r="V1213" s="69">
        <v>147.07601999999977</v>
      </c>
      <c r="W1213" s="69">
        <v>147.07601999999977</v>
      </c>
      <c r="X1213" s="69">
        <v>147.07601999999977</v>
      </c>
      <c r="Y1213" s="69">
        <v>147.07601999999977</v>
      </c>
      <c r="Z1213" s="69">
        <v>147.07601999999977</v>
      </c>
      <c r="AA1213" s="69">
        <v>147.07601999999977</v>
      </c>
      <c r="AB1213" s="69">
        <v>147.07601999999977</v>
      </c>
      <c r="AC1213" s="69">
        <v>147.07601999999977</v>
      </c>
      <c r="AD1213" s="69">
        <v>147.07601999999977</v>
      </c>
      <c r="AE1213" s="69">
        <v>147.07601999999977</v>
      </c>
      <c r="AF1213" s="69">
        <v>147.07601999999977</v>
      </c>
      <c r="AG1213" s="69">
        <v>147.07601999999977</v>
      </c>
    </row>
    <row r="1214" spans="1:33">
      <c r="A1214" s="236" t="s">
        <v>2380</v>
      </c>
      <c r="B1214" s="69" t="s">
        <v>271</v>
      </c>
      <c r="C1214" s="69" t="s">
        <v>185</v>
      </c>
      <c r="D1214" s="69" t="s">
        <v>193</v>
      </c>
      <c r="E1214" s="69" t="s">
        <v>203</v>
      </c>
      <c r="F1214" s="69" t="s">
        <v>155</v>
      </c>
      <c r="G1214" s="69" t="s">
        <v>192</v>
      </c>
      <c r="H1214" s="69" t="s">
        <v>805</v>
      </c>
      <c r="I1214" s="69">
        <v>1</v>
      </c>
      <c r="J1214" s="238">
        <v>0.26649999999999996</v>
      </c>
      <c r="K1214" s="238">
        <v>0.63277303047366895</v>
      </c>
      <c r="L1214" s="69">
        <v>173.91260768823275</v>
      </c>
      <c r="M1214" s="69">
        <v>0</v>
      </c>
      <c r="N1214" s="69">
        <v>0</v>
      </c>
      <c r="O1214" s="69">
        <v>0</v>
      </c>
      <c r="P1214" s="69">
        <v>0</v>
      </c>
      <c r="Q1214" s="69">
        <v>0</v>
      </c>
      <c r="R1214" s="69">
        <v>0</v>
      </c>
      <c r="S1214" s="69">
        <v>294.15203999999954</v>
      </c>
      <c r="T1214" s="69">
        <v>294.15203999999954</v>
      </c>
      <c r="U1214" s="69">
        <v>294.15203999999954</v>
      </c>
      <c r="V1214" s="69">
        <v>294.15203999999954</v>
      </c>
      <c r="W1214" s="69">
        <v>294.15203999999954</v>
      </c>
      <c r="X1214" s="69">
        <v>294.15203999999954</v>
      </c>
      <c r="Y1214" s="69">
        <v>294.15203999999954</v>
      </c>
      <c r="Z1214" s="69">
        <v>294.15203999999954</v>
      </c>
      <c r="AA1214" s="69">
        <v>294.15203999999954</v>
      </c>
      <c r="AB1214" s="69">
        <v>294.15203999999954</v>
      </c>
      <c r="AC1214" s="69">
        <v>294.15203999999954</v>
      </c>
      <c r="AD1214" s="69">
        <v>294.15203999999954</v>
      </c>
      <c r="AE1214" s="69">
        <v>294.15203999999954</v>
      </c>
      <c r="AF1214" s="69">
        <v>294.15203999999954</v>
      </c>
      <c r="AG1214" s="69">
        <v>294.15203999999954</v>
      </c>
    </row>
    <row r="1215" spans="1:33">
      <c r="A1215" s="236" t="s">
        <v>2380</v>
      </c>
      <c r="B1215" s="69" t="s">
        <v>272</v>
      </c>
      <c r="C1215" s="69" t="s">
        <v>139</v>
      </c>
      <c r="D1215" s="69" t="s">
        <v>191</v>
      </c>
      <c r="E1215" s="69" t="s">
        <v>191</v>
      </c>
      <c r="F1215" s="69" t="s">
        <v>167</v>
      </c>
      <c r="G1215" s="69" t="s">
        <v>192</v>
      </c>
      <c r="H1215" s="69" t="s">
        <v>805</v>
      </c>
      <c r="I1215" s="69">
        <v>1</v>
      </c>
      <c r="J1215" s="238">
        <v>0.84999999999999987</v>
      </c>
      <c r="K1215" s="238">
        <v>0.66</v>
      </c>
      <c r="L1215" s="69">
        <v>127.99027888971092</v>
      </c>
      <c r="M1215" s="69">
        <v>0</v>
      </c>
      <c r="N1215" s="69">
        <v>0</v>
      </c>
      <c r="O1215" s="69">
        <v>0</v>
      </c>
      <c r="P1215" s="69">
        <v>327.62399999999997</v>
      </c>
      <c r="Q1215" s="69">
        <v>327.62399999999997</v>
      </c>
      <c r="R1215" s="69">
        <v>327.62399999999997</v>
      </c>
      <c r="S1215" s="69">
        <v>327.62399999999997</v>
      </c>
      <c r="T1215" s="69">
        <v>327.62399999999997</v>
      </c>
      <c r="U1215" s="69">
        <v>327.62399999999997</v>
      </c>
      <c r="V1215" s="69">
        <v>327.62399999999997</v>
      </c>
      <c r="W1215" s="69">
        <v>327.62399999999997</v>
      </c>
      <c r="X1215" s="69">
        <v>327.62399999999997</v>
      </c>
      <c r="Y1215" s="69">
        <v>327.62399999999997</v>
      </c>
      <c r="Z1215" s="69">
        <v>327.62399999999997</v>
      </c>
      <c r="AA1215" s="69">
        <v>327.62399999999997</v>
      </c>
      <c r="AB1215" s="69">
        <v>327.62399999999997</v>
      </c>
      <c r="AC1215" s="69">
        <v>327.62399999999997</v>
      </c>
      <c r="AD1215" s="69">
        <v>327.62399999999997</v>
      </c>
      <c r="AE1215" s="69">
        <v>327.62399999999997</v>
      </c>
      <c r="AF1215" s="69">
        <v>327.62399999999997</v>
      </c>
      <c r="AG1215" s="69">
        <v>327.62399999999997</v>
      </c>
    </row>
    <row r="1216" spans="1:33">
      <c r="A1216" s="236" t="s">
        <v>2380</v>
      </c>
      <c r="B1216" s="69" t="s">
        <v>2160</v>
      </c>
      <c r="C1216" s="69" t="s">
        <v>185</v>
      </c>
      <c r="D1216" s="69" t="s">
        <v>193</v>
      </c>
      <c r="E1216" s="69" t="s">
        <v>194</v>
      </c>
      <c r="F1216" s="69" t="s">
        <v>2159</v>
      </c>
      <c r="G1216" s="69" t="s">
        <v>192</v>
      </c>
      <c r="H1216" s="69" t="s">
        <v>804</v>
      </c>
      <c r="I1216" s="69">
        <v>2</v>
      </c>
      <c r="J1216" s="238">
        <v>0.28999999999999998</v>
      </c>
      <c r="K1216" s="238">
        <v>0.64899944627365458</v>
      </c>
      <c r="L1216" s="69">
        <v>160.03163342556326</v>
      </c>
      <c r="M1216" s="69">
        <v>0</v>
      </c>
      <c r="N1216" s="69">
        <v>0</v>
      </c>
      <c r="O1216" s="69">
        <v>0</v>
      </c>
      <c r="P1216" s="69">
        <v>0</v>
      </c>
      <c r="Q1216" s="69">
        <v>0</v>
      </c>
      <c r="R1216" s="69">
        <v>0</v>
      </c>
      <c r="S1216" s="69">
        <v>0</v>
      </c>
      <c r="T1216" s="69">
        <v>0</v>
      </c>
      <c r="U1216" s="69">
        <v>0</v>
      </c>
      <c r="V1216" s="69">
        <v>28.763586167153115</v>
      </c>
      <c r="W1216" s="69">
        <v>28.763586167153115</v>
      </c>
      <c r="X1216" s="69">
        <v>28.763586167153115</v>
      </c>
      <c r="Y1216" s="69">
        <v>28.763586167153115</v>
      </c>
      <c r="Z1216" s="69">
        <v>28.763586167153115</v>
      </c>
      <c r="AA1216" s="69">
        <v>28.763586167153115</v>
      </c>
      <c r="AB1216" s="69">
        <v>28.763586167153115</v>
      </c>
      <c r="AC1216" s="69">
        <v>28.763586167153115</v>
      </c>
      <c r="AD1216" s="69">
        <v>28.763586167153115</v>
      </c>
      <c r="AE1216" s="69">
        <v>28.763586167153115</v>
      </c>
      <c r="AF1216" s="69">
        <v>28.763586167153115</v>
      </c>
      <c r="AG1216" s="69">
        <v>28.763586167153115</v>
      </c>
    </row>
    <row r="1217" spans="1:33">
      <c r="A1217" s="236" t="s">
        <v>2380</v>
      </c>
      <c r="B1217" s="69" t="s">
        <v>273</v>
      </c>
      <c r="C1217" s="69" t="s">
        <v>185</v>
      </c>
      <c r="D1217" s="69" t="s">
        <v>193</v>
      </c>
      <c r="E1217" s="69" t="s">
        <v>194</v>
      </c>
      <c r="F1217" s="69" t="s">
        <v>165</v>
      </c>
      <c r="G1217" s="69" t="s">
        <v>201</v>
      </c>
      <c r="H1217" s="69" t="s">
        <v>2417</v>
      </c>
      <c r="I1217" s="69">
        <v>1</v>
      </c>
      <c r="J1217" s="238">
        <v>0.28999999999999998</v>
      </c>
      <c r="K1217" s="238">
        <v>0.63437109007818515</v>
      </c>
      <c r="L1217" s="69">
        <v>144.14559944117298</v>
      </c>
      <c r="M1217" s="69">
        <v>0</v>
      </c>
      <c r="N1217" s="69">
        <v>101.61599999999817</v>
      </c>
      <c r="O1217" s="69">
        <v>101.61599999999817</v>
      </c>
      <c r="P1217" s="69">
        <v>101.61599999999817</v>
      </c>
      <c r="Q1217" s="69">
        <v>101.61599999999817</v>
      </c>
      <c r="R1217" s="69">
        <v>101.61599999999817</v>
      </c>
      <c r="S1217" s="69">
        <v>101.61599999999817</v>
      </c>
      <c r="T1217" s="69">
        <v>101.61599999999817</v>
      </c>
      <c r="U1217" s="69">
        <v>101.61599999999817</v>
      </c>
      <c r="V1217" s="69">
        <v>101.61599999999817</v>
      </c>
      <c r="W1217" s="69">
        <v>101.61599999999817</v>
      </c>
      <c r="X1217" s="69">
        <v>101.61599999999817</v>
      </c>
      <c r="Y1217" s="69">
        <v>101.61599999999817</v>
      </c>
      <c r="Z1217" s="69">
        <v>101.61599999999817</v>
      </c>
      <c r="AA1217" s="69">
        <v>101.61599999999817</v>
      </c>
      <c r="AB1217" s="69">
        <v>101.61599999999817</v>
      </c>
      <c r="AC1217" s="69">
        <v>101.61599999999817</v>
      </c>
      <c r="AD1217" s="69">
        <v>101.61599999999817</v>
      </c>
      <c r="AE1217" s="69">
        <v>101.61599999999817</v>
      </c>
      <c r="AF1217" s="69">
        <v>101.61599999999817</v>
      </c>
      <c r="AG1217" s="69">
        <v>101.61599999999817</v>
      </c>
    </row>
    <row r="1218" spans="1:33">
      <c r="A1218" s="236" t="s">
        <v>2380</v>
      </c>
      <c r="B1218" s="69" t="s">
        <v>274</v>
      </c>
      <c r="C1218" s="69" t="s">
        <v>185</v>
      </c>
      <c r="D1218" s="69" t="s">
        <v>193</v>
      </c>
      <c r="E1218" s="69" t="s">
        <v>194</v>
      </c>
      <c r="F1218" s="69" t="s">
        <v>165</v>
      </c>
      <c r="G1218" s="69" t="s">
        <v>201</v>
      </c>
      <c r="H1218" s="69" t="s">
        <v>2417</v>
      </c>
      <c r="I1218" s="69">
        <v>1</v>
      </c>
      <c r="J1218" s="238">
        <v>0.28999999999999998</v>
      </c>
      <c r="K1218" s="238">
        <v>0.63437109007818515</v>
      </c>
      <c r="L1218" s="69">
        <v>144.14559944117298</v>
      </c>
      <c r="M1218" s="69">
        <v>0</v>
      </c>
      <c r="N1218" s="69">
        <v>0</v>
      </c>
      <c r="O1218" s="69">
        <v>25.403999999998632</v>
      </c>
      <c r="P1218" s="69">
        <v>25.403999999998632</v>
      </c>
      <c r="Q1218" s="69">
        <v>25.403999999998632</v>
      </c>
      <c r="R1218" s="69">
        <v>25.403999999998632</v>
      </c>
      <c r="S1218" s="69">
        <v>25.403999999998632</v>
      </c>
      <c r="T1218" s="69">
        <v>25.403999999998632</v>
      </c>
      <c r="U1218" s="69">
        <v>25.403999999998632</v>
      </c>
      <c r="V1218" s="69">
        <v>25.403999999998632</v>
      </c>
      <c r="W1218" s="69">
        <v>25.403999999998632</v>
      </c>
      <c r="X1218" s="69">
        <v>25.403999999998632</v>
      </c>
      <c r="Y1218" s="69">
        <v>25.403999999998632</v>
      </c>
      <c r="Z1218" s="69">
        <v>25.403999999998632</v>
      </c>
      <c r="AA1218" s="69">
        <v>25.403999999998632</v>
      </c>
      <c r="AB1218" s="69">
        <v>25.403999999998632</v>
      </c>
      <c r="AC1218" s="69">
        <v>25.403999999998632</v>
      </c>
      <c r="AD1218" s="69">
        <v>25.403999999998632</v>
      </c>
      <c r="AE1218" s="69">
        <v>25.403999999998632</v>
      </c>
      <c r="AF1218" s="69">
        <v>25.403999999998632</v>
      </c>
      <c r="AG1218" s="69">
        <v>25.403999999998632</v>
      </c>
    </row>
    <row r="1219" spans="1:33">
      <c r="A1219" s="236" t="s">
        <v>2380</v>
      </c>
      <c r="B1219" s="69" t="s">
        <v>275</v>
      </c>
      <c r="C1219" s="69" t="s">
        <v>137</v>
      </c>
      <c r="D1219" s="69" t="s">
        <v>191</v>
      </c>
      <c r="E1219" s="69" t="s">
        <v>191</v>
      </c>
      <c r="F1219" s="69" t="s">
        <v>169</v>
      </c>
      <c r="G1219" s="69" t="s">
        <v>192</v>
      </c>
      <c r="H1219" s="69" t="s">
        <v>804</v>
      </c>
      <c r="I1219" s="69">
        <v>1</v>
      </c>
      <c r="J1219" s="238">
        <v>0.32235762917068039</v>
      </c>
      <c r="K1219" s="238">
        <v>0.16115831843295012</v>
      </c>
      <c r="L1219" s="69">
        <v>96.038728079112801</v>
      </c>
      <c r="M1219" s="69">
        <v>0</v>
      </c>
      <c r="N1219" s="69">
        <v>0</v>
      </c>
      <c r="O1219" s="69">
        <v>0</v>
      </c>
      <c r="P1219" s="69">
        <v>0</v>
      </c>
      <c r="Q1219" s="69">
        <v>104.48255476680096</v>
      </c>
      <c r="R1219" s="69">
        <v>104.48255476680096</v>
      </c>
      <c r="S1219" s="69">
        <v>104.48255476680096</v>
      </c>
      <c r="T1219" s="69">
        <v>104.48255476680096</v>
      </c>
      <c r="U1219" s="69">
        <v>104.48255476680096</v>
      </c>
      <c r="V1219" s="69">
        <v>104.48255476680096</v>
      </c>
      <c r="W1219" s="69">
        <v>104.48255476680096</v>
      </c>
      <c r="X1219" s="69">
        <v>104.48255476680096</v>
      </c>
      <c r="Y1219" s="69">
        <v>104.48255476680096</v>
      </c>
      <c r="Z1219" s="69">
        <v>104.48255476680096</v>
      </c>
      <c r="AA1219" s="69">
        <v>104.48255476680096</v>
      </c>
      <c r="AB1219" s="69">
        <v>104.48255476680096</v>
      </c>
      <c r="AC1219" s="69">
        <v>104.48255476680096</v>
      </c>
      <c r="AD1219" s="69">
        <v>104.48255476680096</v>
      </c>
      <c r="AE1219" s="69">
        <v>104.48255476680096</v>
      </c>
      <c r="AF1219" s="69">
        <v>104.48255476680096</v>
      </c>
      <c r="AG1219" s="69">
        <v>104.48255476680096</v>
      </c>
    </row>
    <row r="1220" spans="1:33">
      <c r="A1220" s="236" t="s">
        <v>2380</v>
      </c>
      <c r="B1220" s="69" t="s">
        <v>276</v>
      </c>
      <c r="C1220" s="69" t="s">
        <v>187</v>
      </c>
      <c r="D1220" s="69" t="s">
        <v>191</v>
      </c>
      <c r="E1220" s="69" t="s">
        <v>191</v>
      </c>
      <c r="F1220" s="69" t="s">
        <v>170</v>
      </c>
      <c r="G1220" s="69" t="s">
        <v>192</v>
      </c>
      <c r="H1220" s="69" t="s">
        <v>804</v>
      </c>
      <c r="I1220" s="69">
        <v>1</v>
      </c>
      <c r="J1220" s="238">
        <v>0.2668262983999703</v>
      </c>
      <c r="K1220" s="238">
        <v>0.71679758500684321</v>
      </c>
      <c r="L1220" s="69">
        <v>192.38629588063705</v>
      </c>
      <c r="M1220" s="69">
        <v>0</v>
      </c>
      <c r="N1220" s="69">
        <v>0</v>
      </c>
      <c r="O1220" s="69">
        <v>0</v>
      </c>
      <c r="P1220" s="69">
        <v>0</v>
      </c>
      <c r="Q1220" s="69">
        <v>0</v>
      </c>
      <c r="R1220" s="69">
        <v>0</v>
      </c>
      <c r="S1220" s="69">
        <v>0</v>
      </c>
      <c r="T1220" s="69">
        <v>642.78455284552911</v>
      </c>
      <c r="U1220" s="69">
        <v>642.78455284552911</v>
      </c>
      <c r="V1220" s="69">
        <v>1168.6991869918711</v>
      </c>
      <c r="W1220" s="69">
        <v>1168.6991869918711</v>
      </c>
      <c r="X1220" s="69">
        <v>1168.6991869918711</v>
      </c>
      <c r="Y1220" s="69">
        <v>1168.6991869918711</v>
      </c>
      <c r="Z1220" s="69">
        <v>1168.6991869918711</v>
      </c>
      <c r="AA1220" s="69">
        <v>1168.6991869918711</v>
      </c>
      <c r="AB1220" s="69">
        <v>1168.6991869918711</v>
      </c>
      <c r="AC1220" s="69">
        <v>1168.6991869918711</v>
      </c>
      <c r="AD1220" s="69">
        <v>1168.6991869918711</v>
      </c>
      <c r="AE1220" s="69">
        <v>1168.6991869918711</v>
      </c>
      <c r="AF1220" s="69">
        <v>1168.6991869918711</v>
      </c>
      <c r="AG1220" s="69">
        <v>1168.6991869918711</v>
      </c>
    </row>
    <row r="1221" spans="1:33">
      <c r="A1221" s="236" t="s">
        <v>2380</v>
      </c>
      <c r="B1221" s="69" t="s">
        <v>277</v>
      </c>
      <c r="C1221" s="69" t="s">
        <v>137</v>
      </c>
      <c r="D1221" s="69" t="s">
        <v>191</v>
      </c>
      <c r="E1221" s="69" t="s">
        <v>191</v>
      </c>
      <c r="F1221" s="69" t="s">
        <v>180</v>
      </c>
      <c r="G1221" s="69" t="s">
        <v>192</v>
      </c>
      <c r="H1221" s="69" t="s">
        <v>804</v>
      </c>
      <c r="I1221" s="69">
        <v>1</v>
      </c>
      <c r="J1221" s="238">
        <v>0.32235762917068039</v>
      </c>
      <c r="K1221" s="238">
        <v>0.160195270625522</v>
      </c>
      <c r="L1221" s="69">
        <v>96.038728079112801</v>
      </c>
      <c r="M1221" s="69">
        <v>0</v>
      </c>
      <c r="N1221" s="69">
        <v>0</v>
      </c>
      <c r="O1221" s="69">
        <v>0</v>
      </c>
      <c r="P1221" s="69">
        <v>0</v>
      </c>
      <c r="Q1221" s="69">
        <v>0</v>
      </c>
      <c r="R1221" s="69">
        <v>141.19264157675798</v>
      </c>
      <c r="S1221" s="69">
        <v>141.19264157675798</v>
      </c>
      <c r="T1221" s="69">
        <v>141.19264157675798</v>
      </c>
      <c r="U1221" s="69">
        <v>141.19264157675798</v>
      </c>
      <c r="V1221" s="69">
        <v>141.19264157675798</v>
      </c>
      <c r="W1221" s="69">
        <v>141.19264157675798</v>
      </c>
      <c r="X1221" s="69">
        <v>141.19264157675798</v>
      </c>
      <c r="Y1221" s="69">
        <v>141.19264157675798</v>
      </c>
      <c r="Z1221" s="69">
        <v>141.19264157675798</v>
      </c>
      <c r="AA1221" s="69">
        <v>141.19264157675798</v>
      </c>
      <c r="AB1221" s="69">
        <v>141.19264157675798</v>
      </c>
      <c r="AC1221" s="69">
        <v>141.19264157675798</v>
      </c>
      <c r="AD1221" s="69">
        <v>141.19264157675798</v>
      </c>
      <c r="AE1221" s="69">
        <v>141.19264157675798</v>
      </c>
      <c r="AF1221" s="69">
        <v>141.19264157675798</v>
      </c>
      <c r="AG1221" s="69">
        <v>141.19264157675798</v>
      </c>
    </row>
    <row r="1222" spans="1:33">
      <c r="A1222" s="236" t="s">
        <v>2380</v>
      </c>
      <c r="B1222" s="69" t="s">
        <v>278</v>
      </c>
      <c r="C1222" s="69" t="s">
        <v>137</v>
      </c>
      <c r="D1222" s="69" t="s">
        <v>191</v>
      </c>
      <c r="E1222" s="69" t="s">
        <v>191</v>
      </c>
      <c r="F1222" s="69" t="s">
        <v>180</v>
      </c>
      <c r="G1222" s="69" t="s">
        <v>192</v>
      </c>
      <c r="H1222" s="69" t="s">
        <v>804</v>
      </c>
      <c r="I1222" s="69">
        <v>2</v>
      </c>
      <c r="J1222" s="238">
        <v>0.32235762917068039</v>
      </c>
      <c r="K1222" s="238">
        <v>0.160195270625522</v>
      </c>
      <c r="L1222" s="69">
        <v>96.038728079112801</v>
      </c>
      <c r="M1222" s="69">
        <v>0</v>
      </c>
      <c r="N1222" s="69">
        <v>0</v>
      </c>
      <c r="O1222" s="69">
        <v>0</v>
      </c>
      <c r="P1222" s="69">
        <v>0</v>
      </c>
      <c r="Q1222" s="69">
        <v>0</v>
      </c>
      <c r="R1222" s="69">
        <v>51.591791232145624</v>
      </c>
      <c r="S1222" s="69">
        <v>51.591791232145624</v>
      </c>
      <c r="T1222" s="69">
        <v>51.591791232145624</v>
      </c>
      <c r="U1222" s="69">
        <v>51.591791232145624</v>
      </c>
      <c r="V1222" s="69">
        <v>51.591791232145624</v>
      </c>
      <c r="W1222" s="69">
        <v>51.591791232145624</v>
      </c>
      <c r="X1222" s="69">
        <v>51.591791232145624</v>
      </c>
      <c r="Y1222" s="69">
        <v>51.591791232145624</v>
      </c>
      <c r="Z1222" s="69">
        <v>51.591791232145624</v>
      </c>
      <c r="AA1222" s="69">
        <v>51.591791232145624</v>
      </c>
      <c r="AB1222" s="69">
        <v>51.591791232145624</v>
      </c>
      <c r="AC1222" s="69">
        <v>51.591791232145624</v>
      </c>
      <c r="AD1222" s="69">
        <v>51.591791232145624</v>
      </c>
      <c r="AE1222" s="69">
        <v>51.591791232145624</v>
      </c>
      <c r="AF1222" s="69">
        <v>51.591791232145624</v>
      </c>
      <c r="AG1222" s="69">
        <v>51.591791232145624</v>
      </c>
    </row>
    <row r="1223" spans="1:33">
      <c r="A1223" s="236" t="s">
        <v>2380</v>
      </c>
      <c r="B1223" s="69" t="s">
        <v>279</v>
      </c>
      <c r="C1223" s="69" t="s">
        <v>137</v>
      </c>
      <c r="D1223" s="69" t="s">
        <v>191</v>
      </c>
      <c r="E1223" s="69" t="s">
        <v>191</v>
      </c>
      <c r="F1223" s="69" t="s">
        <v>180</v>
      </c>
      <c r="G1223" s="69" t="s">
        <v>192</v>
      </c>
      <c r="H1223" s="69" t="s">
        <v>804</v>
      </c>
      <c r="I1223" s="69">
        <v>1</v>
      </c>
      <c r="J1223" s="238">
        <v>0.32235762917068039</v>
      </c>
      <c r="K1223" s="238">
        <v>0.160195270625522</v>
      </c>
      <c r="L1223" s="69">
        <v>96.038728079112801</v>
      </c>
      <c r="M1223" s="69">
        <v>0</v>
      </c>
      <c r="N1223" s="69">
        <v>0</v>
      </c>
      <c r="O1223" s="69">
        <v>0</v>
      </c>
      <c r="P1223" s="69">
        <v>0</v>
      </c>
      <c r="Q1223" s="69">
        <v>0</v>
      </c>
      <c r="R1223" s="69">
        <v>44.616874738255774</v>
      </c>
      <c r="S1223" s="69">
        <v>44.616874738255774</v>
      </c>
      <c r="T1223" s="69">
        <v>44.616874738255774</v>
      </c>
      <c r="U1223" s="69">
        <v>44.616874738255774</v>
      </c>
      <c r="V1223" s="69">
        <v>44.616874738255774</v>
      </c>
      <c r="W1223" s="69">
        <v>44.616874738255774</v>
      </c>
      <c r="X1223" s="69">
        <v>44.616874738255774</v>
      </c>
      <c r="Y1223" s="69">
        <v>44.616874738255774</v>
      </c>
      <c r="Z1223" s="69">
        <v>44.616874738255774</v>
      </c>
      <c r="AA1223" s="69">
        <v>44.616874738255774</v>
      </c>
      <c r="AB1223" s="69">
        <v>44.616874738255774</v>
      </c>
      <c r="AC1223" s="69">
        <v>44.616874738255774</v>
      </c>
      <c r="AD1223" s="69">
        <v>44.616874738255774</v>
      </c>
      <c r="AE1223" s="69">
        <v>44.616874738255774</v>
      </c>
      <c r="AF1223" s="69">
        <v>44.616874738255774</v>
      </c>
      <c r="AG1223" s="69">
        <v>44.616874738255774</v>
      </c>
    </row>
    <row r="1224" spans="1:33">
      <c r="A1224" s="236" t="s">
        <v>2380</v>
      </c>
      <c r="B1224" s="69" t="s">
        <v>280</v>
      </c>
      <c r="C1224" s="69" t="s">
        <v>137</v>
      </c>
      <c r="D1224" s="69" t="s">
        <v>191</v>
      </c>
      <c r="E1224" s="69" t="s">
        <v>191</v>
      </c>
      <c r="F1224" s="69" t="s">
        <v>180</v>
      </c>
      <c r="G1224" s="69" t="s">
        <v>192</v>
      </c>
      <c r="H1224" s="69" t="s">
        <v>804</v>
      </c>
      <c r="I1224" s="69">
        <v>2</v>
      </c>
      <c r="J1224" s="238">
        <v>0.32235762917068039</v>
      </c>
      <c r="K1224" s="238">
        <v>0.160195270625522</v>
      </c>
      <c r="L1224" s="69">
        <v>96.038728079112815</v>
      </c>
      <c r="M1224" s="69">
        <v>0</v>
      </c>
      <c r="N1224" s="69">
        <v>0</v>
      </c>
      <c r="O1224" s="69">
        <v>0</v>
      </c>
      <c r="P1224" s="69">
        <v>0</v>
      </c>
      <c r="Q1224" s="69">
        <v>0</v>
      </c>
      <c r="R1224" s="69">
        <v>49.869241004911601</v>
      </c>
      <c r="S1224" s="69">
        <v>49.869241004911601</v>
      </c>
      <c r="T1224" s="69">
        <v>49.869241004911601</v>
      </c>
      <c r="U1224" s="69">
        <v>49.869241004911601</v>
      </c>
      <c r="V1224" s="69">
        <v>49.869241004911601</v>
      </c>
      <c r="W1224" s="69">
        <v>49.869241004911601</v>
      </c>
      <c r="X1224" s="69">
        <v>49.869241004911601</v>
      </c>
      <c r="Y1224" s="69">
        <v>49.869241004911601</v>
      </c>
      <c r="Z1224" s="69">
        <v>49.869241004911601</v>
      </c>
      <c r="AA1224" s="69">
        <v>49.869241004911601</v>
      </c>
      <c r="AB1224" s="69">
        <v>49.869241004911601</v>
      </c>
      <c r="AC1224" s="69">
        <v>49.869241004911601</v>
      </c>
      <c r="AD1224" s="69">
        <v>49.869241004911601</v>
      </c>
      <c r="AE1224" s="69">
        <v>49.869241004911601</v>
      </c>
      <c r="AF1224" s="69">
        <v>49.869241004911601</v>
      </c>
      <c r="AG1224" s="69">
        <v>49.869241004911601</v>
      </c>
    </row>
    <row r="1225" spans="1:33">
      <c r="A1225" s="236" t="s">
        <v>2380</v>
      </c>
      <c r="B1225" s="69" t="s">
        <v>281</v>
      </c>
      <c r="C1225" s="69" t="s">
        <v>137</v>
      </c>
      <c r="D1225" s="69" t="s">
        <v>191</v>
      </c>
      <c r="E1225" s="69" t="s">
        <v>191</v>
      </c>
      <c r="F1225" s="69" t="s">
        <v>180</v>
      </c>
      <c r="G1225" s="69" t="s">
        <v>192</v>
      </c>
      <c r="H1225" s="69" t="s">
        <v>804</v>
      </c>
      <c r="I1225" s="69">
        <v>1</v>
      </c>
      <c r="J1225" s="238">
        <v>0.32235762917068039</v>
      </c>
      <c r="K1225" s="238">
        <v>0.160195270625522</v>
      </c>
      <c r="L1225" s="69">
        <v>96.038728079112801</v>
      </c>
      <c r="M1225" s="69">
        <v>0</v>
      </c>
      <c r="N1225" s="69">
        <v>0</v>
      </c>
      <c r="O1225" s="69">
        <v>0</v>
      </c>
      <c r="P1225" s="69">
        <v>0</v>
      </c>
      <c r="Q1225" s="69">
        <v>0</v>
      </c>
      <c r="R1225" s="69">
        <v>48.09021372104371</v>
      </c>
      <c r="S1225" s="69">
        <v>48.09021372104371</v>
      </c>
      <c r="T1225" s="69">
        <v>48.09021372104371</v>
      </c>
      <c r="U1225" s="69">
        <v>48.09021372104371</v>
      </c>
      <c r="V1225" s="69">
        <v>48.09021372104371</v>
      </c>
      <c r="W1225" s="69">
        <v>48.09021372104371</v>
      </c>
      <c r="X1225" s="69">
        <v>48.09021372104371</v>
      </c>
      <c r="Y1225" s="69">
        <v>48.09021372104371</v>
      </c>
      <c r="Z1225" s="69">
        <v>48.09021372104371</v>
      </c>
      <c r="AA1225" s="69">
        <v>48.09021372104371</v>
      </c>
      <c r="AB1225" s="69">
        <v>48.09021372104371</v>
      </c>
      <c r="AC1225" s="69">
        <v>48.09021372104371</v>
      </c>
      <c r="AD1225" s="69">
        <v>48.09021372104371</v>
      </c>
      <c r="AE1225" s="69">
        <v>48.09021372104371</v>
      </c>
      <c r="AF1225" s="69">
        <v>48.09021372104371</v>
      </c>
      <c r="AG1225" s="69">
        <v>48.09021372104371</v>
      </c>
    </row>
    <row r="1226" spans="1:33">
      <c r="A1226" s="236" t="s">
        <v>2380</v>
      </c>
      <c r="B1226" s="69" t="s">
        <v>282</v>
      </c>
      <c r="C1226" s="69" t="s">
        <v>137</v>
      </c>
      <c r="D1226" s="69" t="s">
        <v>191</v>
      </c>
      <c r="E1226" s="69" t="s">
        <v>191</v>
      </c>
      <c r="F1226" s="69" t="s">
        <v>180</v>
      </c>
      <c r="G1226" s="69" t="s">
        <v>192</v>
      </c>
      <c r="H1226" s="69" t="s">
        <v>804</v>
      </c>
      <c r="I1226" s="69">
        <v>1</v>
      </c>
      <c r="J1226" s="238">
        <v>0.32235762917068039</v>
      </c>
      <c r="K1226" s="238">
        <v>0.160195270625522</v>
      </c>
      <c r="L1226" s="69">
        <v>96.038728079112801</v>
      </c>
      <c r="M1226" s="69">
        <v>0</v>
      </c>
      <c r="N1226" s="69">
        <v>0</v>
      </c>
      <c r="O1226" s="69">
        <v>0</v>
      </c>
      <c r="P1226" s="69">
        <v>0</v>
      </c>
      <c r="Q1226" s="69">
        <v>0</v>
      </c>
      <c r="R1226" s="69">
        <v>4235.7792473027403</v>
      </c>
      <c r="S1226" s="69">
        <v>4235.7792473027403</v>
      </c>
      <c r="T1226" s="69">
        <v>4235.7792473027403</v>
      </c>
      <c r="U1226" s="69">
        <v>4235.7792473027403</v>
      </c>
      <c r="V1226" s="69">
        <v>4235.7792473027403</v>
      </c>
      <c r="W1226" s="69">
        <v>4235.7792473027403</v>
      </c>
      <c r="X1226" s="69">
        <v>4235.7792473027403</v>
      </c>
      <c r="Y1226" s="69">
        <v>4235.7792473027403</v>
      </c>
      <c r="Z1226" s="69">
        <v>4235.7792473027403</v>
      </c>
      <c r="AA1226" s="69">
        <v>4235.7792473027403</v>
      </c>
      <c r="AB1226" s="69">
        <v>4235.7792473027403</v>
      </c>
      <c r="AC1226" s="69">
        <v>4235.7792473027403</v>
      </c>
      <c r="AD1226" s="69">
        <v>4235.7792473027403</v>
      </c>
      <c r="AE1226" s="69">
        <v>4235.7792473027403</v>
      </c>
      <c r="AF1226" s="69">
        <v>4235.7792473027403</v>
      </c>
      <c r="AG1226" s="69">
        <v>4235.7792473027403</v>
      </c>
    </row>
    <row r="1227" spans="1:33">
      <c r="A1227" s="236" t="s">
        <v>2380</v>
      </c>
      <c r="B1227" s="69" t="s">
        <v>283</v>
      </c>
      <c r="C1227" s="69" t="s">
        <v>184</v>
      </c>
      <c r="D1227" s="69" t="s">
        <v>284</v>
      </c>
      <c r="E1227" s="69" t="s">
        <v>191</v>
      </c>
      <c r="F1227" s="69" t="s">
        <v>167</v>
      </c>
      <c r="G1227" s="69" t="s">
        <v>192</v>
      </c>
      <c r="H1227" s="69" t="s">
        <v>804</v>
      </c>
      <c r="I1227" s="69">
        <v>2</v>
      </c>
      <c r="J1227" s="238">
        <v>0.80000000000000016</v>
      </c>
      <c r="K1227" s="238">
        <v>0</v>
      </c>
      <c r="L1227" s="69">
        <v>92.42965494862176</v>
      </c>
      <c r="M1227" s="69">
        <v>0</v>
      </c>
      <c r="N1227" s="69">
        <v>0</v>
      </c>
      <c r="O1227" s="69">
        <v>0</v>
      </c>
      <c r="P1227" s="69">
        <v>0</v>
      </c>
      <c r="Q1227" s="69">
        <v>11.212800000001153</v>
      </c>
      <c r="R1227" s="69">
        <v>11.212800000001153</v>
      </c>
      <c r="S1227" s="69">
        <v>11.212800000001153</v>
      </c>
      <c r="T1227" s="69">
        <v>11.212800000001153</v>
      </c>
      <c r="U1227" s="69">
        <v>11.212800000001153</v>
      </c>
      <c r="V1227" s="69">
        <v>11.212800000001153</v>
      </c>
      <c r="W1227" s="69">
        <v>11.212800000001153</v>
      </c>
      <c r="X1227" s="69">
        <v>11.212800000001153</v>
      </c>
      <c r="Y1227" s="69">
        <v>11.212800000001153</v>
      </c>
      <c r="Z1227" s="69">
        <v>11.212800000001153</v>
      </c>
      <c r="AA1227" s="69">
        <v>11.212800000001153</v>
      </c>
      <c r="AB1227" s="69">
        <v>11.212800000001153</v>
      </c>
      <c r="AC1227" s="69">
        <v>11.212800000001153</v>
      </c>
      <c r="AD1227" s="69">
        <v>11.212800000001153</v>
      </c>
      <c r="AE1227" s="69">
        <v>11.212800000001153</v>
      </c>
      <c r="AF1227" s="69">
        <v>11.212800000001153</v>
      </c>
      <c r="AG1227" s="69">
        <v>11.212800000001153</v>
      </c>
    </row>
    <row r="1228" spans="1:33">
      <c r="A1228" s="236" t="s">
        <v>2380</v>
      </c>
      <c r="B1228" s="69" t="s">
        <v>285</v>
      </c>
      <c r="C1228" s="69" t="s">
        <v>137</v>
      </c>
      <c r="D1228" s="69" t="s">
        <v>191</v>
      </c>
      <c r="E1228" s="69" t="s">
        <v>191</v>
      </c>
      <c r="F1228" s="69" t="s">
        <v>177</v>
      </c>
      <c r="G1228" s="69" t="s">
        <v>192</v>
      </c>
      <c r="H1228" s="69" t="s">
        <v>804</v>
      </c>
      <c r="I1228" s="69">
        <v>1</v>
      </c>
      <c r="J1228" s="238">
        <v>0.32235762917068039</v>
      </c>
      <c r="K1228" s="238">
        <v>0.16048337423926948</v>
      </c>
      <c r="L1228" s="69">
        <v>96.038728079112801</v>
      </c>
      <c r="M1228" s="69">
        <v>0</v>
      </c>
      <c r="N1228" s="69">
        <v>0</v>
      </c>
      <c r="O1228" s="69">
        <v>0</v>
      </c>
      <c r="P1228" s="69">
        <v>0</v>
      </c>
      <c r="Q1228" s="69">
        <v>118.60181892447689</v>
      </c>
      <c r="R1228" s="69">
        <v>118.60181892447689</v>
      </c>
      <c r="S1228" s="69">
        <v>118.60181892447689</v>
      </c>
      <c r="T1228" s="69">
        <v>118.60181892447689</v>
      </c>
      <c r="U1228" s="69">
        <v>118.60181892447689</v>
      </c>
      <c r="V1228" s="69">
        <v>118.60181892447689</v>
      </c>
      <c r="W1228" s="69">
        <v>118.60181892447689</v>
      </c>
      <c r="X1228" s="69">
        <v>118.60181892447689</v>
      </c>
      <c r="Y1228" s="69">
        <v>118.60181892447689</v>
      </c>
      <c r="Z1228" s="69">
        <v>118.60181892447689</v>
      </c>
      <c r="AA1228" s="69">
        <v>118.60181892447689</v>
      </c>
      <c r="AB1228" s="69">
        <v>118.60181892447689</v>
      </c>
      <c r="AC1228" s="69">
        <v>118.60181892447689</v>
      </c>
      <c r="AD1228" s="69">
        <v>118.60181892447689</v>
      </c>
      <c r="AE1228" s="69">
        <v>118.60181892447689</v>
      </c>
      <c r="AF1228" s="69">
        <v>118.60181892447689</v>
      </c>
      <c r="AG1228" s="69">
        <v>118.60181892447689</v>
      </c>
    </row>
    <row r="1229" spans="1:33">
      <c r="A1229" s="236" t="s">
        <v>2380</v>
      </c>
      <c r="B1229" s="69" t="s">
        <v>286</v>
      </c>
      <c r="C1229" s="69" t="s">
        <v>136</v>
      </c>
      <c r="D1229" s="69" t="s">
        <v>191</v>
      </c>
      <c r="E1229" s="69" t="s">
        <v>191</v>
      </c>
      <c r="F1229" s="69" t="s">
        <v>161</v>
      </c>
      <c r="G1229" s="69" t="s">
        <v>192</v>
      </c>
      <c r="H1229" s="69" t="s">
        <v>2130</v>
      </c>
      <c r="I1229" s="69">
        <v>2</v>
      </c>
      <c r="J1229" s="238">
        <v>0.82500000000000007</v>
      </c>
      <c r="K1229" s="238">
        <v>0.70497163608542901</v>
      </c>
      <c r="L1229" s="69">
        <v>109.81489691553389</v>
      </c>
      <c r="M1229" s="69">
        <v>0</v>
      </c>
      <c r="N1229" s="69">
        <v>0</v>
      </c>
      <c r="O1229" s="69">
        <v>0</v>
      </c>
      <c r="P1229" s="69">
        <v>0</v>
      </c>
      <c r="Q1229" s="69">
        <v>216.80999999999989</v>
      </c>
      <c r="R1229" s="69">
        <v>216.80999999999989</v>
      </c>
      <c r="S1229" s="69">
        <v>216.80999999999989</v>
      </c>
      <c r="T1229" s="69">
        <v>216.80999999999989</v>
      </c>
      <c r="U1229" s="69">
        <v>216.80999999999989</v>
      </c>
      <c r="V1229" s="69">
        <v>216.80999999999989</v>
      </c>
      <c r="W1229" s="69">
        <v>216.80999999999989</v>
      </c>
      <c r="X1229" s="69">
        <v>216.80999999999989</v>
      </c>
      <c r="Y1229" s="69">
        <v>216.80999999999989</v>
      </c>
      <c r="Z1229" s="69">
        <v>216.80999999999989</v>
      </c>
      <c r="AA1229" s="69">
        <v>216.80999999999989</v>
      </c>
      <c r="AB1229" s="69">
        <v>216.80999999999989</v>
      </c>
      <c r="AC1229" s="69">
        <v>216.80999999999989</v>
      </c>
      <c r="AD1229" s="69">
        <v>216.80999999999989</v>
      </c>
      <c r="AE1229" s="69">
        <v>216.80999999999989</v>
      </c>
      <c r="AF1229" s="69">
        <v>216.80999999999989</v>
      </c>
      <c r="AG1229" s="69">
        <v>216.80999999999989</v>
      </c>
    </row>
    <row r="1230" spans="1:33">
      <c r="A1230" s="236" t="s">
        <v>2380</v>
      </c>
      <c r="B1230" s="69" t="s">
        <v>287</v>
      </c>
      <c r="C1230" s="69" t="s">
        <v>184</v>
      </c>
      <c r="D1230" s="69" t="s">
        <v>140</v>
      </c>
      <c r="E1230" s="69" t="s">
        <v>191</v>
      </c>
      <c r="F1230" s="69" t="s">
        <v>167</v>
      </c>
      <c r="G1230" s="69" t="s">
        <v>192</v>
      </c>
      <c r="H1230" s="69" t="s">
        <v>804</v>
      </c>
      <c r="I1230" s="69">
        <v>2</v>
      </c>
      <c r="J1230" s="238">
        <v>0.8</v>
      </c>
      <c r="K1230" s="238">
        <v>0</v>
      </c>
      <c r="L1230" s="69">
        <v>114.19797366361543</v>
      </c>
      <c r="M1230" s="69">
        <v>0</v>
      </c>
      <c r="N1230" s="69">
        <v>0</v>
      </c>
      <c r="O1230" s="69">
        <v>0</v>
      </c>
      <c r="P1230" s="69">
        <v>14.015999999999622</v>
      </c>
      <c r="Q1230" s="69">
        <v>14.015999999999622</v>
      </c>
      <c r="R1230" s="69">
        <v>14.015999999999622</v>
      </c>
      <c r="S1230" s="69">
        <v>14.015999999999622</v>
      </c>
      <c r="T1230" s="69">
        <v>14.015999999999622</v>
      </c>
      <c r="U1230" s="69">
        <v>14.015999999999622</v>
      </c>
      <c r="V1230" s="69">
        <v>14.015999999999622</v>
      </c>
      <c r="W1230" s="69">
        <v>14.015999999999622</v>
      </c>
      <c r="X1230" s="69">
        <v>14.015999999999622</v>
      </c>
      <c r="Y1230" s="69">
        <v>14.015999999999622</v>
      </c>
      <c r="Z1230" s="69">
        <v>14.015999999999622</v>
      </c>
      <c r="AA1230" s="69">
        <v>14.015999999999622</v>
      </c>
      <c r="AB1230" s="69">
        <v>14.015999999999622</v>
      </c>
      <c r="AC1230" s="69">
        <v>14.015999999999622</v>
      </c>
      <c r="AD1230" s="69">
        <v>14.015999999999622</v>
      </c>
      <c r="AE1230" s="69">
        <v>14.015999999999622</v>
      </c>
      <c r="AF1230" s="69">
        <v>14.015999999999622</v>
      </c>
      <c r="AG1230" s="69">
        <v>14.015999999999622</v>
      </c>
    </row>
    <row r="1231" spans="1:33">
      <c r="A1231" s="236" t="s">
        <v>2380</v>
      </c>
      <c r="B1231" s="69" t="s">
        <v>288</v>
      </c>
      <c r="C1231" s="69" t="s">
        <v>184</v>
      </c>
      <c r="D1231" s="69" t="s">
        <v>140</v>
      </c>
      <c r="E1231" s="69" t="s">
        <v>191</v>
      </c>
      <c r="F1231" s="69" t="s">
        <v>177</v>
      </c>
      <c r="G1231" s="69" t="s">
        <v>192</v>
      </c>
      <c r="H1231" s="69" t="s">
        <v>804</v>
      </c>
      <c r="I1231" s="69">
        <v>2</v>
      </c>
      <c r="J1231" s="238">
        <v>0.8</v>
      </c>
      <c r="K1231" s="238">
        <v>0</v>
      </c>
      <c r="L1231" s="69">
        <v>114.19797366361543</v>
      </c>
      <c r="M1231" s="69">
        <v>0</v>
      </c>
      <c r="N1231" s="69">
        <v>0</v>
      </c>
      <c r="O1231" s="69">
        <v>0</v>
      </c>
      <c r="P1231" s="69">
        <v>14.015999999999622</v>
      </c>
      <c r="Q1231" s="69">
        <v>14.015999999999622</v>
      </c>
      <c r="R1231" s="69">
        <v>14.015999999999622</v>
      </c>
      <c r="S1231" s="69">
        <v>14.015999999999622</v>
      </c>
      <c r="T1231" s="69">
        <v>14.015999999999622</v>
      </c>
      <c r="U1231" s="69">
        <v>14.015999999999622</v>
      </c>
      <c r="V1231" s="69">
        <v>14.015999999999622</v>
      </c>
      <c r="W1231" s="69">
        <v>14.015999999999622</v>
      </c>
      <c r="X1231" s="69">
        <v>14.015999999999622</v>
      </c>
      <c r="Y1231" s="69">
        <v>14.015999999999622</v>
      </c>
      <c r="Z1231" s="69">
        <v>14.015999999999622</v>
      </c>
      <c r="AA1231" s="69">
        <v>14.015999999999622</v>
      </c>
      <c r="AB1231" s="69">
        <v>14.015999999999622</v>
      </c>
      <c r="AC1231" s="69">
        <v>14.015999999999622</v>
      </c>
      <c r="AD1231" s="69">
        <v>14.015999999999622</v>
      </c>
      <c r="AE1231" s="69">
        <v>14.015999999999622</v>
      </c>
      <c r="AF1231" s="69">
        <v>14.015999999999622</v>
      </c>
      <c r="AG1231" s="69">
        <v>14.015999999999622</v>
      </c>
    </row>
    <row r="1232" spans="1:33">
      <c r="A1232" s="236" t="s">
        <v>2380</v>
      </c>
      <c r="B1232" s="69" t="s">
        <v>289</v>
      </c>
      <c r="C1232" s="69" t="s">
        <v>187</v>
      </c>
      <c r="D1232" s="69" t="s">
        <v>191</v>
      </c>
      <c r="E1232" s="69" t="s">
        <v>191</v>
      </c>
      <c r="F1232" s="69" t="s">
        <v>180</v>
      </c>
      <c r="G1232" s="69" t="s">
        <v>192</v>
      </c>
      <c r="H1232" s="69" t="s">
        <v>804</v>
      </c>
      <c r="I1232" s="69">
        <v>2</v>
      </c>
      <c r="J1232" s="238">
        <v>0.2668262983999703</v>
      </c>
      <c r="K1232" s="238">
        <v>0.82586438133842643</v>
      </c>
      <c r="L1232" s="69">
        <v>192.38629588063705</v>
      </c>
      <c r="M1232" s="69">
        <v>0</v>
      </c>
      <c r="N1232" s="69">
        <v>0</v>
      </c>
      <c r="O1232" s="69">
        <v>0</v>
      </c>
      <c r="P1232" s="69">
        <v>0</v>
      </c>
      <c r="Q1232" s="69">
        <v>0</v>
      </c>
      <c r="R1232" s="69">
        <v>245.42682926829002</v>
      </c>
      <c r="S1232" s="69">
        <v>245.42682926829002</v>
      </c>
      <c r="T1232" s="69">
        <v>245.42682926829002</v>
      </c>
      <c r="U1232" s="69">
        <v>245.42682926829002</v>
      </c>
      <c r="V1232" s="69">
        <v>245.42682926829002</v>
      </c>
      <c r="W1232" s="69">
        <v>245.42682926829002</v>
      </c>
      <c r="X1232" s="69">
        <v>245.42682926829002</v>
      </c>
      <c r="Y1232" s="69">
        <v>245.42682926829002</v>
      </c>
      <c r="Z1232" s="69">
        <v>245.42682926829002</v>
      </c>
      <c r="AA1232" s="69">
        <v>245.42682926829002</v>
      </c>
      <c r="AB1232" s="69">
        <v>245.42682926829002</v>
      </c>
      <c r="AC1232" s="69">
        <v>245.42682926829002</v>
      </c>
      <c r="AD1232" s="69">
        <v>245.42682926829002</v>
      </c>
      <c r="AE1232" s="69">
        <v>245.42682926829002</v>
      </c>
      <c r="AF1232" s="69">
        <v>245.42682926829002</v>
      </c>
      <c r="AG1232" s="69">
        <v>245.42682926829002</v>
      </c>
    </row>
    <row r="1233" spans="1:33">
      <c r="A1233" s="236" t="s">
        <v>2380</v>
      </c>
      <c r="B1233" s="69" t="s">
        <v>290</v>
      </c>
      <c r="C1233" s="69" t="s">
        <v>137</v>
      </c>
      <c r="D1233" s="69" t="s">
        <v>191</v>
      </c>
      <c r="E1233" s="69" t="s">
        <v>191</v>
      </c>
      <c r="F1233" s="69" t="s">
        <v>168</v>
      </c>
      <c r="G1233" s="69" t="s">
        <v>199</v>
      </c>
      <c r="H1233" s="69" t="s">
        <v>2417</v>
      </c>
      <c r="I1233" s="69">
        <v>1</v>
      </c>
      <c r="J1233" s="238">
        <v>0.29204999999999998</v>
      </c>
      <c r="K1233" s="238">
        <v>0.18436399478639695</v>
      </c>
      <c r="L1233" s="69">
        <v>95.155627725733936</v>
      </c>
      <c r="M1233" s="69">
        <v>0</v>
      </c>
      <c r="N1233" s="69">
        <v>0</v>
      </c>
      <c r="O1233" s="69">
        <v>0</v>
      </c>
      <c r="P1233" s="69">
        <v>358.17012000000068</v>
      </c>
      <c r="Q1233" s="69">
        <v>358.17012000000068</v>
      </c>
      <c r="R1233" s="69">
        <v>358.17012000000068</v>
      </c>
      <c r="S1233" s="69">
        <v>358.17012000000068</v>
      </c>
      <c r="T1233" s="69">
        <v>358.17012000000068</v>
      </c>
      <c r="U1233" s="69">
        <v>358.17012000000068</v>
      </c>
      <c r="V1233" s="69">
        <v>358.17012000000068</v>
      </c>
      <c r="W1233" s="69">
        <v>358.17012000000068</v>
      </c>
      <c r="X1233" s="69">
        <v>358.17012000000068</v>
      </c>
      <c r="Y1233" s="69">
        <v>358.17012000000068</v>
      </c>
      <c r="Z1233" s="69">
        <v>358.17012000000068</v>
      </c>
      <c r="AA1233" s="69">
        <v>358.17012000000068</v>
      </c>
      <c r="AB1233" s="69">
        <v>358.17012000000068</v>
      </c>
      <c r="AC1233" s="69">
        <v>358.17012000000068</v>
      </c>
      <c r="AD1233" s="69">
        <v>358.17012000000068</v>
      </c>
      <c r="AE1233" s="69">
        <v>358.17012000000068</v>
      </c>
      <c r="AF1233" s="69">
        <v>358.17012000000068</v>
      </c>
      <c r="AG1233" s="69">
        <v>358.17012000000068</v>
      </c>
    </row>
    <row r="1234" spans="1:33">
      <c r="A1234" s="236" t="s">
        <v>2380</v>
      </c>
      <c r="B1234" s="69" t="s">
        <v>290</v>
      </c>
      <c r="C1234" s="69" t="s">
        <v>137</v>
      </c>
      <c r="D1234" s="69" t="s">
        <v>191</v>
      </c>
      <c r="E1234" s="69" t="s">
        <v>191</v>
      </c>
      <c r="F1234" s="69" t="s">
        <v>168</v>
      </c>
      <c r="G1234" s="69" t="s">
        <v>199</v>
      </c>
      <c r="H1234" s="69" t="s">
        <v>2417</v>
      </c>
      <c r="I1234" s="69">
        <v>1</v>
      </c>
      <c r="J1234" s="238">
        <v>0.29204999999999998</v>
      </c>
      <c r="K1234" s="238">
        <v>0.18436399478639695</v>
      </c>
      <c r="L1234" s="69">
        <v>95.155627725733936</v>
      </c>
      <c r="M1234" s="69">
        <v>0</v>
      </c>
      <c r="N1234" s="69">
        <v>0</v>
      </c>
      <c r="O1234" s="69">
        <v>0</v>
      </c>
      <c r="P1234" s="69">
        <v>358.17012000000068</v>
      </c>
      <c r="Q1234" s="69">
        <v>358.17012000000068</v>
      </c>
      <c r="R1234" s="69">
        <v>358.17012000000068</v>
      </c>
      <c r="S1234" s="69">
        <v>358.17012000000068</v>
      </c>
      <c r="T1234" s="69">
        <v>358.17012000000068</v>
      </c>
      <c r="U1234" s="69">
        <v>358.17012000000068</v>
      </c>
      <c r="V1234" s="69">
        <v>358.17012000000068</v>
      </c>
      <c r="W1234" s="69">
        <v>358.17012000000068</v>
      </c>
      <c r="X1234" s="69">
        <v>358.17012000000068</v>
      </c>
      <c r="Y1234" s="69">
        <v>358.17012000000068</v>
      </c>
      <c r="Z1234" s="69">
        <v>358.17012000000068</v>
      </c>
      <c r="AA1234" s="69">
        <v>358.17012000000068</v>
      </c>
      <c r="AB1234" s="69">
        <v>358.17012000000068</v>
      </c>
      <c r="AC1234" s="69">
        <v>358.17012000000068</v>
      </c>
      <c r="AD1234" s="69">
        <v>358.17012000000068</v>
      </c>
      <c r="AE1234" s="69">
        <v>358.17012000000068</v>
      </c>
      <c r="AF1234" s="69">
        <v>358.17012000000068</v>
      </c>
      <c r="AG1234" s="69">
        <v>358.17012000000068</v>
      </c>
    </row>
    <row r="1235" spans="1:33">
      <c r="A1235" s="236" t="s">
        <v>2380</v>
      </c>
      <c r="B1235" s="69" t="s">
        <v>290</v>
      </c>
      <c r="C1235" s="69" t="s">
        <v>137</v>
      </c>
      <c r="D1235" s="69" t="s">
        <v>191</v>
      </c>
      <c r="E1235" s="69" t="s">
        <v>191</v>
      </c>
      <c r="F1235" s="69" t="s">
        <v>168</v>
      </c>
      <c r="G1235" s="69" t="s">
        <v>199</v>
      </c>
      <c r="H1235" s="69" t="s">
        <v>2417</v>
      </c>
      <c r="I1235" s="69">
        <v>1</v>
      </c>
      <c r="J1235" s="238">
        <v>0.29204999999999998</v>
      </c>
      <c r="K1235" s="238">
        <v>0.18436399478639695</v>
      </c>
      <c r="L1235" s="69">
        <v>95.155627725733936</v>
      </c>
      <c r="M1235" s="69">
        <v>0</v>
      </c>
      <c r="N1235" s="69">
        <v>0</v>
      </c>
      <c r="O1235" s="69">
        <v>0</v>
      </c>
      <c r="P1235" s="69">
        <v>358.17012000000068</v>
      </c>
      <c r="Q1235" s="69">
        <v>358.17012000000068</v>
      </c>
      <c r="R1235" s="69">
        <v>358.17012000000068</v>
      </c>
      <c r="S1235" s="69">
        <v>358.17012000000068</v>
      </c>
      <c r="T1235" s="69">
        <v>358.17012000000068</v>
      </c>
      <c r="U1235" s="69">
        <v>358.17012000000068</v>
      </c>
      <c r="V1235" s="69">
        <v>358.17012000000068</v>
      </c>
      <c r="W1235" s="69">
        <v>358.17012000000068</v>
      </c>
      <c r="X1235" s="69">
        <v>358.17012000000068</v>
      </c>
      <c r="Y1235" s="69">
        <v>358.17012000000068</v>
      </c>
      <c r="Z1235" s="69">
        <v>358.17012000000068</v>
      </c>
      <c r="AA1235" s="69">
        <v>358.17012000000068</v>
      </c>
      <c r="AB1235" s="69">
        <v>358.17012000000068</v>
      </c>
      <c r="AC1235" s="69">
        <v>358.17012000000068</v>
      </c>
      <c r="AD1235" s="69">
        <v>358.17012000000068</v>
      </c>
      <c r="AE1235" s="69">
        <v>358.17012000000068</v>
      </c>
      <c r="AF1235" s="69">
        <v>358.17012000000068</v>
      </c>
      <c r="AG1235" s="69">
        <v>358.17012000000068</v>
      </c>
    </row>
    <row r="1236" spans="1:33">
      <c r="A1236" s="236" t="s">
        <v>2380</v>
      </c>
      <c r="B1236" s="69" t="s">
        <v>291</v>
      </c>
      <c r="C1236" s="69" t="s">
        <v>184</v>
      </c>
      <c r="D1236" s="69" t="s">
        <v>140</v>
      </c>
      <c r="E1236" s="69" t="s">
        <v>191</v>
      </c>
      <c r="F1236" s="69" t="s">
        <v>180</v>
      </c>
      <c r="G1236" s="69" t="s">
        <v>192</v>
      </c>
      <c r="H1236" s="69" t="s">
        <v>804</v>
      </c>
      <c r="I1236" s="69">
        <v>2</v>
      </c>
      <c r="J1236" s="238">
        <v>0.8</v>
      </c>
      <c r="K1236" s="238">
        <v>0</v>
      </c>
      <c r="L1236" s="69">
        <v>114.19797366361543</v>
      </c>
      <c r="M1236" s="69">
        <v>0</v>
      </c>
      <c r="N1236" s="69">
        <v>0</v>
      </c>
      <c r="O1236" s="69">
        <v>0</v>
      </c>
      <c r="P1236" s="69">
        <v>0</v>
      </c>
      <c r="Q1236" s="69">
        <v>0</v>
      </c>
      <c r="R1236" s="69">
        <v>14.015999999999622</v>
      </c>
      <c r="S1236" s="69">
        <v>14.015999999999622</v>
      </c>
      <c r="T1236" s="69">
        <v>14.015999999999622</v>
      </c>
      <c r="U1236" s="69">
        <v>14.015999999999622</v>
      </c>
      <c r="V1236" s="69">
        <v>14.015999999999622</v>
      </c>
      <c r="W1236" s="69">
        <v>14.015999999999622</v>
      </c>
      <c r="X1236" s="69">
        <v>14.015999999999622</v>
      </c>
      <c r="Y1236" s="69">
        <v>14.015999999999622</v>
      </c>
      <c r="Z1236" s="69">
        <v>14.015999999999622</v>
      </c>
      <c r="AA1236" s="69">
        <v>14.015999999999622</v>
      </c>
      <c r="AB1236" s="69">
        <v>14.015999999999622</v>
      </c>
      <c r="AC1236" s="69">
        <v>14.015999999999622</v>
      </c>
      <c r="AD1236" s="69">
        <v>14.015999999999622</v>
      </c>
      <c r="AE1236" s="69">
        <v>14.015999999999622</v>
      </c>
      <c r="AF1236" s="69">
        <v>14.015999999999622</v>
      </c>
      <c r="AG1236" s="69">
        <v>14.015999999999622</v>
      </c>
    </row>
    <row r="1237" spans="1:33">
      <c r="A1237" s="236" t="s">
        <v>2380</v>
      </c>
      <c r="B1237" s="69" t="s">
        <v>292</v>
      </c>
      <c r="C1237" s="69" t="s">
        <v>184</v>
      </c>
      <c r="D1237" s="69" t="s">
        <v>140</v>
      </c>
      <c r="E1237" s="69" t="s">
        <v>191</v>
      </c>
      <c r="F1237" s="69" t="s">
        <v>177</v>
      </c>
      <c r="G1237" s="69" t="s">
        <v>192</v>
      </c>
      <c r="H1237" s="69" t="s">
        <v>804</v>
      </c>
      <c r="I1237" s="69">
        <v>2</v>
      </c>
      <c r="J1237" s="238">
        <v>0.8</v>
      </c>
      <c r="K1237" s="238">
        <v>0</v>
      </c>
      <c r="L1237" s="69">
        <v>114.19797366361543</v>
      </c>
      <c r="M1237" s="69">
        <v>0</v>
      </c>
      <c r="N1237" s="69">
        <v>0</v>
      </c>
      <c r="O1237" s="69">
        <v>0</v>
      </c>
      <c r="P1237" s="69">
        <v>35.040000000000873</v>
      </c>
      <c r="Q1237" s="69">
        <v>35.040000000000873</v>
      </c>
      <c r="R1237" s="69">
        <v>35.040000000000873</v>
      </c>
      <c r="S1237" s="69">
        <v>35.040000000000873</v>
      </c>
      <c r="T1237" s="69">
        <v>35.040000000000873</v>
      </c>
      <c r="U1237" s="69">
        <v>35.040000000000873</v>
      </c>
      <c r="V1237" s="69">
        <v>35.040000000000873</v>
      </c>
      <c r="W1237" s="69">
        <v>35.040000000000873</v>
      </c>
      <c r="X1237" s="69">
        <v>35.040000000000873</v>
      </c>
      <c r="Y1237" s="69">
        <v>35.040000000000873</v>
      </c>
      <c r="Z1237" s="69">
        <v>35.040000000000873</v>
      </c>
      <c r="AA1237" s="69">
        <v>35.040000000000873</v>
      </c>
      <c r="AB1237" s="69">
        <v>35.040000000000873</v>
      </c>
      <c r="AC1237" s="69">
        <v>35.040000000000873</v>
      </c>
      <c r="AD1237" s="69">
        <v>35.040000000000873</v>
      </c>
      <c r="AE1237" s="69">
        <v>35.040000000000873</v>
      </c>
      <c r="AF1237" s="69">
        <v>35.040000000000873</v>
      </c>
      <c r="AG1237" s="69">
        <v>35.040000000000873</v>
      </c>
    </row>
    <row r="1238" spans="1:33">
      <c r="A1238" s="236" t="s">
        <v>2380</v>
      </c>
      <c r="B1238" s="69" t="s">
        <v>293</v>
      </c>
      <c r="C1238" s="69" t="s">
        <v>137</v>
      </c>
      <c r="D1238" s="69" t="s">
        <v>191</v>
      </c>
      <c r="E1238" s="69" t="s">
        <v>191</v>
      </c>
      <c r="F1238" s="69" t="s">
        <v>181</v>
      </c>
      <c r="G1238" s="69" t="s">
        <v>294</v>
      </c>
      <c r="H1238" s="69" t="s">
        <v>2417</v>
      </c>
      <c r="I1238" s="69">
        <v>1</v>
      </c>
      <c r="J1238" s="238">
        <v>0.28989999999999999</v>
      </c>
      <c r="K1238" s="238">
        <v>0.18559014484515421</v>
      </c>
      <c r="L1238" s="69">
        <v>91.706640833021837</v>
      </c>
      <c r="M1238" s="69">
        <v>0</v>
      </c>
      <c r="N1238" s="69">
        <v>228.55716000000029</v>
      </c>
      <c r="O1238" s="69">
        <v>228.55716000000029</v>
      </c>
      <c r="P1238" s="69">
        <v>228.55716000000029</v>
      </c>
      <c r="Q1238" s="69">
        <v>228.55716000000029</v>
      </c>
      <c r="R1238" s="69">
        <v>228.55716000000029</v>
      </c>
      <c r="S1238" s="69">
        <v>228.55716000000029</v>
      </c>
      <c r="T1238" s="69">
        <v>228.55716000000029</v>
      </c>
      <c r="U1238" s="69">
        <v>228.55716000000029</v>
      </c>
      <c r="V1238" s="69">
        <v>228.55716000000029</v>
      </c>
      <c r="W1238" s="69">
        <v>228.55716000000029</v>
      </c>
      <c r="X1238" s="69">
        <v>228.55716000000029</v>
      </c>
      <c r="Y1238" s="69">
        <v>228.55716000000029</v>
      </c>
      <c r="Z1238" s="69">
        <v>228.55716000000029</v>
      </c>
      <c r="AA1238" s="69">
        <v>228.55716000000029</v>
      </c>
      <c r="AB1238" s="69">
        <v>228.55716000000029</v>
      </c>
      <c r="AC1238" s="69">
        <v>228.55716000000029</v>
      </c>
      <c r="AD1238" s="69">
        <v>228.55716000000029</v>
      </c>
      <c r="AE1238" s="69">
        <v>228.55716000000029</v>
      </c>
      <c r="AF1238" s="69">
        <v>228.55716000000029</v>
      </c>
      <c r="AG1238" s="69">
        <v>228.55716000000029</v>
      </c>
    </row>
    <row r="1239" spans="1:33">
      <c r="A1239" s="236" t="s">
        <v>2380</v>
      </c>
      <c r="B1239" s="69" t="s">
        <v>295</v>
      </c>
      <c r="C1239" s="69" t="s">
        <v>137</v>
      </c>
      <c r="D1239" s="69" t="s">
        <v>191</v>
      </c>
      <c r="E1239" s="69" t="s">
        <v>191</v>
      </c>
      <c r="F1239" s="69" t="s">
        <v>168</v>
      </c>
      <c r="G1239" s="69" t="s">
        <v>199</v>
      </c>
      <c r="H1239" s="69" t="s">
        <v>2417</v>
      </c>
      <c r="I1239" s="69">
        <v>1</v>
      </c>
      <c r="J1239" s="238">
        <v>0.29204999999999998</v>
      </c>
      <c r="K1239" s="238">
        <v>0.18436399478639695</v>
      </c>
      <c r="L1239" s="69">
        <v>95.155627725733964</v>
      </c>
      <c r="M1239" s="69">
        <v>0</v>
      </c>
      <c r="N1239" s="69">
        <v>0</v>
      </c>
      <c r="O1239" s="69">
        <v>266.06923199999983</v>
      </c>
      <c r="P1239" s="69">
        <v>266.06923199999983</v>
      </c>
      <c r="Q1239" s="69">
        <v>266.06923199999983</v>
      </c>
      <c r="R1239" s="69">
        <v>266.06923199999983</v>
      </c>
      <c r="S1239" s="69">
        <v>266.06923199999983</v>
      </c>
      <c r="T1239" s="69">
        <v>266.06923199999983</v>
      </c>
      <c r="U1239" s="69">
        <v>266.06923199999983</v>
      </c>
      <c r="V1239" s="69">
        <v>266.06923199999983</v>
      </c>
      <c r="W1239" s="69">
        <v>266.06923199999983</v>
      </c>
      <c r="X1239" s="69">
        <v>266.06923199999983</v>
      </c>
      <c r="Y1239" s="69">
        <v>266.06923199999983</v>
      </c>
      <c r="Z1239" s="69">
        <v>266.06923199999983</v>
      </c>
      <c r="AA1239" s="69">
        <v>266.06923199999983</v>
      </c>
      <c r="AB1239" s="69">
        <v>266.06923199999983</v>
      </c>
      <c r="AC1239" s="69">
        <v>266.06923199999983</v>
      </c>
      <c r="AD1239" s="69">
        <v>266.06923199999983</v>
      </c>
      <c r="AE1239" s="69">
        <v>266.06923199999983</v>
      </c>
      <c r="AF1239" s="69">
        <v>266.06923199999983</v>
      </c>
      <c r="AG1239" s="69">
        <v>266.06923199999983</v>
      </c>
    </row>
    <row r="1240" spans="1:33">
      <c r="A1240" s="236" t="s">
        <v>2380</v>
      </c>
      <c r="B1240" s="69" t="s">
        <v>296</v>
      </c>
      <c r="C1240" s="69" t="s">
        <v>184</v>
      </c>
      <c r="D1240" s="69" t="s">
        <v>140</v>
      </c>
      <c r="E1240" s="69" t="s">
        <v>191</v>
      </c>
      <c r="F1240" s="69" t="s">
        <v>167</v>
      </c>
      <c r="G1240" s="69" t="s">
        <v>192</v>
      </c>
      <c r="H1240" s="69" t="s">
        <v>804</v>
      </c>
      <c r="I1240" s="69">
        <v>2</v>
      </c>
      <c r="J1240" s="238">
        <v>0.8</v>
      </c>
      <c r="K1240" s="238">
        <v>0</v>
      </c>
      <c r="L1240" s="69">
        <v>114.19797366361543</v>
      </c>
      <c r="M1240" s="69">
        <v>0</v>
      </c>
      <c r="N1240" s="69">
        <v>0</v>
      </c>
      <c r="O1240" s="69">
        <v>0</v>
      </c>
      <c r="P1240" s="69">
        <v>0</v>
      </c>
      <c r="Q1240" s="69">
        <v>0</v>
      </c>
      <c r="R1240" s="69">
        <v>21.024000000001251</v>
      </c>
      <c r="S1240" s="69">
        <v>21.024000000001251</v>
      </c>
      <c r="T1240" s="69">
        <v>21.024000000001251</v>
      </c>
      <c r="U1240" s="69">
        <v>21.024000000001251</v>
      </c>
      <c r="V1240" s="69">
        <v>21.024000000001251</v>
      </c>
      <c r="W1240" s="69">
        <v>21.024000000001251</v>
      </c>
      <c r="X1240" s="69">
        <v>21.024000000001251</v>
      </c>
      <c r="Y1240" s="69">
        <v>21.024000000001251</v>
      </c>
      <c r="Z1240" s="69">
        <v>21.024000000001251</v>
      </c>
      <c r="AA1240" s="69">
        <v>21.024000000001251</v>
      </c>
      <c r="AB1240" s="69">
        <v>21.024000000001251</v>
      </c>
      <c r="AC1240" s="69">
        <v>21.024000000001251</v>
      </c>
      <c r="AD1240" s="69">
        <v>21.024000000001251</v>
      </c>
      <c r="AE1240" s="69">
        <v>21.024000000001251</v>
      </c>
      <c r="AF1240" s="69">
        <v>21.024000000001251</v>
      </c>
      <c r="AG1240" s="69">
        <v>21.024000000001251</v>
      </c>
    </row>
    <row r="1241" spans="1:33">
      <c r="A1241" s="236" t="s">
        <v>2380</v>
      </c>
      <c r="B1241" s="69" t="s">
        <v>297</v>
      </c>
      <c r="C1241" s="69" t="s">
        <v>184</v>
      </c>
      <c r="D1241" s="69" t="s">
        <v>140</v>
      </c>
      <c r="E1241" s="69" t="s">
        <v>191</v>
      </c>
      <c r="F1241" s="69" t="s">
        <v>167</v>
      </c>
      <c r="G1241" s="69" t="s">
        <v>192</v>
      </c>
      <c r="H1241" s="69" t="s">
        <v>804</v>
      </c>
      <c r="I1241" s="69">
        <v>2</v>
      </c>
      <c r="J1241" s="238">
        <v>0.8</v>
      </c>
      <c r="K1241" s="238">
        <v>0</v>
      </c>
      <c r="L1241" s="69">
        <v>114.19797366361543</v>
      </c>
      <c r="M1241" s="69">
        <v>0</v>
      </c>
      <c r="N1241" s="69">
        <v>0</v>
      </c>
      <c r="O1241" s="69">
        <v>0</v>
      </c>
      <c r="P1241" s="69">
        <v>0</v>
      </c>
      <c r="Q1241" s="69">
        <v>0</v>
      </c>
      <c r="R1241" s="69">
        <v>0</v>
      </c>
      <c r="S1241" s="69">
        <v>0</v>
      </c>
      <c r="T1241" s="69">
        <v>0</v>
      </c>
      <c r="U1241" s="69">
        <v>0</v>
      </c>
      <c r="V1241" s="69">
        <v>21.024000000001251</v>
      </c>
      <c r="W1241" s="69">
        <v>21.024000000001251</v>
      </c>
      <c r="X1241" s="69">
        <v>21.024000000001251</v>
      </c>
      <c r="Y1241" s="69">
        <v>21.024000000001251</v>
      </c>
      <c r="Z1241" s="69">
        <v>21.024000000001251</v>
      </c>
      <c r="AA1241" s="69">
        <v>21.024000000001251</v>
      </c>
      <c r="AB1241" s="69">
        <v>21.024000000001251</v>
      </c>
      <c r="AC1241" s="69">
        <v>21.024000000001251</v>
      </c>
      <c r="AD1241" s="69">
        <v>21.024000000001251</v>
      </c>
      <c r="AE1241" s="69">
        <v>21.024000000001251</v>
      </c>
      <c r="AF1241" s="69">
        <v>21.024000000001251</v>
      </c>
      <c r="AG1241" s="69">
        <v>21.024000000001251</v>
      </c>
    </row>
    <row r="1242" spans="1:33">
      <c r="A1242" s="236" t="s">
        <v>2380</v>
      </c>
      <c r="B1242" s="69" t="s">
        <v>298</v>
      </c>
      <c r="C1242" s="69" t="s">
        <v>137</v>
      </c>
      <c r="D1242" s="69" t="s">
        <v>191</v>
      </c>
      <c r="E1242" s="69" t="s">
        <v>191</v>
      </c>
      <c r="F1242" s="69" t="s">
        <v>180</v>
      </c>
      <c r="G1242" s="69" t="s">
        <v>192</v>
      </c>
      <c r="H1242" s="69" t="s">
        <v>804</v>
      </c>
      <c r="I1242" s="69">
        <v>1</v>
      </c>
      <c r="J1242" s="238">
        <v>0.32235762917068039</v>
      </c>
      <c r="K1242" s="238">
        <v>0.160195270625522</v>
      </c>
      <c r="L1242" s="69">
        <v>96.038728079112815</v>
      </c>
      <c r="M1242" s="69">
        <v>0</v>
      </c>
      <c r="N1242" s="69">
        <v>0</v>
      </c>
      <c r="O1242" s="69">
        <v>0</v>
      </c>
      <c r="P1242" s="69">
        <v>0</v>
      </c>
      <c r="Q1242" s="69">
        <v>0</v>
      </c>
      <c r="R1242" s="69">
        <v>395.3393964149227</v>
      </c>
      <c r="S1242" s="69">
        <v>395.3393964149227</v>
      </c>
      <c r="T1242" s="69">
        <v>395.3393964149227</v>
      </c>
      <c r="U1242" s="69">
        <v>395.3393964149227</v>
      </c>
      <c r="V1242" s="69">
        <v>395.3393964149227</v>
      </c>
      <c r="W1242" s="69">
        <v>395.3393964149227</v>
      </c>
      <c r="X1242" s="69">
        <v>395.3393964149227</v>
      </c>
      <c r="Y1242" s="69">
        <v>395.3393964149227</v>
      </c>
      <c r="Z1242" s="69">
        <v>395.3393964149227</v>
      </c>
      <c r="AA1242" s="69">
        <v>395.3393964149227</v>
      </c>
      <c r="AB1242" s="69">
        <v>395.3393964149227</v>
      </c>
      <c r="AC1242" s="69">
        <v>395.3393964149227</v>
      </c>
      <c r="AD1242" s="69">
        <v>395.3393964149227</v>
      </c>
      <c r="AE1242" s="69">
        <v>395.3393964149227</v>
      </c>
      <c r="AF1242" s="69">
        <v>395.3393964149227</v>
      </c>
      <c r="AG1242" s="69">
        <v>395.3393964149227</v>
      </c>
    </row>
    <row r="1243" spans="1:33">
      <c r="A1243" s="236" t="s">
        <v>2380</v>
      </c>
      <c r="B1243" s="69" t="s">
        <v>299</v>
      </c>
      <c r="C1243" s="69" t="s">
        <v>187</v>
      </c>
      <c r="D1243" s="69" t="s">
        <v>191</v>
      </c>
      <c r="E1243" s="69" t="s">
        <v>191</v>
      </c>
      <c r="F1243" s="69" t="s">
        <v>161</v>
      </c>
      <c r="G1243" s="69" t="s">
        <v>192</v>
      </c>
      <c r="H1243" s="69" t="s">
        <v>2130</v>
      </c>
      <c r="I1243" s="69">
        <v>1</v>
      </c>
      <c r="J1243" s="238">
        <v>0.2668262983999703</v>
      </c>
      <c r="K1243" s="238">
        <v>0.69294738572207071</v>
      </c>
      <c r="L1243" s="69">
        <v>192.38629588063705</v>
      </c>
      <c r="M1243" s="69">
        <v>0</v>
      </c>
      <c r="N1243" s="69">
        <v>0</v>
      </c>
      <c r="O1243" s="69">
        <v>0</v>
      </c>
      <c r="P1243" s="69">
        <v>0</v>
      </c>
      <c r="Q1243" s="69">
        <v>0</v>
      </c>
      <c r="R1243" s="69">
        <v>701.21951219512152</v>
      </c>
      <c r="S1243" s="69">
        <v>701.21951219512152</v>
      </c>
      <c r="T1243" s="69">
        <v>701.21951219512152</v>
      </c>
      <c r="U1243" s="69">
        <v>701.21951219512152</v>
      </c>
      <c r="V1243" s="69">
        <v>701.21951219512152</v>
      </c>
      <c r="W1243" s="69">
        <v>701.21951219512152</v>
      </c>
      <c r="X1243" s="69">
        <v>701.21951219512152</v>
      </c>
      <c r="Y1243" s="69">
        <v>701.21951219512152</v>
      </c>
      <c r="Z1243" s="69">
        <v>701.21951219512152</v>
      </c>
      <c r="AA1243" s="69">
        <v>701.21951219512152</v>
      </c>
      <c r="AB1243" s="69">
        <v>701.21951219512152</v>
      </c>
      <c r="AC1243" s="69">
        <v>701.21951219512152</v>
      </c>
      <c r="AD1243" s="69">
        <v>701.21951219512152</v>
      </c>
      <c r="AE1243" s="69">
        <v>701.21951219512152</v>
      </c>
      <c r="AF1243" s="69">
        <v>701.21951219512152</v>
      </c>
      <c r="AG1243" s="69">
        <v>701.21951219512152</v>
      </c>
    </row>
    <row r="1244" spans="1:33">
      <c r="A1244" s="236" t="s">
        <v>2380</v>
      </c>
      <c r="B1244" s="69" t="s">
        <v>300</v>
      </c>
      <c r="C1244" s="69" t="s">
        <v>139</v>
      </c>
      <c r="D1244" s="69" t="s">
        <v>191</v>
      </c>
      <c r="E1244" s="69" t="s">
        <v>191</v>
      </c>
      <c r="F1244" s="69" t="s">
        <v>178</v>
      </c>
      <c r="G1244" s="69" t="s">
        <v>192</v>
      </c>
      <c r="H1244" s="69" t="s">
        <v>2130</v>
      </c>
      <c r="I1244" s="69">
        <v>1</v>
      </c>
      <c r="J1244" s="238">
        <v>0.85000000000000009</v>
      </c>
      <c r="K1244" s="238">
        <v>0.65417202707739608</v>
      </c>
      <c r="L1244" s="69">
        <v>127.99027888971091</v>
      </c>
      <c r="M1244" s="69">
        <v>0</v>
      </c>
      <c r="N1244" s="69">
        <v>0</v>
      </c>
      <c r="O1244" s="69">
        <v>0</v>
      </c>
      <c r="P1244" s="69">
        <v>0</v>
      </c>
      <c r="Q1244" s="69">
        <v>156.36599999999999</v>
      </c>
      <c r="R1244" s="69">
        <v>156.36599999999999</v>
      </c>
      <c r="S1244" s="69">
        <v>156.36599999999999</v>
      </c>
      <c r="T1244" s="69">
        <v>156.36599999999999</v>
      </c>
      <c r="U1244" s="69">
        <v>156.36599999999999</v>
      </c>
      <c r="V1244" s="69">
        <v>156.36599999999999</v>
      </c>
      <c r="W1244" s="69">
        <v>156.36599999999999</v>
      </c>
      <c r="X1244" s="69">
        <v>156.36599999999999</v>
      </c>
      <c r="Y1244" s="69">
        <v>156.36599999999999</v>
      </c>
      <c r="Z1244" s="69">
        <v>156.36599999999999</v>
      </c>
      <c r="AA1244" s="69">
        <v>156.36599999999999</v>
      </c>
      <c r="AB1244" s="69">
        <v>156.36599999999999</v>
      </c>
      <c r="AC1244" s="69">
        <v>156.36599999999999</v>
      </c>
      <c r="AD1244" s="69">
        <v>156.36599999999999</v>
      </c>
      <c r="AE1244" s="69">
        <v>156.36599999999999</v>
      </c>
      <c r="AF1244" s="69">
        <v>156.36599999999999</v>
      </c>
      <c r="AG1244" s="69">
        <v>156.36599999999999</v>
      </c>
    </row>
    <row r="1245" spans="1:33">
      <c r="A1245" s="236" t="s">
        <v>2380</v>
      </c>
      <c r="B1245" s="69" t="s">
        <v>301</v>
      </c>
      <c r="C1245" s="69" t="s">
        <v>136</v>
      </c>
      <c r="D1245" s="69" t="s">
        <v>191</v>
      </c>
      <c r="E1245" s="69" t="s">
        <v>191</v>
      </c>
      <c r="F1245" s="69" t="s">
        <v>161</v>
      </c>
      <c r="G1245" s="69" t="s">
        <v>192</v>
      </c>
      <c r="H1245" s="69" t="s">
        <v>2130</v>
      </c>
      <c r="I1245" s="69">
        <v>2</v>
      </c>
      <c r="J1245" s="238">
        <v>0.82499999999999996</v>
      </c>
      <c r="K1245" s="238">
        <v>0.70497163608542901</v>
      </c>
      <c r="L1245" s="69">
        <v>109.81489691553389</v>
      </c>
      <c r="M1245" s="69">
        <v>0</v>
      </c>
      <c r="N1245" s="69">
        <v>0</v>
      </c>
      <c r="O1245" s="69">
        <v>0</v>
      </c>
      <c r="P1245" s="69">
        <v>0</v>
      </c>
      <c r="Q1245" s="69">
        <v>144.53999999999991</v>
      </c>
      <c r="R1245" s="69">
        <v>144.53999999999991</v>
      </c>
      <c r="S1245" s="69">
        <v>144.53999999999991</v>
      </c>
      <c r="T1245" s="69">
        <v>144.53999999999991</v>
      </c>
      <c r="U1245" s="69">
        <v>144.53999999999991</v>
      </c>
      <c r="V1245" s="69">
        <v>144.53999999999991</v>
      </c>
      <c r="W1245" s="69">
        <v>144.53999999999991</v>
      </c>
      <c r="X1245" s="69">
        <v>144.53999999999991</v>
      </c>
      <c r="Y1245" s="69">
        <v>144.53999999999991</v>
      </c>
      <c r="Z1245" s="69">
        <v>144.53999999999991</v>
      </c>
      <c r="AA1245" s="69">
        <v>144.53999999999991</v>
      </c>
      <c r="AB1245" s="69">
        <v>144.53999999999991</v>
      </c>
      <c r="AC1245" s="69">
        <v>144.53999999999991</v>
      </c>
      <c r="AD1245" s="69">
        <v>144.53999999999991</v>
      </c>
      <c r="AE1245" s="69">
        <v>144.53999999999991</v>
      </c>
      <c r="AF1245" s="69">
        <v>144.53999999999991</v>
      </c>
      <c r="AG1245" s="69">
        <v>144.53999999999991</v>
      </c>
    </row>
    <row r="1246" spans="1:33">
      <c r="A1246" s="236" t="s">
        <v>2380</v>
      </c>
      <c r="B1246" s="69" t="s">
        <v>302</v>
      </c>
      <c r="C1246" s="69" t="s">
        <v>185</v>
      </c>
      <c r="D1246" s="69" t="s">
        <v>193</v>
      </c>
      <c r="E1246" s="69" t="s">
        <v>194</v>
      </c>
      <c r="F1246" s="69" t="s">
        <v>161</v>
      </c>
      <c r="G1246" s="69" t="s">
        <v>192</v>
      </c>
      <c r="H1246" s="69" t="s">
        <v>2130</v>
      </c>
      <c r="I1246" s="69">
        <v>1</v>
      </c>
      <c r="J1246" s="238">
        <v>0.28999999999999998</v>
      </c>
      <c r="K1246" s="238">
        <v>0.63643272702156795</v>
      </c>
      <c r="L1246" s="69">
        <v>160.03163342556323</v>
      </c>
      <c r="M1246" s="69">
        <v>0</v>
      </c>
      <c r="N1246" s="69">
        <v>0</v>
      </c>
      <c r="O1246" s="69">
        <v>0</v>
      </c>
      <c r="P1246" s="69">
        <v>0</v>
      </c>
      <c r="Q1246" s="69">
        <v>125.49575999999993</v>
      </c>
      <c r="R1246" s="69">
        <v>125.49575999999993</v>
      </c>
      <c r="S1246" s="69">
        <v>125.49575999999993</v>
      </c>
      <c r="T1246" s="69">
        <v>125.49575999999993</v>
      </c>
      <c r="U1246" s="69">
        <v>125.49575999999993</v>
      </c>
      <c r="V1246" s="69">
        <v>125.49575999999993</v>
      </c>
      <c r="W1246" s="69">
        <v>125.49575999999993</v>
      </c>
      <c r="X1246" s="69">
        <v>125.49575999999993</v>
      </c>
      <c r="Y1246" s="69">
        <v>125.49575999999993</v>
      </c>
      <c r="Z1246" s="69">
        <v>125.49575999999993</v>
      </c>
      <c r="AA1246" s="69">
        <v>125.49575999999993</v>
      </c>
      <c r="AB1246" s="69">
        <v>125.49575999999993</v>
      </c>
      <c r="AC1246" s="69">
        <v>125.49575999999993</v>
      </c>
      <c r="AD1246" s="69">
        <v>125.49575999999993</v>
      </c>
      <c r="AE1246" s="69">
        <v>125.49575999999993</v>
      </c>
      <c r="AF1246" s="69">
        <v>125.49575999999993</v>
      </c>
      <c r="AG1246" s="69">
        <v>125.49575999999993</v>
      </c>
    </row>
    <row r="1247" spans="1:33">
      <c r="A1247" s="236" t="s">
        <v>2380</v>
      </c>
      <c r="B1247" s="69" t="s">
        <v>303</v>
      </c>
      <c r="C1247" s="69" t="s">
        <v>136</v>
      </c>
      <c r="D1247" s="69" t="s">
        <v>191</v>
      </c>
      <c r="E1247" s="69" t="s">
        <v>191</v>
      </c>
      <c r="F1247" s="69" t="s">
        <v>161</v>
      </c>
      <c r="G1247" s="69" t="s">
        <v>192</v>
      </c>
      <c r="H1247" s="69" t="s">
        <v>2130</v>
      </c>
      <c r="I1247" s="69">
        <v>2</v>
      </c>
      <c r="J1247" s="238">
        <v>0.82499999999999996</v>
      </c>
      <c r="K1247" s="238">
        <v>0.70497163608542901</v>
      </c>
      <c r="L1247" s="69">
        <v>109.81489691553389</v>
      </c>
      <c r="M1247" s="69">
        <v>0</v>
      </c>
      <c r="N1247" s="69">
        <v>0</v>
      </c>
      <c r="O1247" s="69">
        <v>0</v>
      </c>
      <c r="P1247" s="69">
        <v>0</v>
      </c>
      <c r="Q1247" s="69">
        <v>289.07999999999981</v>
      </c>
      <c r="R1247" s="69">
        <v>289.07999999999981</v>
      </c>
      <c r="S1247" s="69">
        <v>289.07999999999981</v>
      </c>
      <c r="T1247" s="69">
        <v>289.07999999999981</v>
      </c>
      <c r="U1247" s="69">
        <v>289.07999999999981</v>
      </c>
      <c r="V1247" s="69">
        <v>289.07999999999981</v>
      </c>
      <c r="W1247" s="69">
        <v>289.07999999999981</v>
      </c>
      <c r="X1247" s="69">
        <v>289.07999999999981</v>
      </c>
      <c r="Y1247" s="69">
        <v>289.07999999999981</v>
      </c>
      <c r="Z1247" s="69">
        <v>289.07999999999981</v>
      </c>
      <c r="AA1247" s="69">
        <v>289.07999999999981</v>
      </c>
      <c r="AB1247" s="69">
        <v>289.07999999999981</v>
      </c>
      <c r="AC1247" s="69">
        <v>289.07999999999981</v>
      </c>
      <c r="AD1247" s="69">
        <v>289.07999999999981</v>
      </c>
      <c r="AE1247" s="69">
        <v>289.07999999999981</v>
      </c>
      <c r="AF1247" s="69">
        <v>289.07999999999981</v>
      </c>
      <c r="AG1247" s="69">
        <v>289.07999999999981</v>
      </c>
    </row>
    <row r="1248" spans="1:33">
      <c r="A1248" s="236" t="s">
        <v>2380</v>
      </c>
      <c r="B1248" s="69" t="s">
        <v>304</v>
      </c>
      <c r="C1248" s="69" t="s">
        <v>139</v>
      </c>
      <c r="D1248" s="69" t="s">
        <v>191</v>
      </c>
      <c r="E1248" s="69" t="s">
        <v>191</v>
      </c>
      <c r="F1248" s="69" t="s">
        <v>167</v>
      </c>
      <c r="G1248" s="69" t="s">
        <v>192</v>
      </c>
      <c r="H1248" s="69" t="s">
        <v>805</v>
      </c>
      <c r="I1248" s="69">
        <v>1</v>
      </c>
      <c r="J1248" s="238">
        <v>0.84999999999999987</v>
      </c>
      <c r="K1248" s="238">
        <v>0.66</v>
      </c>
      <c r="L1248" s="69">
        <v>127.99027888971092</v>
      </c>
      <c r="M1248" s="69">
        <v>0</v>
      </c>
      <c r="N1248" s="69">
        <v>81.905999999999949</v>
      </c>
      <c r="O1248" s="69">
        <v>81.905999999999949</v>
      </c>
      <c r="P1248" s="69">
        <v>81.905999999999949</v>
      </c>
      <c r="Q1248" s="69">
        <v>81.905999999999949</v>
      </c>
      <c r="R1248" s="69">
        <v>81.905999999999949</v>
      </c>
      <c r="S1248" s="69">
        <v>81.905999999999949</v>
      </c>
      <c r="T1248" s="69">
        <v>81.905999999999949</v>
      </c>
      <c r="U1248" s="69">
        <v>81.905999999999949</v>
      </c>
      <c r="V1248" s="69">
        <v>81.905999999999949</v>
      </c>
      <c r="W1248" s="69">
        <v>81.905999999999949</v>
      </c>
      <c r="X1248" s="69">
        <v>81.905999999999949</v>
      </c>
      <c r="Y1248" s="69">
        <v>81.905999999999949</v>
      </c>
      <c r="Z1248" s="69">
        <v>81.905999999999949</v>
      </c>
      <c r="AA1248" s="69">
        <v>81.905999999999949</v>
      </c>
      <c r="AB1248" s="69">
        <v>81.905999999999949</v>
      </c>
      <c r="AC1248" s="69">
        <v>81.905999999999949</v>
      </c>
      <c r="AD1248" s="69">
        <v>81.905999999999949</v>
      </c>
      <c r="AE1248" s="69">
        <v>81.905999999999949</v>
      </c>
      <c r="AF1248" s="69">
        <v>81.905999999999949</v>
      </c>
      <c r="AG1248" s="69">
        <v>81.905999999999949</v>
      </c>
    </row>
    <row r="1249" spans="1:33">
      <c r="A1249" s="236" t="s">
        <v>2380</v>
      </c>
      <c r="B1249" s="69" t="s">
        <v>305</v>
      </c>
      <c r="C1249" s="69" t="s">
        <v>137</v>
      </c>
      <c r="D1249" s="69" t="s">
        <v>191</v>
      </c>
      <c r="E1249" s="69" t="s">
        <v>191</v>
      </c>
      <c r="F1249" s="69" t="s">
        <v>163</v>
      </c>
      <c r="G1249" s="69" t="s">
        <v>306</v>
      </c>
      <c r="H1249" s="69" t="s">
        <v>2417</v>
      </c>
      <c r="I1249" s="69">
        <v>1</v>
      </c>
      <c r="J1249" s="238">
        <v>0.37809999999999999</v>
      </c>
      <c r="K1249" s="238">
        <v>0.1774753372665249</v>
      </c>
      <c r="L1249" s="69">
        <v>72.572266000309625</v>
      </c>
      <c r="M1249" s="69">
        <v>0</v>
      </c>
      <c r="N1249" s="69">
        <v>0</v>
      </c>
      <c r="O1249" s="69">
        <v>993.64679999999953</v>
      </c>
      <c r="P1249" s="69">
        <v>993.64679999999953</v>
      </c>
      <c r="Q1249" s="69">
        <v>993.64679999999953</v>
      </c>
      <c r="R1249" s="69">
        <v>993.64679999999953</v>
      </c>
      <c r="S1249" s="69">
        <v>993.64679999999953</v>
      </c>
      <c r="T1249" s="69">
        <v>993.64679999999953</v>
      </c>
      <c r="U1249" s="69">
        <v>993.64679999999953</v>
      </c>
      <c r="V1249" s="69">
        <v>993.64679999999953</v>
      </c>
      <c r="W1249" s="69">
        <v>993.64679999999953</v>
      </c>
      <c r="X1249" s="69">
        <v>993.64679999999953</v>
      </c>
      <c r="Y1249" s="69">
        <v>993.64679999999953</v>
      </c>
      <c r="Z1249" s="69">
        <v>993.64679999999953</v>
      </c>
      <c r="AA1249" s="69">
        <v>993.64679999999953</v>
      </c>
      <c r="AB1249" s="69">
        <v>993.64679999999953</v>
      </c>
      <c r="AC1249" s="69">
        <v>993.64679999999953</v>
      </c>
      <c r="AD1249" s="69">
        <v>993.64679999999953</v>
      </c>
      <c r="AE1249" s="69">
        <v>993.64679999999953</v>
      </c>
      <c r="AF1249" s="69">
        <v>993.64679999999953</v>
      </c>
      <c r="AG1249" s="69">
        <v>993.64679999999953</v>
      </c>
    </row>
    <row r="1250" spans="1:33">
      <c r="A1250" s="236" t="s">
        <v>2380</v>
      </c>
      <c r="B1250" s="69" t="s">
        <v>307</v>
      </c>
      <c r="C1250" s="69" t="s">
        <v>185</v>
      </c>
      <c r="D1250" s="69" t="s">
        <v>193</v>
      </c>
      <c r="E1250" s="69" t="s">
        <v>203</v>
      </c>
      <c r="F1250" s="69" t="s">
        <v>167</v>
      </c>
      <c r="G1250" s="69" t="s">
        <v>192</v>
      </c>
      <c r="H1250" s="69" t="s">
        <v>805</v>
      </c>
      <c r="I1250" s="69">
        <v>2</v>
      </c>
      <c r="J1250" s="238">
        <v>0.26649999999999996</v>
      </c>
      <c r="K1250" s="238">
        <v>0.65</v>
      </c>
      <c r="L1250" s="69">
        <v>173.91260768823273</v>
      </c>
      <c r="M1250" s="69">
        <v>0</v>
      </c>
      <c r="N1250" s="69">
        <v>0</v>
      </c>
      <c r="O1250" s="69">
        <v>0</v>
      </c>
      <c r="P1250" s="69">
        <v>0</v>
      </c>
      <c r="Q1250" s="69">
        <v>0</v>
      </c>
      <c r="R1250" s="69">
        <v>542.78055000000313</v>
      </c>
      <c r="S1250" s="69">
        <v>542.78055000000313</v>
      </c>
      <c r="T1250" s="69">
        <v>542.78055000000313</v>
      </c>
      <c r="U1250" s="69">
        <v>542.78055000000313</v>
      </c>
      <c r="V1250" s="69">
        <v>542.78055000000313</v>
      </c>
      <c r="W1250" s="69">
        <v>542.78055000000313</v>
      </c>
      <c r="X1250" s="69">
        <v>542.78055000000313</v>
      </c>
      <c r="Y1250" s="69">
        <v>542.78055000000313</v>
      </c>
      <c r="Z1250" s="69">
        <v>542.78055000000313</v>
      </c>
      <c r="AA1250" s="69">
        <v>542.78055000000313</v>
      </c>
      <c r="AB1250" s="69">
        <v>542.78055000000313</v>
      </c>
      <c r="AC1250" s="69">
        <v>542.78055000000313</v>
      </c>
      <c r="AD1250" s="69">
        <v>542.78055000000313</v>
      </c>
      <c r="AE1250" s="69">
        <v>542.78055000000313</v>
      </c>
      <c r="AF1250" s="69">
        <v>542.78055000000313</v>
      </c>
      <c r="AG1250" s="69">
        <v>542.78055000000313</v>
      </c>
    </row>
    <row r="1251" spans="1:33">
      <c r="A1251" s="236" t="s">
        <v>2380</v>
      </c>
      <c r="B1251" s="69" t="s">
        <v>308</v>
      </c>
      <c r="C1251" s="69" t="s">
        <v>185</v>
      </c>
      <c r="D1251" s="69" t="s">
        <v>205</v>
      </c>
      <c r="E1251" s="69" t="s">
        <v>203</v>
      </c>
      <c r="F1251" s="69" t="s">
        <v>180</v>
      </c>
      <c r="G1251" s="69" t="s">
        <v>192</v>
      </c>
      <c r="H1251" s="69" t="s">
        <v>804</v>
      </c>
      <c r="I1251" s="69">
        <v>2</v>
      </c>
      <c r="J1251" s="238">
        <v>0.23499999999999999</v>
      </c>
      <c r="K1251" s="238">
        <v>0.50535649574198227</v>
      </c>
      <c r="L1251" s="69">
        <v>166.98446712238427</v>
      </c>
      <c r="M1251" s="69">
        <v>0</v>
      </c>
      <c r="N1251" s="69">
        <v>0</v>
      </c>
      <c r="O1251" s="69">
        <v>0</v>
      </c>
      <c r="P1251" s="69">
        <v>0</v>
      </c>
      <c r="Q1251" s="69">
        <v>0</v>
      </c>
      <c r="R1251" s="69">
        <v>2806.9011000000023</v>
      </c>
      <c r="S1251" s="69">
        <v>2806.9011000000023</v>
      </c>
      <c r="T1251" s="69">
        <v>2806.9011000000023</v>
      </c>
      <c r="U1251" s="69">
        <v>2806.9011000000023</v>
      </c>
      <c r="V1251" s="69">
        <v>2806.9011000000023</v>
      </c>
      <c r="W1251" s="69">
        <v>2806.9011000000023</v>
      </c>
      <c r="X1251" s="69">
        <v>2806.9011000000023</v>
      </c>
      <c r="Y1251" s="69">
        <v>2806.9011000000023</v>
      </c>
      <c r="Z1251" s="69">
        <v>2806.9011000000023</v>
      </c>
      <c r="AA1251" s="69">
        <v>2806.9011000000023</v>
      </c>
      <c r="AB1251" s="69">
        <v>2806.9011000000023</v>
      </c>
      <c r="AC1251" s="69">
        <v>2806.9011000000023</v>
      </c>
      <c r="AD1251" s="69">
        <v>2806.9011000000023</v>
      </c>
      <c r="AE1251" s="69">
        <v>2806.9011000000023</v>
      </c>
      <c r="AF1251" s="69">
        <v>2806.9011000000023</v>
      </c>
      <c r="AG1251" s="69">
        <v>2806.9011000000023</v>
      </c>
    </row>
    <row r="1252" spans="1:33">
      <c r="A1252" s="236" t="s">
        <v>2380</v>
      </c>
      <c r="B1252" s="69" t="s">
        <v>309</v>
      </c>
      <c r="C1252" s="69" t="s">
        <v>137</v>
      </c>
      <c r="D1252" s="69" t="s">
        <v>191</v>
      </c>
      <c r="E1252" s="69" t="s">
        <v>191</v>
      </c>
      <c r="F1252" s="69" t="s">
        <v>180</v>
      </c>
      <c r="G1252" s="69" t="s">
        <v>192</v>
      </c>
      <c r="H1252" s="69" t="s">
        <v>804</v>
      </c>
      <c r="I1252" s="69">
        <v>2</v>
      </c>
      <c r="J1252" s="238">
        <v>0.32235762917068039</v>
      </c>
      <c r="K1252" s="238">
        <v>0.160195270625522</v>
      </c>
      <c r="L1252" s="69">
        <v>96.038728079112815</v>
      </c>
      <c r="M1252" s="69">
        <v>0</v>
      </c>
      <c r="N1252" s="69">
        <v>0</v>
      </c>
      <c r="O1252" s="69">
        <v>0</v>
      </c>
      <c r="P1252" s="69">
        <v>0</v>
      </c>
      <c r="Q1252" s="69">
        <v>0</v>
      </c>
      <c r="R1252" s="69">
        <v>2006.3474368057325</v>
      </c>
      <c r="S1252" s="69">
        <v>2006.3474368057325</v>
      </c>
      <c r="T1252" s="69">
        <v>2006.3474368057325</v>
      </c>
      <c r="U1252" s="69">
        <v>2006.3474368057325</v>
      </c>
      <c r="V1252" s="69">
        <v>2006.3474368057325</v>
      </c>
      <c r="W1252" s="69">
        <v>2006.3474368057325</v>
      </c>
      <c r="X1252" s="69">
        <v>2006.3474368057325</v>
      </c>
      <c r="Y1252" s="69">
        <v>2006.3474368057325</v>
      </c>
      <c r="Z1252" s="69">
        <v>2006.3474368057325</v>
      </c>
      <c r="AA1252" s="69">
        <v>2006.3474368057325</v>
      </c>
      <c r="AB1252" s="69">
        <v>2006.3474368057325</v>
      </c>
      <c r="AC1252" s="69">
        <v>2006.3474368057325</v>
      </c>
      <c r="AD1252" s="69">
        <v>2006.3474368057325</v>
      </c>
      <c r="AE1252" s="69">
        <v>2006.3474368057325</v>
      </c>
      <c r="AF1252" s="69">
        <v>2006.3474368057325</v>
      </c>
      <c r="AG1252" s="69">
        <v>2006.3474368057325</v>
      </c>
    </row>
    <row r="1253" spans="1:33">
      <c r="A1253" s="236" t="s">
        <v>2380</v>
      </c>
      <c r="B1253" s="69" t="s">
        <v>310</v>
      </c>
      <c r="C1253" s="69" t="s">
        <v>137</v>
      </c>
      <c r="D1253" s="69" t="s">
        <v>191</v>
      </c>
      <c r="E1253" s="69" t="s">
        <v>191</v>
      </c>
      <c r="F1253" s="69" t="s">
        <v>168</v>
      </c>
      <c r="G1253" s="69" t="s">
        <v>199</v>
      </c>
      <c r="H1253" s="69" t="s">
        <v>2417</v>
      </c>
      <c r="I1253" s="69">
        <v>2</v>
      </c>
      <c r="J1253" s="238">
        <v>0.29204999999999998</v>
      </c>
      <c r="K1253" s="238">
        <v>0.18436399478639695</v>
      </c>
      <c r="L1253" s="69">
        <v>95.155627725733936</v>
      </c>
      <c r="M1253" s="69">
        <v>0</v>
      </c>
      <c r="N1253" s="69">
        <v>0</v>
      </c>
      <c r="O1253" s="69">
        <v>0</v>
      </c>
      <c r="P1253" s="69">
        <v>0</v>
      </c>
      <c r="Q1253" s="69">
        <v>0</v>
      </c>
      <c r="R1253" s="69">
        <v>1916.2101419999963</v>
      </c>
      <c r="S1253" s="69">
        <v>1916.2101419999963</v>
      </c>
      <c r="T1253" s="69">
        <v>1916.2101419999963</v>
      </c>
      <c r="U1253" s="69">
        <v>1916.2101419999963</v>
      </c>
      <c r="V1253" s="69">
        <v>1916.2101419999963</v>
      </c>
      <c r="W1253" s="69">
        <v>1916.2101419999963</v>
      </c>
      <c r="X1253" s="69">
        <v>1916.2101419999963</v>
      </c>
      <c r="Y1253" s="69">
        <v>1916.2101419999963</v>
      </c>
      <c r="Z1253" s="69">
        <v>1916.2101419999963</v>
      </c>
      <c r="AA1253" s="69">
        <v>1916.2101419999963</v>
      </c>
      <c r="AB1253" s="69">
        <v>1916.2101419999963</v>
      </c>
      <c r="AC1253" s="69">
        <v>1916.2101419999963</v>
      </c>
      <c r="AD1253" s="69">
        <v>1916.2101419999963</v>
      </c>
      <c r="AE1253" s="69">
        <v>1916.2101419999963</v>
      </c>
      <c r="AF1253" s="69">
        <v>1916.2101419999963</v>
      </c>
      <c r="AG1253" s="69">
        <v>1916.2101419999963</v>
      </c>
    </row>
    <row r="1254" spans="1:33">
      <c r="A1254" s="236" t="s">
        <v>2380</v>
      </c>
      <c r="B1254" s="69" t="s">
        <v>311</v>
      </c>
      <c r="C1254" s="69" t="s">
        <v>137</v>
      </c>
      <c r="D1254" s="69" t="s">
        <v>191</v>
      </c>
      <c r="E1254" s="69" t="s">
        <v>191</v>
      </c>
      <c r="F1254" s="69" t="s">
        <v>168</v>
      </c>
      <c r="G1254" s="69" t="s">
        <v>199</v>
      </c>
      <c r="H1254" s="69" t="s">
        <v>2417</v>
      </c>
      <c r="I1254" s="69">
        <v>2</v>
      </c>
      <c r="J1254" s="238">
        <v>0.29204999999999998</v>
      </c>
      <c r="K1254" s="238">
        <v>0.18436399478639695</v>
      </c>
      <c r="L1254" s="69">
        <v>95.155627725733936</v>
      </c>
      <c r="M1254" s="69">
        <v>0</v>
      </c>
      <c r="N1254" s="69">
        <v>0</v>
      </c>
      <c r="O1254" s="69">
        <v>0</v>
      </c>
      <c r="P1254" s="69">
        <v>0</v>
      </c>
      <c r="Q1254" s="69">
        <v>0</v>
      </c>
      <c r="R1254" s="69">
        <v>1130.2825643999968</v>
      </c>
      <c r="S1254" s="69">
        <v>1130.2825643999968</v>
      </c>
      <c r="T1254" s="69">
        <v>1130.2825643999968</v>
      </c>
      <c r="U1254" s="69">
        <v>1130.2825643999968</v>
      </c>
      <c r="V1254" s="69">
        <v>1130.2825643999968</v>
      </c>
      <c r="W1254" s="69">
        <v>1130.2825643999968</v>
      </c>
      <c r="X1254" s="69">
        <v>1130.2825643999968</v>
      </c>
      <c r="Y1254" s="69">
        <v>1130.2825643999968</v>
      </c>
      <c r="Z1254" s="69">
        <v>1130.2825643999968</v>
      </c>
      <c r="AA1254" s="69">
        <v>1130.2825643999968</v>
      </c>
      <c r="AB1254" s="69">
        <v>1130.2825643999968</v>
      </c>
      <c r="AC1254" s="69">
        <v>1130.2825643999968</v>
      </c>
      <c r="AD1254" s="69">
        <v>1130.2825643999968</v>
      </c>
      <c r="AE1254" s="69">
        <v>1130.2825643999968</v>
      </c>
      <c r="AF1254" s="69">
        <v>1130.2825643999968</v>
      </c>
      <c r="AG1254" s="69">
        <v>1130.2825643999968</v>
      </c>
    </row>
    <row r="1255" spans="1:33">
      <c r="A1255" s="236" t="s">
        <v>2380</v>
      </c>
      <c r="B1255" s="69" t="s">
        <v>312</v>
      </c>
      <c r="C1255" s="69" t="s">
        <v>137</v>
      </c>
      <c r="D1255" s="69" t="s">
        <v>191</v>
      </c>
      <c r="E1255" s="69" t="s">
        <v>191</v>
      </c>
      <c r="F1255" s="69" t="s">
        <v>156</v>
      </c>
      <c r="G1255" s="69" t="s">
        <v>313</v>
      </c>
      <c r="H1255" s="69" t="s">
        <v>2417</v>
      </c>
      <c r="I1255" s="69">
        <v>2</v>
      </c>
      <c r="J1255" s="238">
        <v>0.31759999999999999</v>
      </c>
      <c r="K1255" s="238">
        <v>0.18058588251804827</v>
      </c>
      <c r="L1255" s="69">
        <v>86.538452901949512</v>
      </c>
      <c r="M1255" s="69">
        <v>0</v>
      </c>
      <c r="N1255" s="69">
        <v>0</v>
      </c>
      <c r="O1255" s="69">
        <v>0</v>
      </c>
      <c r="P1255" s="69">
        <v>0</v>
      </c>
      <c r="Q1255" s="69">
        <v>0</v>
      </c>
      <c r="R1255" s="69">
        <v>1168.5139199999976</v>
      </c>
      <c r="S1255" s="69">
        <v>1168.5139199999976</v>
      </c>
      <c r="T1255" s="69">
        <v>1168.5139199999976</v>
      </c>
      <c r="U1255" s="69">
        <v>1168.5139199999976</v>
      </c>
      <c r="V1255" s="69">
        <v>1168.5139199999976</v>
      </c>
      <c r="W1255" s="69">
        <v>1168.5139199999976</v>
      </c>
      <c r="X1255" s="69">
        <v>1168.5139199999976</v>
      </c>
      <c r="Y1255" s="69">
        <v>1168.5139199999976</v>
      </c>
      <c r="Z1255" s="69">
        <v>1168.5139199999976</v>
      </c>
      <c r="AA1255" s="69">
        <v>1168.5139199999976</v>
      </c>
      <c r="AB1255" s="69">
        <v>1168.5139199999976</v>
      </c>
      <c r="AC1255" s="69">
        <v>1168.5139199999976</v>
      </c>
      <c r="AD1255" s="69">
        <v>1168.5139199999976</v>
      </c>
      <c r="AE1255" s="69">
        <v>1168.5139199999976</v>
      </c>
      <c r="AF1255" s="69">
        <v>1168.5139199999976</v>
      </c>
      <c r="AG1255" s="69">
        <v>1168.5139199999976</v>
      </c>
    </row>
    <row r="1256" spans="1:33">
      <c r="A1256" s="236" t="s">
        <v>2380</v>
      </c>
      <c r="B1256" s="69" t="s">
        <v>314</v>
      </c>
      <c r="C1256" s="69" t="s">
        <v>137</v>
      </c>
      <c r="D1256" s="69" t="s">
        <v>191</v>
      </c>
      <c r="E1256" s="69" t="s">
        <v>213</v>
      </c>
      <c r="F1256" s="69" t="s">
        <v>152</v>
      </c>
      <c r="G1256" s="69" t="s">
        <v>214</v>
      </c>
      <c r="H1256" s="69" t="s">
        <v>2417</v>
      </c>
      <c r="I1256" s="69">
        <v>2</v>
      </c>
      <c r="J1256" s="238">
        <v>0.312</v>
      </c>
      <c r="K1256" s="238">
        <v>0.17064699981121567</v>
      </c>
      <c r="L1256" s="69">
        <v>118.33197577111784</v>
      </c>
      <c r="M1256" s="69">
        <v>0</v>
      </c>
      <c r="N1256" s="69">
        <v>0</v>
      </c>
      <c r="O1256" s="69">
        <v>0</v>
      </c>
      <c r="P1256" s="69">
        <v>0</v>
      </c>
      <c r="Q1256" s="69">
        <v>0</v>
      </c>
      <c r="R1256" s="69">
        <v>1191.6403199999986</v>
      </c>
      <c r="S1256" s="69">
        <v>1191.6403199999986</v>
      </c>
      <c r="T1256" s="69">
        <v>1191.6403199999986</v>
      </c>
      <c r="U1256" s="69">
        <v>1191.6403199999986</v>
      </c>
      <c r="V1256" s="69">
        <v>1191.6403199999986</v>
      </c>
      <c r="W1256" s="69">
        <v>1191.6403199999986</v>
      </c>
      <c r="X1256" s="69">
        <v>1191.6403199999986</v>
      </c>
      <c r="Y1256" s="69">
        <v>1191.6403199999986</v>
      </c>
      <c r="Z1256" s="69">
        <v>1191.6403199999986</v>
      </c>
      <c r="AA1256" s="69">
        <v>1191.6403199999986</v>
      </c>
      <c r="AB1256" s="69">
        <v>1191.6403199999986</v>
      </c>
      <c r="AC1256" s="69">
        <v>1191.6403199999986</v>
      </c>
      <c r="AD1256" s="69">
        <v>1191.6403199999986</v>
      </c>
      <c r="AE1256" s="69">
        <v>1191.6403199999986</v>
      </c>
      <c r="AF1256" s="69">
        <v>1191.6403199999986</v>
      </c>
      <c r="AG1256" s="69">
        <v>1191.6403199999986</v>
      </c>
    </row>
    <row r="1257" spans="1:33">
      <c r="A1257" s="236" t="s">
        <v>2380</v>
      </c>
      <c r="B1257" s="69" t="s">
        <v>315</v>
      </c>
      <c r="C1257" s="69" t="s">
        <v>137</v>
      </c>
      <c r="D1257" s="69" t="s">
        <v>191</v>
      </c>
      <c r="E1257" s="69" t="s">
        <v>191</v>
      </c>
      <c r="F1257" s="69" t="s">
        <v>179</v>
      </c>
      <c r="G1257" s="69" t="s">
        <v>192</v>
      </c>
      <c r="H1257" s="69" t="s">
        <v>805</v>
      </c>
      <c r="I1257" s="69">
        <v>2</v>
      </c>
      <c r="J1257" s="238">
        <v>0.32235762917068039</v>
      </c>
      <c r="K1257" s="238">
        <v>0.16152665976075289</v>
      </c>
      <c r="L1257" s="69">
        <v>96.038728079112815</v>
      </c>
      <c r="M1257" s="69">
        <v>0</v>
      </c>
      <c r="N1257" s="69">
        <v>0</v>
      </c>
      <c r="O1257" s="69">
        <v>0</v>
      </c>
      <c r="P1257" s="69">
        <v>0</v>
      </c>
      <c r="Q1257" s="69">
        <v>0</v>
      </c>
      <c r="R1257" s="69">
        <v>0</v>
      </c>
      <c r="S1257" s="69">
        <v>0</v>
      </c>
      <c r="T1257" s="69">
        <v>561.3819429091908</v>
      </c>
      <c r="U1257" s="69">
        <v>561.3819429091908</v>
      </c>
      <c r="V1257" s="69">
        <v>561.3819429091908</v>
      </c>
      <c r="W1257" s="69">
        <v>561.3819429091908</v>
      </c>
      <c r="X1257" s="69">
        <v>561.3819429091908</v>
      </c>
      <c r="Y1257" s="69">
        <v>561.3819429091908</v>
      </c>
      <c r="Z1257" s="69">
        <v>561.3819429091908</v>
      </c>
      <c r="AA1257" s="69">
        <v>561.3819429091908</v>
      </c>
      <c r="AB1257" s="69">
        <v>561.3819429091908</v>
      </c>
      <c r="AC1257" s="69">
        <v>561.3819429091908</v>
      </c>
      <c r="AD1257" s="69">
        <v>561.3819429091908</v>
      </c>
      <c r="AE1257" s="69">
        <v>561.3819429091908</v>
      </c>
      <c r="AF1257" s="69">
        <v>561.3819429091908</v>
      </c>
      <c r="AG1257" s="69">
        <v>561.3819429091908</v>
      </c>
    </row>
    <row r="1258" spans="1:33">
      <c r="A1258" s="236" t="s">
        <v>2380</v>
      </c>
      <c r="B1258" s="69" t="s">
        <v>316</v>
      </c>
      <c r="C1258" s="69" t="s">
        <v>137</v>
      </c>
      <c r="D1258" s="69" t="s">
        <v>191</v>
      </c>
      <c r="E1258" s="69" t="s">
        <v>191</v>
      </c>
      <c r="F1258" s="69" t="s">
        <v>161</v>
      </c>
      <c r="G1258" s="69" t="s">
        <v>192</v>
      </c>
      <c r="H1258" s="69" t="s">
        <v>2130</v>
      </c>
      <c r="I1258" s="69">
        <v>2</v>
      </c>
      <c r="J1258" s="238">
        <v>0.32235762917068039</v>
      </c>
      <c r="K1258" s="238">
        <v>0.15829280011723607</v>
      </c>
      <c r="L1258" s="69">
        <v>96.038728079112815</v>
      </c>
      <c r="M1258" s="69">
        <v>0</v>
      </c>
      <c r="N1258" s="69">
        <v>0</v>
      </c>
      <c r="O1258" s="69">
        <v>0</v>
      </c>
      <c r="P1258" s="69">
        <v>0</v>
      </c>
      <c r="Q1258" s="69">
        <v>0</v>
      </c>
      <c r="R1258" s="69">
        <v>0</v>
      </c>
      <c r="S1258" s="69">
        <v>448.45659694256329</v>
      </c>
      <c r="T1258" s="69">
        <v>448.45659694256329</v>
      </c>
      <c r="U1258" s="69">
        <v>448.45659694256329</v>
      </c>
      <c r="V1258" s="69">
        <v>1581.3575496555877</v>
      </c>
      <c r="W1258" s="69">
        <v>1581.3575496555877</v>
      </c>
      <c r="X1258" s="69">
        <v>1581.3575496555877</v>
      </c>
      <c r="Y1258" s="69">
        <v>1581.3575496555877</v>
      </c>
      <c r="Z1258" s="69">
        <v>1581.3575496555877</v>
      </c>
      <c r="AA1258" s="69">
        <v>1581.3575496555877</v>
      </c>
      <c r="AB1258" s="69">
        <v>1581.3575496555877</v>
      </c>
      <c r="AC1258" s="69">
        <v>1581.3575496555877</v>
      </c>
      <c r="AD1258" s="69">
        <v>1581.3575496555877</v>
      </c>
      <c r="AE1258" s="69">
        <v>1581.3575496555877</v>
      </c>
      <c r="AF1258" s="69">
        <v>1581.3575496555877</v>
      </c>
      <c r="AG1258" s="69">
        <v>1581.3575496555877</v>
      </c>
    </row>
    <row r="1259" spans="1:33">
      <c r="A1259" s="236" t="s">
        <v>2380</v>
      </c>
      <c r="B1259" s="69" t="s">
        <v>317</v>
      </c>
      <c r="C1259" s="69" t="s">
        <v>137</v>
      </c>
      <c r="D1259" s="69" t="s">
        <v>191</v>
      </c>
      <c r="E1259" s="69" t="s">
        <v>191</v>
      </c>
      <c r="F1259" s="69" t="s">
        <v>178</v>
      </c>
      <c r="G1259" s="69" t="s">
        <v>192</v>
      </c>
      <c r="H1259" s="69" t="s">
        <v>2130</v>
      </c>
      <c r="I1259" s="69">
        <v>2</v>
      </c>
      <c r="J1259" s="238">
        <v>0.32235762917068039</v>
      </c>
      <c r="K1259" s="238">
        <v>0.16023967225809357</v>
      </c>
      <c r="L1259" s="69">
        <v>96.038728079112801</v>
      </c>
      <c r="M1259" s="69">
        <v>0</v>
      </c>
      <c r="N1259" s="69">
        <v>0</v>
      </c>
      <c r="O1259" s="69">
        <v>0</v>
      </c>
      <c r="P1259" s="69">
        <v>0</v>
      </c>
      <c r="Q1259" s="69">
        <v>0</v>
      </c>
      <c r="R1259" s="69">
        <v>1070.2402231518245</v>
      </c>
      <c r="S1259" s="69">
        <v>1070.2402231518245</v>
      </c>
      <c r="T1259" s="69">
        <v>1070.2402231518245</v>
      </c>
      <c r="U1259" s="69">
        <v>1070.2402231518245</v>
      </c>
      <c r="V1259" s="69">
        <v>1070.2402231518245</v>
      </c>
      <c r="W1259" s="69">
        <v>1070.2402231518245</v>
      </c>
      <c r="X1259" s="69">
        <v>1070.2402231518245</v>
      </c>
      <c r="Y1259" s="69">
        <v>1070.2402231518245</v>
      </c>
      <c r="Z1259" s="69">
        <v>1070.2402231518245</v>
      </c>
      <c r="AA1259" s="69">
        <v>1070.2402231518245</v>
      </c>
      <c r="AB1259" s="69">
        <v>1070.2402231518245</v>
      </c>
      <c r="AC1259" s="69">
        <v>1070.2402231518245</v>
      </c>
      <c r="AD1259" s="69">
        <v>1070.2402231518245</v>
      </c>
      <c r="AE1259" s="69">
        <v>1070.2402231518245</v>
      </c>
      <c r="AF1259" s="69">
        <v>1070.2402231518245</v>
      </c>
      <c r="AG1259" s="69">
        <v>1070.2402231518245</v>
      </c>
    </row>
    <row r="1260" spans="1:33">
      <c r="A1260" s="236" t="s">
        <v>2380</v>
      </c>
      <c r="B1260" s="69" t="s">
        <v>318</v>
      </c>
      <c r="C1260" s="69" t="s">
        <v>186</v>
      </c>
      <c r="D1260" s="69" t="s">
        <v>218</v>
      </c>
      <c r="E1260" s="69" t="s">
        <v>203</v>
      </c>
      <c r="F1260" s="69" t="s">
        <v>157</v>
      </c>
      <c r="G1260" s="69" t="s">
        <v>192</v>
      </c>
      <c r="H1260" s="69" t="s">
        <v>805</v>
      </c>
      <c r="I1260" s="69">
        <v>1</v>
      </c>
      <c r="J1260" s="238">
        <v>0.23561922263058246</v>
      </c>
      <c r="K1260" s="238">
        <v>0</v>
      </c>
      <c r="L1260" s="69">
        <v>200.17205317577552</v>
      </c>
      <c r="M1260" s="69">
        <v>-4.8449039881831615</v>
      </c>
      <c r="N1260" s="69">
        <v>0</v>
      </c>
      <c r="O1260" s="69">
        <v>0</v>
      </c>
      <c r="P1260" s="69">
        <v>0</v>
      </c>
      <c r="Q1260" s="69">
        <v>224.9786585365855</v>
      </c>
      <c r="R1260" s="69">
        <v>224.9786585365855</v>
      </c>
      <c r="S1260" s="69">
        <v>224.9786585365855</v>
      </c>
      <c r="T1260" s="69">
        <v>224.9786585365855</v>
      </c>
      <c r="U1260" s="69">
        <v>224.9786585365855</v>
      </c>
      <c r="V1260" s="69">
        <v>224.9786585365855</v>
      </c>
      <c r="W1260" s="69">
        <v>224.9786585365855</v>
      </c>
      <c r="X1260" s="69">
        <v>224.9786585365855</v>
      </c>
      <c r="Y1260" s="69">
        <v>224.9786585365855</v>
      </c>
      <c r="Z1260" s="69">
        <v>224.9786585365855</v>
      </c>
      <c r="AA1260" s="69">
        <v>224.9786585365855</v>
      </c>
      <c r="AB1260" s="69">
        <v>224.9786585365855</v>
      </c>
      <c r="AC1260" s="69">
        <v>224.9786585365855</v>
      </c>
      <c r="AD1260" s="69">
        <v>224.9786585365855</v>
      </c>
      <c r="AE1260" s="69">
        <v>224.9786585365855</v>
      </c>
      <c r="AF1260" s="69">
        <v>224.9786585365855</v>
      </c>
      <c r="AG1260" s="69">
        <v>224.9786585365855</v>
      </c>
    </row>
    <row r="1261" spans="1:33">
      <c r="A1261" s="236" t="s">
        <v>2380</v>
      </c>
      <c r="B1261" s="69" t="s">
        <v>319</v>
      </c>
      <c r="C1261" s="69" t="s">
        <v>184</v>
      </c>
      <c r="D1261" s="69" t="s">
        <v>140</v>
      </c>
      <c r="E1261" s="69" t="s">
        <v>191</v>
      </c>
      <c r="F1261" s="69" t="s">
        <v>167</v>
      </c>
      <c r="G1261" s="69" t="s">
        <v>192</v>
      </c>
      <c r="H1261" s="69" t="s">
        <v>148</v>
      </c>
      <c r="I1261" s="69">
        <v>4</v>
      </c>
      <c r="J1261" s="238">
        <v>0.8</v>
      </c>
      <c r="K1261" s="238">
        <v>0</v>
      </c>
      <c r="L1261" s="69">
        <v>114.19797366361543</v>
      </c>
      <c r="M1261" s="69">
        <v>0</v>
      </c>
      <c r="N1261" s="69">
        <v>0</v>
      </c>
      <c r="O1261" s="69">
        <v>0</v>
      </c>
      <c r="P1261" s="69">
        <v>0</v>
      </c>
      <c r="Q1261" s="69">
        <v>0</v>
      </c>
      <c r="R1261" s="69">
        <v>1013</v>
      </c>
      <c r="S1261" s="69">
        <v>1013</v>
      </c>
      <c r="T1261" s="69">
        <v>1013</v>
      </c>
      <c r="U1261" s="69">
        <v>1013</v>
      </c>
      <c r="V1261" s="69">
        <v>1013</v>
      </c>
      <c r="W1261" s="69">
        <v>1013</v>
      </c>
      <c r="X1261" s="69">
        <v>1013</v>
      </c>
      <c r="Y1261" s="69">
        <v>1013</v>
      </c>
      <c r="Z1261" s="69">
        <v>1013</v>
      </c>
      <c r="AA1261" s="69">
        <v>1013</v>
      </c>
      <c r="AB1261" s="69">
        <v>1013</v>
      </c>
      <c r="AC1261" s="69">
        <v>1013</v>
      </c>
      <c r="AD1261" s="69">
        <v>1013</v>
      </c>
      <c r="AE1261" s="69">
        <v>1013</v>
      </c>
      <c r="AF1261" s="69">
        <v>1013</v>
      </c>
      <c r="AG1261" s="69">
        <v>1013</v>
      </c>
    </row>
    <row r="1262" spans="1:33">
      <c r="A1262" s="236" t="s">
        <v>2380</v>
      </c>
      <c r="B1262" s="69" t="s">
        <v>320</v>
      </c>
      <c r="C1262" s="69" t="s">
        <v>139</v>
      </c>
      <c r="D1262" s="69" t="s">
        <v>191</v>
      </c>
      <c r="E1262" s="69" t="s">
        <v>213</v>
      </c>
      <c r="F1262" s="69" t="s">
        <v>154</v>
      </c>
      <c r="G1262" s="69" t="s">
        <v>225</v>
      </c>
      <c r="H1262" s="69" t="s">
        <v>148</v>
      </c>
      <c r="I1262" s="69">
        <v>4</v>
      </c>
      <c r="J1262" s="238">
        <v>0.85</v>
      </c>
      <c r="K1262" s="238">
        <v>0.58204398831457249</v>
      </c>
      <c r="L1262" s="69">
        <v>139.86106095076619</v>
      </c>
      <c r="M1262" s="69">
        <v>0</v>
      </c>
      <c r="N1262" s="69">
        <v>0</v>
      </c>
      <c r="O1262" s="69">
        <v>0</v>
      </c>
      <c r="P1262" s="69">
        <v>0</v>
      </c>
      <c r="Q1262" s="69">
        <v>0</v>
      </c>
      <c r="R1262" s="69">
        <v>12</v>
      </c>
      <c r="S1262" s="69">
        <v>12</v>
      </c>
      <c r="T1262" s="69">
        <v>12</v>
      </c>
      <c r="U1262" s="69">
        <v>12</v>
      </c>
      <c r="V1262" s="69">
        <v>12</v>
      </c>
      <c r="W1262" s="69">
        <v>12</v>
      </c>
      <c r="X1262" s="69">
        <v>12</v>
      </c>
      <c r="Y1262" s="69">
        <v>12</v>
      </c>
      <c r="Z1262" s="69">
        <v>12</v>
      </c>
      <c r="AA1262" s="69">
        <v>12</v>
      </c>
      <c r="AB1262" s="69">
        <v>12</v>
      </c>
      <c r="AC1262" s="69">
        <v>12</v>
      </c>
      <c r="AD1262" s="69">
        <v>12</v>
      </c>
      <c r="AE1262" s="69">
        <v>12</v>
      </c>
      <c r="AF1262" s="69">
        <v>12</v>
      </c>
      <c r="AG1262" s="69">
        <v>12</v>
      </c>
    </row>
    <row r="1263" spans="1:33">
      <c r="A1263" s="236" t="s">
        <v>2380</v>
      </c>
      <c r="B1263" s="69" t="s">
        <v>321</v>
      </c>
      <c r="C1263" s="69" t="s">
        <v>136</v>
      </c>
      <c r="D1263" s="69" t="s">
        <v>191</v>
      </c>
      <c r="E1263" s="69" t="s">
        <v>191</v>
      </c>
      <c r="F1263" s="69" t="s">
        <v>181</v>
      </c>
      <c r="G1263" s="69" t="s">
        <v>294</v>
      </c>
      <c r="H1263" s="69" t="s">
        <v>148</v>
      </c>
      <c r="I1263" s="69">
        <v>4</v>
      </c>
      <c r="J1263" s="238">
        <v>0.82500000000000007</v>
      </c>
      <c r="K1263" s="238">
        <v>0.66812452144255507</v>
      </c>
      <c r="L1263" s="69">
        <v>97.919965869917917</v>
      </c>
      <c r="M1263" s="69">
        <v>0</v>
      </c>
      <c r="N1263" s="69">
        <v>0</v>
      </c>
      <c r="O1263" s="69">
        <v>0</v>
      </c>
      <c r="P1263" s="69">
        <v>0</v>
      </c>
      <c r="Q1263" s="69">
        <v>0</v>
      </c>
      <c r="R1263" s="69">
        <v>0</v>
      </c>
      <c r="S1263" s="69">
        <v>0</v>
      </c>
      <c r="T1263" s="69">
        <v>810.41860465116406</v>
      </c>
      <c r="U1263" s="69">
        <v>810.41860465116406</v>
      </c>
      <c r="V1263" s="69">
        <v>810.41860465116406</v>
      </c>
      <c r="W1263" s="69">
        <v>810.41860465116406</v>
      </c>
      <c r="X1263" s="69">
        <v>810.41860465116406</v>
      </c>
      <c r="Y1263" s="69">
        <v>810.41860465116406</v>
      </c>
      <c r="Z1263" s="69">
        <v>810.41860465116406</v>
      </c>
      <c r="AA1263" s="69">
        <v>810.41860465116406</v>
      </c>
      <c r="AB1263" s="69">
        <v>810.41860465116406</v>
      </c>
      <c r="AC1263" s="69">
        <v>810.41860465116406</v>
      </c>
      <c r="AD1263" s="69">
        <v>810.41860465116406</v>
      </c>
      <c r="AE1263" s="69">
        <v>810.41860465116406</v>
      </c>
      <c r="AF1263" s="69">
        <v>810.41860465116406</v>
      </c>
      <c r="AG1263" s="69">
        <v>810.41860465116406</v>
      </c>
    </row>
    <row r="1264" spans="1:33">
      <c r="A1264" s="236" t="s">
        <v>2380</v>
      </c>
      <c r="B1264" s="69" t="s">
        <v>322</v>
      </c>
      <c r="C1264" s="69" t="s">
        <v>136</v>
      </c>
      <c r="D1264" s="69" t="s">
        <v>191</v>
      </c>
      <c r="E1264" s="69" t="s">
        <v>191</v>
      </c>
      <c r="F1264" s="69" t="s">
        <v>161</v>
      </c>
      <c r="G1264" s="69" t="s">
        <v>192</v>
      </c>
      <c r="H1264" s="69" t="s">
        <v>148</v>
      </c>
      <c r="I1264" s="69">
        <v>4</v>
      </c>
      <c r="J1264" s="238">
        <v>0.82500000000000007</v>
      </c>
      <c r="K1264" s="238">
        <v>0.70497163608542901</v>
      </c>
      <c r="L1264" s="69">
        <v>109.81489691553389</v>
      </c>
      <c r="M1264" s="69">
        <v>0</v>
      </c>
      <c r="N1264" s="69">
        <v>0</v>
      </c>
      <c r="O1264" s="69">
        <v>0</v>
      </c>
      <c r="P1264" s="69">
        <v>0</v>
      </c>
      <c r="Q1264" s="69">
        <v>0</v>
      </c>
      <c r="R1264" s="69">
        <v>0</v>
      </c>
      <c r="S1264" s="69">
        <v>0</v>
      </c>
      <c r="T1264" s="69">
        <v>0</v>
      </c>
      <c r="U1264" s="69">
        <v>3163.906976744192</v>
      </c>
      <c r="V1264" s="69">
        <v>3163.906976744192</v>
      </c>
      <c r="W1264" s="69">
        <v>3163.906976744192</v>
      </c>
      <c r="X1264" s="69">
        <v>3163.906976744192</v>
      </c>
      <c r="Y1264" s="69">
        <v>3163.906976744192</v>
      </c>
      <c r="Z1264" s="69">
        <v>3163.906976744192</v>
      </c>
      <c r="AA1264" s="69">
        <v>3163.906976744192</v>
      </c>
      <c r="AB1264" s="69">
        <v>3163.906976744192</v>
      </c>
      <c r="AC1264" s="69">
        <v>3163.906976744192</v>
      </c>
      <c r="AD1264" s="69">
        <v>3163.906976744192</v>
      </c>
      <c r="AE1264" s="69">
        <v>3163.906976744192</v>
      </c>
      <c r="AF1264" s="69">
        <v>3163.906976744192</v>
      </c>
      <c r="AG1264" s="69">
        <v>3163.906976744192</v>
      </c>
    </row>
    <row r="1265" spans="1:33">
      <c r="A1265" s="236" t="s">
        <v>2380</v>
      </c>
      <c r="B1265" s="69" t="s">
        <v>323</v>
      </c>
      <c r="C1265" s="69" t="s">
        <v>136</v>
      </c>
      <c r="D1265" s="69" t="s">
        <v>191</v>
      </c>
      <c r="E1265" s="69" t="s">
        <v>191</v>
      </c>
      <c r="F1265" s="69" t="s">
        <v>181</v>
      </c>
      <c r="G1265" s="69" t="s">
        <v>294</v>
      </c>
      <c r="H1265" s="69" t="s">
        <v>148</v>
      </c>
      <c r="I1265" s="69">
        <v>4</v>
      </c>
      <c r="J1265" s="238">
        <v>0.82499999999999996</v>
      </c>
      <c r="K1265" s="238">
        <v>0.66812452144255507</v>
      </c>
      <c r="L1265" s="69">
        <v>97.919965869917917</v>
      </c>
      <c r="M1265" s="69">
        <v>0</v>
      </c>
      <c r="N1265" s="69">
        <v>0</v>
      </c>
      <c r="O1265" s="69">
        <v>0</v>
      </c>
      <c r="P1265" s="69">
        <v>0</v>
      </c>
      <c r="Q1265" s="69">
        <v>0</v>
      </c>
      <c r="R1265" s="69">
        <v>305.95348837209531</v>
      </c>
      <c r="S1265" s="69">
        <v>305.95348837209531</v>
      </c>
      <c r="T1265" s="69">
        <v>305.95348837209531</v>
      </c>
      <c r="U1265" s="69">
        <v>305.95348837209531</v>
      </c>
      <c r="V1265" s="69">
        <v>305.95348837209531</v>
      </c>
      <c r="W1265" s="69">
        <v>305.95348837209531</v>
      </c>
      <c r="X1265" s="69">
        <v>305.95348837209531</v>
      </c>
      <c r="Y1265" s="69">
        <v>305.95348837209531</v>
      </c>
      <c r="Z1265" s="69">
        <v>305.95348837209531</v>
      </c>
      <c r="AA1265" s="69">
        <v>305.95348837209531</v>
      </c>
      <c r="AB1265" s="69">
        <v>305.95348837209531</v>
      </c>
      <c r="AC1265" s="69">
        <v>305.95348837209531</v>
      </c>
      <c r="AD1265" s="69">
        <v>305.95348837209531</v>
      </c>
      <c r="AE1265" s="69">
        <v>305.95348837209531</v>
      </c>
      <c r="AF1265" s="69">
        <v>305.95348837209531</v>
      </c>
      <c r="AG1265" s="69">
        <v>305.95348837209531</v>
      </c>
    </row>
    <row r="1266" spans="1:33">
      <c r="A1266" s="236" t="s">
        <v>2380</v>
      </c>
      <c r="B1266" s="69" t="s">
        <v>324</v>
      </c>
      <c r="C1266" s="69" t="s">
        <v>18</v>
      </c>
      <c r="D1266" s="69" t="s">
        <v>325</v>
      </c>
      <c r="E1266" s="69" t="s">
        <v>191</v>
      </c>
      <c r="F1266" s="69" t="s">
        <v>168</v>
      </c>
      <c r="G1266" s="69" t="s">
        <v>199</v>
      </c>
      <c r="H1266" s="69" t="s">
        <v>148</v>
      </c>
      <c r="I1266" s="69">
        <v>4</v>
      </c>
      <c r="J1266" s="238">
        <v>0.35</v>
      </c>
      <c r="K1266" s="238">
        <v>0</v>
      </c>
      <c r="L1266" s="69">
        <v>138.77253590202551</v>
      </c>
      <c r="M1266" s="69">
        <v>0</v>
      </c>
      <c r="N1266" s="69">
        <v>0</v>
      </c>
      <c r="O1266" s="69">
        <v>0</v>
      </c>
      <c r="P1266" s="69">
        <v>0</v>
      </c>
      <c r="Q1266" s="69">
        <v>0</v>
      </c>
      <c r="R1266" s="69">
        <v>48</v>
      </c>
      <c r="S1266" s="69">
        <v>48</v>
      </c>
      <c r="T1266" s="69">
        <v>48</v>
      </c>
      <c r="U1266" s="69">
        <v>48</v>
      </c>
      <c r="V1266" s="69">
        <v>48</v>
      </c>
      <c r="W1266" s="69">
        <v>48</v>
      </c>
      <c r="X1266" s="69">
        <v>48</v>
      </c>
      <c r="Y1266" s="69">
        <v>48</v>
      </c>
      <c r="Z1266" s="69">
        <v>48</v>
      </c>
      <c r="AA1266" s="69">
        <v>48</v>
      </c>
      <c r="AB1266" s="69">
        <v>48</v>
      </c>
      <c r="AC1266" s="69">
        <v>48</v>
      </c>
      <c r="AD1266" s="69">
        <v>48</v>
      </c>
      <c r="AE1266" s="69">
        <v>48</v>
      </c>
      <c r="AF1266" s="69">
        <v>48</v>
      </c>
      <c r="AG1266" s="69">
        <v>48</v>
      </c>
    </row>
    <row r="1267" spans="1:33">
      <c r="A1267" s="236" t="s">
        <v>2380</v>
      </c>
      <c r="B1267" s="69" t="s">
        <v>326</v>
      </c>
      <c r="C1267" s="69" t="s">
        <v>187</v>
      </c>
      <c r="D1267" s="69" t="s">
        <v>191</v>
      </c>
      <c r="E1267" s="69" t="s">
        <v>191</v>
      </c>
      <c r="F1267" s="69" t="s">
        <v>167</v>
      </c>
      <c r="G1267" s="69" t="s">
        <v>192</v>
      </c>
      <c r="H1267" s="69" t="s">
        <v>148</v>
      </c>
      <c r="I1267" s="69">
        <v>4</v>
      </c>
      <c r="J1267" s="238">
        <v>0.2668262983999703</v>
      </c>
      <c r="K1267" s="238">
        <v>0.770025573694614</v>
      </c>
      <c r="L1267" s="69">
        <v>192.38629588063708</v>
      </c>
      <c r="M1267" s="69">
        <v>0</v>
      </c>
      <c r="N1267" s="69">
        <v>0</v>
      </c>
      <c r="O1267" s="69">
        <v>0</v>
      </c>
      <c r="P1267" s="69">
        <v>0</v>
      </c>
      <c r="Q1267" s="69">
        <v>0</v>
      </c>
      <c r="R1267" s="69">
        <v>0</v>
      </c>
      <c r="S1267" s="69">
        <v>0</v>
      </c>
      <c r="T1267" s="69">
        <v>865.24336157038488</v>
      </c>
      <c r="U1267" s="69">
        <v>865.24336157038488</v>
      </c>
      <c r="V1267" s="69">
        <v>865.24336157038488</v>
      </c>
      <c r="W1267" s="69">
        <v>865.24336157038488</v>
      </c>
      <c r="X1267" s="69">
        <v>865.24336157038488</v>
      </c>
      <c r="Y1267" s="69">
        <v>865.24336157038488</v>
      </c>
      <c r="Z1267" s="69">
        <v>865.24336157038488</v>
      </c>
      <c r="AA1267" s="69">
        <v>865.24336157038488</v>
      </c>
      <c r="AB1267" s="69">
        <v>865.24336157038488</v>
      </c>
      <c r="AC1267" s="69">
        <v>865.24336157038488</v>
      </c>
      <c r="AD1267" s="69">
        <v>865.24336157038488</v>
      </c>
      <c r="AE1267" s="69">
        <v>865.24336157038488</v>
      </c>
      <c r="AF1267" s="69">
        <v>865.24336157038488</v>
      </c>
      <c r="AG1267" s="69">
        <v>865.24336157038488</v>
      </c>
    </row>
    <row r="1268" spans="1:33">
      <c r="A1268" s="236" t="s">
        <v>2380</v>
      </c>
      <c r="B1268" s="69" t="s">
        <v>327</v>
      </c>
      <c r="C1268" s="69" t="s">
        <v>137</v>
      </c>
      <c r="D1268" s="69" t="s">
        <v>191</v>
      </c>
      <c r="E1268" s="69" t="s">
        <v>191</v>
      </c>
      <c r="F1268" s="69" t="s">
        <v>181</v>
      </c>
      <c r="G1268" s="69" t="s">
        <v>294</v>
      </c>
      <c r="H1268" s="69" t="s">
        <v>148</v>
      </c>
      <c r="I1268" s="69">
        <v>4</v>
      </c>
      <c r="J1268" s="238">
        <v>0.28989999999999999</v>
      </c>
      <c r="K1268" s="238">
        <v>0.18559014484515421</v>
      </c>
      <c r="L1268" s="69">
        <v>91.706640833021837</v>
      </c>
      <c r="M1268" s="69">
        <v>0</v>
      </c>
      <c r="N1268" s="69">
        <v>0</v>
      </c>
      <c r="O1268" s="69">
        <v>0</v>
      </c>
      <c r="P1268" s="69">
        <v>0</v>
      </c>
      <c r="Q1268" s="69">
        <v>34.32910017062386</v>
      </c>
      <c r="R1268" s="69">
        <v>34.32910017062386</v>
      </c>
      <c r="S1268" s="69">
        <v>34.32910017062386</v>
      </c>
      <c r="T1268" s="69">
        <v>34.32910017062386</v>
      </c>
      <c r="U1268" s="69">
        <v>34.32910017062386</v>
      </c>
      <c r="V1268" s="69">
        <v>34.32910017062386</v>
      </c>
      <c r="W1268" s="69">
        <v>34.32910017062386</v>
      </c>
      <c r="X1268" s="69">
        <v>34.32910017062386</v>
      </c>
      <c r="Y1268" s="69">
        <v>34.32910017062386</v>
      </c>
      <c r="Z1268" s="69">
        <v>34.32910017062386</v>
      </c>
      <c r="AA1268" s="69">
        <v>34.32910017062386</v>
      </c>
      <c r="AB1268" s="69">
        <v>34.32910017062386</v>
      </c>
      <c r="AC1268" s="69">
        <v>34.32910017062386</v>
      </c>
      <c r="AD1268" s="69">
        <v>34.32910017062386</v>
      </c>
      <c r="AE1268" s="69">
        <v>34.32910017062386</v>
      </c>
      <c r="AF1268" s="69">
        <v>34.32910017062386</v>
      </c>
      <c r="AG1268" s="69">
        <v>34.32910017062386</v>
      </c>
    </row>
    <row r="1269" spans="1:33">
      <c r="A1269" s="236" t="s">
        <v>2380</v>
      </c>
      <c r="B1269" s="69" t="s">
        <v>328</v>
      </c>
      <c r="C1269" s="69" t="s">
        <v>137</v>
      </c>
      <c r="D1269" s="69" t="s">
        <v>191</v>
      </c>
      <c r="E1269" s="69" t="s">
        <v>191</v>
      </c>
      <c r="F1269" s="69" t="s">
        <v>183</v>
      </c>
      <c r="G1269" s="69" t="s">
        <v>329</v>
      </c>
      <c r="H1269" s="69" t="s">
        <v>148</v>
      </c>
      <c r="I1269" s="69">
        <v>4</v>
      </c>
      <c r="J1269" s="238">
        <v>0.37659999999999999</v>
      </c>
      <c r="K1269" s="238">
        <v>0.17884977722471748</v>
      </c>
      <c r="L1269" s="69">
        <v>70.728535467115464</v>
      </c>
      <c r="M1269" s="69">
        <v>0</v>
      </c>
      <c r="N1269" s="69">
        <v>0</v>
      </c>
      <c r="O1269" s="69">
        <v>0</v>
      </c>
      <c r="P1269" s="69">
        <v>0</v>
      </c>
      <c r="Q1269" s="69">
        <v>0</v>
      </c>
      <c r="R1269" s="69">
        <v>316.74493746021471</v>
      </c>
      <c r="S1269" s="69">
        <v>316.74493746021471</v>
      </c>
      <c r="T1269" s="69">
        <v>316.74493746021471</v>
      </c>
      <c r="U1269" s="69">
        <v>316.74493746021471</v>
      </c>
      <c r="V1269" s="69">
        <v>316.74493746021471</v>
      </c>
      <c r="W1269" s="69">
        <v>316.74493746021471</v>
      </c>
      <c r="X1269" s="69">
        <v>316.74493746021471</v>
      </c>
      <c r="Y1269" s="69">
        <v>316.74493746021471</v>
      </c>
      <c r="Z1269" s="69">
        <v>316.74493746021471</v>
      </c>
      <c r="AA1269" s="69">
        <v>316.74493746021471</v>
      </c>
      <c r="AB1269" s="69">
        <v>316.74493746021471</v>
      </c>
      <c r="AC1269" s="69">
        <v>316.74493746021471</v>
      </c>
      <c r="AD1269" s="69">
        <v>316.74493746021471</v>
      </c>
      <c r="AE1269" s="69">
        <v>316.74493746021471</v>
      </c>
      <c r="AF1269" s="69">
        <v>316.74493746021471</v>
      </c>
      <c r="AG1269" s="69">
        <v>316.74493746021471</v>
      </c>
    </row>
    <row r="1270" spans="1:33">
      <c r="A1270" s="236" t="s">
        <v>2380</v>
      </c>
      <c r="B1270" s="69" t="s">
        <v>330</v>
      </c>
      <c r="C1270" s="69" t="s">
        <v>137</v>
      </c>
      <c r="D1270" s="69" t="s">
        <v>191</v>
      </c>
      <c r="E1270" s="69" t="s">
        <v>191</v>
      </c>
      <c r="F1270" s="69" t="s">
        <v>168</v>
      </c>
      <c r="G1270" s="69" t="s">
        <v>199</v>
      </c>
      <c r="H1270" s="69" t="s">
        <v>148</v>
      </c>
      <c r="I1270" s="69">
        <v>4</v>
      </c>
      <c r="J1270" s="238">
        <v>0.29204999999999998</v>
      </c>
      <c r="K1270" s="238">
        <v>0.18436399478639695</v>
      </c>
      <c r="L1270" s="69">
        <v>95.155627725733936</v>
      </c>
      <c r="M1270" s="69">
        <v>0</v>
      </c>
      <c r="N1270" s="69">
        <v>0</v>
      </c>
      <c r="O1270" s="69">
        <v>0</v>
      </c>
      <c r="P1270" s="69">
        <v>0</v>
      </c>
      <c r="Q1270" s="69">
        <v>0</v>
      </c>
      <c r="R1270" s="69">
        <v>1378.470684334854</v>
      </c>
      <c r="S1270" s="69">
        <v>1378.470684334854</v>
      </c>
      <c r="T1270" s="69">
        <v>1378.470684334854</v>
      </c>
      <c r="U1270" s="69">
        <v>1378.470684334854</v>
      </c>
      <c r="V1270" s="69">
        <v>1378.470684334854</v>
      </c>
      <c r="W1270" s="69">
        <v>1378.470684334854</v>
      </c>
      <c r="X1270" s="69">
        <v>1378.470684334854</v>
      </c>
      <c r="Y1270" s="69">
        <v>1378.470684334854</v>
      </c>
      <c r="Z1270" s="69">
        <v>1378.470684334854</v>
      </c>
      <c r="AA1270" s="69">
        <v>1378.470684334854</v>
      </c>
      <c r="AB1270" s="69">
        <v>1378.470684334854</v>
      </c>
      <c r="AC1270" s="69">
        <v>1378.470684334854</v>
      </c>
      <c r="AD1270" s="69">
        <v>1378.470684334854</v>
      </c>
      <c r="AE1270" s="69">
        <v>1378.470684334854</v>
      </c>
      <c r="AF1270" s="69">
        <v>1378.470684334854</v>
      </c>
      <c r="AG1270" s="69">
        <v>1378.470684334854</v>
      </c>
    </row>
    <row r="1271" spans="1:33">
      <c r="A1271" s="236" t="s">
        <v>2380</v>
      </c>
      <c r="B1271" s="69" t="s">
        <v>331</v>
      </c>
      <c r="C1271" s="69" t="s">
        <v>137</v>
      </c>
      <c r="D1271" s="69" t="s">
        <v>191</v>
      </c>
      <c r="E1271" s="69" t="s">
        <v>191</v>
      </c>
      <c r="F1271" s="69" t="s">
        <v>180</v>
      </c>
      <c r="G1271" s="69" t="s">
        <v>192</v>
      </c>
      <c r="H1271" s="69" t="s">
        <v>148</v>
      </c>
      <c r="I1271" s="69">
        <v>4</v>
      </c>
      <c r="J1271" s="238">
        <v>0.32235762917068039</v>
      </c>
      <c r="K1271" s="238">
        <v>0.160195270625522</v>
      </c>
      <c r="L1271" s="69">
        <v>96.038728079112815</v>
      </c>
      <c r="M1271" s="69">
        <v>0</v>
      </c>
      <c r="N1271" s="69">
        <v>0</v>
      </c>
      <c r="O1271" s="69">
        <v>0</v>
      </c>
      <c r="P1271" s="69">
        <v>0</v>
      </c>
      <c r="Q1271" s="69">
        <v>0</v>
      </c>
      <c r="R1271" s="69">
        <v>768.34665922935903</v>
      </c>
      <c r="S1271" s="69">
        <v>768.34665922935903</v>
      </c>
      <c r="T1271" s="69">
        <v>768.34665922935903</v>
      </c>
      <c r="U1271" s="69">
        <v>768.34665922935903</v>
      </c>
      <c r="V1271" s="69">
        <v>768.34665922935903</v>
      </c>
      <c r="W1271" s="69">
        <v>768.34665922935903</v>
      </c>
      <c r="X1271" s="69">
        <v>768.34665922935903</v>
      </c>
      <c r="Y1271" s="69">
        <v>768.34665922935903</v>
      </c>
      <c r="Z1271" s="69">
        <v>768.34665922935903</v>
      </c>
      <c r="AA1271" s="69">
        <v>768.34665922935903</v>
      </c>
      <c r="AB1271" s="69">
        <v>768.34665922935903</v>
      </c>
      <c r="AC1271" s="69">
        <v>768.34665922935903</v>
      </c>
      <c r="AD1271" s="69">
        <v>768.34665922935903</v>
      </c>
      <c r="AE1271" s="69">
        <v>768.34665922935903</v>
      </c>
      <c r="AF1271" s="69">
        <v>768.34665922935903</v>
      </c>
      <c r="AG1271" s="69">
        <v>768.34665922935903</v>
      </c>
    </row>
    <row r="1272" spans="1:33">
      <c r="A1272" s="236" t="s">
        <v>2380</v>
      </c>
      <c r="B1272" s="69" t="s">
        <v>332</v>
      </c>
      <c r="C1272" s="69" t="s">
        <v>137</v>
      </c>
      <c r="D1272" s="69" t="s">
        <v>191</v>
      </c>
      <c r="E1272" s="69" t="s">
        <v>191</v>
      </c>
      <c r="F1272" s="69" t="s">
        <v>179</v>
      </c>
      <c r="G1272" s="69" t="s">
        <v>192</v>
      </c>
      <c r="H1272" s="69" t="s">
        <v>148</v>
      </c>
      <c r="I1272" s="69">
        <v>4</v>
      </c>
      <c r="J1272" s="238">
        <v>0.32235762917068039</v>
      </c>
      <c r="K1272" s="238">
        <v>0.16152665976075289</v>
      </c>
      <c r="L1272" s="69">
        <v>96.038728079112801</v>
      </c>
      <c r="M1272" s="69">
        <v>0</v>
      </c>
      <c r="N1272" s="69">
        <v>0</v>
      </c>
      <c r="O1272" s="69">
        <v>0</v>
      </c>
      <c r="P1272" s="69">
        <v>0</v>
      </c>
      <c r="Q1272" s="69">
        <v>0</v>
      </c>
      <c r="R1272" s="69">
        <v>0</v>
      </c>
      <c r="S1272" s="69">
        <v>0</v>
      </c>
      <c r="T1272" s="69">
        <v>655.78644930552457</v>
      </c>
      <c r="U1272" s="69">
        <v>655.78644930552457</v>
      </c>
      <c r="V1272" s="69">
        <v>655.78644930552457</v>
      </c>
      <c r="W1272" s="69">
        <v>655.78644930552457</v>
      </c>
      <c r="X1272" s="69">
        <v>655.78644930552457</v>
      </c>
      <c r="Y1272" s="69">
        <v>655.78644930552457</v>
      </c>
      <c r="Z1272" s="69">
        <v>655.78644930552457</v>
      </c>
      <c r="AA1272" s="69">
        <v>655.78644930552457</v>
      </c>
      <c r="AB1272" s="69">
        <v>655.78644930552457</v>
      </c>
      <c r="AC1272" s="69">
        <v>655.78644930552457</v>
      </c>
      <c r="AD1272" s="69">
        <v>655.78644930552457</v>
      </c>
      <c r="AE1272" s="69">
        <v>655.78644930552457</v>
      </c>
      <c r="AF1272" s="69">
        <v>655.78644930552457</v>
      </c>
      <c r="AG1272" s="69">
        <v>655.78644930552457</v>
      </c>
    </row>
    <row r="1273" spans="1:33">
      <c r="A1273" s="236" t="s">
        <v>2380</v>
      </c>
      <c r="B1273" s="69" t="s">
        <v>333</v>
      </c>
      <c r="C1273" s="69" t="s">
        <v>186</v>
      </c>
      <c r="D1273" s="69" t="s">
        <v>334</v>
      </c>
      <c r="E1273" s="69" t="s">
        <v>260</v>
      </c>
      <c r="F1273" s="69" t="s">
        <v>157</v>
      </c>
      <c r="G1273" s="69" t="s">
        <v>192</v>
      </c>
      <c r="H1273" s="69" t="s">
        <v>805</v>
      </c>
      <c r="I1273" s="69">
        <v>1</v>
      </c>
      <c r="J1273" s="238">
        <v>0.19559527787058692</v>
      </c>
      <c r="K1273" s="238">
        <v>0</v>
      </c>
      <c r="L1273" s="69">
        <v>307.09437722419932</v>
      </c>
      <c r="M1273" s="69">
        <v>-26.263345195729539</v>
      </c>
      <c r="N1273" s="69">
        <v>6.1682926829271318</v>
      </c>
      <c r="O1273" s="69">
        <v>6.1682926829271318</v>
      </c>
      <c r="P1273" s="69">
        <v>6.1682926829271318</v>
      </c>
      <c r="Q1273" s="69">
        <v>6.1682926829271318</v>
      </c>
      <c r="R1273" s="69">
        <v>6.1682926829271318</v>
      </c>
      <c r="S1273" s="69">
        <v>6.1682926829271318</v>
      </c>
      <c r="T1273" s="69">
        <v>6.1682926829271318</v>
      </c>
      <c r="U1273" s="69">
        <v>6.1682926829271318</v>
      </c>
      <c r="V1273" s="69">
        <v>6.1682926829271318</v>
      </c>
      <c r="W1273" s="69">
        <v>6.1682926829271318</v>
      </c>
      <c r="X1273" s="69">
        <v>6.1682926829271318</v>
      </c>
      <c r="Y1273" s="69">
        <v>6.1682926829271318</v>
      </c>
      <c r="Z1273" s="69">
        <v>6.1682926829271318</v>
      </c>
      <c r="AA1273" s="69">
        <v>6.1682926829271318</v>
      </c>
      <c r="AB1273" s="69">
        <v>6.1682926829271318</v>
      </c>
      <c r="AC1273" s="69">
        <v>6.1682926829271318</v>
      </c>
      <c r="AD1273" s="69">
        <v>6.1682926829271318</v>
      </c>
      <c r="AE1273" s="69">
        <v>6.1682926829271318</v>
      </c>
      <c r="AF1273" s="69">
        <v>6.1682926829271318</v>
      </c>
      <c r="AG1273" s="69">
        <v>6.1682926829271318</v>
      </c>
    </row>
    <row r="1274" spans="1:33">
      <c r="A1274" s="236" t="s">
        <v>2380</v>
      </c>
      <c r="B1274" s="69" t="s">
        <v>335</v>
      </c>
      <c r="C1274" s="69" t="s">
        <v>186</v>
      </c>
      <c r="D1274" s="69" t="s">
        <v>334</v>
      </c>
      <c r="E1274" s="69" t="s">
        <v>260</v>
      </c>
      <c r="F1274" s="69" t="s">
        <v>157</v>
      </c>
      <c r="G1274" s="69" t="s">
        <v>192</v>
      </c>
      <c r="H1274" s="69" t="s">
        <v>805</v>
      </c>
      <c r="I1274" s="69">
        <v>1</v>
      </c>
      <c r="J1274" s="238">
        <v>0.19559527787058692</v>
      </c>
      <c r="K1274" s="238">
        <v>0</v>
      </c>
      <c r="L1274" s="69">
        <v>307.09437722419932</v>
      </c>
      <c r="M1274" s="69">
        <v>-26.263345195729539</v>
      </c>
      <c r="N1274" s="69">
        <v>0</v>
      </c>
      <c r="O1274" s="69">
        <v>6.1682926829271318</v>
      </c>
      <c r="P1274" s="69">
        <v>6.1682926829271318</v>
      </c>
      <c r="Q1274" s="69">
        <v>6.1682926829271318</v>
      </c>
      <c r="R1274" s="69">
        <v>6.1682926829271318</v>
      </c>
      <c r="S1274" s="69">
        <v>6.1682926829271318</v>
      </c>
      <c r="T1274" s="69">
        <v>6.1682926829271318</v>
      </c>
      <c r="U1274" s="69">
        <v>6.1682926829271318</v>
      </c>
      <c r="V1274" s="69">
        <v>6.1682926829271318</v>
      </c>
      <c r="W1274" s="69">
        <v>6.1682926829271318</v>
      </c>
      <c r="X1274" s="69">
        <v>6.1682926829271318</v>
      </c>
      <c r="Y1274" s="69">
        <v>6.1682926829271318</v>
      </c>
      <c r="Z1274" s="69">
        <v>6.1682926829271318</v>
      </c>
      <c r="AA1274" s="69">
        <v>6.1682926829271318</v>
      </c>
      <c r="AB1274" s="69">
        <v>6.1682926829271318</v>
      </c>
      <c r="AC1274" s="69">
        <v>6.1682926829271318</v>
      </c>
      <c r="AD1274" s="69">
        <v>6.1682926829271318</v>
      </c>
      <c r="AE1274" s="69">
        <v>6.1682926829271318</v>
      </c>
      <c r="AF1274" s="69">
        <v>6.1682926829271318</v>
      </c>
      <c r="AG1274" s="69">
        <v>6.1682926829271318</v>
      </c>
    </row>
    <row r="1275" spans="1:33">
      <c r="A1275" s="236" t="s">
        <v>2380</v>
      </c>
      <c r="B1275" s="69" t="s">
        <v>336</v>
      </c>
      <c r="C1275" s="69" t="s">
        <v>186</v>
      </c>
      <c r="D1275" s="69" t="s">
        <v>334</v>
      </c>
      <c r="E1275" s="69" t="s">
        <v>260</v>
      </c>
      <c r="F1275" s="69" t="s">
        <v>157</v>
      </c>
      <c r="G1275" s="69" t="s">
        <v>192</v>
      </c>
      <c r="H1275" s="69" t="s">
        <v>805</v>
      </c>
      <c r="I1275" s="69">
        <v>1</v>
      </c>
      <c r="J1275" s="238">
        <v>0.19559527787058692</v>
      </c>
      <c r="K1275" s="238">
        <v>0</v>
      </c>
      <c r="L1275" s="69">
        <v>307.09437722419932</v>
      </c>
      <c r="M1275" s="69">
        <v>-26.263345195729539</v>
      </c>
      <c r="N1275" s="69">
        <v>0</v>
      </c>
      <c r="O1275" s="69">
        <v>0</v>
      </c>
      <c r="P1275" s="69">
        <v>6.1682926829271318</v>
      </c>
      <c r="Q1275" s="69">
        <v>6.1682926829271318</v>
      </c>
      <c r="R1275" s="69">
        <v>6.1682926829271318</v>
      </c>
      <c r="S1275" s="69">
        <v>6.1682926829271318</v>
      </c>
      <c r="T1275" s="69">
        <v>6.1682926829271318</v>
      </c>
      <c r="U1275" s="69">
        <v>6.1682926829271318</v>
      </c>
      <c r="V1275" s="69">
        <v>6.1682926829271318</v>
      </c>
      <c r="W1275" s="69">
        <v>6.1682926829271318</v>
      </c>
      <c r="X1275" s="69">
        <v>6.1682926829271318</v>
      </c>
      <c r="Y1275" s="69">
        <v>6.1682926829271318</v>
      </c>
      <c r="Z1275" s="69">
        <v>6.1682926829271318</v>
      </c>
      <c r="AA1275" s="69">
        <v>6.1682926829271318</v>
      </c>
      <c r="AB1275" s="69">
        <v>6.1682926829271318</v>
      </c>
      <c r="AC1275" s="69">
        <v>6.1682926829271318</v>
      </c>
      <c r="AD1275" s="69">
        <v>6.1682926829271318</v>
      </c>
      <c r="AE1275" s="69">
        <v>6.1682926829271318</v>
      </c>
      <c r="AF1275" s="69">
        <v>6.1682926829271318</v>
      </c>
      <c r="AG1275" s="69">
        <v>6.1682926829271318</v>
      </c>
    </row>
    <row r="1276" spans="1:33">
      <c r="A1276" s="236" t="s">
        <v>2380</v>
      </c>
      <c r="B1276" s="69" t="s">
        <v>337</v>
      </c>
      <c r="C1276" s="69" t="s">
        <v>186</v>
      </c>
      <c r="D1276" s="69" t="s">
        <v>334</v>
      </c>
      <c r="E1276" s="69" t="s">
        <v>260</v>
      </c>
      <c r="F1276" s="69" t="s">
        <v>157</v>
      </c>
      <c r="G1276" s="69" t="s">
        <v>192</v>
      </c>
      <c r="H1276" s="69" t="s">
        <v>805</v>
      </c>
      <c r="I1276" s="69">
        <v>1</v>
      </c>
      <c r="J1276" s="238">
        <v>0.19559527787058692</v>
      </c>
      <c r="K1276" s="238">
        <v>0</v>
      </c>
      <c r="L1276" s="69">
        <v>307.09437722419932</v>
      </c>
      <c r="M1276" s="69">
        <v>-26.263345195729539</v>
      </c>
      <c r="N1276" s="69">
        <v>0</v>
      </c>
      <c r="O1276" s="69">
        <v>0</v>
      </c>
      <c r="P1276" s="69">
        <v>0</v>
      </c>
      <c r="Q1276" s="69">
        <v>6.1682926829271318</v>
      </c>
      <c r="R1276" s="69">
        <v>6.1682926829271318</v>
      </c>
      <c r="S1276" s="69">
        <v>6.1682926829271318</v>
      </c>
      <c r="T1276" s="69">
        <v>6.1682926829271318</v>
      </c>
      <c r="U1276" s="69">
        <v>6.1682926829271318</v>
      </c>
      <c r="V1276" s="69">
        <v>6.1682926829271318</v>
      </c>
      <c r="W1276" s="69">
        <v>6.1682926829271318</v>
      </c>
      <c r="X1276" s="69">
        <v>6.1682926829271318</v>
      </c>
      <c r="Y1276" s="69">
        <v>6.1682926829271318</v>
      </c>
      <c r="Z1276" s="69">
        <v>6.1682926829271318</v>
      </c>
      <c r="AA1276" s="69">
        <v>6.1682926829271318</v>
      </c>
      <c r="AB1276" s="69">
        <v>6.1682926829271318</v>
      </c>
      <c r="AC1276" s="69">
        <v>6.1682926829271318</v>
      </c>
      <c r="AD1276" s="69">
        <v>6.1682926829271318</v>
      </c>
      <c r="AE1276" s="69">
        <v>6.1682926829271318</v>
      </c>
      <c r="AF1276" s="69">
        <v>6.1682926829271318</v>
      </c>
      <c r="AG1276" s="69">
        <v>6.1682926829271318</v>
      </c>
    </row>
    <row r="1277" spans="1:33">
      <c r="A1277" s="236" t="s">
        <v>2380</v>
      </c>
      <c r="B1277" s="69" t="s">
        <v>338</v>
      </c>
      <c r="C1277" s="69" t="s">
        <v>186</v>
      </c>
      <c r="D1277" s="69" t="s">
        <v>334</v>
      </c>
      <c r="E1277" s="69" t="s">
        <v>260</v>
      </c>
      <c r="F1277" s="69" t="s">
        <v>157</v>
      </c>
      <c r="G1277" s="69" t="s">
        <v>192</v>
      </c>
      <c r="H1277" s="69" t="s">
        <v>805</v>
      </c>
      <c r="I1277" s="69">
        <v>1</v>
      </c>
      <c r="J1277" s="238">
        <v>0.19559527787058692</v>
      </c>
      <c r="K1277" s="238">
        <v>0</v>
      </c>
      <c r="L1277" s="69">
        <v>307.09437722419932</v>
      </c>
      <c r="M1277" s="69">
        <v>-26.263345195729539</v>
      </c>
      <c r="N1277" s="69">
        <v>0</v>
      </c>
      <c r="O1277" s="69">
        <v>0</v>
      </c>
      <c r="P1277" s="69">
        <v>0</v>
      </c>
      <c r="Q1277" s="69">
        <v>0</v>
      </c>
      <c r="R1277" s="69">
        <v>6.1682926829271318</v>
      </c>
      <c r="S1277" s="69">
        <v>6.1682926829271318</v>
      </c>
      <c r="T1277" s="69">
        <v>6.1682926829271318</v>
      </c>
      <c r="U1277" s="69">
        <v>6.1682926829271318</v>
      </c>
      <c r="V1277" s="69">
        <v>6.1682926829271318</v>
      </c>
      <c r="W1277" s="69">
        <v>6.1682926829271318</v>
      </c>
      <c r="X1277" s="69">
        <v>6.1682926829271318</v>
      </c>
      <c r="Y1277" s="69">
        <v>6.1682926829271318</v>
      </c>
      <c r="Z1277" s="69">
        <v>6.1682926829271318</v>
      </c>
      <c r="AA1277" s="69">
        <v>6.1682926829271318</v>
      </c>
      <c r="AB1277" s="69">
        <v>6.1682926829271318</v>
      </c>
      <c r="AC1277" s="69">
        <v>6.1682926829271318</v>
      </c>
      <c r="AD1277" s="69">
        <v>6.1682926829271318</v>
      </c>
      <c r="AE1277" s="69">
        <v>6.1682926829271318</v>
      </c>
      <c r="AF1277" s="69">
        <v>6.1682926829271318</v>
      </c>
      <c r="AG1277" s="69">
        <v>6.1682926829271318</v>
      </c>
    </row>
    <row r="1278" spans="1:33">
      <c r="A1278" s="236" t="s">
        <v>2380</v>
      </c>
      <c r="B1278" s="69" t="s">
        <v>339</v>
      </c>
      <c r="C1278" s="69" t="s">
        <v>186</v>
      </c>
      <c r="D1278" s="69" t="s">
        <v>218</v>
      </c>
      <c r="E1278" s="69" t="s">
        <v>260</v>
      </c>
      <c r="F1278" s="69" t="s">
        <v>157</v>
      </c>
      <c r="G1278" s="69" t="s">
        <v>192</v>
      </c>
      <c r="H1278" s="69" t="s">
        <v>805</v>
      </c>
      <c r="I1278" s="69">
        <v>1</v>
      </c>
      <c r="J1278" s="238">
        <v>0.21868155325388869</v>
      </c>
      <c r="K1278" s="238">
        <v>0</v>
      </c>
      <c r="L1278" s="69">
        <v>215.67609549071619</v>
      </c>
      <c r="M1278" s="69">
        <v>-5.2201591511936343</v>
      </c>
      <c r="N1278" s="69">
        <v>26.249425539017466</v>
      </c>
      <c r="O1278" s="69">
        <v>26.249425539017466</v>
      </c>
      <c r="P1278" s="69">
        <v>26.249425539017466</v>
      </c>
      <c r="Q1278" s="69">
        <v>26.249425539017466</v>
      </c>
      <c r="R1278" s="69">
        <v>26.249425539017466</v>
      </c>
      <c r="S1278" s="69">
        <v>26.249425539017466</v>
      </c>
      <c r="T1278" s="69">
        <v>26.249425539017466</v>
      </c>
      <c r="U1278" s="69">
        <v>26.249425539017466</v>
      </c>
      <c r="V1278" s="69">
        <v>26.249425539017466</v>
      </c>
      <c r="W1278" s="69">
        <v>26.249425539017466</v>
      </c>
      <c r="X1278" s="69">
        <v>26.249425539017466</v>
      </c>
      <c r="Y1278" s="69">
        <v>26.249425539017466</v>
      </c>
      <c r="Z1278" s="69">
        <v>26.249425539017466</v>
      </c>
      <c r="AA1278" s="69">
        <v>26.249425539017466</v>
      </c>
      <c r="AB1278" s="69">
        <v>26.249425539017466</v>
      </c>
      <c r="AC1278" s="69">
        <v>26.249425539017466</v>
      </c>
      <c r="AD1278" s="69">
        <v>26.249425539017466</v>
      </c>
      <c r="AE1278" s="69">
        <v>26.249425539017466</v>
      </c>
      <c r="AF1278" s="69">
        <v>26.249425539017466</v>
      </c>
      <c r="AG1278" s="69">
        <v>26.249425539017466</v>
      </c>
    </row>
    <row r="1279" spans="1:33">
      <c r="A1279" s="236" t="s">
        <v>2380</v>
      </c>
      <c r="B1279" s="69" t="s">
        <v>340</v>
      </c>
      <c r="C1279" s="69" t="s">
        <v>186</v>
      </c>
      <c r="D1279" s="69" t="s">
        <v>218</v>
      </c>
      <c r="E1279" s="69" t="s">
        <v>203</v>
      </c>
      <c r="F1279" s="69" t="s">
        <v>157</v>
      </c>
      <c r="G1279" s="69" t="s">
        <v>192</v>
      </c>
      <c r="H1279" s="69" t="s">
        <v>805</v>
      </c>
      <c r="I1279" s="69">
        <v>1</v>
      </c>
      <c r="J1279" s="238">
        <v>0.23561922263058244</v>
      </c>
      <c r="K1279" s="238">
        <v>0</v>
      </c>
      <c r="L1279" s="69">
        <v>200.17205317577549</v>
      </c>
      <c r="M1279" s="69">
        <v>-4.8449039881831615</v>
      </c>
      <c r="N1279" s="69">
        <v>69.965023431977897</v>
      </c>
      <c r="O1279" s="69">
        <v>69.965023431977897</v>
      </c>
      <c r="P1279" s="69">
        <v>69.965023431977897</v>
      </c>
      <c r="Q1279" s="69">
        <v>69.965023431977897</v>
      </c>
      <c r="R1279" s="69">
        <v>69.965023431977897</v>
      </c>
      <c r="S1279" s="69">
        <v>69.965023431977897</v>
      </c>
      <c r="T1279" s="69">
        <v>69.965023431977897</v>
      </c>
      <c r="U1279" s="69">
        <v>69.965023431977897</v>
      </c>
      <c r="V1279" s="69">
        <v>69.965023431977897</v>
      </c>
      <c r="W1279" s="69">
        <v>69.965023431977897</v>
      </c>
      <c r="X1279" s="69">
        <v>69.965023431977897</v>
      </c>
      <c r="Y1279" s="69">
        <v>69.965023431977897</v>
      </c>
      <c r="Z1279" s="69">
        <v>69.965023431977897</v>
      </c>
      <c r="AA1279" s="69">
        <v>69.965023431977897</v>
      </c>
      <c r="AB1279" s="69">
        <v>69.965023431977897</v>
      </c>
      <c r="AC1279" s="69">
        <v>69.965023431977897</v>
      </c>
      <c r="AD1279" s="69">
        <v>69.965023431977897</v>
      </c>
      <c r="AE1279" s="69">
        <v>69.965023431977897</v>
      </c>
      <c r="AF1279" s="69">
        <v>69.965023431977897</v>
      </c>
      <c r="AG1279" s="69">
        <v>69.965023431977897</v>
      </c>
    </row>
    <row r="1280" spans="1:33">
      <c r="A1280" s="236" t="s">
        <v>2380</v>
      </c>
      <c r="B1280" s="69" t="s">
        <v>341</v>
      </c>
      <c r="C1280" s="69" t="s">
        <v>186</v>
      </c>
      <c r="D1280" s="69" t="s">
        <v>218</v>
      </c>
      <c r="E1280" s="69" t="s">
        <v>260</v>
      </c>
      <c r="F1280" s="69" t="s">
        <v>157</v>
      </c>
      <c r="G1280" s="69" t="s">
        <v>192</v>
      </c>
      <c r="H1280" s="69" t="s">
        <v>805</v>
      </c>
      <c r="I1280" s="69">
        <v>1</v>
      </c>
      <c r="J1280" s="238">
        <v>0.21868155325388869</v>
      </c>
      <c r="K1280" s="238">
        <v>0</v>
      </c>
      <c r="L1280" s="69">
        <v>215.67609549071619</v>
      </c>
      <c r="M1280" s="69">
        <v>-5.2201591511936343</v>
      </c>
      <c r="N1280" s="69">
        <v>0</v>
      </c>
      <c r="O1280" s="69">
        <v>26.249425539017466</v>
      </c>
      <c r="P1280" s="69">
        <v>26.249425539017466</v>
      </c>
      <c r="Q1280" s="69">
        <v>26.249425539017466</v>
      </c>
      <c r="R1280" s="69">
        <v>26.249425539017466</v>
      </c>
      <c r="S1280" s="69">
        <v>26.249425539017466</v>
      </c>
      <c r="T1280" s="69">
        <v>26.249425539017466</v>
      </c>
      <c r="U1280" s="69">
        <v>26.249425539017466</v>
      </c>
      <c r="V1280" s="69">
        <v>26.249425539017466</v>
      </c>
      <c r="W1280" s="69">
        <v>26.249425539017466</v>
      </c>
      <c r="X1280" s="69">
        <v>26.249425539017466</v>
      </c>
      <c r="Y1280" s="69">
        <v>26.249425539017466</v>
      </c>
      <c r="Z1280" s="69">
        <v>26.249425539017466</v>
      </c>
      <c r="AA1280" s="69">
        <v>26.249425539017466</v>
      </c>
      <c r="AB1280" s="69">
        <v>26.249425539017466</v>
      </c>
      <c r="AC1280" s="69">
        <v>26.249425539017466</v>
      </c>
      <c r="AD1280" s="69">
        <v>26.249425539017466</v>
      </c>
      <c r="AE1280" s="69">
        <v>26.249425539017466</v>
      </c>
      <c r="AF1280" s="69">
        <v>26.249425539017466</v>
      </c>
      <c r="AG1280" s="69">
        <v>26.249425539017466</v>
      </c>
    </row>
    <row r="1281" spans="1:33">
      <c r="A1281" s="236" t="s">
        <v>2380</v>
      </c>
      <c r="B1281" s="69" t="s">
        <v>342</v>
      </c>
      <c r="C1281" s="69" t="s">
        <v>186</v>
      </c>
      <c r="D1281" s="69" t="s">
        <v>218</v>
      </c>
      <c r="E1281" s="69" t="s">
        <v>203</v>
      </c>
      <c r="F1281" s="69" t="s">
        <v>157</v>
      </c>
      <c r="G1281" s="69" t="s">
        <v>192</v>
      </c>
      <c r="H1281" s="69" t="s">
        <v>805</v>
      </c>
      <c r="I1281" s="69">
        <v>1</v>
      </c>
      <c r="J1281" s="238">
        <v>0.23561922263058244</v>
      </c>
      <c r="K1281" s="238">
        <v>0</v>
      </c>
      <c r="L1281" s="69">
        <v>200.17205317577549</v>
      </c>
      <c r="M1281" s="69">
        <v>-4.8449039881831615</v>
      </c>
      <c r="N1281" s="69">
        <v>0</v>
      </c>
      <c r="O1281" s="69">
        <v>69.965023431977897</v>
      </c>
      <c r="P1281" s="69">
        <v>69.965023431977897</v>
      </c>
      <c r="Q1281" s="69">
        <v>69.965023431977897</v>
      </c>
      <c r="R1281" s="69">
        <v>69.965023431977897</v>
      </c>
      <c r="S1281" s="69">
        <v>69.965023431977897</v>
      </c>
      <c r="T1281" s="69">
        <v>69.965023431977897</v>
      </c>
      <c r="U1281" s="69">
        <v>69.965023431977897</v>
      </c>
      <c r="V1281" s="69">
        <v>69.965023431977897</v>
      </c>
      <c r="W1281" s="69">
        <v>69.965023431977897</v>
      </c>
      <c r="X1281" s="69">
        <v>69.965023431977897</v>
      </c>
      <c r="Y1281" s="69">
        <v>69.965023431977897</v>
      </c>
      <c r="Z1281" s="69">
        <v>69.965023431977897</v>
      </c>
      <c r="AA1281" s="69">
        <v>69.965023431977897</v>
      </c>
      <c r="AB1281" s="69">
        <v>69.965023431977897</v>
      </c>
      <c r="AC1281" s="69">
        <v>69.965023431977897</v>
      </c>
      <c r="AD1281" s="69">
        <v>69.965023431977897</v>
      </c>
      <c r="AE1281" s="69">
        <v>69.965023431977897</v>
      </c>
      <c r="AF1281" s="69">
        <v>69.965023431977897</v>
      </c>
      <c r="AG1281" s="69">
        <v>69.965023431977897</v>
      </c>
    </row>
    <row r="1282" spans="1:33">
      <c r="A1282" s="236" t="s">
        <v>2380</v>
      </c>
      <c r="B1282" s="69" t="s">
        <v>343</v>
      </c>
      <c r="C1282" s="69" t="s">
        <v>186</v>
      </c>
      <c r="D1282" s="69" t="s">
        <v>218</v>
      </c>
      <c r="E1282" s="69" t="s">
        <v>260</v>
      </c>
      <c r="F1282" s="69" t="s">
        <v>157</v>
      </c>
      <c r="G1282" s="69" t="s">
        <v>192</v>
      </c>
      <c r="H1282" s="69" t="s">
        <v>805</v>
      </c>
      <c r="I1282" s="69">
        <v>1</v>
      </c>
      <c r="J1282" s="238">
        <v>0.21868155325388869</v>
      </c>
      <c r="K1282" s="238">
        <v>0</v>
      </c>
      <c r="L1282" s="69">
        <v>215.67609549071619</v>
      </c>
      <c r="M1282" s="69">
        <v>-5.2201591511936343</v>
      </c>
      <c r="N1282" s="69">
        <v>0</v>
      </c>
      <c r="O1282" s="69">
        <v>0</v>
      </c>
      <c r="P1282" s="69">
        <v>26.249425539017466</v>
      </c>
      <c r="Q1282" s="69">
        <v>26.249425539017466</v>
      </c>
      <c r="R1282" s="69">
        <v>26.249425539017466</v>
      </c>
      <c r="S1282" s="69">
        <v>26.249425539017466</v>
      </c>
      <c r="T1282" s="69">
        <v>26.249425539017466</v>
      </c>
      <c r="U1282" s="69">
        <v>26.249425539017466</v>
      </c>
      <c r="V1282" s="69">
        <v>26.249425539017466</v>
      </c>
      <c r="W1282" s="69">
        <v>26.249425539017466</v>
      </c>
      <c r="X1282" s="69">
        <v>26.249425539017466</v>
      </c>
      <c r="Y1282" s="69">
        <v>26.249425539017466</v>
      </c>
      <c r="Z1282" s="69">
        <v>26.249425539017466</v>
      </c>
      <c r="AA1282" s="69">
        <v>26.249425539017466</v>
      </c>
      <c r="AB1282" s="69">
        <v>26.249425539017466</v>
      </c>
      <c r="AC1282" s="69">
        <v>26.249425539017466</v>
      </c>
      <c r="AD1282" s="69">
        <v>26.249425539017466</v>
      </c>
      <c r="AE1282" s="69">
        <v>26.249425539017466</v>
      </c>
      <c r="AF1282" s="69">
        <v>26.249425539017466</v>
      </c>
      <c r="AG1282" s="69">
        <v>26.249425539017466</v>
      </c>
    </row>
    <row r="1283" spans="1:33">
      <c r="A1283" s="236" t="s">
        <v>2380</v>
      </c>
      <c r="B1283" s="69" t="s">
        <v>344</v>
      </c>
      <c r="C1283" s="69" t="s">
        <v>186</v>
      </c>
      <c r="D1283" s="69" t="s">
        <v>218</v>
      </c>
      <c r="E1283" s="69" t="s">
        <v>203</v>
      </c>
      <c r="F1283" s="69" t="s">
        <v>157</v>
      </c>
      <c r="G1283" s="69" t="s">
        <v>192</v>
      </c>
      <c r="H1283" s="69" t="s">
        <v>805</v>
      </c>
      <c r="I1283" s="69">
        <v>1</v>
      </c>
      <c r="J1283" s="238">
        <v>0.23561922263058244</v>
      </c>
      <c r="K1283" s="238">
        <v>0</v>
      </c>
      <c r="L1283" s="69">
        <v>200.17205317577549</v>
      </c>
      <c r="M1283" s="69">
        <v>-4.8449039881831615</v>
      </c>
      <c r="N1283" s="69">
        <v>0</v>
      </c>
      <c r="O1283" s="69">
        <v>0</v>
      </c>
      <c r="P1283" s="69">
        <v>69.965023431977897</v>
      </c>
      <c r="Q1283" s="69">
        <v>69.965023431977897</v>
      </c>
      <c r="R1283" s="69">
        <v>69.965023431977897</v>
      </c>
      <c r="S1283" s="69">
        <v>69.965023431977897</v>
      </c>
      <c r="T1283" s="69">
        <v>69.965023431977897</v>
      </c>
      <c r="U1283" s="69">
        <v>69.965023431977897</v>
      </c>
      <c r="V1283" s="69">
        <v>69.965023431977897</v>
      </c>
      <c r="W1283" s="69">
        <v>69.965023431977897</v>
      </c>
      <c r="X1283" s="69">
        <v>69.965023431977897</v>
      </c>
      <c r="Y1283" s="69">
        <v>69.965023431977897</v>
      </c>
      <c r="Z1283" s="69">
        <v>69.965023431977897</v>
      </c>
      <c r="AA1283" s="69">
        <v>69.965023431977897</v>
      </c>
      <c r="AB1283" s="69">
        <v>69.965023431977897</v>
      </c>
      <c r="AC1283" s="69">
        <v>69.965023431977897</v>
      </c>
      <c r="AD1283" s="69">
        <v>69.965023431977897</v>
      </c>
      <c r="AE1283" s="69">
        <v>69.965023431977897</v>
      </c>
      <c r="AF1283" s="69">
        <v>69.965023431977897</v>
      </c>
      <c r="AG1283" s="69">
        <v>69.965023431977897</v>
      </c>
    </row>
    <row r="1284" spans="1:33">
      <c r="A1284" s="236" t="s">
        <v>2380</v>
      </c>
      <c r="B1284" s="69" t="s">
        <v>345</v>
      </c>
      <c r="C1284" s="69" t="s">
        <v>186</v>
      </c>
      <c r="D1284" s="69" t="s">
        <v>218</v>
      </c>
      <c r="E1284" s="69" t="s">
        <v>260</v>
      </c>
      <c r="F1284" s="69" t="s">
        <v>157</v>
      </c>
      <c r="G1284" s="69" t="s">
        <v>192</v>
      </c>
      <c r="H1284" s="69" t="s">
        <v>805</v>
      </c>
      <c r="I1284" s="69">
        <v>1</v>
      </c>
      <c r="J1284" s="238">
        <v>0.21868155325388869</v>
      </c>
      <c r="K1284" s="238">
        <v>0</v>
      </c>
      <c r="L1284" s="69">
        <v>215.67609549071619</v>
      </c>
      <c r="M1284" s="69">
        <v>-5.2201591511936343</v>
      </c>
      <c r="N1284" s="69">
        <v>0</v>
      </c>
      <c r="O1284" s="69">
        <v>0</v>
      </c>
      <c r="P1284" s="69">
        <v>0</v>
      </c>
      <c r="Q1284" s="69">
        <v>26.249425539017466</v>
      </c>
      <c r="R1284" s="69">
        <v>26.249425539017466</v>
      </c>
      <c r="S1284" s="69">
        <v>26.249425539017466</v>
      </c>
      <c r="T1284" s="69">
        <v>26.249425539017466</v>
      </c>
      <c r="U1284" s="69">
        <v>26.249425539017466</v>
      </c>
      <c r="V1284" s="69">
        <v>26.249425539017466</v>
      </c>
      <c r="W1284" s="69">
        <v>26.249425539017466</v>
      </c>
      <c r="X1284" s="69">
        <v>26.249425539017466</v>
      </c>
      <c r="Y1284" s="69">
        <v>26.249425539017466</v>
      </c>
      <c r="Z1284" s="69">
        <v>26.249425539017466</v>
      </c>
      <c r="AA1284" s="69">
        <v>26.249425539017466</v>
      </c>
      <c r="AB1284" s="69">
        <v>26.249425539017466</v>
      </c>
      <c r="AC1284" s="69">
        <v>26.249425539017466</v>
      </c>
      <c r="AD1284" s="69">
        <v>26.249425539017466</v>
      </c>
      <c r="AE1284" s="69">
        <v>26.249425539017466</v>
      </c>
      <c r="AF1284" s="69">
        <v>26.249425539017466</v>
      </c>
      <c r="AG1284" s="69">
        <v>26.249425539017466</v>
      </c>
    </row>
    <row r="1285" spans="1:33">
      <c r="A1285" s="236" t="s">
        <v>2380</v>
      </c>
      <c r="B1285" s="69" t="s">
        <v>346</v>
      </c>
      <c r="C1285" s="69" t="s">
        <v>186</v>
      </c>
      <c r="D1285" s="69" t="s">
        <v>218</v>
      </c>
      <c r="E1285" s="69" t="s">
        <v>203</v>
      </c>
      <c r="F1285" s="69" t="s">
        <v>157</v>
      </c>
      <c r="G1285" s="69" t="s">
        <v>192</v>
      </c>
      <c r="H1285" s="69" t="s">
        <v>805</v>
      </c>
      <c r="I1285" s="69">
        <v>1</v>
      </c>
      <c r="J1285" s="238">
        <v>0.23561922263058244</v>
      </c>
      <c r="K1285" s="238">
        <v>0</v>
      </c>
      <c r="L1285" s="69">
        <v>200.17205317577549</v>
      </c>
      <c r="M1285" s="69">
        <v>-4.8449039881831615</v>
      </c>
      <c r="N1285" s="69">
        <v>0</v>
      </c>
      <c r="O1285" s="69">
        <v>0</v>
      </c>
      <c r="P1285" s="69">
        <v>0</v>
      </c>
      <c r="Q1285" s="69">
        <v>69.965023431977897</v>
      </c>
      <c r="R1285" s="69">
        <v>69.965023431977897</v>
      </c>
      <c r="S1285" s="69">
        <v>69.965023431977897</v>
      </c>
      <c r="T1285" s="69">
        <v>69.965023431977897</v>
      </c>
      <c r="U1285" s="69">
        <v>69.965023431977897</v>
      </c>
      <c r="V1285" s="69">
        <v>69.965023431977897</v>
      </c>
      <c r="W1285" s="69">
        <v>69.965023431977897</v>
      </c>
      <c r="X1285" s="69">
        <v>69.965023431977897</v>
      </c>
      <c r="Y1285" s="69">
        <v>69.965023431977897</v>
      </c>
      <c r="Z1285" s="69">
        <v>69.965023431977897</v>
      </c>
      <c r="AA1285" s="69">
        <v>69.965023431977897</v>
      </c>
      <c r="AB1285" s="69">
        <v>69.965023431977897</v>
      </c>
      <c r="AC1285" s="69">
        <v>69.965023431977897</v>
      </c>
      <c r="AD1285" s="69">
        <v>69.965023431977897</v>
      </c>
      <c r="AE1285" s="69">
        <v>69.965023431977897</v>
      </c>
      <c r="AF1285" s="69">
        <v>69.965023431977897</v>
      </c>
      <c r="AG1285" s="69">
        <v>69.965023431977897</v>
      </c>
    </row>
    <row r="1286" spans="1:33">
      <c r="A1286" s="236" t="s">
        <v>2380</v>
      </c>
      <c r="B1286" s="69" t="s">
        <v>347</v>
      </c>
      <c r="C1286" s="69" t="s">
        <v>186</v>
      </c>
      <c r="D1286" s="69" t="s">
        <v>218</v>
      </c>
      <c r="E1286" s="69" t="s">
        <v>260</v>
      </c>
      <c r="F1286" s="69" t="s">
        <v>157</v>
      </c>
      <c r="G1286" s="69" t="s">
        <v>192</v>
      </c>
      <c r="H1286" s="69" t="s">
        <v>805</v>
      </c>
      <c r="I1286" s="69">
        <v>1</v>
      </c>
      <c r="J1286" s="238">
        <v>0.21868155325388869</v>
      </c>
      <c r="K1286" s="238">
        <v>0</v>
      </c>
      <c r="L1286" s="69">
        <v>215.67609549071619</v>
      </c>
      <c r="M1286" s="69">
        <v>-5.2201591511936343</v>
      </c>
      <c r="N1286" s="69">
        <v>0</v>
      </c>
      <c r="O1286" s="69">
        <v>0</v>
      </c>
      <c r="P1286" s="69">
        <v>0</v>
      </c>
      <c r="Q1286" s="69">
        <v>0</v>
      </c>
      <c r="R1286" s="69">
        <v>26.249425539017466</v>
      </c>
      <c r="S1286" s="69">
        <v>26.249425539017466</v>
      </c>
      <c r="T1286" s="69">
        <v>26.249425539017466</v>
      </c>
      <c r="U1286" s="69">
        <v>26.249425539017466</v>
      </c>
      <c r="V1286" s="69">
        <v>26.249425539017466</v>
      </c>
      <c r="W1286" s="69">
        <v>26.249425539017466</v>
      </c>
      <c r="X1286" s="69">
        <v>26.249425539017466</v>
      </c>
      <c r="Y1286" s="69">
        <v>26.249425539017466</v>
      </c>
      <c r="Z1286" s="69">
        <v>26.249425539017466</v>
      </c>
      <c r="AA1286" s="69">
        <v>26.249425539017466</v>
      </c>
      <c r="AB1286" s="69">
        <v>26.249425539017466</v>
      </c>
      <c r="AC1286" s="69">
        <v>26.249425539017466</v>
      </c>
      <c r="AD1286" s="69">
        <v>26.249425539017466</v>
      </c>
      <c r="AE1286" s="69">
        <v>26.249425539017466</v>
      </c>
      <c r="AF1286" s="69">
        <v>26.249425539017466</v>
      </c>
      <c r="AG1286" s="69">
        <v>26.249425539017466</v>
      </c>
    </row>
    <row r="1287" spans="1:33">
      <c r="A1287" s="236" t="s">
        <v>2380</v>
      </c>
      <c r="B1287" s="69" t="s">
        <v>348</v>
      </c>
      <c r="C1287" s="69" t="s">
        <v>186</v>
      </c>
      <c r="D1287" s="69" t="s">
        <v>218</v>
      </c>
      <c r="E1287" s="69" t="s">
        <v>203</v>
      </c>
      <c r="F1287" s="69" t="s">
        <v>157</v>
      </c>
      <c r="G1287" s="69" t="s">
        <v>192</v>
      </c>
      <c r="H1287" s="69" t="s">
        <v>805</v>
      </c>
      <c r="I1287" s="69">
        <v>1</v>
      </c>
      <c r="J1287" s="238">
        <v>0.23561922263058244</v>
      </c>
      <c r="K1287" s="238">
        <v>0</v>
      </c>
      <c r="L1287" s="69">
        <v>200.17205317577549</v>
      </c>
      <c r="M1287" s="69">
        <v>-4.8449039881831615</v>
      </c>
      <c r="N1287" s="69">
        <v>0</v>
      </c>
      <c r="O1287" s="69">
        <v>0</v>
      </c>
      <c r="P1287" s="69">
        <v>0</v>
      </c>
      <c r="Q1287" s="69">
        <v>0</v>
      </c>
      <c r="R1287" s="69">
        <v>69.965023431977897</v>
      </c>
      <c r="S1287" s="69">
        <v>69.965023431977897</v>
      </c>
      <c r="T1287" s="69">
        <v>69.965023431977897</v>
      </c>
      <c r="U1287" s="69">
        <v>69.965023431977897</v>
      </c>
      <c r="V1287" s="69">
        <v>69.965023431977897</v>
      </c>
      <c r="W1287" s="69">
        <v>69.965023431977897</v>
      </c>
      <c r="X1287" s="69">
        <v>69.965023431977897</v>
      </c>
      <c r="Y1287" s="69">
        <v>69.965023431977897</v>
      </c>
      <c r="Z1287" s="69">
        <v>69.965023431977897</v>
      </c>
      <c r="AA1287" s="69">
        <v>69.965023431977897</v>
      </c>
      <c r="AB1287" s="69">
        <v>69.965023431977897</v>
      </c>
      <c r="AC1287" s="69">
        <v>69.965023431977897</v>
      </c>
      <c r="AD1287" s="69">
        <v>69.965023431977897</v>
      </c>
      <c r="AE1287" s="69">
        <v>69.965023431977897</v>
      </c>
      <c r="AF1287" s="69">
        <v>69.965023431977897</v>
      </c>
      <c r="AG1287" s="69">
        <v>69.965023431977897</v>
      </c>
    </row>
    <row r="1288" spans="1:33">
      <c r="A1288" s="236" t="s">
        <v>2380</v>
      </c>
      <c r="B1288" s="69" t="s">
        <v>349</v>
      </c>
      <c r="C1288" s="69" t="s">
        <v>186</v>
      </c>
      <c r="D1288" s="69" t="s">
        <v>334</v>
      </c>
      <c r="E1288" s="69" t="s">
        <v>242</v>
      </c>
      <c r="F1288" s="69" t="s">
        <v>158</v>
      </c>
      <c r="G1288" s="69" t="s">
        <v>192</v>
      </c>
      <c r="H1288" s="69" t="s">
        <v>804</v>
      </c>
      <c r="I1288" s="69">
        <v>1</v>
      </c>
      <c r="J1288" s="238">
        <v>0.21172086720867206</v>
      </c>
      <c r="K1288" s="238">
        <v>0</v>
      </c>
      <c r="L1288" s="69">
        <v>283.70472328767124</v>
      </c>
      <c r="M1288" s="69">
        <v>-24.263013698630136</v>
      </c>
      <c r="N1288" s="69">
        <v>133.53658536585317</v>
      </c>
      <c r="O1288" s="69">
        <v>133.53658536585317</v>
      </c>
      <c r="P1288" s="69">
        <v>133.53658536585317</v>
      </c>
      <c r="Q1288" s="69">
        <v>133.53658536585317</v>
      </c>
      <c r="R1288" s="69">
        <v>133.53658536585317</v>
      </c>
      <c r="S1288" s="69">
        <v>133.53658536585317</v>
      </c>
      <c r="T1288" s="69">
        <v>133.53658536585317</v>
      </c>
      <c r="U1288" s="69">
        <v>133.53658536585317</v>
      </c>
      <c r="V1288" s="69">
        <v>133.53658536585317</v>
      </c>
      <c r="W1288" s="69">
        <v>133.53658536585317</v>
      </c>
      <c r="X1288" s="69">
        <v>133.53658536585317</v>
      </c>
      <c r="Y1288" s="69">
        <v>133.53658536585317</v>
      </c>
      <c r="Z1288" s="69">
        <v>133.53658536585317</v>
      </c>
      <c r="AA1288" s="69">
        <v>133.53658536585317</v>
      </c>
      <c r="AB1288" s="69">
        <v>133.53658536585317</v>
      </c>
      <c r="AC1288" s="69">
        <v>133.53658536585317</v>
      </c>
      <c r="AD1288" s="69">
        <v>133.53658536585317</v>
      </c>
      <c r="AE1288" s="69">
        <v>133.53658536585317</v>
      </c>
      <c r="AF1288" s="69">
        <v>133.53658536585317</v>
      </c>
      <c r="AG1288" s="69">
        <v>133.53658536585317</v>
      </c>
    </row>
    <row r="1289" spans="1:33">
      <c r="A1289" s="236" t="s">
        <v>2380</v>
      </c>
      <c r="B1289" s="69" t="s">
        <v>350</v>
      </c>
      <c r="C1289" s="69" t="s">
        <v>186</v>
      </c>
      <c r="D1289" s="69" t="s">
        <v>334</v>
      </c>
      <c r="E1289" s="69" t="s">
        <v>242</v>
      </c>
      <c r="F1289" s="69" t="s">
        <v>158</v>
      </c>
      <c r="G1289" s="69" t="s">
        <v>192</v>
      </c>
      <c r="H1289" s="69" t="s">
        <v>804</v>
      </c>
      <c r="I1289" s="69">
        <v>1</v>
      </c>
      <c r="J1289" s="238">
        <v>0.21172086720867206</v>
      </c>
      <c r="K1289" s="238">
        <v>0</v>
      </c>
      <c r="L1289" s="69">
        <v>283.70472328767124</v>
      </c>
      <c r="M1289" s="69">
        <v>-24.263013698630136</v>
      </c>
      <c r="N1289" s="69">
        <v>0</v>
      </c>
      <c r="O1289" s="69">
        <v>133.53658536585317</v>
      </c>
      <c r="P1289" s="69">
        <v>133.53658536585317</v>
      </c>
      <c r="Q1289" s="69">
        <v>133.53658536585317</v>
      </c>
      <c r="R1289" s="69">
        <v>133.53658536585317</v>
      </c>
      <c r="S1289" s="69">
        <v>133.53658536585317</v>
      </c>
      <c r="T1289" s="69">
        <v>133.53658536585317</v>
      </c>
      <c r="U1289" s="69">
        <v>133.53658536585317</v>
      </c>
      <c r="V1289" s="69">
        <v>133.53658536585317</v>
      </c>
      <c r="W1289" s="69">
        <v>133.53658536585317</v>
      </c>
      <c r="X1289" s="69">
        <v>133.53658536585317</v>
      </c>
      <c r="Y1289" s="69">
        <v>133.53658536585317</v>
      </c>
      <c r="Z1289" s="69">
        <v>133.53658536585317</v>
      </c>
      <c r="AA1289" s="69">
        <v>133.53658536585317</v>
      </c>
      <c r="AB1289" s="69">
        <v>133.53658536585317</v>
      </c>
      <c r="AC1289" s="69">
        <v>133.53658536585317</v>
      </c>
      <c r="AD1289" s="69">
        <v>133.53658536585317</v>
      </c>
      <c r="AE1289" s="69">
        <v>133.53658536585317</v>
      </c>
      <c r="AF1289" s="69">
        <v>133.53658536585317</v>
      </c>
      <c r="AG1289" s="69">
        <v>133.53658536585317</v>
      </c>
    </row>
    <row r="1290" spans="1:33">
      <c r="A1290" s="236" t="s">
        <v>2380</v>
      </c>
      <c r="B1290" s="69" t="s">
        <v>351</v>
      </c>
      <c r="C1290" s="69" t="s">
        <v>186</v>
      </c>
      <c r="D1290" s="69" t="s">
        <v>334</v>
      </c>
      <c r="E1290" s="69" t="s">
        <v>242</v>
      </c>
      <c r="F1290" s="69" t="s">
        <v>158</v>
      </c>
      <c r="G1290" s="69" t="s">
        <v>192</v>
      </c>
      <c r="H1290" s="69" t="s">
        <v>804</v>
      </c>
      <c r="I1290" s="69">
        <v>1</v>
      </c>
      <c r="J1290" s="238">
        <v>0.21172086720867206</v>
      </c>
      <c r="K1290" s="238">
        <v>0</v>
      </c>
      <c r="L1290" s="69">
        <v>283.70472328767124</v>
      </c>
      <c r="M1290" s="69">
        <v>-24.263013698630136</v>
      </c>
      <c r="N1290" s="69">
        <v>0</v>
      </c>
      <c r="O1290" s="69">
        <v>0</v>
      </c>
      <c r="P1290" s="69">
        <v>133.53658536585317</v>
      </c>
      <c r="Q1290" s="69">
        <v>133.53658536585317</v>
      </c>
      <c r="R1290" s="69">
        <v>133.53658536585317</v>
      </c>
      <c r="S1290" s="69">
        <v>133.53658536585317</v>
      </c>
      <c r="T1290" s="69">
        <v>133.53658536585317</v>
      </c>
      <c r="U1290" s="69">
        <v>133.53658536585317</v>
      </c>
      <c r="V1290" s="69">
        <v>133.53658536585317</v>
      </c>
      <c r="W1290" s="69">
        <v>133.53658536585317</v>
      </c>
      <c r="X1290" s="69">
        <v>133.53658536585317</v>
      </c>
      <c r="Y1290" s="69">
        <v>133.53658536585317</v>
      </c>
      <c r="Z1290" s="69">
        <v>133.53658536585317</v>
      </c>
      <c r="AA1290" s="69">
        <v>133.53658536585317</v>
      </c>
      <c r="AB1290" s="69">
        <v>133.53658536585317</v>
      </c>
      <c r="AC1290" s="69">
        <v>133.53658536585317</v>
      </c>
      <c r="AD1290" s="69">
        <v>133.53658536585317</v>
      </c>
      <c r="AE1290" s="69">
        <v>133.53658536585317</v>
      </c>
      <c r="AF1290" s="69">
        <v>133.53658536585317</v>
      </c>
      <c r="AG1290" s="69">
        <v>133.53658536585317</v>
      </c>
    </row>
    <row r="1291" spans="1:33">
      <c r="A1291" s="236" t="s">
        <v>2380</v>
      </c>
      <c r="B1291" s="69" t="s">
        <v>352</v>
      </c>
      <c r="C1291" s="69" t="s">
        <v>186</v>
      </c>
      <c r="D1291" s="69" t="s">
        <v>334</v>
      </c>
      <c r="E1291" s="69" t="s">
        <v>242</v>
      </c>
      <c r="F1291" s="69" t="s">
        <v>158</v>
      </c>
      <c r="G1291" s="69" t="s">
        <v>192</v>
      </c>
      <c r="H1291" s="69" t="s">
        <v>804</v>
      </c>
      <c r="I1291" s="69">
        <v>1</v>
      </c>
      <c r="J1291" s="238">
        <v>0.21172086720867206</v>
      </c>
      <c r="K1291" s="238">
        <v>0</v>
      </c>
      <c r="L1291" s="69">
        <v>283.70472328767124</v>
      </c>
      <c r="M1291" s="69">
        <v>-24.263013698630136</v>
      </c>
      <c r="N1291" s="69">
        <v>0</v>
      </c>
      <c r="O1291" s="69">
        <v>0</v>
      </c>
      <c r="P1291" s="69">
        <v>0</v>
      </c>
      <c r="Q1291" s="69">
        <v>133.53658536585317</v>
      </c>
      <c r="R1291" s="69">
        <v>133.53658536585317</v>
      </c>
      <c r="S1291" s="69">
        <v>133.53658536585317</v>
      </c>
      <c r="T1291" s="69">
        <v>133.53658536585317</v>
      </c>
      <c r="U1291" s="69">
        <v>133.53658536585317</v>
      </c>
      <c r="V1291" s="69">
        <v>133.53658536585317</v>
      </c>
      <c r="W1291" s="69">
        <v>133.53658536585317</v>
      </c>
      <c r="X1291" s="69">
        <v>133.53658536585317</v>
      </c>
      <c r="Y1291" s="69">
        <v>133.53658536585317</v>
      </c>
      <c r="Z1291" s="69">
        <v>133.53658536585317</v>
      </c>
      <c r="AA1291" s="69">
        <v>133.53658536585317</v>
      </c>
      <c r="AB1291" s="69">
        <v>133.53658536585317</v>
      </c>
      <c r="AC1291" s="69">
        <v>133.53658536585317</v>
      </c>
      <c r="AD1291" s="69">
        <v>133.53658536585317</v>
      </c>
      <c r="AE1291" s="69">
        <v>133.53658536585317</v>
      </c>
      <c r="AF1291" s="69">
        <v>133.53658536585317</v>
      </c>
      <c r="AG1291" s="69">
        <v>133.53658536585317</v>
      </c>
    </row>
    <row r="1292" spans="1:33">
      <c r="A1292" s="236" t="s">
        <v>2380</v>
      </c>
      <c r="B1292" s="69" t="s">
        <v>353</v>
      </c>
      <c r="C1292" s="69" t="s">
        <v>186</v>
      </c>
      <c r="D1292" s="69" t="s">
        <v>334</v>
      </c>
      <c r="E1292" s="69" t="s">
        <v>242</v>
      </c>
      <c r="F1292" s="69" t="s">
        <v>158</v>
      </c>
      <c r="G1292" s="69" t="s">
        <v>192</v>
      </c>
      <c r="H1292" s="69" t="s">
        <v>804</v>
      </c>
      <c r="I1292" s="69">
        <v>1</v>
      </c>
      <c r="J1292" s="238">
        <v>0.21172086720867206</v>
      </c>
      <c r="K1292" s="238">
        <v>0</v>
      </c>
      <c r="L1292" s="69">
        <v>283.70472328767124</v>
      </c>
      <c r="M1292" s="69">
        <v>-24.263013698630136</v>
      </c>
      <c r="N1292" s="69">
        <v>0</v>
      </c>
      <c r="O1292" s="69">
        <v>0</v>
      </c>
      <c r="P1292" s="69">
        <v>0</v>
      </c>
      <c r="Q1292" s="69">
        <v>0</v>
      </c>
      <c r="R1292" s="69">
        <v>133.53658536585317</v>
      </c>
      <c r="S1292" s="69">
        <v>133.53658536585317</v>
      </c>
      <c r="T1292" s="69">
        <v>133.53658536585317</v>
      </c>
      <c r="U1292" s="69">
        <v>133.53658536585317</v>
      </c>
      <c r="V1292" s="69">
        <v>133.53658536585317</v>
      </c>
      <c r="W1292" s="69">
        <v>133.53658536585317</v>
      </c>
      <c r="X1292" s="69">
        <v>133.53658536585317</v>
      </c>
      <c r="Y1292" s="69">
        <v>133.53658536585317</v>
      </c>
      <c r="Z1292" s="69">
        <v>133.53658536585317</v>
      </c>
      <c r="AA1292" s="69">
        <v>133.53658536585317</v>
      </c>
      <c r="AB1292" s="69">
        <v>133.53658536585317</v>
      </c>
      <c r="AC1292" s="69">
        <v>133.53658536585317</v>
      </c>
      <c r="AD1292" s="69">
        <v>133.53658536585317</v>
      </c>
      <c r="AE1292" s="69">
        <v>133.53658536585317</v>
      </c>
      <c r="AF1292" s="69">
        <v>133.53658536585317</v>
      </c>
      <c r="AG1292" s="69">
        <v>133.53658536585317</v>
      </c>
    </row>
    <row r="1293" spans="1:33">
      <c r="A1293" s="236" t="s">
        <v>2380</v>
      </c>
      <c r="B1293" s="69" t="s">
        <v>354</v>
      </c>
      <c r="C1293" s="69" t="s">
        <v>186</v>
      </c>
      <c r="D1293" s="69" t="s">
        <v>334</v>
      </c>
      <c r="E1293" s="69" t="s">
        <v>242</v>
      </c>
      <c r="F1293" s="69" t="s">
        <v>159</v>
      </c>
      <c r="G1293" s="69" t="s">
        <v>192</v>
      </c>
      <c r="H1293" s="69" t="s">
        <v>2130</v>
      </c>
      <c r="I1293" s="69">
        <v>1</v>
      </c>
      <c r="J1293" s="238">
        <v>0.21172086720867209</v>
      </c>
      <c r="K1293" s="238">
        <v>0</v>
      </c>
      <c r="L1293" s="69">
        <v>283.7047232876713</v>
      </c>
      <c r="M1293" s="69">
        <v>-24.263013698630136</v>
      </c>
      <c r="N1293" s="69">
        <v>12.675377468060105</v>
      </c>
      <c r="O1293" s="69">
        <v>12.675377468060105</v>
      </c>
      <c r="P1293" s="69">
        <v>12.675377468060105</v>
      </c>
      <c r="Q1293" s="69">
        <v>12.675377468060105</v>
      </c>
      <c r="R1293" s="69">
        <v>12.675377468060105</v>
      </c>
      <c r="S1293" s="69">
        <v>12.675377468060105</v>
      </c>
      <c r="T1293" s="69">
        <v>12.675377468060105</v>
      </c>
      <c r="U1293" s="69">
        <v>12.675377468060105</v>
      </c>
      <c r="V1293" s="69">
        <v>12.675377468060105</v>
      </c>
      <c r="W1293" s="69">
        <v>12.675377468060105</v>
      </c>
      <c r="X1293" s="69">
        <v>12.675377468060105</v>
      </c>
      <c r="Y1293" s="69">
        <v>12.675377468060105</v>
      </c>
      <c r="Z1293" s="69">
        <v>12.675377468060105</v>
      </c>
      <c r="AA1293" s="69">
        <v>12.675377468060105</v>
      </c>
      <c r="AB1293" s="69">
        <v>12.675377468060105</v>
      </c>
      <c r="AC1293" s="69">
        <v>12.675377468060105</v>
      </c>
      <c r="AD1293" s="69">
        <v>12.675377468060105</v>
      </c>
      <c r="AE1293" s="69">
        <v>12.675377468060105</v>
      </c>
      <c r="AF1293" s="69">
        <v>12.675377468060105</v>
      </c>
      <c r="AG1293" s="69">
        <v>12.675377468060105</v>
      </c>
    </row>
    <row r="1294" spans="1:33">
      <c r="A1294" s="236" t="s">
        <v>2380</v>
      </c>
      <c r="B1294" s="69" t="s">
        <v>355</v>
      </c>
      <c r="C1294" s="69" t="s">
        <v>186</v>
      </c>
      <c r="D1294" s="69" t="s">
        <v>334</v>
      </c>
      <c r="E1294" s="69" t="s">
        <v>244</v>
      </c>
      <c r="F1294" s="69" t="s">
        <v>159</v>
      </c>
      <c r="G1294" s="69" t="s">
        <v>192</v>
      </c>
      <c r="H1294" s="69" t="s">
        <v>2130</v>
      </c>
      <c r="I1294" s="69">
        <v>1</v>
      </c>
      <c r="J1294" s="238">
        <v>0.22877454801945279</v>
      </c>
      <c r="K1294" s="238">
        <v>0</v>
      </c>
      <c r="L1294" s="69">
        <v>262.55634888438135</v>
      </c>
      <c r="M1294" s="69">
        <v>-22.454361054766736</v>
      </c>
      <c r="N1294" s="69">
        <v>7.1459233449477324</v>
      </c>
      <c r="O1294" s="69">
        <v>7.1459233449477324</v>
      </c>
      <c r="P1294" s="69">
        <v>7.1459233449477324</v>
      </c>
      <c r="Q1294" s="69">
        <v>7.1459233449477324</v>
      </c>
      <c r="R1294" s="69">
        <v>7.1459233449477324</v>
      </c>
      <c r="S1294" s="69">
        <v>7.1459233449477324</v>
      </c>
      <c r="T1294" s="69">
        <v>7.1459233449477324</v>
      </c>
      <c r="U1294" s="69">
        <v>7.1459233449477324</v>
      </c>
      <c r="V1294" s="69">
        <v>7.1459233449477324</v>
      </c>
      <c r="W1294" s="69">
        <v>7.1459233449477324</v>
      </c>
      <c r="X1294" s="69">
        <v>7.1459233449477324</v>
      </c>
      <c r="Y1294" s="69">
        <v>7.1459233449477324</v>
      </c>
      <c r="Z1294" s="69">
        <v>7.1459233449477324</v>
      </c>
      <c r="AA1294" s="69">
        <v>7.1459233449477324</v>
      </c>
      <c r="AB1294" s="69">
        <v>7.1459233449477324</v>
      </c>
      <c r="AC1294" s="69">
        <v>7.1459233449477324</v>
      </c>
      <c r="AD1294" s="69">
        <v>7.1459233449477324</v>
      </c>
      <c r="AE1294" s="69">
        <v>7.1459233449477324</v>
      </c>
      <c r="AF1294" s="69">
        <v>7.1459233449477324</v>
      </c>
      <c r="AG1294" s="69">
        <v>7.1459233449477324</v>
      </c>
    </row>
    <row r="1295" spans="1:33">
      <c r="A1295" s="236" t="s">
        <v>2380</v>
      </c>
      <c r="B1295" s="69" t="s">
        <v>356</v>
      </c>
      <c r="C1295" s="69" t="s">
        <v>186</v>
      </c>
      <c r="D1295" s="69" t="s">
        <v>334</v>
      </c>
      <c r="E1295" s="69" t="s">
        <v>242</v>
      </c>
      <c r="F1295" s="69" t="s">
        <v>159</v>
      </c>
      <c r="G1295" s="69" t="s">
        <v>192</v>
      </c>
      <c r="H1295" s="69" t="s">
        <v>2130</v>
      </c>
      <c r="I1295" s="69">
        <v>1</v>
      </c>
      <c r="J1295" s="238">
        <v>0.21172086720867209</v>
      </c>
      <c r="K1295" s="238">
        <v>0</v>
      </c>
      <c r="L1295" s="69">
        <v>283.7047232876713</v>
      </c>
      <c r="M1295" s="69">
        <v>-24.263013698630136</v>
      </c>
      <c r="N1295" s="69">
        <v>0</v>
      </c>
      <c r="O1295" s="69">
        <v>12.675377468060105</v>
      </c>
      <c r="P1295" s="69">
        <v>12.675377468060105</v>
      </c>
      <c r="Q1295" s="69">
        <v>12.675377468060105</v>
      </c>
      <c r="R1295" s="69">
        <v>12.675377468060105</v>
      </c>
      <c r="S1295" s="69">
        <v>12.675377468060105</v>
      </c>
      <c r="T1295" s="69">
        <v>12.675377468060105</v>
      </c>
      <c r="U1295" s="69">
        <v>12.675377468060105</v>
      </c>
      <c r="V1295" s="69">
        <v>12.675377468060105</v>
      </c>
      <c r="W1295" s="69">
        <v>12.675377468060105</v>
      </c>
      <c r="X1295" s="69">
        <v>12.675377468060105</v>
      </c>
      <c r="Y1295" s="69">
        <v>12.675377468060105</v>
      </c>
      <c r="Z1295" s="69">
        <v>12.675377468060105</v>
      </c>
      <c r="AA1295" s="69">
        <v>12.675377468060105</v>
      </c>
      <c r="AB1295" s="69">
        <v>12.675377468060105</v>
      </c>
      <c r="AC1295" s="69">
        <v>12.675377468060105</v>
      </c>
      <c r="AD1295" s="69">
        <v>12.675377468060105</v>
      </c>
      <c r="AE1295" s="69">
        <v>12.675377468060105</v>
      </c>
      <c r="AF1295" s="69">
        <v>12.675377468060105</v>
      </c>
      <c r="AG1295" s="69">
        <v>12.675377468060105</v>
      </c>
    </row>
    <row r="1296" spans="1:33">
      <c r="A1296" s="236" t="s">
        <v>2380</v>
      </c>
      <c r="B1296" s="69" t="s">
        <v>357</v>
      </c>
      <c r="C1296" s="69" t="s">
        <v>186</v>
      </c>
      <c r="D1296" s="69" t="s">
        <v>334</v>
      </c>
      <c r="E1296" s="69" t="s">
        <v>244</v>
      </c>
      <c r="F1296" s="69" t="s">
        <v>159</v>
      </c>
      <c r="G1296" s="69" t="s">
        <v>192</v>
      </c>
      <c r="H1296" s="69" t="s">
        <v>2130</v>
      </c>
      <c r="I1296" s="69">
        <v>1</v>
      </c>
      <c r="J1296" s="238">
        <v>0.22877454801945279</v>
      </c>
      <c r="K1296" s="238">
        <v>0</v>
      </c>
      <c r="L1296" s="69">
        <v>262.55634888438135</v>
      </c>
      <c r="M1296" s="69">
        <v>-22.454361054766736</v>
      </c>
      <c r="N1296" s="69">
        <v>0</v>
      </c>
      <c r="O1296" s="69">
        <v>7.1459233449477324</v>
      </c>
      <c r="P1296" s="69">
        <v>7.1459233449477324</v>
      </c>
      <c r="Q1296" s="69">
        <v>7.1459233449477324</v>
      </c>
      <c r="R1296" s="69">
        <v>7.1459233449477324</v>
      </c>
      <c r="S1296" s="69">
        <v>7.1459233449477324</v>
      </c>
      <c r="T1296" s="69">
        <v>7.1459233449477324</v>
      </c>
      <c r="U1296" s="69">
        <v>7.1459233449477324</v>
      </c>
      <c r="V1296" s="69">
        <v>7.1459233449477324</v>
      </c>
      <c r="W1296" s="69">
        <v>7.1459233449477324</v>
      </c>
      <c r="X1296" s="69">
        <v>7.1459233449477324</v>
      </c>
      <c r="Y1296" s="69">
        <v>7.1459233449477324</v>
      </c>
      <c r="Z1296" s="69">
        <v>7.1459233449477324</v>
      </c>
      <c r="AA1296" s="69">
        <v>7.1459233449477324</v>
      </c>
      <c r="AB1296" s="69">
        <v>7.1459233449477324</v>
      </c>
      <c r="AC1296" s="69">
        <v>7.1459233449477324</v>
      </c>
      <c r="AD1296" s="69">
        <v>7.1459233449477324</v>
      </c>
      <c r="AE1296" s="69">
        <v>7.1459233449477324</v>
      </c>
      <c r="AF1296" s="69">
        <v>7.1459233449477324</v>
      </c>
      <c r="AG1296" s="69">
        <v>7.1459233449477324</v>
      </c>
    </row>
    <row r="1297" spans="1:33">
      <c r="A1297" s="236" t="s">
        <v>2380</v>
      </c>
      <c r="B1297" s="69" t="s">
        <v>358</v>
      </c>
      <c r="C1297" s="69" t="s">
        <v>186</v>
      </c>
      <c r="D1297" s="69" t="s">
        <v>334</v>
      </c>
      <c r="E1297" s="69" t="s">
        <v>242</v>
      </c>
      <c r="F1297" s="69" t="s">
        <v>159</v>
      </c>
      <c r="G1297" s="69" t="s">
        <v>192</v>
      </c>
      <c r="H1297" s="69" t="s">
        <v>2130</v>
      </c>
      <c r="I1297" s="69">
        <v>1</v>
      </c>
      <c r="J1297" s="238">
        <v>0.21172086720867209</v>
      </c>
      <c r="K1297" s="238">
        <v>0</v>
      </c>
      <c r="L1297" s="69">
        <v>283.7047232876713</v>
      </c>
      <c r="M1297" s="69">
        <v>-24.263013698630136</v>
      </c>
      <c r="N1297" s="69">
        <v>0</v>
      </c>
      <c r="O1297" s="69">
        <v>0</v>
      </c>
      <c r="P1297" s="69">
        <v>12.675377468060105</v>
      </c>
      <c r="Q1297" s="69">
        <v>12.675377468060105</v>
      </c>
      <c r="R1297" s="69">
        <v>12.675377468060105</v>
      </c>
      <c r="S1297" s="69">
        <v>12.675377468060105</v>
      </c>
      <c r="T1297" s="69">
        <v>12.675377468060105</v>
      </c>
      <c r="U1297" s="69">
        <v>12.675377468060105</v>
      </c>
      <c r="V1297" s="69">
        <v>12.675377468060105</v>
      </c>
      <c r="W1297" s="69">
        <v>12.675377468060105</v>
      </c>
      <c r="X1297" s="69">
        <v>12.675377468060105</v>
      </c>
      <c r="Y1297" s="69">
        <v>12.675377468060105</v>
      </c>
      <c r="Z1297" s="69">
        <v>12.675377468060105</v>
      </c>
      <c r="AA1297" s="69">
        <v>12.675377468060105</v>
      </c>
      <c r="AB1297" s="69">
        <v>12.675377468060105</v>
      </c>
      <c r="AC1297" s="69">
        <v>12.675377468060105</v>
      </c>
      <c r="AD1297" s="69">
        <v>12.675377468060105</v>
      </c>
      <c r="AE1297" s="69">
        <v>12.675377468060105</v>
      </c>
      <c r="AF1297" s="69">
        <v>12.675377468060105</v>
      </c>
      <c r="AG1297" s="69">
        <v>12.675377468060105</v>
      </c>
    </row>
    <row r="1298" spans="1:33">
      <c r="A1298" s="236" t="s">
        <v>2380</v>
      </c>
      <c r="B1298" s="69" t="s">
        <v>359</v>
      </c>
      <c r="C1298" s="69" t="s">
        <v>186</v>
      </c>
      <c r="D1298" s="69" t="s">
        <v>334</v>
      </c>
      <c r="E1298" s="69" t="s">
        <v>244</v>
      </c>
      <c r="F1298" s="69" t="s">
        <v>159</v>
      </c>
      <c r="G1298" s="69" t="s">
        <v>192</v>
      </c>
      <c r="H1298" s="69" t="s">
        <v>2130</v>
      </c>
      <c r="I1298" s="69">
        <v>1</v>
      </c>
      <c r="J1298" s="238">
        <v>0.22877454801945279</v>
      </c>
      <c r="K1298" s="238">
        <v>0</v>
      </c>
      <c r="L1298" s="69">
        <v>262.55634888438135</v>
      </c>
      <c r="M1298" s="69">
        <v>-22.454361054766736</v>
      </c>
      <c r="N1298" s="69">
        <v>0</v>
      </c>
      <c r="O1298" s="69">
        <v>0</v>
      </c>
      <c r="P1298" s="69">
        <v>7.1459233449477324</v>
      </c>
      <c r="Q1298" s="69">
        <v>7.1459233449477324</v>
      </c>
      <c r="R1298" s="69">
        <v>7.1459233449477324</v>
      </c>
      <c r="S1298" s="69">
        <v>7.1459233449477324</v>
      </c>
      <c r="T1298" s="69">
        <v>7.1459233449477324</v>
      </c>
      <c r="U1298" s="69">
        <v>7.1459233449477324</v>
      </c>
      <c r="V1298" s="69">
        <v>7.1459233449477324</v>
      </c>
      <c r="W1298" s="69">
        <v>7.1459233449477324</v>
      </c>
      <c r="X1298" s="69">
        <v>7.1459233449477324</v>
      </c>
      <c r="Y1298" s="69">
        <v>7.1459233449477324</v>
      </c>
      <c r="Z1298" s="69">
        <v>7.1459233449477324</v>
      </c>
      <c r="AA1298" s="69">
        <v>7.1459233449477324</v>
      </c>
      <c r="AB1298" s="69">
        <v>7.1459233449477324</v>
      </c>
      <c r="AC1298" s="69">
        <v>7.1459233449477324</v>
      </c>
      <c r="AD1298" s="69">
        <v>7.1459233449477324</v>
      </c>
      <c r="AE1298" s="69">
        <v>7.1459233449477324</v>
      </c>
      <c r="AF1298" s="69">
        <v>7.1459233449477324</v>
      </c>
      <c r="AG1298" s="69">
        <v>7.1459233449477324</v>
      </c>
    </row>
    <row r="1299" spans="1:33">
      <c r="A1299" s="236" t="s">
        <v>2380</v>
      </c>
      <c r="B1299" s="69" t="s">
        <v>360</v>
      </c>
      <c r="C1299" s="69" t="s">
        <v>186</v>
      </c>
      <c r="D1299" s="69" t="s">
        <v>334</v>
      </c>
      <c r="E1299" s="69" t="s">
        <v>242</v>
      </c>
      <c r="F1299" s="69" t="s">
        <v>159</v>
      </c>
      <c r="G1299" s="69" t="s">
        <v>192</v>
      </c>
      <c r="H1299" s="69" t="s">
        <v>2130</v>
      </c>
      <c r="I1299" s="69">
        <v>1</v>
      </c>
      <c r="J1299" s="238">
        <v>0.21172086720867209</v>
      </c>
      <c r="K1299" s="238">
        <v>0</v>
      </c>
      <c r="L1299" s="69">
        <v>283.7047232876713</v>
      </c>
      <c r="M1299" s="69">
        <v>-24.263013698630136</v>
      </c>
      <c r="N1299" s="69">
        <v>0</v>
      </c>
      <c r="O1299" s="69">
        <v>0</v>
      </c>
      <c r="P1299" s="69">
        <v>0</v>
      </c>
      <c r="Q1299" s="69">
        <v>12.675377468060105</v>
      </c>
      <c r="R1299" s="69">
        <v>12.675377468060105</v>
      </c>
      <c r="S1299" s="69">
        <v>12.675377468060105</v>
      </c>
      <c r="T1299" s="69">
        <v>12.675377468060105</v>
      </c>
      <c r="U1299" s="69">
        <v>12.675377468060105</v>
      </c>
      <c r="V1299" s="69">
        <v>12.675377468060105</v>
      </c>
      <c r="W1299" s="69">
        <v>12.675377468060105</v>
      </c>
      <c r="X1299" s="69">
        <v>12.675377468060105</v>
      </c>
      <c r="Y1299" s="69">
        <v>12.675377468060105</v>
      </c>
      <c r="Z1299" s="69">
        <v>12.675377468060105</v>
      </c>
      <c r="AA1299" s="69">
        <v>12.675377468060105</v>
      </c>
      <c r="AB1299" s="69">
        <v>12.675377468060105</v>
      </c>
      <c r="AC1299" s="69">
        <v>12.675377468060105</v>
      </c>
      <c r="AD1299" s="69">
        <v>12.675377468060105</v>
      </c>
      <c r="AE1299" s="69">
        <v>12.675377468060105</v>
      </c>
      <c r="AF1299" s="69">
        <v>12.675377468060105</v>
      </c>
      <c r="AG1299" s="69">
        <v>12.675377468060105</v>
      </c>
    </row>
    <row r="1300" spans="1:33">
      <c r="A1300" s="236" t="s">
        <v>2380</v>
      </c>
      <c r="B1300" s="69" t="s">
        <v>361</v>
      </c>
      <c r="C1300" s="69" t="s">
        <v>186</v>
      </c>
      <c r="D1300" s="69" t="s">
        <v>334</v>
      </c>
      <c r="E1300" s="69" t="s">
        <v>244</v>
      </c>
      <c r="F1300" s="69" t="s">
        <v>159</v>
      </c>
      <c r="G1300" s="69" t="s">
        <v>192</v>
      </c>
      <c r="H1300" s="69" t="s">
        <v>2130</v>
      </c>
      <c r="I1300" s="69">
        <v>1</v>
      </c>
      <c r="J1300" s="238">
        <v>0.22877454801945279</v>
      </c>
      <c r="K1300" s="238">
        <v>0</v>
      </c>
      <c r="L1300" s="69">
        <v>262.55634888438135</v>
      </c>
      <c r="M1300" s="69">
        <v>-22.454361054766736</v>
      </c>
      <c r="N1300" s="69">
        <v>0</v>
      </c>
      <c r="O1300" s="69">
        <v>0</v>
      </c>
      <c r="P1300" s="69">
        <v>0</v>
      </c>
      <c r="Q1300" s="69">
        <v>7.1459233449477324</v>
      </c>
      <c r="R1300" s="69">
        <v>7.1459233449477324</v>
      </c>
      <c r="S1300" s="69">
        <v>7.1459233449477324</v>
      </c>
      <c r="T1300" s="69">
        <v>7.1459233449477324</v>
      </c>
      <c r="U1300" s="69">
        <v>7.1459233449477324</v>
      </c>
      <c r="V1300" s="69">
        <v>7.1459233449477324</v>
      </c>
      <c r="W1300" s="69">
        <v>7.1459233449477324</v>
      </c>
      <c r="X1300" s="69">
        <v>7.1459233449477324</v>
      </c>
      <c r="Y1300" s="69">
        <v>7.1459233449477324</v>
      </c>
      <c r="Z1300" s="69">
        <v>7.1459233449477324</v>
      </c>
      <c r="AA1300" s="69">
        <v>7.1459233449477324</v>
      </c>
      <c r="AB1300" s="69">
        <v>7.1459233449477324</v>
      </c>
      <c r="AC1300" s="69">
        <v>7.1459233449477324</v>
      </c>
      <c r="AD1300" s="69">
        <v>7.1459233449477324</v>
      </c>
      <c r="AE1300" s="69">
        <v>7.1459233449477324</v>
      </c>
      <c r="AF1300" s="69">
        <v>7.1459233449477324</v>
      </c>
      <c r="AG1300" s="69">
        <v>7.1459233449477324</v>
      </c>
    </row>
    <row r="1301" spans="1:33">
      <c r="A1301" s="236" t="s">
        <v>2380</v>
      </c>
      <c r="B1301" s="69" t="s">
        <v>362</v>
      </c>
      <c r="C1301" s="69" t="s">
        <v>186</v>
      </c>
      <c r="D1301" s="69" t="s">
        <v>334</v>
      </c>
      <c r="E1301" s="69" t="s">
        <v>242</v>
      </c>
      <c r="F1301" s="69" t="s">
        <v>159</v>
      </c>
      <c r="G1301" s="69" t="s">
        <v>192</v>
      </c>
      <c r="H1301" s="69" t="s">
        <v>2130</v>
      </c>
      <c r="I1301" s="69">
        <v>1</v>
      </c>
      <c r="J1301" s="238">
        <v>0.21172086720867209</v>
      </c>
      <c r="K1301" s="238">
        <v>0</v>
      </c>
      <c r="L1301" s="69">
        <v>283.7047232876713</v>
      </c>
      <c r="M1301" s="69">
        <v>-24.263013698630136</v>
      </c>
      <c r="N1301" s="69">
        <v>0</v>
      </c>
      <c r="O1301" s="69">
        <v>0</v>
      </c>
      <c r="P1301" s="69">
        <v>0</v>
      </c>
      <c r="Q1301" s="69">
        <v>0</v>
      </c>
      <c r="R1301" s="69">
        <v>12.675377468060105</v>
      </c>
      <c r="S1301" s="69">
        <v>12.675377468060105</v>
      </c>
      <c r="T1301" s="69">
        <v>12.675377468060105</v>
      </c>
      <c r="U1301" s="69">
        <v>12.675377468060105</v>
      </c>
      <c r="V1301" s="69">
        <v>12.675377468060105</v>
      </c>
      <c r="W1301" s="69">
        <v>12.675377468060105</v>
      </c>
      <c r="X1301" s="69">
        <v>12.675377468060105</v>
      </c>
      <c r="Y1301" s="69">
        <v>12.675377468060105</v>
      </c>
      <c r="Z1301" s="69">
        <v>12.675377468060105</v>
      </c>
      <c r="AA1301" s="69">
        <v>12.675377468060105</v>
      </c>
      <c r="AB1301" s="69">
        <v>12.675377468060105</v>
      </c>
      <c r="AC1301" s="69">
        <v>12.675377468060105</v>
      </c>
      <c r="AD1301" s="69">
        <v>12.675377468060105</v>
      </c>
      <c r="AE1301" s="69">
        <v>12.675377468060105</v>
      </c>
      <c r="AF1301" s="69">
        <v>12.675377468060105</v>
      </c>
      <c r="AG1301" s="69">
        <v>12.675377468060105</v>
      </c>
    </row>
    <row r="1302" spans="1:33">
      <c r="A1302" s="236" t="s">
        <v>2380</v>
      </c>
      <c r="B1302" s="69" t="s">
        <v>363</v>
      </c>
      <c r="C1302" s="69" t="s">
        <v>186</v>
      </c>
      <c r="D1302" s="69" t="s">
        <v>334</v>
      </c>
      <c r="E1302" s="69" t="s">
        <v>244</v>
      </c>
      <c r="F1302" s="69" t="s">
        <v>159</v>
      </c>
      <c r="G1302" s="69" t="s">
        <v>192</v>
      </c>
      <c r="H1302" s="69" t="s">
        <v>2130</v>
      </c>
      <c r="I1302" s="69">
        <v>1</v>
      </c>
      <c r="J1302" s="238">
        <v>0.22877454801945279</v>
      </c>
      <c r="K1302" s="238">
        <v>0</v>
      </c>
      <c r="L1302" s="69">
        <v>262.55634888438135</v>
      </c>
      <c r="M1302" s="69">
        <v>-22.454361054766736</v>
      </c>
      <c r="N1302" s="69">
        <v>0</v>
      </c>
      <c r="O1302" s="69">
        <v>0</v>
      </c>
      <c r="P1302" s="69">
        <v>0</v>
      </c>
      <c r="Q1302" s="69">
        <v>0</v>
      </c>
      <c r="R1302" s="69">
        <v>7.1459233449477324</v>
      </c>
      <c r="S1302" s="69">
        <v>7.1459233449477324</v>
      </c>
      <c r="T1302" s="69">
        <v>7.1459233449477324</v>
      </c>
      <c r="U1302" s="69">
        <v>7.1459233449477324</v>
      </c>
      <c r="V1302" s="69">
        <v>7.1459233449477324</v>
      </c>
      <c r="W1302" s="69">
        <v>7.1459233449477324</v>
      </c>
      <c r="X1302" s="69">
        <v>7.1459233449477324</v>
      </c>
      <c r="Y1302" s="69">
        <v>7.1459233449477324</v>
      </c>
      <c r="Z1302" s="69">
        <v>7.1459233449477324</v>
      </c>
      <c r="AA1302" s="69">
        <v>7.1459233449477324</v>
      </c>
      <c r="AB1302" s="69">
        <v>7.1459233449477324</v>
      </c>
      <c r="AC1302" s="69">
        <v>7.1459233449477324</v>
      </c>
      <c r="AD1302" s="69">
        <v>7.1459233449477324</v>
      </c>
      <c r="AE1302" s="69">
        <v>7.1459233449477324</v>
      </c>
      <c r="AF1302" s="69">
        <v>7.1459233449477324</v>
      </c>
      <c r="AG1302" s="69">
        <v>7.1459233449477324</v>
      </c>
    </row>
    <row r="1303" spans="1:33">
      <c r="A1303" s="237" t="s">
        <v>2380</v>
      </c>
      <c r="B1303" s="69" t="s">
        <v>375</v>
      </c>
      <c r="C1303" s="69" t="s">
        <v>136</v>
      </c>
      <c r="D1303" s="69" t="s">
        <v>191</v>
      </c>
      <c r="E1303" s="69" t="s">
        <v>191</v>
      </c>
      <c r="F1303" s="69" t="s">
        <v>161</v>
      </c>
      <c r="G1303" s="69" t="s">
        <v>192</v>
      </c>
      <c r="H1303" s="69" t="s">
        <v>2130</v>
      </c>
      <c r="I1303" s="69">
        <v>3</v>
      </c>
      <c r="J1303" s="238">
        <v>0.8</v>
      </c>
      <c r="K1303" s="238">
        <v>0.70497163608542901</v>
      </c>
      <c r="L1303" s="69">
        <v>88.474187468150532</v>
      </c>
      <c r="M1303" s="69">
        <v>0</v>
      </c>
      <c r="N1303" s="69">
        <v>0</v>
      </c>
      <c r="O1303" s="69">
        <v>0</v>
      </c>
      <c r="P1303" s="69">
        <v>0</v>
      </c>
      <c r="Q1303" s="69">
        <v>0</v>
      </c>
      <c r="R1303" s="69">
        <v>0</v>
      </c>
      <c r="S1303" s="69">
        <v>0</v>
      </c>
      <c r="T1303" s="69">
        <v>0</v>
      </c>
      <c r="U1303" s="69">
        <v>0</v>
      </c>
      <c r="V1303" s="69">
        <v>1121.28</v>
      </c>
      <c r="W1303" s="69">
        <v>1121.28</v>
      </c>
      <c r="X1303" s="69">
        <v>1121.28</v>
      </c>
      <c r="Y1303" s="69">
        <v>1121.28</v>
      </c>
      <c r="Z1303" s="69">
        <v>1121.28</v>
      </c>
      <c r="AA1303" s="69">
        <v>1121.28</v>
      </c>
      <c r="AB1303" s="69">
        <v>1121.28</v>
      </c>
      <c r="AC1303" s="69">
        <v>1121.28</v>
      </c>
      <c r="AD1303" s="69">
        <v>1121.28</v>
      </c>
      <c r="AE1303" s="69">
        <v>1121.28</v>
      </c>
      <c r="AF1303" s="69">
        <v>1121.28</v>
      </c>
      <c r="AG1303" s="69">
        <v>1121.28</v>
      </c>
    </row>
    <row r="1304" spans="1:33">
      <c r="A1304" s="237" t="s">
        <v>2380</v>
      </c>
      <c r="B1304" s="69" t="s">
        <v>376</v>
      </c>
      <c r="C1304" s="69" t="s">
        <v>136</v>
      </c>
      <c r="D1304" s="69" t="s">
        <v>191</v>
      </c>
      <c r="E1304" s="69" t="s">
        <v>191</v>
      </c>
      <c r="F1304" s="69" t="s">
        <v>161</v>
      </c>
      <c r="G1304" s="69" t="s">
        <v>192</v>
      </c>
      <c r="H1304" s="69" t="s">
        <v>2130</v>
      </c>
      <c r="I1304" s="69">
        <v>3</v>
      </c>
      <c r="J1304" s="238">
        <v>0.8</v>
      </c>
      <c r="K1304" s="238">
        <v>0.7049716360854289</v>
      </c>
      <c r="L1304" s="69">
        <v>122.9134568544917</v>
      </c>
      <c r="M1304" s="69">
        <v>0</v>
      </c>
      <c r="N1304" s="69">
        <v>0</v>
      </c>
      <c r="O1304" s="69">
        <v>0</v>
      </c>
      <c r="P1304" s="69">
        <v>0</v>
      </c>
      <c r="Q1304" s="69">
        <v>0</v>
      </c>
      <c r="R1304" s="69">
        <v>0</v>
      </c>
      <c r="S1304" s="69">
        <v>0</v>
      </c>
      <c r="T1304" s="69">
        <v>0</v>
      </c>
      <c r="U1304" s="69">
        <v>0</v>
      </c>
      <c r="V1304" s="69">
        <v>68.74988159999927</v>
      </c>
      <c r="W1304" s="69">
        <v>68.74988159999927</v>
      </c>
      <c r="X1304" s="69">
        <v>68.74988159999927</v>
      </c>
      <c r="Y1304" s="69">
        <v>68.74988159999927</v>
      </c>
      <c r="Z1304" s="69">
        <v>68.74988159999927</v>
      </c>
      <c r="AA1304" s="69">
        <v>68.74988159999927</v>
      </c>
      <c r="AB1304" s="69">
        <v>68.74988159999927</v>
      </c>
      <c r="AC1304" s="69">
        <v>68.74988159999927</v>
      </c>
      <c r="AD1304" s="69">
        <v>68.74988159999927</v>
      </c>
      <c r="AE1304" s="69">
        <v>68.74988159999927</v>
      </c>
      <c r="AF1304" s="69">
        <v>68.74988159999927</v>
      </c>
      <c r="AG1304" s="69">
        <v>68.74988159999927</v>
      </c>
    </row>
    <row r="1305" spans="1:33">
      <c r="A1305" s="237" t="s">
        <v>2380</v>
      </c>
      <c r="B1305" s="69" t="s">
        <v>378</v>
      </c>
      <c r="C1305" s="69" t="s">
        <v>136</v>
      </c>
      <c r="D1305" s="69" t="s">
        <v>191</v>
      </c>
      <c r="E1305" s="69" t="s">
        <v>191</v>
      </c>
      <c r="F1305" s="69" t="s">
        <v>161</v>
      </c>
      <c r="G1305" s="69" t="s">
        <v>192</v>
      </c>
      <c r="H1305" s="69" t="s">
        <v>2130</v>
      </c>
      <c r="I1305" s="69">
        <v>3</v>
      </c>
      <c r="J1305" s="238">
        <v>0.9</v>
      </c>
      <c r="K1305" s="238">
        <v>0.70497163608542901</v>
      </c>
      <c r="L1305" s="69">
        <v>100.71508254464696</v>
      </c>
      <c r="M1305" s="69">
        <v>0</v>
      </c>
      <c r="N1305" s="69">
        <v>0</v>
      </c>
      <c r="O1305" s="69">
        <v>0</v>
      </c>
      <c r="P1305" s="69">
        <v>0</v>
      </c>
      <c r="Q1305" s="69">
        <v>0</v>
      </c>
      <c r="R1305" s="69">
        <v>0</v>
      </c>
      <c r="S1305" s="69">
        <v>0</v>
      </c>
      <c r="T1305" s="69">
        <v>0</v>
      </c>
      <c r="U1305" s="69">
        <v>0</v>
      </c>
      <c r="V1305" s="69">
        <v>6023.3760000000002</v>
      </c>
      <c r="W1305" s="69">
        <v>6023.3760000000002</v>
      </c>
      <c r="X1305" s="69">
        <v>6023.3760000000002</v>
      </c>
      <c r="Y1305" s="69">
        <v>6023.3760000000002</v>
      </c>
      <c r="Z1305" s="69">
        <v>6023.3760000000002</v>
      </c>
      <c r="AA1305" s="69">
        <v>6023.3760000000002</v>
      </c>
      <c r="AB1305" s="69">
        <v>6023.3760000000002</v>
      </c>
      <c r="AC1305" s="69">
        <v>6023.3760000000002</v>
      </c>
      <c r="AD1305" s="69">
        <v>6023.3760000000002</v>
      </c>
      <c r="AE1305" s="69">
        <v>6023.3760000000002</v>
      </c>
      <c r="AF1305" s="69">
        <v>6023.3760000000002</v>
      </c>
      <c r="AG1305" s="69">
        <v>6023.3760000000002</v>
      </c>
    </row>
    <row r="1306" spans="1:33">
      <c r="A1306" s="237" t="s">
        <v>2380</v>
      </c>
      <c r="B1306" s="69" t="s">
        <v>379</v>
      </c>
      <c r="C1306" s="69" t="s">
        <v>136</v>
      </c>
      <c r="D1306" s="69" t="s">
        <v>191</v>
      </c>
      <c r="E1306" s="69" t="s">
        <v>191</v>
      </c>
      <c r="F1306" s="69" t="s">
        <v>161</v>
      </c>
      <c r="G1306" s="69" t="s">
        <v>192</v>
      </c>
      <c r="H1306" s="69" t="s">
        <v>2130</v>
      </c>
      <c r="I1306" s="69">
        <v>3</v>
      </c>
      <c r="J1306" s="238">
        <v>0.8</v>
      </c>
      <c r="K1306" s="238">
        <v>0.70497163608542901</v>
      </c>
      <c r="L1306" s="69">
        <v>95.882401954992247</v>
      </c>
      <c r="M1306" s="69">
        <v>0</v>
      </c>
      <c r="N1306" s="69">
        <v>0</v>
      </c>
      <c r="O1306" s="69">
        <v>0</v>
      </c>
      <c r="P1306" s="69">
        <v>0</v>
      </c>
      <c r="Q1306" s="69">
        <v>0</v>
      </c>
      <c r="R1306" s="69">
        <v>0</v>
      </c>
      <c r="S1306" s="69">
        <v>0</v>
      </c>
      <c r="T1306" s="69">
        <v>0</v>
      </c>
      <c r="U1306" s="69">
        <v>0</v>
      </c>
      <c r="V1306" s="69">
        <v>280.32</v>
      </c>
      <c r="W1306" s="69">
        <v>280.32</v>
      </c>
      <c r="X1306" s="69">
        <v>280.32</v>
      </c>
      <c r="Y1306" s="69">
        <v>280.32</v>
      </c>
      <c r="Z1306" s="69">
        <v>280.32</v>
      </c>
      <c r="AA1306" s="69">
        <v>280.32</v>
      </c>
      <c r="AB1306" s="69">
        <v>280.32</v>
      </c>
      <c r="AC1306" s="69">
        <v>280.32</v>
      </c>
      <c r="AD1306" s="69">
        <v>280.32</v>
      </c>
      <c r="AE1306" s="69">
        <v>280.32</v>
      </c>
      <c r="AF1306" s="69">
        <v>280.32</v>
      </c>
      <c r="AG1306" s="69">
        <v>280.32</v>
      </c>
    </row>
    <row r="1307" spans="1:33">
      <c r="A1307" s="237" t="s">
        <v>2380</v>
      </c>
      <c r="B1307" s="69" t="s">
        <v>401</v>
      </c>
      <c r="C1307" s="69" t="s">
        <v>137</v>
      </c>
      <c r="D1307" s="69" t="s">
        <v>191</v>
      </c>
      <c r="E1307" s="69" t="s">
        <v>191</v>
      </c>
      <c r="F1307" s="69" t="s">
        <v>179</v>
      </c>
      <c r="G1307" s="69" t="s">
        <v>192</v>
      </c>
      <c r="H1307" s="69" t="s">
        <v>805</v>
      </c>
      <c r="I1307" s="69">
        <v>3</v>
      </c>
      <c r="J1307" s="238">
        <v>0.36590322498251654</v>
      </c>
      <c r="K1307" s="238">
        <v>0.16152665976075289</v>
      </c>
      <c r="L1307" s="69">
        <v>76.505420685213181</v>
      </c>
      <c r="M1307" s="69">
        <v>0</v>
      </c>
      <c r="N1307" s="69">
        <v>0</v>
      </c>
      <c r="O1307" s="69">
        <v>0</v>
      </c>
      <c r="P1307" s="69">
        <v>0</v>
      </c>
      <c r="Q1307" s="69">
        <v>0</v>
      </c>
      <c r="R1307" s="69">
        <v>0</v>
      </c>
      <c r="S1307" s="69">
        <v>0</v>
      </c>
      <c r="T1307" s="69">
        <v>472.75246547107588</v>
      </c>
      <c r="U1307" s="69">
        <v>472.75246547107588</v>
      </c>
      <c r="V1307" s="69">
        <v>472.75246547107588</v>
      </c>
      <c r="W1307" s="69">
        <v>472.75246547107588</v>
      </c>
      <c r="X1307" s="69">
        <v>472.75246547107588</v>
      </c>
      <c r="Y1307" s="69">
        <v>472.75246547107588</v>
      </c>
      <c r="Z1307" s="69">
        <v>472.75246547107588</v>
      </c>
      <c r="AA1307" s="69">
        <v>472.75246547107588</v>
      </c>
      <c r="AB1307" s="69">
        <v>472.75246547107588</v>
      </c>
      <c r="AC1307" s="69">
        <v>472.75246547107588</v>
      </c>
      <c r="AD1307" s="69">
        <v>472.75246547107588</v>
      </c>
      <c r="AE1307" s="69">
        <v>472.75246547107588</v>
      </c>
      <c r="AF1307" s="69">
        <v>472.75246547107588</v>
      </c>
      <c r="AG1307" s="69">
        <v>472.75246547107588</v>
      </c>
    </row>
    <row r="1308" spans="1:33">
      <c r="A1308" s="237" t="s">
        <v>2380</v>
      </c>
      <c r="B1308" s="69" t="s">
        <v>402</v>
      </c>
      <c r="C1308" s="69" t="s">
        <v>137</v>
      </c>
      <c r="D1308" s="69" t="s">
        <v>191</v>
      </c>
      <c r="E1308" s="69" t="s">
        <v>191</v>
      </c>
      <c r="F1308" s="69" t="s">
        <v>179</v>
      </c>
      <c r="G1308" s="69" t="s">
        <v>192</v>
      </c>
      <c r="H1308" s="69" t="s">
        <v>805</v>
      </c>
      <c r="I1308" s="69">
        <v>3</v>
      </c>
      <c r="J1308" s="238">
        <v>0.38830072947386973</v>
      </c>
      <c r="K1308" s="238">
        <v>0.16152665976075289</v>
      </c>
      <c r="L1308" s="69">
        <v>72.051554201015875</v>
      </c>
      <c r="M1308" s="69">
        <v>0</v>
      </c>
      <c r="N1308" s="69">
        <v>0</v>
      </c>
      <c r="O1308" s="69">
        <v>0</v>
      </c>
      <c r="P1308" s="69">
        <v>0</v>
      </c>
      <c r="Q1308" s="69">
        <v>0</v>
      </c>
      <c r="R1308" s="69">
        <v>0</v>
      </c>
      <c r="S1308" s="69">
        <v>0</v>
      </c>
      <c r="T1308" s="69">
        <v>403.84853764126683</v>
      </c>
      <c r="U1308" s="69">
        <v>403.84853764126683</v>
      </c>
      <c r="V1308" s="69">
        <v>403.84853764126683</v>
      </c>
      <c r="W1308" s="69">
        <v>403.84853764126683</v>
      </c>
      <c r="X1308" s="69">
        <v>403.84853764126683</v>
      </c>
      <c r="Y1308" s="69">
        <v>403.84853764126683</v>
      </c>
      <c r="Z1308" s="69">
        <v>403.84853764126683</v>
      </c>
      <c r="AA1308" s="69">
        <v>403.84853764126683</v>
      </c>
      <c r="AB1308" s="69">
        <v>403.84853764126683</v>
      </c>
      <c r="AC1308" s="69">
        <v>403.84853764126683</v>
      </c>
      <c r="AD1308" s="69">
        <v>403.84853764126683</v>
      </c>
      <c r="AE1308" s="69">
        <v>403.84853764126683</v>
      </c>
      <c r="AF1308" s="69">
        <v>403.84853764126683</v>
      </c>
      <c r="AG1308" s="69">
        <v>403.84853764126683</v>
      </c>
    </row>
    <row r="1309" spans="1:33">
      <c r="A1309" s="237" t="s">
        <v>2380</v>
      </c>
      <c r="B1309" s="69" t="s">
        <v>405</v>
      </c>
      <c r="C1309" s="69" t="s">
        <v>137</v>
      </c>
      <c r="D1309" s="69" t="s">
        <v>191</v>
      </c>
      <c r="E1309" s="69" t="s">
        <v>191</v>
      </c>
      <c r="F1309" s="69" t="s">
        <v>164</v>
      </c>
      <c r="G1309" s="69" t="s">
        <v>192</v>
      </c>
      <c r="H1309" s="69" t="s">
        <v>804</v>
      </c>
      <c r="I1309" s="69">
        <v>3</v>
      </c>
      <c r="J1309" s="238">
        <v>0.30953531329513329</v>
      </c>
      <c r="K1309" s="238">
        <v>0.15814711307449608</v>
      </c>
      <c r="L1309" s="69">
        <v>101.72709019295209</v>
      </c>
      <c r="M1309" s="69">
        <v>0</v>
      </c>
      <c r="N1309" s="69">
        <v>0</v>
      </c>
      <c r="O1309" s="69">
        <v>0</v>
      </c>
      <c r="P1309" s="69">
        <v>0</v>
      </c>
      <c r="Q1309" s="69">
        <v>0</v>
      </c>
      <c r="R1309" s="69">
        <v>0</v>
      </c>
      <c r="S1309" s="69">
        <v>0</v>
      </c>
      <c r="T1309" s="69">
        <v>305.60271140326859</v>
      </c>
      <c r="U1309" s="69">
        <v>305.60271140326859</v>
      </c>
      <c r="V1309" s="69">
        <v>305.60271140326859</v>
      </c>
      <c r="W1309" s="69">
        <v>305.60271140326859</v>
      </c>
      <c r="X1309" s="69">
        <v>305.60271140326859</v>
      </c>
      <c r="Y1309" s="69">
        <v>305.60271140326859</v>
      </c>
      <c r="Z1309" s="69">
        <v>305.60271140326859</v>
      </c>
      <c r="AA1309" s="69">
        <v>305.60271140326859</v>
      </c>
      <c r="AB1309" s="69">
        <v>305.60271140326859</v>
      </c>
      <c r="AC1309" s="69">
        <v>305.60271140326859</v>
      </c>
      <c r="AD1309" s="69">
        <v>305.60271140326859</v>
      </c>
      <c r="AE1309" s="69">
        <v>305.60271140326859</v>
      </c>
      <c r="AF1309" s="69">
        <v>305.60271140326859</v>
      </c>
      <c r="AG1309" s="69">
        <v>305.60271140326859</v>
      </c>
    </row>
    <row r="1310" spans="1:33">
      <c r="A1310" s="237" t="s">
        <v>2380</v>
      </c>
      <c r="B1310" s="69" t="s">
        <v>406</v>
      </c>
      <c r="C1310" s="69" t="s">
        <v>137</v>
      </c>
      <c r="D1310" s="69" t="s">
        <v>191</v>
      </c>
      <c r="E1310" s="69" t="s">
        <v>191</v>
      </c>
      <c r="F1310" s="69" t="s">
        <v>164</v>
      </c>
      <c r="G1310" s="69" t="s">
        <v>192</v>
      </c>
      <c r="H1310" s="69" t="s">
        <v>804</v>
      </c>
      <c r="I1310" s="69">
        <v>3</v>
      </c>
      <c r="J1310" s="238">
        <v>0.26463970570422085</v>
      </c>
      <c r="K1310" s="238">
        <v>0.15814711307449608</v>
      </c>
      <c r="L1310" s="69">
        <v>118.89526407663548</v>
      </c>
      <c r="M1310" s="69">
        <v>0</v>
      </c>
      <c r="N1310" s="69">
        <v>0</v>
      </c>
      <c r="O1310" s="69">
        <v>0</v>
      </c>
      <c r="P1310" s="69">
        <v>0</v>
      </c>
      <c r="Q1310" s="69">
        <v>0</v>
      </c>
      <c r="R1310" s="69">
        <v>0</v>
      </c>
      <c r="S1310" s="69">
        <v>0</v>
      </c>
      <c r="T1310" s="69">
        <v>151.4993721586481</v>
      </c>
      <c r="U1310" s="69">
        <v>151.4993721586481</v>
      </c>
      <c r="V1310" s="69">
        <v>151.4993721586481</v>
      </c>
      <c r="W1310" s="69">
        <v>151.4993721586481</v>
      </c>
      <c r="X1310" s="69">
        <v>151.4993721586481</v>
      </c>
      <c r="Y1310" s="69">
        <v>151.4993721586481</v>
      </c>
      <c r="Z1310" s="69">
        <v>151.4993721586481</v>
      </c>
      <c r="AA1310" s="69">
        <v>151.4993721586481</v>
      </c>
      <c r="AB1310" s="69">
        <v>151.4993721586481</v>
      </c>
      <c r="AC1310" s="69">
        <v>151.4993721586481</v>
      </c>
      <c r="AD1310" s="69">
        <v>151.4993721586481</v>
      </c>
      <c r="AE1310" s="69">
        <v>151.4993721586481</v>
      </c>
      <c r="AF1310" s="69">
        <v>151.4993721586481</v>
      </c>
      <c r="AG1310" s="69">
        <v>151.4993721586481</v>
      </c>
    </row>
    <row r="1311" spans="1:33">
      <c r="A1311" s="237" t="s">
        <v>2380</v>
      </c>
      <c r="B1311" s="69" t="s">
        <v>2161</v>
      </c>
      <c r="C1311" s="69" t="s">
        <v>137</v>
      </c>
      <c r="D1311" s="69" t="s">
        <v>191</v>
      </c>
      <c r="E1311" s="69" t="s">
        <v>191</v>
      </c>
      <c r="F1311" s="69" t="s">
        <v>2159</v>
      </c>
      <c r="G1311" s="69" t="s">
        <v>192</v>
      </c>
      <c r="H1311" s="69" t="s">
        <v>804</v>
      </c>
      <c r="I1311" s="69">
        <v>3</v>
      </c>
      <c r="J1311" s="238">
        <v>0.31162974751564282</v>
      </c>
      <c r="K1311" s="238">
        <v>0.16141837976492218</v>
      </c>
      <c r="L1311" s="69">
        <v>97.408916690007629</v>
      </c>
      <c r="M1311" s="69">
        <v>0</v>
      </c>
      <c r="N1311" s="69">
        <v>0</v>
      </c>
      <c r="O1311" s="69">
        <v>0</v>
      </c>
      <c r="P1311" s="69">
        <v>0</v>
      </c>
      <c r="Q1311" s="69">
        <v>0</v>
      </c>
      <c r="R1311" s="69">
        <v>0</v>
      </c>
      <c r="S1311" s="69">
        <v>0</v>
      </c>
      <c r="T1311" s="69">
        <v>0</v>
      </c>
      <c r="U1311" s="69">
        <v>0</v>
      </c>
      <c r="V1311" s="69">
        <v>7.0002232394657016</v>
      </c>
      <c r="W1311" s="69">
        <v>7.0002232394657016</v>
      </c>
      <c r="X1311" s="69">
        <v>7.0002232394657016</v>
      </c>
      <c r="Y1311" s="69">
        <v>7.0002232394657016</v>
      </c>
      <c r="Z1311" s="69">
        <v>7.0002232394657016</v>
      </c>
      <c r="AA1311" s="69">
        <v>7.0002232394657016</v>
      </c>
      <c r="AB1311" s="69">
        <v>7.0002232394657016</v>
      </c>
      <c r="AC1311" s="69">
        <v>7.0002232394657016</v>
      </c>
      <c r="AD1311" s="69">
        <v>7.0002232394657016</v>
      </c>
      <c r="AE1311" s="69">
        <v>7.0002232394657016</v>
      </c>
      <c r="AF1311" s="69">
        <v>7.0002232394657016</v>
      </c>
      <c r="AG1311" s="69">
        <v>7.0002232394657016</v>
      </c>
    </row>
    <row r="1312" spans="1:33">
      <c r="A1312" s="237" t="s">
        <v>2380</v>
      </c>
      <c r="B1312" s="69" t="s">
        <v>2162</v>
      </c>
      <c r="C1312" s="69" t="s">
        <v>137</v>
      </c>
      <c r="D1312" s="69" t="s">
        <v>191</v>
      </c>
      <c r="E1312" s="69" t="s">
        <v>191</v>
      </c>
      <c r="F1312" s="69" t="s">
        <v>2159</v>
      </c>
      <c r="G1312" s="69" t="s">
        <v>192</v>
      </c>
      <c r="H1312" s="69" t="s">
        <v>804</v>
      </c>
      <c r="I1312" s="69">
        <v>3</v>
      </c>
      <c r="J1312" s="238">
        <v>0.32782714186687151</v>
      </c>
      <c r="K1312" s="238">
        <v>0.16141837976492218</v>
      </c>
      <c r="L1312" s="69">
        <v>94.309910404698712</v>
      </c>
      <c r="M1312" s="69">
        <v>0</v>
      </c>
      <c r="N1312" s="69">
        <v>0</v>
      </c>
      <c r="O1312" s="69">
        <v>0</v>
      </c>
      <c r="P1312" s="69">
        <v>0</v>
      </c>
      <c r="Q1312" s="69">
        <v>0</v>
      </c>
      <c r="R1312" s="69">
        <v>0</v>
      </c>
      <c r="S1312" s="69">
        <v>0</v>
      </c>
      <c r="T1312" s="69">
        <v>0</v>
      </c>
      <c r="U1312" s="69">
        <v>0</v>
      </c>
      <c r="V1312" s="69">
        <v>10.464329155685487</v>
      </c>
      <c r="W1312" s="69">
        <v>10.464329155685487</v>
      </c>
      <c r="X1312" s="69">
        <v>10.464329155685487</v>
      </c>
      <c r="Y1312" s="69">
        <v>10.464329155685487</v>
      </c>
      <c r="Z1312" s="69">
        <v>10.464329155685487</v>
      </c>
      <c r="AA1312" s="69">
        <v>10.464329155685487</v>
      </c>
      <c r="AB1312" s="69">
        <v>10.464329155685487</v>
      </c>
      <c r="AC1312" s="69">
        <v>10.464329155685487</v>
      </c>
      <c r="AD1312" s="69">
        <v>10.464329155685487</v>
      </c>
      <c r="AE1312" s="69">
        <v>10.464329155685487</v>
      </c>
      <c r="AF1312" s="69">
        <v>10.464329155685487</v>
      </c>
      <c r="AG1312" s="69">
        <v>10.464329155685487</v>
      </c>
    </row>
    <row r="1313" spans="1:33">
      <c r="A1313" s="237" t="s">
        <v>2380</v>
      </c>
      <c r="B1313" s="69" t="s">
        <v>2163</v>
      </c>
      <c r="C1313" s="69" t="s">
        <v>137</v>
      </c>
      <c r="D1313" s="69" t="s">
        <v>191</v>
      </c>
      <c r="E1313" s="69" t="s">
        <v>191</v>
      </c>
      <c r="F1313" s="69" t="s">
        <v>2159</v>
      </c>
      <c r="G1313" s="69" t="s">
        <v>192</v>
      </c>
      <c r="H1313" s="69" t="s">
        <v>804</v>
      </c>
      <c r="I1313" s="69">
        <v>3</v>
      </c>
      <c r="J1313" s="238">
        <v>0.299460080497779</v>
      </c>
      <c r="K1313" s="238">
        <v>0.16141837976492218</v>
      </c>
      <c r="L1313" s="69">
        <v>106.77681894417896</v>
      </c>
      <c r="M1313" s="69">
        <v>0</v>
      </c>
      <c r="N1313" s="69">
        <v>0</v>
      </c>
      <c r="O1313" s="69">
        <v>0</v>
      </c>
      <c r="P1313" s="69">
        <v>0</v>
      </c>
      <c r="Q1313" s="69">
        <v>0</v>
      </c>
      <c r="R1313" s="69">
        <v>0</v>
      </c>
      <c r="S1313" s="69">
        <v>0</v>
      </c>
      <c r="T1313" s="69">
        <v>0</v>
      </c>
      <c r="U1313" s="69">
        <v>0</v>
      </c>
      <c r="V1313" s="69">
        <v>5.3829322525672447</v>
      </c>
      <c r="W1313" s="69">
        <v>5.3829322525672447</v>
      </c>
      <c r="X1313" s="69">
        <v>5.3829322525672447</v>
      </c>
      <c r="Y1313" s="69">
        <v>5.3829322525672447</v>
      </c>
      <c r="Z1313" s="69">
        <v>5.3829322525672447</v>
      </c>
      <c r="AA1313" s="69">
        <v>5.3829322525672447</v>
      </c>
      <c r="AB1313" s="69">
        <v>5.3829322525672447</v>
      </c>
      <c r="AC1313" s="69">
        <v>5.3829322525672447</v>
      </c>
      <c r="AD1313" s="69">
        <v>5.3829322525672447</v>
      </c>
      <c r="AE1313" s="69">
        <v>5.3829322525672447</v>
      </c>
      <c r="AF1313" s="69">
        <v>5.3829322525672447</v>
      </c>
      <c r="AG1313" s="69">
        <v>5.3829322525672447</v>
      </c>
    </row>
    <row r="1314" spans="1:33">
      <c r="A1314" s="237" t="s">
        <v>2380</v>
      </c>
      <c r="B1314" s="69" t="s">
        <v>2164</v>
      </c>
      <c r="C1314" s="69" t="s">
        <v>137</v>
      </c>
      <c r="D1314" s="69" t="s">
        <v>191</v>
      </c>
      <c r="E1314" s="69" t="s">
        <v>191</v>
      </c>
      <c r="F1314" s="69" t="s">
        <v>2159</v>
      </c>
      <c r="G1314" s="69" t="s">
        <v>192</v>
      </c>
      <c r="H1314" s="69" t="s">
        <v>804</v>
      </c>
      <c r="I1314" s="69">
        <v>3</v>
      </c>
      <c r="J1314" s="238">
        <v>0.30807346883656234</v>
      </c>
      <c r="K1314" s="238">
        <v>0.16141837976492218</v>
      </c>
      <c r="L1314" s="69">
        <v>99.760921890691449</v>
      </c>
      <c r="M1314" s="69">
        <v>0</v>
      </c>
      <c r="N1314" s="69">
        <v>0</v>
      </c>
      <c r="O1314" s="69">
        <v>0</v>
      </c>
      <c r="P1314" s="69">
        <v>0</v>
      </c>
      <c r="Q1314" s="69">
        <v>0</v>
      </c>
      <c r="R1314" s="69">
        <v>0</v>
      </c>
      <c r="S1314" s="69">
        <v>0</v>
      </c>
      <c r="T1314" s="69">
        <v>0</v>
      </c>
      <c r="U1314" s="69">
        <v>0</v>
      </c>
      <c r="V1314" s="69">
        <v>14.114889864426306</v>
      </c>
      <c r="W1314" s="69">
        <v>14.114889864426306</v>
      </c>
      <c r="X1314" s="69">
        <v>14.114889864426306</v>
      </c>
      <c r="Y1314" s="69">
        <v>14.114889864426306</v>
      </c>
      <c r="Z1314" s="69">
        <v>14.114889864426306</v>
      </c>
      <c r="AA1314" s="69">
        <v>14.114889864426306</v>
      </c>
      <c r="AB1314" s="69">
        <v>14.114889864426306</v>
      </c>
      <c r="AC1314" s="69">
        <v>14.114889864426306</v>
      </c>
      <c r="AD1314" s="69">
        <v>14.114889864426306</v>
      </c>
      <c r="AE1314" s="69">
        <v>14.114889864426306</v>
      </c>
      <c r="AF1314" s="69">
        <v>14.114889864426306</v>
      </c>
      <c r="AG1314" s="69">
        <v>14.114889864426306</v>
      </c>
    </row>
    <row r="1315" spans="1:33">
      <c r="A1315" s="237" t="s">
        <v>2380</v>
      </c>
      <c r="B1315" s="69" t="s">
        <v>2165</v>
      </c>
      <c r="C1315" s="69" t="s">
        <v>137</v>
      </c>
      <c r="D1315" s="69" t="s">
        <v>191</v>
      </c>
      <c r="E1315" s="69" t="s">
        <v>191</v>
      </c>
      <c r="F1315" s="69" t="s">
        <v>2159</v>
      </c>
      <c r="G1315" s="69" t="s">
        <v>192</v>
      </c>
      <c r="H1315" s="69" t="s">
        <v>804</v>
      </c>
      <c r="I1315" s="69">
        <v>3</v>
      </c>
      <c r="J1315" s="238">
        <v>0.3576492072827489</v>
      </c>
      <c r="K1315" s="238">
        <v>0.16141837976492218</v>
      </c>
      <c r="L1315" s="69">
        <v>82.440431171271385</v>
      </c>
      <c r="M1315" s="69">
        <v>0</v>
      </c>
      <c r="N1315" s="69">
        <v>0</v>
      </c>
      <c r="O1315" s="69">
        <v>0</v>
      </c>
      <c r="P1315" s="69">
        <v>0</v>
      </c>
      <c r="Q1315" s="69">
        <v>0</v>
      </c>
      <c r="R1315" s="69">
        <v>0</v>
      </c>
      <c r="S1315" s="69">
        <v>0</v>
      </c>
      <c r="T1315" s="69">
        <v>0</v>
      </c>
      <c r="U1315" s="69">
        <v>0</v>
      </c>
      <c r="V1315" s="69">
        <v>39.285397479450005</v>
      </c>
      <c r="W1315" s="69">
        <v>39.285397479450005</v>
      </c>
      <c r="X1315" s="69">
        <v>39.285397479450005</v>
      </c>
      <c r="Y1315" s="69">
        <v>39.285397479450005</v>
      </c>
      <c r="Z1315" s="69">
        <v>39.285397479450005</v>
      </c>
      <c r="AA1315" s="69">
        <v>39.285397479450005</v>
      </c>
      <c r="AB1315" s="69">
        <v>39.285397479450005</v>
      </c>
      <c r="AC1315" s="69">
        <v>39.285397479450005</v>
      </c>
      <c r="AD1315" s="69">
        <v>39.285397479450005</v>
      </c>
      <c r="AE1315" s="69">
        <v>39.285397479450005</v>
      </c>
      <c r="AF1315" s="69">
        <v>39.285397479450005</v>
      </c>
      <c r="AG1315" s="69">
        <v>39.285397479450005</v>
      </c>
    </row>
    <row r="1316" spans="1:33">
      <c r="A1316" s="237" t="s">
        <v>2380</v>
      </c>
      <c r="B1316" s="69" t="s">
        <v>2166</v>
      </c>
      <c r="C1316" s="69" t="s">
        <v>137</v>
      </c>
      <c r="D1316" s="69" t="s">
        <v>191</v>
      </c>
      <c r="E1316" s="69" t="s">
        <v>191</v>
      </c>
      <c r="F1316" s="69" t="s">
        <v>2159</v>
      </c>
      <c r="G1316" s="69" t="s">
        <v>192</v>
      </c>
      <c r="H1316" s="69" t="s">
        <v>804</v>
      </c>
      <c r="I1316" s="69">
        <v>3</v>
      </c>
      <c r="J1316" s="238">
        <v>0.34164197444986655</v>
      </c>
      <c r="K1316" s="238">
        <v>0.16141837976492221</v>
      </c>
      <c r="L1316" s="69">
        <v>87.854227548133721</v>
      </c>
      <c r="M1316" s="69">
        <v>0</v>
      </c>
      <c r="N1316" s="69">
        <v>0</v>
      </c>
      <c r="O1316" s="69">
        <v>0</v>
      </c>
      <c r="P1316" s="69">
        <v>0</v>
      </c>
      <c r="Q1316" s="69">
        <v>0</v>
      </c>
      <c r="R1316" s="69">
        <v>0</v>
      </c>
      <c r="S1316" s="69">
        <v>0</v>
      </c>
      <c r="T1316" s="69">
        <v>0</v>
      </c>
      <c r="U1316" s="69">
        <v>0</v>
      </c>
      <c r="V1316" s="69">
        <v>16.878938432426995</v>
      </c>
      <c r="W1316" s="69">
        <v>16.878938432426995</v>
      </c>
      <c r="X1316" s="69">
        <v>16.878938432426995</v>
      </c>
      <c r="Y1316" s="69">
        <v>16.878938432426995</v>
      </c>
      <c r="Z1316" s="69">
        <v>16.878938432426995</v>
      </c>
      <c r="AA1316" s="69">
        <v>16.878938432426995</v>
      </c>
      <c r="AB1316" s="69">
        <v>16.878938432426995</v>
      </c>
      <c r="AC1316" s="69">
        <v>16.878938432426995</v>
      </c>
      <c r="AD1316" s="69">
        <v>16.878938432426995</v>
      </c>
      <c r="AE1316" s="69">
        <v>16.878938432426995</v>
      </c>
      <c r="AF1316" s="69">
        <v>16.878938432426995</v>
      </c>
      <c r="AG1316" s="69">
        <v>16.878938432426995</v>
      </c>
    </row>
    <row r="1317" spans="1:33">
      <c r="A1317" s="237" t="s">
        <v>2380</v>
      </c>
      <c r="B1317" s="69" t="s">
        <v>2167</v>
      </c>
      <c r="C1317" s="69" t="s">
        <v>137</v>
      </c>
      <c r="D1317" s="69" t="s">
        <v>191</v>
      </c>
      <c r="E1317" s="69" t="s">
        <v>191</v>
      </c>
      <c r="F1317" s="69" t="s">
        <v>2159</v>
      </c>
      <c r="G1317" s="69" t="s">
        <v>192</v>
      </c>
      <c r="H1317" s="69" t="s">
        <v>804</v>
      </c>
      <c r="I1317" s="69">
        <v>3</v>
      </c>
      <c r="J1317" s="238">
        <v>0.34161426315789473</v>
      </c>
      <c r="K1317" s="238">
        <v>0.16141837976492218</v>
      </c>
      <c r="L1317" s="69">
        <v>87.488728652942939</v>
      </c>
      <c r="M1317" s="69">
        <v>0</v>
      </c>
      <c r="N1317" s="69">
        <v>0</v>
      </c>
      <c r="O1317" s="69">
        <v>0</v>
      </c>
      <c r="P1317" s="69">
        <v>0</v>
      </c>
      <c r="Q1317" s="69">
        <v>0</v>
      </c>
      <c r="R1317" s="69">
        <v>0</v>
      </c>
      <c r="S1317" s="69">
        <v>0</v>
      </c>
      <c r="T1317" s="69">
        <v>0</v>
      </c>
      <c r="U1317" s="69">
        <v>0</v>
      </c>
      <c r="V1317" s="69">
        <v>10.076490382730295</v>
      </c>
      <c r="W1317" s="69">
        <v>10.076490382730295</v>
      </c>
      <c r="X1317" s="69">
        <v>10.076490382730295</v>
      </c>
      <c r="Y1317" s="69">
        <v>10.076490382730295</v>
      </c>
      <c r="Z1317" s="69">
        <v>10.076490382730295</v>
      </c>
      <c r="AA1317" s="69">
        <v>10.076490382730295</v>
      </c>
      <c r="AB1317" s="69">
        <v>10.076490382730295</v>
      </c>
      <c r="AC1317" s="69">
        <v>10.076490382730295</v>
      </c>
      <c r="AD1317" s="69">
        <v>10.076490382730295</v>
      </c>
      <c r="AE1317" s="69">
        <v>10.076490382730295</v>
      </c>
      <c r="AF1317" s="69">
        <v>10.076490382730295</v>
      </c>
      <c r="AG1317" s="69">
        <v>10.076490382730295</v>
      </c>
    </row>
    <row r="1318" spans="1:33">
      <c r="A1318" s="237" t="s">
        <v>2380</v>
      </c>
      <c r="B1318" s="69" t="s">
        <v>416</v>
      </c>
      <c r="C1318" s="69" t="s">
        <v>137</v>
      </c>
      <c r="D1318" s="69" t="s">
        <v>191</v>
      </c>
      <c r="E1318" s="69" t="s">
        <v>191</v>
      </c>
      <c r="F1318" s="69" t="s">
        <v>179</v>
      </c>
      <c r="G1318" s="69" t="s">
        <v>192</v>
      </c>
      <c r="H1318" s="69" t="s">
        <v>805</v>
      </c>
      <c r="I1318" s="69">
        <v>3</v>
      </c>
      <c r="J1318" s="238">
        <v>0.28515810405668368</v>
      </c>
      <c r="K1318" s="238">
        <v>0.16152665976075289</v>
      </c>
      <c r="L1318" s="69">
        <v>100.09193644604022</v>
      </c>
      <c r="M1318" s="69">
        <v>0</v>
      </c>
      <c r="N1318" s="69">
        <v>0</v>
      </c>
      <c r="O1318" s="69">
        <v>0</v>
      </c>
      <c r="P1318" s="69">
        <v>0</v>
      </c>
      <c r="Q1318" s="69">
        <v>0</v>
      </c>
      <c r="R1318" s="69">
        <v>0</v>
      </c>
      <c r="S1318" s="69">
        <v>0</v>
      </c>
      <c r="T1318" s="69">
        <v>100.08376707390484</v>
      </c>
      <c r="U1318" s="69">
        <v>100.08376707390484</v>
      </c>
      <c r="V1318" s="69">
        <v>100.08376707390484</v>
      </c>
      <c r="W1318" s="69">
        <v>100.08376707390484</v>
      </c>
      <c r="X1318" s="69">
        <v>100.08376707390484</v>
      </c>
      <c r="Y1318" s="69">
        <v>100.08376707390484</v>
      </c>
      <c r="Z1318" s="69">
        <v>100.08376707390484</v>
      </c>
      <c r="AA1318" s="69">
        <v>100.08376707390484</v>
      </c>
      <c r="AB1318" s="69">
        <v>100.08376707390484</v>
      </c>
      <c r="AC1318" s="69">
        <v>100.08376707390484</v>
      </c>
      <c r="AD1318" s="69">
        <v>100.08376707390484</v>
      </c>
      <c r="AE1318" s="69">
        <v>100.08376707390484</v>
      </c>
      <c r="AF1318" s="69">
        <v>100.08376707390484</v>
      </c>
      <c r="AG1318" s="69">
        <v>100.08376707390484</v>
      </c>
    </row>
    <row r="1319" spans="1:33">
      <c r="A1319" s="237" t="s">
        <v>2380</v>
      </c>
      <c r="B1319" s="69" t="s">
        <v>417</v>
      </c>
      <c r="C1319" s="69" t="s">
        <v>137</v>
      </c>
      <c r="D1319" s="69" t="s">
        <v>191</v>
      </c>
      <c r="E1319" s="69" t="s">
        <v>191</v>
      </c>
      <c r="F1319" s="69" t="s">
        <v>179</v>
      </c>
      <c r="G1319" s="69" t="s">
        <v>192</v>
      </c>
      <c r="H1319" s="69" t="s">
        <v>805</v>
      </c>
      <c r="I1319" s="69">
        <v>3</v>
      </c>
      <c r="J1319" s="238">
        <v>0.35630185675984788</v>
      </c>
      <c r="K1319" s="238">
        <v>0.16152665976075289</v>
      </c>
      <c r="L1319" s="69">
        <v>79.533891848157396</v>
      </c>
      <c r="M1319" s="69">
        <v>0</v>
      </c>
      <c r="N1319" s="69">
        <v>0</v>
      </c>
      <c r="O1319" s="69">
        <v>0</v>
      </c>
      <c r="P1319" s="69">
        <v>0</v>
      </c>
      <c r="Q1319" s="69">
        <v>0</v>
      </c>
      <c r="R1319" s="69">
        <v>0</v>
      </c>
      <c r="S1319" s="69">
        <v>0</v>
      </c>
      <c r="T1319" s="69">
        <v>324.86929746332868</v>
      </c>
      <c r="U1319" s="69">
        <v>324.86929746332868</v>
      </c>
      <c r="V1319" s="69">
        <v>324.86929746332868</v>
      </c>
      <c r="W1319" s="69">
        <v>324.86929746332868</v>
      </c>
      <c r="X1319" s="69">
        <v>324.86929746332868</v>
      </c>
      <c r="Y1319" s="69">
        <v>324.86929746332868</v>
      </c>
      <c r="Z1319" s="69">
        <v>324.86929746332868</v>
      </c>
      <c r="AA1319" s="69">
        <v>324.86929746332868</v>
      </c>
      <c r="AB1319" s="69">
        <v>324.86929746332868</v>
      </c>
      <c r="AC1319" s="69">
        <v>324.86929746332868</v>
      </c>
      <c r="AD1319" s="69">
        <v>324.86929746332868</v>
      </c>
      <c r="AE1319" s="69">
        <v>324.86929746332868</v>
      </c>
      <c r="AF1319" s="69">
        <v>324.86929746332868</v>
      </c>
      <c r="AG1319" s="69">
        <v>324.86929746332868</v>
      </c>
    </row>
    <row r="1320" spans="1:33">
      <c r="A1320" s="237" t="s">
        <v>2380</v>
      </c>
      <c r="B1320" s="69" t="s">
        <v>418</v>
      </c>
      <c r="C1320" s="69" t="s">
        <v>137</v>
      </c>
      <c r="D1320" s="69" t="s">
        <v>191</v>
      </c>
      <c r="E1320" s="69" t="s">
        <v>191</v>
      </c>
      <c r="F1320" s="69" t="s">
        <v>179</v>
      </c>
      <c r="G1320" s="69" t="s">
        <v>192</v>
      </c>
      <c r="H1320" s="69" t="s">
        <v>805</v>
      </c>
      <c r="I1320" s="69">
        <v>3</v>
      </c>
      <c r="J1320" s="238">
        <v>0.38499925587532363</v>
      </c>
      <c r="K1320" s="238">
        <v>0.16152665976075289</v>
      </c>
      <c r="L1320" s="69">
        <v>74.144627745596026</v>
      </c>
      <c r="M1320" s="69">
        <v>0</v>
      </c>
      <c r="N1320" s="69">
        <v>0</v>
      </c>
      <c r="O1320" s="69">
        <v>0</v>
      </c>
      <c r="P1320" s="69">
        <v>0</v>
      </c>
      <c r="Q1320" s="69">
        <v>0</v>
      </c>
      <c r="R1320" s="69">
        <v>0</v>
      </c>
      <c r="S1320" s="69">
        <v>0</v>
      </c>
      <c r="T1320" s="69">
        <v>353.43059663107306</v>
      </c>
      <c r="U1320" s="69">
        <v>353.43059663107306</v>
      </c>
      <c r="V1320" s="69">
        <v>353.43059663107306</v>
      </c>
      <c r="W1320" s="69">
        <v>353.43059663107306</v>
      </c>
      <c r="X1320" s="69">
        <v>353.43059663107306</v>
      </c>
      <c r="Y1320" s="69">
        <v>353.43059663107306</v>
      </c>
      <c r="Z1320" s="69">
        <v>353.43059663107306</v>
      </c>
      <c r="AA1320" s="69">
        <v>353.43059663107306</v>
      </c>
      <c r="AB1320" s="69">
        <v>353.43059663107306</v>
      </c>
      <c r="AC1320" s="69">
        <v>353.43059663107306</v>
      </c>
      <c r="AD1320" s="69">
        <v>353.43059663107306</v>
      </c>
      <c r="AE1320" s="69">
        <v>353.43059663107306</v>
      </c>
      <c r="AF1320" s="69">
        <v>353.43059663107306</v>
      </c>
      <c r="AG1320" s="69">
        <v>353.43059663107306</v>
      </c>
    </row>
    <row r="1321" spans="1:33">
      <c r="A1321" s="237" t="s">
        <v>2380</v>
      </c>
      <c r="B1321" s="69" t="s">
        <v>419</v>
      </c>
      <c r="C1321" s="69" t="s">
        <v>137</v>
      </c>
      <c r="D1321" s="69" t="s">
        <v>191</v>
      </c>
      <c r="E1321" s="69" t="s">
        <v>191</v>
      </c>
      <c r="F1321" s="69" t="s">
        <v>179</v>
      </c>
      <c r="G1321" s="69" t="s">
        <v>192</v>
      </c>
      <c r="H1321" s="69" t="s">
        <v>805</v>
      </c>
      <c r="I1321" s="69">
        <v>3</v>
      </c>
      <c r="J1321" s="238">
        <v>0.37891261036038326</v>
      </c>
      <c r="K1321" s="238">
        <v>0.16152665976075289</v>
      </c>
      <c r="L1321" s="69">
        <v>74.8863915351847</v>
      </c>
      <c r="M1321" s="69">
        <v>0</v>
      </c>
      <c r="N1321" s="69">
        <v>0</v>
      </c>
      <c r="O1321" s="69">
        <v>0</v>
      </c>
      <c r="P1321" s="69">
        <v>0</v>
      </c>
      <c r="Q1321" s="69">
        <v>0</v>
      </c>
      <c r="R1321" s="69">
        <v>0</v>
      </c>
      <c r="S1321" s="69">
        <v>0</v>
      </c>
      <c r="T1321" s="69">
        <v>472.04962250749998</v>
      </c>
      <c r="U1321" s="69">
        <v>472.04962250749998</v>
      </c>
      <c r="V1321" s="69">
        <v>472.04962250749998</v>
      </c>
      <c r="W1321" s="69">
        <v>472.04962250749998</v>
      </c>
      <c r="X1321" s="69">
        <v>472.04962250749998</v>
      </c>
      <c r="Y1321" s="69">
        <v>472.04962250749998</v>
      </c>
      <c r="Z1321" s="69">
        <v>472.04962250749998</v>
      </c>
      <c r="AA1321" s="69">
        <v>472.04962250749998</v>
      </c>
      <c r="AB1321" s="69">
        <v>472.04962250749998</v>
      </c>
      <c r="AC1321" s="69">
        <v>472.04962250749998</v>
      </c>
      <c r="AD1321" s="69">
        <v>472.04962250749998</v>
      </c>
      <c r="AE1321" s="69">
        <v>472.04962250749998</v>
      </c>
      <c r="AF1321" s="69">
        <v>472.04962250749998</v>
      </c>
      <c r="AG1321" s="69">
        <v>472.04962250749998</v>
      </c>
    </row>
    <row r="1322" spans="1:33">
      <c r="A1322" s="237" t="s">
        <v>2380</v>
      </c>
      <c r="B1322" s="69" t="s">
        <v>2168</v>
      </c>
      <c r="C1322" s="69" t="s">
        <v>185</v>
      </c>
      <c r="D1322" s="69" t="s">
        <v>193</v>
      </c>
      <c r="E1322" s="69" t="s">
        <v>194</v>
      </c>
      <c r="F1322" s="69" t="s">
        <v>2159</v>
      </c>
      <c r="G1322" s="69" t="s">
        <v>192</v>
      </c>
      <c r="H1322" s="69" t="s">
        <v>804</v>
      </c>
      <c r="I1322" s="69">
        <v>3</v>
      </c>
      <c r="J1322" s="238">
        <v>0.2987800855272566</v>
      </c>
      <c r="K1322" s="238">
        <v>0.64899944627365458</v>
      </c>
      <c r="L1322" s="69">
        <v>154.25550642509216</v>
      </c>
      <c r="M1322" s="69">
        <v>0</v>
      </c>
      <c r="N1322" s="69">
        <v>0</v>
      </c>
      <c r="O1322" s="69">
        <v>0</v>
      </c>
      <c r="P1322" s="69">
        <v>0</v>
      </c>
      <c r="Q1322" s="69">
        <v>0</v>
      </c>
      <c r="R1322" s="69">
        <v>0</v>
      </c>
      <c r="S1322" s="69">
        <v>0</v>
      </c>
      <c r="T1322" s="69">
        <v>0</v>
      </c>
      <c r="U1322" s="69">
        <v>0</v>
      </c>
      <c r="V1322" s="69">
        <v>18.332058256644238</v>
      </c>
      <c r="W1322" s="69">
        <v>18.332058256644238</v>
      </c>
      <c r="X1322" s="69">
        <v>18.332058256644238</v>
      </c>
      <c r="Y1322" s="69">
        <v>18.332058256644238</v>
      </c>
      <c r="Z1322" s="69">
        <v>18.332058256644238</v>
      </c>
      <c r="AA1322" s="69">
        <v>18.332058256644238</v>
      </c>
      <c r="AB1322" s="69">
        <v>18.332058256644238</v>
      </c>
      <c r="AC1322" s="69">
        <v>18.332058256644238</v>
      </c>
      <c r="AD1322" s="69">
        <v>18.332058256644238</v>
      </c>
      <c r="AE1322" s="69">
        <v>18.332058256644238</v>
      </c>
      <c r="AF1322" s="69">
        <v>18.332058256644238</v>
      </c>
      <c r="AG1322" s="69">
        <v>18.332058256644238</v>
      </c>
    </row>
    <row r="1323" spans="1:33">
      <c r="A1323" s="237" t="s">
        <v>2380</v>
      </c>
      <c r="B1323" s="69" t="s">
        <v>2169</v>
      </c>
      <c r="C1323" s="69" t="s">
        <v>185</v>
      </c>
      <c r="D1323" s="69" t="s">
        <v>193</v>
      </c>
      <c r="E1323" s="69" t="s">
        <v>194</v>
      </c>
      <c r="F1323" s="69" t="s">
        <v>2159</v>
      </c>
      <c r="G1323" s="69" t="s">
        <v>192</v>
      </c>
      <c r="H1323" s="69" t="s">
        <v>804</v>
      </c>
      <c r="I1323" s="69">
        <v>3</v>
      </c>
      <c r="J1323" s="238">
        <v>0.30222962018650595</v>
      </c>
      <c r="K1323" s="238">
        <v>0.64899944627365458</v>
      </c>
      <c r="L1323" s="69">
        <v>152.08207281202903</v>
      </c>
      <c r="M1323" s="69">
        <v>0</v>
      </c>
      <c r="N1323" s="69">
        <v>0</v>
      </c>
      <c r="O1323" s="69">
        <v>0</v>
      </c>
      <c r="P1323" s="69">
        <v>0</v>
      </c>
      <c r="Q1323" s="69">
        <v>0</v>
      </c>
      <c r="R1323" s="69">
        <v>0</v>
      </c>
      <c r="S1323" s="69">
        <v>0</v>
      </c>
      <c r="T1323" s="69">
        <v>0</v>
      </c>
      <c r="U1323" s="69">
        <v>0</v>
      </c>
      <c r="V1323" s="69">
        <v>19.549942404423952</v>
      </c>
      <c r="W1323" s="69">
        <v>19.549942404423952</v>
      </c>
      <c r="X1323" s="69">
        <v>19.549942404423952</v>
      </c>
      <c r="Y1323" s="69">
        <v>19.549942404423952</v>
      </c>
      <c r="Z1323" s="69">
        <v>19.549942404423952</v>
      </c>
      <c r="AA1323" s="69">
        <v>19.549942404423952</v>
      </c>
      <c r="AB1323" s="69">
        <v>19.549942404423952</v>
      </c>
      <c r="AC1323" s="69">
        <v>19.549942404423952</v>
      </c>
      <c r="AD1323" s="69">
        <v>19.549942404423952</v>
      </c>
      <c r="AE1323" s="69">
        <v>19.549942404423952</v>
      </c>
      <c r="AF1323" s="69">
        <v>19.549942404423952</v>
      </c>
      <c r="AG1323" s="69">
        <v>19.549942404423952</v>
      </c>
    </row>
    <row r="1324" spans="1:33">
      <c r="A1324" s="237" t="s">
        <v>2380</v>
      </c>
      <c r="B1324" s="69" t="s">
        <v>2170</v>
      </c>
      <c r="C1324" s="69" t="s">
        <v>185</v>
      </c>
      <c r="D1324" s="69" t="s">
        <v>193</v>
      </c>
      <c r="E1324" s="69" t="s">
        <v>194</v>
      </c>
      <c r="F1324" s="69" t="s">
        <v>2159</v>
      </c>
      <c r="G1324" s="69" t="s">
        <v>192</v>
      </c>
      <c r="H1324" s="69" t="s">
        <v>804</v>
      </c>
      <c r="I1324" s="69">
        <v>3</v>
      </c>
      <c r="J1324" s="238">
        <v>0.2987694862599613</v>
      </c>
      <c r="K1324" s="238">
        <v>0.64899944627365458</v>
      </c>
      <c r="L1324" s="69">
        <v>154.23852123568412</v>
      </c>
      <c r="M1324" s="69">
        <v>0</v>
      </c>
      <c r="N1324" s="69">
        <v>0</v>
      </c>
      <c r="O1324" s="69">
        <v>0</v>
      </c>
      <c r="P1324" s="69">
        <v>0</v>
      </c>
      <c r="Q1324" s="69">
        <v>0</v>
      </c>
      <c r="R1324" s="69">
        <v>0</v>
      </c>
      <c r="S1324" s="69">
        <v>0</v>
      </c>
      <c r="T1324" s="69">
        <v>0</v>
      </c>
      <c r="U1324" s="69">
        <v>0</v>
      </c>
      <c r="V1324" s="69">
        <v>19.326121129282907</v>
      </c>
      <c r="W1324" s="69">
        <v>19.326121129282907</v>
      </c>
      <c r="X1324" s="69">
        <v>19.326121129282907</v>
      </c>
      <c r="Y1324" s="69">
        <v>19.326121129282907</v>
      </c>
      <c r="Z1324" s="69">
        <v>19.326121129282907</v>
      </c>
      <c r="AA1324" s="69">
        <v>19.326121129282907</v>
      </c>
      <c r="AB1324" s="69">
        <v>19.326121129282907</v>
      </c>
      <c r="AC1324" s="69">
        <v>19.326121129282907</v>
      </c>
      <c r="AD1324" s="69">
        <v>19.326121129282907</v>
      </c>
      <c r="AE1324" s="69">
        <v>19.326121129282907</v>
      </c>
      <c r="AF1324" s="69">
        <v>19.326121129282907</v>
      </c>
      <c r="AG1324" s="69">
        <v>19.326121129282907</v>
      </c>
    </row>
    <row r="1325" spans="1:33">
      <c r="A1325" s="237" t="s">
        <v>2380</v>
      </c>
      <c r="B1325" s="69" t="s">
        <v>2171</v>
      </c>
      <c r="C1325" s="69" t="s">
        <v>185</v>
      </c>
      <c r="D1325" s="69" t="s">
        <v>193</v>
      </c>
      <c r="E1325" s="69" t="s">
        <v>194</v>
      </c>
      <c r="F1325" s="69" t="s">
        <v>2159</v>
      </c>
      <c r="G1325" s="69" t="s">
        <v>192</v>
      </c>
      <c r="H1325" s="69" t="s">
        <v>804</v>
      </c>
      <c r="I1325" s="69">
        <v>3</v>
      </c>
      <c r="J1325" s="238">
        <v>0.30222962018650595</v>
      </c>
      <c r="K1325" s="238">
        <v>0.64899944627365458</v>
      </c>
      <c r="L1325" s="69">
        <v>152.55106528203896</v>
      </c>
      <c r="M1325" s="69">
        <v>0</v>
      </c>
      <c r="N1325" s="69">
        <v>0</v>
      </c>
      <c r="O1325" s="69">
        <v>0</v>
      </c>
      <c r="P1325" s="69">
        <v>0</v>
      </c>
      <c r="Q1325" s="69">
        <v>0</v>
      </c>
      <c r="R1325" s="69">
        <v>0</v>
      </c>
      <c r="S1325" s="69">
        <v>0</v>
      </c>
      <c r="T1325" s="69">
        <v>0</v>
      </c>
      <c r="U1325" s="69">
        <v>0</v>
      </c>
      <c r="V1325" s="69">
        <v>6.5166474681413229</v>
      </c>
      <c r="W1325" s="69">
        <v>6.5166474681413229</v>
      </c>
      <c r="X1325" s="69">
        <v>6.5166474681413229</v>
      </c>
      <c r="Y1325" s="69">
        <v>6.5166474681413229</v>
      </c>
      <c r="Z1325" s="69">
        <v>6.5166474681413229</v>
      </c>
      <c r="AA1325" s="69">
        <v>6.5166474681413229</v>
      </c>
      <c r="AB1325" s="69">
        <v>6.5166474681413229</v>
      </c>
      <c r="AC1325" s="69">
        <v>6.5166474681413229</v>
      </c>
      <c r="AD1325" s="69">
        <v>6.5166474681413229</v>
      </c>
      <c r="AE1325" s="69">
        <v>6.5166474681413229</v>
      </c>
      <c r="AF1325" s="69">
        <v>6.5166474681413229</v>
      </c>
      <c r="AG1325" s="69">
        <v>6.5166474681413229</v>
      </c>
    </row>
    <row r="1326" spans="1:33">
      <c r="A1326" s="237" t="s">
        <v>2380</v>
      </c>
      <c r="B1326" s="69" t="s">
        <v>423</v>
      </c>
      <c r="C1326" s="69" t="s">
        <v>185</v>
      </c>
      <c r="D1326" s="69" t="s">
        <v>193</v>
      </c>
      <c r="E1326" s="69" t="s">
        <v>203</v>
      </c>
      <c r="F1326" s="69" t="s">
        <v>155</v>
      </c>
      <c r="G1326" s="69" t="s">
        <v>192</v>
      </c>
      <c r="H1326" s="69" t="s">
        <v>805</v>
      </c>
      <c r="I1326" s="69">
        <v>3</v>
      </c>
      <c r="J1326" s="238">
        <v>0.27845285353771942</v>
      </c>
      <c r="K1326" s="238">
        <v>0.63277303047366895</v>
      </c>
      <c r="L1326" s="69">
        <v>165.6639121820418</v>
      </c>
      <c r="M1326" s="69">
        <v>0</v>
      </c>
      <c r="N1326" s="69">
        <v>0</v>
      </c>
      <c r="O1326" s="69">
        <v>0</v>
      </c>
      <c r="P1326" s="69">
        <v>0</v>
      </c>
      <c r="Q1326" s="69">
        <v>0</v>
      </c>
      <c r="R1326" s="69">
        <v>0</v>
      </c>
      <c r="S1326" s="69">
        <v>243.92469969904189</v>
      </c>
      <c r="T1326" s="69">
        <v>243.92469969904189</v>
      </c>
      <c r="U1326" s="69">
        <v>243.92469969904189</v>
      </c>
      <c r="V1326" s="69">
        <v>243.92469969904189</v>
      </c>
      <c r="W1326" s="69">
        <v>243.92469969904189</v>
      </c>
      <c r="X1326" s="69">
        <v>243.92469969904189</v>
      </c>
      <c r="Y1326" s="69">
        <v>243.92469969904189</v>
      </c>
      <c r="Z1326" s="69">
        <v>243.92469969904189</v>
      </c>
      <c r="AA1326" s="69">
        <v>243.92469969904189</v>
      </c>
      <c r="AB1326" s="69">
        <v>243.92469969904189</v>
      </c>
      <c r="AC1326" s="69">
        <v>243.92469969904189</v>
      </c>
      <c r="AD1326" s="69">
        <v>243.92469969904189</v>
      </c>
      <c r="AE1326" s="69">
        <v>243.92469969904189</v>
      </c>
      <c r="AF1326" s="69">
        <v>243.92469969904189</v>
      </c>
      <c r="AG1326" s="69">
        <v>243.92469969904189</v>
      </c>
    </row>
    <row r="1327" spans="1:33">
      <c r="A1327" s="237" t="s">
        <v>2380</v>
      </c>
      <c r="B1327" s="69" t="s">
        <v>424</v>
      </c>
      <c r="C1327" s="69" t="s">
        <v>185</v>
      </c>
      <c r="D1327" s="69" t="s">
        <v>193</v>
      </c>
      <c r="E1327" s="69" t="s">
        <v>194</v>
      </c>
      <c r="F1327" s="69" t="s">
        <v>170</v>
      </c>
      <c r="G1327" s="69" t="s">
        <v>192</v>
      </c>
      <c r="H1327" s="69" t="s">
        <v>804</v>
      </c>
      <c r="I1327" s="69">
        <v>3</v>
      </c>
      <c r="J1327" s="238">
        <v>0.29747541147361495</v>
      </c>
      <c r="K1327" s="238">
        <v>0.64178864414683756</v>
      </c>
      <c r="L1327" s="69">
        <v>154.74983877406962</v>
      </c>
      <c r="M1327" s="69">
        <v>0</v>
      </c>
      <c r="N1327" s="69">
        <v>0</v>
      </c>
      <c r="O1327" s="69">
        <v>0</v>
      </c>
      <c r="P1327" s="69">
        <v>0</v>
      </c>
      <c r="Q1327" s="69">
        <v>0</v>
      </c>
      <c r="R1327" s="69">
        <v>0</v>
      </c>
      <c r="S1327" s="69">
        <v>0</v>
      </c>
      <c r="T1327" s="69">
        <v>0</v>
      </c>
      <c r="U1327" s="69">
        <v>0</v>
      </c>
      <c r="V1327" s="69">
        <v>195.44134533816515</v>
      </c>
      <c r="W1327" s="69">
        <v>195.44134533816515</v>
      </c>
      <c r="X1327" s="69">
        <v>195.44134533816515</v>
      </c>
      <c r="Y1327" s="69">
        <v>195.44134533816515</v>
      </c>
      <c r="Z1327" s="69">
        <v>195.44134533816515</v>
      </c>
      <c r="AA1327" s="69">
        <v>195.44134533816515</v>
      </c>
      <c r="AB1327" s="69">
        <v>195.44134533816515</v>
      </c>
      <c r="AC1327" s="69">
        <v>195.44134533816515</v>
      </c>
      <c r="AD1327" s="69">
        <v>195.44134533816515</v>
      </c>
      <c r="AE1327" s="69">
        <v>195.44134533816515</v>
      </c>
      <c r="AF1327" s="69">
        <v>195.44134533816515</v>
      </c>
      <c r="AG1327" s="69">
        <v>195.44134533816515</v>
      </c>
    </row>
    <row r="1328" spans="1:33">
      <c r="A1328" s="69" t="s">
        <v>2381</v>
      </c>
      <c r="B1328" s="69" t="s">
        <v>190</v>
      </c>
      <c r="C1328" s="69" t="s">
        <v>137</v>
      </c>
      <c r="D1328" s="69" t="s">
        <v>191</v>
      </c>
      <c r="E1328" s="69" t="s">
        <v>191</v>
      </c>
      <c r="F1328" s="69" t="s">
        <v>180</v>
      </c>
      <c r="G1328" s="69" t="s">
        <v>192</v>
      </c>
      <c r="H1328" s="69" t="s">
        <v>804</v>
      </c>
      <c r="I1328" s="69">
        <v>1</v>
      </c>
      <c r="J1328" s="238">
        <f ca="1">OFFSET(J$10,MATCH($B1328,$B$11:$B$1327,0),0)</f>
        <v>0.32235762917068039</v>
      </c>
      <c r="K1328" s="238">
        <f ca="1">OFFSET(K$10,MATCH($B1328,$B$11:$B$1327,0),0)</f>
        <v>0.160195270625522</v>
      </c>
      <c r="L1328" s="69">
        <v>96.038728079112801</v>
      </c>
      <c r="M1328" s="69">
        <v>0</v>
      </c>
      <c r="N1328" s="69">
        <v>0</v>
      </c>
      <c r="O1328" s="69">
        <v>0</v>
      </c>
      <c r="P1328" s="183">
        <v>0</v>
      </c>
      <c r="Q1328" s="69">
        <v>0</v>
      </c>
      <c r="R1328" s="69">
        <v>533.70818516014515</v>
      </c>
      <c r="S1328" s="69">
        <v>533.70818516014515</v>
      </c>
      <c r="T1328" s="69">
        <v>533.70818516014515</v>
      </c>
      <c r="U1328" s="69">
        <v>533.70818516014515</v>
      </c>
      <c r="V1328" s="69">
        <v>533.70818516014515</v>
      </c>
      <c r="W1328" s="69">
        <v>533.70818516014515</v>
      </c>
      <c r="X1328" s="69">
        <v>533.70818516014515</v>
      </c>
      <c r="Y1328" s="69">
        <v>533.70818516014515</v>
      </c>
      <c r="Z1328" s="69">
        <v>533.70818516014515</v>
      </c>
      <c r="AA1328" s="69">
        <v>533.70818516014515</v>
      </c>
      <c r="AB1328" s="69">
        <v>533.70818516014515</v>
      </c>
      <c r="AC1328" s="69">
        <v>533.70818516014515</v>
      </c>
      <c r="AD1328" s="69">
        <v>533.70818516014515</v>
      </c>
      <c r="AE1328" s="69">
        <v>533.70818516014515</v>
      </c>
      <c r="AF1328" s="69">
        <v>533.70818516014515</v>
      </c>
      <c r="AG1328" s="69">
        <v>533.70818516014515</v>
      </c>
    </row>
    <row r="1329" spans="1:33">
      <c r="A1329" s="69" t="s">
        <v>2381</v>
      </c>
      <c r="B1329" s="69" t="s">
        <v>195</v>
      </c>
      <c r="C1329" s="69" t="s">
        <v>187</v>
      </c>
      <c r="D1329" s="69" t="s">
        <v>191</v>
      </c>
      <c r="E1329" s="69" t="s">
        <v>191</v>
      </c>
      <c r="F1329" s="69" t="s">
        <v>162</v>
      </c>
      <c r="G1329" s="69" t="s">
        <v>192</v>
      </c>
      <c r="H1329" s="69" t="s">
        <v>804</v>
      </c>
      <c r="I1329" s="69">
        <v>1</v>
      </c>
      <c r="J1329" s="238">
        <f t="shared" ref="J1329:K1360" ca="1" si="0">OFFSET(J$10,MATCH($B1329,$B$11:$B$1327,0),0)</f>
        <v>0.2668262983999703</v>
      </c>
      <c r="K1329" s="238">
        <f t="shared" ca="1" si="0"/>
        <v>0.80317779599171035</v>
      </c>
      <c r="L1329" s="69">
        <v>192.38629588063705</v>
      </c>
      <c r="M1329" s="69">
        <v>0</v>
      </c>
      <c r="N1329" s="69">
        <v>0</v>
      </c>
      <c r="O1329" s="69">
        <v>0</v>
      </c>
      <c r="P1329" s="69">
        <v>0</v>
      </c>
      <c r="Q1329" s="69">
        <v>0</v>
      </c>
      <c r="R1329" s="69">
        <v>144.91869918699012</v>
      </c>
      <c r="S1329" s="69">
        <v>144.91869918699012</v>
      </c>
      <c r="T1329" s="69">
        <v>144.91869918699012</v>
      </c>
      <c r="U1329" s="69">
        <v>144.91869918699012</v>
      </c>
      <c r="V1329" s="69">
        <v>144.91869918699012</v>
      </c>
      <c r="W1329" s="69">
        <v>144.91869918699012</v>
      </c>
      <c r="X1329" s="69">
        <v>144.91869918699012</v>
      </c>
      <c r="Y1329" s="69">
        <v>144.91869918699012</v>
      </c>
      <c r="Z1329" s="69">
        <v>144.91869918699012</v>
      </c>
      <c r="AA1329" s="69">
        <v>144.91869918699012</v>
      </c>
      <c r="AB1329" s="69">
        <v>144.91869918699012</v>
      </c>
      <c r="AC1329" s="69">
        <v>144.91869918699012</v>
      </c>
      <c r="AD1329" s="69">
        <v>144.91869918699012</v>
      </c>
      <c r="AE1329" s="69">
        <v>144.91869918699012</v>
      </c>
      <c r="AF1329" s="69">
        <v>144.91869918699012</v>
      </c>
      <c r="AG1329" s="69">
        <v>144.91869918699012</v>
      </c>
    </row>
    <row r="1330" spans="1:33">
      <c r="A1330" s="69" t="s">
        <v>2381</v>
      </c>
      <c r="B1330" s="69" t="s">
        <v>196</v>
      </c>
      <c r="C1330" s="69" t="s">
        <v>187</v>
      </c>
      <c r="D1330" s="69" t="s">
        <v>191</v>
      </c>
      <c r="E1330" s="69" t="s">
        <v>191</v>
      </c>
      <c r="F1330" s="69" t="s">
        <v>175</v>
      </c>
      <c r="G1330" s="69" t="s">
        <v>192</v>
      </c>
      <c r="H1330" s="69" t="s">
        <v>804</v>
      </c>
      <c r="I1330" s="69">
        <v>1</v>
      </c>
      <c r="J1330" s="238">
        <f t="shared" ca="1" si="0"/>
        <v>0.2668262983999703</v>
      </c>
      <c r="K1330" s="238">
        <f t="shared" ca="1" si="0"/>
        <v>0.69237077523038792</v>
      </c>
      <c r="L1330" s="69">
        <v>192.38629588063705</v>
      </c>
      <c r="M1330" s="69">
        <v>0</v>
      </c>
      <c r="N1330" s="69">
        <v>0</v>
      </c>
      <c r="O1330" s="69">
        <v>0</v>
      </c>
      <c r="P1330" s="69">
        <v>0</v>
      </c>
      <c r="Q1330" s="69">
        <v>292.17479674796778</v>
      </c>
      <c r="R1330" s="69">
        <v>292.17479674796778</v>
      </c>
      <c r="S1330" s="69">
        <v>292.17479674796778</v>
      </c>
      <c r="T1330" s="69">
        <v>292.17479674796778</v>
      </c>
      <c r="U1330" s="69">
        <v>292.17479674796778</v>
      </c>
      <c r="V1330" s="69">
        <v>292.17479674796778</v>
      </c>
      <c r="W1330" s="69">
        <v>292.17479674796778</v>
      </c>
      <c r="X1330" s="69">
        <v>292.17479674796778</v>
      </c>
      <c r="Y1330" s="69">
        <v>292.17479674796778</v>
      </c>
      <c r="Z1330" s="69">
        <v>292.17479674796778</v>
      </c>
      <c r="AA1330" s="69">
        <v>292.17479674796778</v>
      </c>
      <c r="AB1330" s="69">
        <v>292.17479674796778</v>
      </c>
      <c r="AC1330" s="69">
        <v>292.17479674796778</v>
      </c>
      <c r="AD1330" s="69">
        <v>292.17479674796778</v>
      </c>
      <c r="AE1330" s="69">
        <v>292.17479674796778</v>
      </c>
      <c r="AF1330" s="69">
        <v>292.17479674796778</v>
      </c>
      <c r="AG1330" s="69">
        <v>292.17479674796778</v>
      </c>
    </row>
    <row r="1331" spans="1:33">
      <c r="A1331" s="69" t="s">
        <v>2381</v>
      </c>
      <c r="B1331" s="69" t="s">
        <v>197</v>
      </c>
      <c r="C1331" s="69" t="s">
        <v>187</v>
      </c>
      <c r="D1331" s="69" t="s">
        <v>191</v>
      </c>
      <c r="E1331" s="69" t="s">
        <v>191</v>
      </c>
      <c r="F1331" s="69" t="s">
        <v>175</v>
      </c>
      <c r="G1331" s="69" t="s">
        <v>192</v>
      </c>
      <c r="H1331" s="69" t="s">
        <v>804</v>
      </c>
      <c r="I1331" s="69">
        <v>1</v>
      </c>
      <c r="J1331" s="238">
        <f t="shared" ca="1" si="0"/>
        <v>0.2668262983999703</v>
      </c>
      <c r="K1331" s="238">
        <f t="shared" ca="1" si="0"/>
        <v>0.69237077523038792</v>
      </c>
      <c r="L1331" s="69">
        <v>192.38629588063705</v>
      </c>
      <c r="M1331" s="69">
        <v>0</v>
      </c>
      <c r="N1331" s="69">
        <v>0</v>
      </c>
      <c r="O1331" s="69">
        <v>0</v>
      </c>
      <c r="P1331" s="69">
        <v>0</v>
      </c>
      <c r="Q1331" s="69">
        <v>0</v>
      </c>
      <c r="R1331" s="69">
        <v>292.17479674796778</v>
      </c>
      <c r="S1331" s="69">
        <v>292.17479674796778</v>
      </c>
      <c r="T1331" s="69">
        <v>292.17479674796778</v>
      </c>
      <c r="U1331" s="69">
        <v>292.17479674796778</v>
      </c>
      <c r="V1331" s="69">
        <v>292.17479674796778</v>
      </c>
      <c r="W1331" s="69">
        <v>292.17479674796778</v>
      </c>
      <c r="X1331" s="69">
        <v>292.17479674796778</v>
      </c>
      <c r="Y1331" s="69">
        <v>292.17479674796778</v>
      </c>
      <c r="Z1331" s="69">
        <v>292.17479674796778</v>
      </c>
      <c r="AA1331" s="69">
        <v>292.17479674796778</v>
      </c>
      <c r="AB1331" s="69">
        <v>292.17479674796778</v>
      </c>
      <c r="AC1331" s="69">
        <v>292.17479674796778</v>
      </c>
      <c r="AD1331" s="69">
        <v>292.17479674796778</v>
      </c>
      <c r="AE1331" s="69">
        <v>292.17479674796778</v>
      </c>
      <c r="AF1331" s="69">
        <v>292.17479674796778</v>
      </c>
      <c r="AG1331" s="69">
        <v>292.17479674796778</v>
      </c>
    </row>
    <row r="1332" spans="1:33">
      <c r="A1332" s="69" t="s">
        <v>2381</v>
      </c>
      <c r="B1332" s="69" t="s">
        <v>198</v>
      </c>
      <c r="C1332" s="69" t="s">
        <v>137</v>
      </c>
      <c r="D1332" s="69" t="s">
        <v>191</v>
      </c>
      <c r="E1332" s="69" t="s">
        <v>191</v>
      </c>
      <c r="F1332" s="69" t="s">
        <v>168</v>
      </c>
      <c r="G1332" s="69" t="s">
        <v>199</v>
      </c>
      <c r="H1332" s="69" t="s">
        <v>2417</v>
      </c>
      <c r="I1332" s="69">
        <v>1</v>
      </c>
      <c r="J1332" s="238">
        <f t="shared" ca="1" si="0"/>
        <v>0.29204999999999998</v>
      </c>
      <c r="K1332" s="238">
        <f t="shared" ca="1" si="0"/>
        <v>0.18436399478639695</v>
      </c>
      <c r="L1332" s="69">
        <v>95.155627725733936</v>
      </c>
      <c r="M1332" s="69">
        <v>0</v>
      </c>
      <c r="N1332" s="69">
        <v>230.25222000000034</v>
      </c>
      <c r="O1332" s="69">
        <v>230.25222000000034</v>
      </c>
      <c r="P1332" s="69">
        <v>230.25222000000034</v>
      </c>
      <c r="Q1332" s="69">
        <v>230.25222000000034</v>
      </c>
      <c r="R1332" s="69">
        <v>230.25222000000034</v>
      </c>
      <c r="S1332" s="69">
        <v>230.25222000000034</v>
      </c>
      <c r="T1332" s="69">
        <v>230.25222000000034</v>
      </c>
      <c r="U1332" s="69">
        <v>230.25222000000034</v>
      </c>
      <c r="V1332" s="69">
        <v>230.25222000000034</v>
      </c>
      <c r="W1332" s="69">
        <v>230.25222000000034</v>
      </c>
      <c r="X1332" s="69">
        <v>230.25222000000034</v>
      </c>
      <c r="Y1332" s="69">
        <v>230.25222000000034</v>
      </c>
      <c r="Z1332" s="69">
        <v>230.25222000000034</v>
      </c>
      <c r="AA1332" s="69">
        <v>230.25222000000034</v>
      </c>
      <c r="AB1332" s="69">
        <v>230.25222000000034</v>
      </c>
      <c r="AC1332" s="69">
        <v>230.25222000000034</v>
      </c>
      <c r="AD1332" s="69">
        <v>230.25222000000034</v>
      </c>
      <c r="AE1332" s="69">
        <v>230.25222000000034</v>
      </c>
      <c r="AF1332" s="69">
        <v>230.25222000000034</v>
      </c>
      <c r="AG1332" s="69">
        <v>230.25222000000034</v>
      </c>
    </row>
    <row r="1333" spans="1:33">
      <c r="A1333" s="69" t="s">
        <v>2381</v>
      </c>
      <c r="B1333" s="69" t="s">
        <v>200</v>
      </c>
      <c r="C1333" s="69" t="s">
        <v>185</v>
      </c>
      <c r="D1333" s="69" t="s">
        <v>193</v>
      </c>
      <c r="E1333" s="69" t="s">
        <v>194</v>
      </c>
      <c r="F1333" s="69" t="s">
        <v>153</v>
      </c>
      <c r="G1333" s="69" t="s">
        <v>201</v>
      </c>
      <c r="H1333" s="69" t="s">
        <v>2417</v>
      </c>
      <c r="I1333" s="69">
        <v>1</v>
      </c>
      <c r="J1333" s="238">
        <f t="shared" ca="1" si="0"/>
        <v>0.28999999999999998</v>
      </c>
      <c r="K1333" s="238">
        <f t="shared" ca="1" si="0"/>
        <v>0.621244203313703</v>
      </c>
      <c r="L1333" s="69">
        <v>144.14559944117298</v>
      </c>
      <c r="M1333" s="69">
        <v>0</v>
      </c>
      <c r="N1333" s="69">
        <v>0</v>
      </c>
      <c r="O1333" s="69">
        <v>0</v>
      </c>
      <c r="P1333" s="69">
        <v>0</v>
      </c>
      <c r="Q1333" s="69">
        <v>0</v>
      </c>
      <c r="R1333" s="69">
        <v>736.71599999999853</v>
      </c>
      <c r="S1333" s="69">
        <v>736.71599999999853</v>
      </c>
      <c r="T1333" s="69">
        <v>736.71599999999853</v>
      </c>
      <c r="U1333" s="69">
        <v>736.71599999999853</v>
      </c>
      <c r="V1333" s="69">
        <v>736.71599999999853</v>
      </c>
      <c r="W1333" s="69">
        <v>736.71599999999853</v>
      </c>
      <c r="X1333" s="69">
        <v>736.71599999999853</v>
      </c>
      <c r="Y1333" s="69">
        <v>736.71599999999853</v>
      </c>
      <c r="Z1333" s="69">
        <v>736.71599999999853</v>
      </c>
      <c r="AA1333" s="69">
        <v>736.71599999999853</v>
      </c>
      <c r="AB1333" s="69">
        <v>736.71599999999853</v>
      </c>
      <c r="AC1333" s="69">
        <v>736.71599999999853</v>
      </c>
      <c r="AD1333" s="69">
        <v>736.71599999999853</v>
      </c>
      <c r="AE1333" s="69">
        <v>736.71599999999853</v>
      </c>
      <c r="AF1333" s="69">
        <v>736.71599999999853</v>
      </c>
      <c r="AG1333" s="69">
        <v>736.71599999999853</v>
      </c>
    </row>
    <row r="1334" spans="1:33">
      <c r="A1334" s="69" t="s">
        <v>2381</v>
      </c>
      <c r="B1334" s="69" t="s">
        <v>202</v>
      </c>
      <c r="C1334" s="69" t="s">
        <v>185</v>
      </c>
      <c r="D1334" s="69" t="s">
        <v>193</v>
      </c>
      <c r="E1334" s="69" t="s">
        <v>203</v>
      </c>
      <c r="F1334" s="69" t="s">
        <v>167</v>
      </c>
      <c r="G1334" s="69" t="s">
        <v>192</v>
      </c>
      <c r="H1334" s="69" t="s">
        <v>805</v>
      </c>
      <c r="I1334" s="69">
        <v>1</v>
      </c>
      <c r="J1334" s="238">
        <f t="shared" ca="1" si="0"/>
        <v>0.26649999999999996</v>
      </c>
      <c r="K1334" s="238">
        <f t="shared" ca="1" si="0"/>
        <v>0.65</v>
      </c>
      <c r="L1334" s="69">
        <v>173.91260768823273</v>
      </c>
      <c r="M1334" s="69">
        <v>0</v>
      </c>
      <c r="N1334" s="69">
        <v>0</v>
      </c>
      <c r="O1334" s="69">
        <v>0</v>
      </c>
      <c r="P1334" s="69">
        <v>0</v>
      </c>
      <c r="Q1334" s="69">
        <v>116.72699999999895</v>
      </c>
      <c r="R1334" s="69">
        <v>116.72699999999895</v>
      </c>
      <c r="S1334" s="69">
        <v>116.72699999999895</v>
      </c>
      <c r="T1334" s="69">
        <v>116.72699999999895</v>
      </c>
      <c r="U1334" s="69">
        <v>116.72699999999895</v>
      </c>
      <c r="V1334" s="69">
        <v>116.72699999999895</v>
      </c>
      <c r="W1334" s="69">
        <v>116.72699999999895</v>
      </c>
      <c r="X1334" s="69">
        <v>116.72699999999895</v>
      </c>
      <c r="Y1334" s="69">
        <v>116.72699999999895</v>
      </c>
      <c r="Z1334" s="69">
        <v>116.72699999999895</v>
      </c>
      <c r="AA1334" s="69">
        <v>116.72699999999895</v>
      </c>
      <c r="AB1334" s="69">
        <v>116.72699999999895</v>
      </c>
      <c r="AC1334" s="69">
        <v>116.72699999999895</v>
      </c>
      <c r="AD1334" s="69">
        <v>116.72699999999895</v>
      </c>
      <c r="AE1334" s="69">
        <v>116.72699999999895</v>
      </c>
      <c r="AF1334" s="69">
        <v>116.72699999999895</v>
      </c>
      <c r="AG1334" s="69">
        <v>116.72699999999895</v>
      </c>
    </row>
    <row r="1335" spans="1:33">
      <c r="A1335" s="69" t="s">
        <v>2381</v>
      </c>
      <c r="B1335" s="69" t="s">
        <v>204</v>
      </c>
      <c r="C1335" s="69" t="s">
        <v>185</v>
      </c>
      <c r="D1335" s="69" t="s">
        <v>205</v>
      </c>
      <c r="E1335" s="69" t="s">
        <v>194</v>
      </c>
      <c r="F1335" s="69" t="s">
        <v>175</v>
      </c>
      <c r="G1335" s="69" t="s">
        <v>192</v>
      </c>
      <c r="H1335" s="69" t="s">
        <v>804</v>
      </c>
      <c r="I1335" s="69">
        <v>1</v>
      </c>
      <c r="J1335" s="238">
        <f t="shared" ca="1" si="0"/>
        <v>0.26624999999999999</v>
      </c>
      <c r="K1335" s="238">
        <f t="shared" ca="1" si="0"/>
        <v>0.50027165852802347</v>
      </c>
      <c r="L1335" s="69">
        <v>147.69233230629843</v>
      </c>
      <c r="M1335" s="69">
        <v>0</v>
      </c>
      <c r="N1335" s="69">
        <v>0</v>
      </c>
      <c r="O1335" s="69">
        <v>0</v>
      </c>
      <c r="P1335" s="69">
        <v>0</v>
      </c>
      <c r="Q1335" s="69">
        <v>0</v>
      </c>
      <c r="R1335" s="69">
        <v>0</v>
      </c>
      <c r="S1335" s="69">
        <v>699.70499999999993</v>
      </c>
      <c r="T1335" s="69">
        <v>699.70499999999993</v>
      </c>
      <c r="U1335" s="69">
        <v>699.70499999999993</v>
      </c>
      <c r="V1335" s="69">
        <v>699.70499999999993</v>
      </c>
      <c r="W1335" s="69">
        <v>699.70499999999993</v>
      </c>
      <c r="X1335" s="69">
        <v>699.70499999999993</v>
      </c>
      <c r="Y1335" s="69">
        <v>699.70499999999993</v>
      </c>
      <c r="Z1335" s="69">
        <v>699.70499999999993</v>
      </c>
      <c r="AA1335" s="69">
        <v>699.70499999999993</v>
      </c>
      <c r="AB1335" s="69">
        <v>699.70499999999993</v>
      </c>
      <c r="AC1335" s="69">
        <v>699.70499999999993</v>
      </c>
      <c r="AD1335" s="69">
        <v>699.70499999999993</v>
      </c>
      <c r="AE1335" s="69">
        <v>699.70499999999993</v>
      </c>
      <c r="AF1335" s="69">
        <v>699.70499999999993</v>
      </c>
      <c r="AG1335" s="69">
        <v>699.70499999999993</v>
      </c>
    </row>
    <row r="1336" spans="1:33">
      <c r="A1336" s="69" t="s">
        <v>2381</v>
      </c>
      <c r="B1336" s="69" t="s">
        <v>206</v>
      </c>
      <c r="C1336" s="69" t="s">
        <v>185</v>
      </c>
      <c r="D1336" s="69" t="s">
        <v>193</v>
      </c>
      <c r="E1336" s="69" t="s">
        <v>203</v>
      </c>
      <c r="F1336" s="69" t="s">
        <v>155</v>
      </c>
      <c r="G1336" s="69" t="s">
        <v>192</v>
      </c>
      <c r="H1336" s="69" t="s">
        <v>805</v>
      </c>
      <c r="I1336" s="69">
        <v>1</v>
      </c>
      <c r="J1336" s="238">
        <f t="shared" ca="1" si="0"/>
        <v>0.26649999999999996</v>
      </c>
      <c r="K1336" s="238">
        <f t="shared" ca="1" si="0"/>
        <v>0.63277303047366895</v>
      </c>
      <c r="L1336" s="69">
        <v>173.91260768823275</v>
      </c>
      <c r="M1336" s="69">
        <v>0</v>
      </c>
      <c r="N1336" s="69">
        <v>0</v>
      </c>
      <c r="O1336" s="69">
        <v>0</v>
      </c>
      <c r="P1336" s="69">
        <v>0</v>
      </c>
      <c r="Q1336" s="69">
        <v>0</v>
      </c>
      <c r="R1336" s="69">
        <v>0</v>
      </c>
      <c r="S1336" s="69">
        <v>93.38159999999985</v>
      </c>
      <c r="T1336" s="69">
        <v>93.38159999999985</v>
      </c>
      <c r="U1336" s="69">
        <v>93.38159999999985</v>
      </c>
      <c r="V1336" s="69">
        <v>93.38159999999985</v>
      </c>
      <c r="W1336" s="69">
        <v>93.38159999999985</v>
      </c>
      <c r="X1336" s="69">
        <v>93.38159999999985</v>
      </c>
      <c r="Y1336" s="69">
        <v>93.38159999999985</v>
      </c>
      <c r="Z1336" s="69">
        <v>93.38159999999985</v>
      </c>
      <c r="AA1336" s="69">
        <v>93.38159999999985</v>
      </c>
      <c r="AB1336" s="69">
        <v>93.38159999999985</v>
      </c>
      <c r="AC1336" s="69">
        <v>93.38159999999985</v>
      </c>
      <c r="AD1336" s="69">
        <v>93.38159999999985</v>
      </c>
      <c r="AE1336" s="69">
        <v>93.38159999999985</v>
      </c>
      <c r="AF1336" s="69">
        <v>93.38159999999985</v>
      </c>
      <c r="AG1336" s="69">
        <v>93.38159999999985</v>
      </c>
    </row>
    <row r="1337" spans="1:33">
      <c r="A1337" s="69" t="s">
        <v>2381</v>
      </c>
      <c r="B1337" s="69" t="s">
        <v>207</v>
      </c>
      <c r="C1337" s="69" t="s">
        <v>139</v>
      </c>
      <c r="D1337" s="69" t="s">
        <v>191</v>
      </c>
      <c r="E1337" s="69" t="s">
        <v>191</v>
      </c>
      <c r="F1337" s="69" t="s">
        <v>167</v>
      </c>
      <c r="G1337" s="69" t="s">
        <v>192</v>
      </c>
      <c r="H1337" s="69" t="s">
        <v>805</v>
      </c>
      <c r="I1337" s="69">
        <v>1</v>
      </c>
      <c r="J1337" s="238">
        <f t="shared" ca="1" si="0"/>
        <v>0.85</v>
      </c>
      <c r="K1337" s="238">
        <f t="shared" ca="1" si="0"/>
        <v>0.66</v>
      </c>
      <c r="L1337" s="69">
        <v>127.99027888971092</v>
      </c>
      <c r="M1337" s="69">
        <v>0</v>
      </c>
      <c r="N1337" s="69">
        <v>0</v>
      </c>
      <c r="O1337" s="69">
        <v>0</v>
      </c>
      <c r="P1337" s="69">
        <v>0</v>
      </c>
      <c r="Q1337" s="69">
        <v>335.07</v>
      </c>
      <c r="R1337" s="69">
        <v>335.07</v>
      </c>
      <c r="S1337" s="69">
        <v>335.07</v>
      </c>
      <c r="T1337" s="69">
        <v>335.07</v>
      </c>
      <c r="U1337" s="69">
        <v>335.07</v>
      </c>
      <c r="V1337" s="69">
        <v>335.07</v>
      </c>
      <c r="W1337" s="69">
        <v>335.07</v>
      </c>
      <c r="X1337" s="69">
        <v>335.07</v>
      </c>
      <c r="Y1337" s="69">
        <v>335.07</v>
      </c>
      <c r="Z1337" s="69">
        <v>335.07</v>
      </c>
      <c r="AA1337" s="69">
        <v>335.07</v>
      </c>
      <c r="AB1337" s="69">
        <v>335.07</v>
      </c>
      <c r="AC1337" s="69">
        <v>335.07</v>
      </c>
      <c r="AD1337" s="69">
        <v>335.07</v>
      </c>
      <c r="AE1337" s="69">
        <v>335.07</v>
      </c>
      <c r="AF1337" s="69">
        <v>335.07</v>
      </c>
      <c r="AG1337" s="69">
        <v>335.07</v>
      </c>
    </row>
    <row r="1338" spans="1:33">
      <c r="A1338" s="69" t="s">
        <v>2381</v>
      </c>
      <c r="B1338" s="69" t="s">
        <v>208</v>
      </c>
      <c r="C1338" s="69" t="s">
        <v>187</v>
      </c>
      <c r="D1338" s="69" t="s">
        <v>209</v>
      </c>
      <c r="E1338" s="69" t="s">
        <v>191</v>
      </c>
      <c r="F1338" s="69" t="s">
        <v>167</v>
      </c>
      <c r="G1338" s="69" t="s">
        <v>192</v>
      </c>
      <c r="H1338" s="69" t="s">
        <v>804</v>
      </c>
      <c r="I1338" s="69">
        <v>1</v>
      </c>
      <c r="J1338" s="238">
        <f t="shared" ca="1" si="0"/>
        <v>0.36</v>
      </c>
      <c r="K1338" s="238">
        <f t="shared" ca="1" si="0"/>
        <v>1</v>
      </c>
      <c r="L1338" s="69">
        <v>191.5297352118086</v>
      </c>
      <c r="M1338" s="69">
        <v>0</v>
      </c>
      <c r="N1338" s="69">
        <v>0</v>
      </c>
      <c r="O1338" s="69">
        <v>0</v>
      </c>
      <c r="P1338" s="69">
        <v>0</v>
      </c>
      <c r="Q1338" s="69">
        <v>473.04000000000093</v>
      </c>
      <c r="R1338" s="69">
        <v>473.04000000000093</v>
      </c>
      <c r="S1338" s="69">
        <v>473.04000000000093</v>
      </c>
      <c r="T1338" s="69">
        <v>473.04000000000093</v>
      </c>
      <c r="U1338" s="69">
        <v>473.04000000000093</v>
      </c>
      <c r="V1338" s="69">
        <v>473.04000000000093</v>
      </c>
      <c r="W1338" s="69">
        <v>473.04000000000093</v>
      </c>
      <c r="X1338" s="69">
        <v>473.04000000000093</v>
      </c>
      <c r="Y1338" s="69">
        <v>473.04000000000093</v>
      </c>
      <c r="Z1338" s="69">
        <v>473.04000000000093</v>
      </c>
      <c r="AA1338" s="69">
        <v>473.04000000000093</v>
      </c>
      <c r="AB1338" s="69">
        <v>473.04000000000093</v>
      </c>
      <c r="AC1338" s="69">
        <v>473.04000000000093</v>
      </c>
      <c r="AD1338" s="69">
        <v>473.04000000000093</v>
      </c>
      <c r="AE1338" s="69">
        <v>473.04000000000093</v>
      </c>
      <c r="AF1338" s="69">
        <v>473.04000000000093</v>
      </c>
      <c r="AG1338" s="69">
        <v>473.04000000000093</v>
      </c>
    </row>
    <row r="1339" spans="1:33">
      <c r="A1339" s="69" t="s">
        <v>2381</v>
      </c>
      <c r="B1339" s="69" t="s">
        <v>210</v>
      </c>
      <c r="C1339" s="69" t="s">
        <v>184</v>
      </c>
      <c r="D1339" s="69" t="s">
        <v>140</v>
      </c>
      <c r="E1339" s="69" t="s">
        <v>191</v>
      </c>
      <c r="F1339" s="69" t="s">
        <v>179</v>
      </c>
      <c r="G1339" s="69" t="s">
        <v>192</v>
      </c>
      <c r="H1339" s="69" t="s">
        <v>805</v>
      </c>
      <c r="I1339" s="69">
        <v>2</v>
      </c>
      <c r="J1339" s="238">
        <f t="shared" ca="1" si="0"/>
        <v>0.8</v>
      </c>
      <c r="K1339" s="238">
        <f t="shared" ca="1" si="0"/>
        <v>0</v>
      </c>
      <c r="L1339" s="69">
        <v>114.19797366361543</v>
      </c>
      <c r="M1339" s="69">
        <v>0</v>
      </c>
      <c r="N1339" s="69">
        <v>0</v>
      </c>
      <c r="O1339" s="69">
        <v>0</v>
      </c>
      <c r="P1339" s="69">
        <v>0</v>
      </c>
      <c r="Q1339" s="69">
        <v>0</v>
      </c>
      <c r="R1339" s="69">
        <v>0</v>
      </c>
      <c r="S1339" s="69">
        <v>0</v>
      </c>
      <c r="T1339" s="69">
        <v>21.024000000000033</v>
      </c>
      <c r="U1339" s="69">
        <v>21.024000000000033</v>
      </c>
      <c r="V1339" s="69">
        <v>21.024000000000033</v>
      </c>
      <c r="W1339" s="69">
        <v>21.024000000000033</v>
      </c>
      <c r="X1339" s="69">
        <v>21.024000000000033</v>
      </c>
      <c r="Y1339" s="69">
        <v>21.024000000000033</v>
      </c>
      <c r="Z1339" s="69">
        <v>21.024000000000033</v>
      </c>
      <c r="AA1339" s="69">
        <v>21.024000000000033</v>
      </c>
      <c r="AB1339" s="69">
        <v>21.024000000000033</v>
      </c>
      <c r="AC1339" s="69">
        <v>21.024000000000033</v>
      </c>
      <c r="AD1339" s="69">
        <v>21.024000000000033</v>
      </c>
      <c r="AE1339" s="69">
        <v>21.024000000000033</v>
      </c>
      <c r="AF1339" s="69">
        <v>21.024000000000033</v>
      </c>
      <c r="AG1339" s="69">
        <v>21.024000000000033</v>
      </c>
    </row>
    <row r="1340" spans="1:33">
      <c r="A1340" s="69" t="s">
        <v>2381</v>
      </c>
      <c r="B1340" s="69" t="s">
        <v>211</v>
      </c>
      <c r="C1340" s="69" t="s">
        <v>184</v>
      </c>
      <c r="D1340" s="69" t="s">
        <v>140</v>
      </c>
      <c r="E1340" s="69" t="s">
        <v>191</v>
      </c>
      <c r="F1340" s="69" t="s">
        <v>167</v>
      </c>
      <c r="G1340" s="69" t="s">
        <v>192</v>
      </c>
      <c r="H1340" s="69" t="s">
        <v>804</v>
      </c>
      <c r="I1340" s="69">
        <v>1</v>
      </c>
      <c r="J1340" s="238">
        <f t="shared" ca="1" si="0"/>
        <v>0.8</v>
      </c>
      <c r="K1340" s="238">
        <f t="shared" ca="1" si="0"/>
        <v>0</v>
      </c>
      <c r="L1340" s="69">
        <v>114.19797366361543</v>
      </c>
      <c r="M1340" s="69">
        <v>0</v>
      </c>
      <c r="N1340" s="69">
        <v>0</v>
      </c>
      <c r="O1340" s="69">
        <v>0</v>
      </c>
      <c r="P1340" s="69">
        <v>0</v>
      </c>
      <c r="Q1340" s="69">
        <v>0</v>
      </c>
      <c r="R1340" s="69">
        <v>70.08</v>
      </c>
      <c r="S1340" s="69">
        <v>70.08</v>
      </c>
      <c r="T1340" s="69">
        <v>70.08</v>
      </c>
      <c r="U1340" s="69">
        <v>70.08</v>
      </c>
      <c r="V1340" s="69">
        <v>70.08</v>
      </c>
      <c r="W1340" s="69">
        <v>70.08</v>
      </c>
      <c r="X1340" s="69">
        <v>70.08</v>
      </c>
      <c r="Y1340" s="69">
        <v>70.08</v>
      </c>
      <c r="Z1340" s="69">
        <v>70.08</v>
      </c>
      <c r="AA1340" s="69">
        <v>70.08</v>
      </c>
      <c r="AB1340" s="69">
        <v>70.08</v>
      </c>
      <c r="AC1340" s="69">
        <v>70.08</v>
      </c>
      <c r="AD1340" s="69">
        <v>70.08</v>
      </c>
      <c r="AE1340" s="69">
        <v>70.08</v>
      </c>
      <c r="AF1340" s="69">
        <v>70.08</v>
      </c>
      <c r="AG1340" s="69">
        <v>70.08</v>
      </c>
    </row>
    <row r="1341" spans="1:33">
      <c r="A1341" s="69" t="s">
        <v>2381</v>
      </c>
      <c r="B1341" s="69" t="s">
        <v>212</v>
      </c>
      <c r="C1341" s="69" t="s">
        <v>137</v>
      </c>
      <c r="D1341" s="69" t="s">
        <v>191</v>
      </c>
      <c r="E1341" s="69" t="s">
        <v>213</v>
      </c>
      <c r="F1341" s="69" t="s">
        <v>152</v>
      </c>
      <c r="G1341" s="69" t="s">
        <v>214</v>
      </c>
      <c r="H1341" s="69" t="s">
        <v>2417</v>
      </c>
      <c r="I1341" s="69">
        <v>1</v>
      </c>
      <c r="J1341" s="238">
        <f t="shared" ca="1" si="0"/>
        <v>0.312</v>
      </c>
      <c r="K1341" s="238">
        <f t="shared" ca="1" si="0"/>
        <v>0.17064699981121567</v>
      </c>
      <c r="L1341" s="69">
        <v>118.33197577111784</v>
      </c>
      <c r="M1341" s="69">
        <v>0</v>
      </c>
      <c r="N1341" s="69">
        <v>0</v>
      </c>
      <c r="O1341" s="69">
        <v>409.96800000000076</v>
      </c>
      <c r="P1341" s="69">
        <v>409.96800000000076</v>
      </c>
      <c r="Q1341" s="69">
        <v>409.96800000000076</v>
      </c>
      <c r="R1341" s="69">
        <v>409.96800000000076</v>
      </c>
      <c r="S1341" s="69">
        <v>409.96800000000076</v>
      </c>
      <c r="T1341" s="69">
        <v>409.96800000000076</v>
      </c>
      <c r="U1341" s="69">
        <v>409.96800000000076</v>
      </c>
      <c r="V1341" s="69">
        <v>409.96800000000076</v>
      </c>
      <c r="W1341" s="69">
        <v>409.96800000000076</v>
      </c>
      <c r="X1341" s="69">
        <v>409.96800000000076</v>
      </c>
      <c r="Y1341" s="69">
        <v>409.96800000000076</v>
      </c>
      <c r="Z1341" s="69">
        <v>409.96800000000076</v>
      </c>
      <c r="AA1341" s="69">
        <v>409.96800000000076</v>
      </c>
      <c r="AB1341" s="69">
        <v>409.96800000000076</v>
      </c>
      <c r="AC1341" s="69">
        <v>409.96800000000076</v>
      </c>
      <c r="AD1341" s="69">
        <v>409.96800000000076</v>
      </c>
      <c r="AE1341" s="69">
        <v>409.96800000000076</v>
      </c>
      <c r="AF1341" s="69">
        <v>409.96800000000076</v>
      </c>
      <c r="AG1341" s="69">
        <v>409.96800000000076</v>
      </c>
    </row>
    <row r="1342" spans="1:33">
      <c r="A1342" s="69" t="s">
        <v>2381</v>
      </c>
      <c r="B1342" s="69" t="s">
        <v>215</v>
      </c>
      <c r="C1342" s="69" t="s">
        <v>137</v>
      </c>
      <c r="D1342" s="69" t="s">
        <v>191</v>
      </c>
      <c r="E1342" s="69" t="s">
        <v>213</v>
      </c>
      <c r="F1342" s="69" t="s">
        <v>152</v>
      </c>
      <c r="G1342" s="69" t="s">
        <v>214</v>
      </c>
      <c r="H1342" s="69" t="s">
        <v>2417</v>
      </c>
      <c r="I1342" s="69">
        <v>1</v>
      </c>
      <c r="J1342" s="238">
        <f t="shared" ca="1" si="0"/>
        <v>0.312</v>
      </c>
      <c r="K1342" s="238">
        <f t="shared" ca="1" si="0"/>
        <v>0.17064699981121567</v>
      </c>
      <c r="L1342" s="69">
        <v>118.33197577111784</v>
      </c>
      <c r="M1342" s="69">
        <v>0</v>
      </c>
      <c r="N1342" s="69">
        <v>0</v>
      </c>
      <c r="O1342" s="69">
        <v>0</v>
      </c>
      <c r="P1342" s="69">
        <v>409.96800000000076</v>
      </c>
      <c r="Q1342" s="69">
        <v>409.96800000000076</v>
      </c>
      <c r="R1342" s="69">
        <v>409.96800000000076</v>
      </c>
      <c r="S1342" s="69">
        <v>409.96800000000076</v>
      </c>
      <c r="T1342" s="69">
        <v>409.96800000000076</v>
      </c>
      <c r="U1342" s="69">
        <v>409.96800000000076</v>
      </c>
      <c r="V1342" s="69">
        <v>409.96800000000076</v>
      </c>
      <c r="W1342" s="69">
        <v>409.96800000000076</v>
      </c>
      <c r="X1342" s="69">
        <v>409.96800000000076</v>
      </c>
      <c r="Y1342" s="69">
        <v>409.96800000000076</v>
      </c>
      <c r="Z1342" s="69">
        <v>409.96800000000076</v>
      </c>
      <c r="AA1342" s="69">
        <v>409.96800000000076</v>
      </c>
      <c r="AB1342" s="69">
        <v>409.96800000000076</v>
      </c>
      <c r="AC1342" s="69">
        <v>409.96800000000076</v>
      </c>
      <c r="AD1342" s="69">
        <v>409.96800000000076</v>
      </c>
      <c r="AE1342" s="69">
        <v>409.96800000000076</v>
      </c>
      <c r="AF1342" s="69">
        <v>409.96800000000076</v>
      </c>
      <c r="AG1342" s="69">
        <v>409.96800000000076</v>
      </c>
    </row>
    <row r="1343" spans="1:33">
      <c r="A1343" s="69" t="s">
        <v>2381</v>
      </c>
      <c r="B1343" s="69" t="s">
        <v>216</v>
      </c>
      <c r="C1343" s="69" t="s">
        <v>137</v>
      </c>
      <c r="D1343" s="69" t="s">
        <v>191</v>
      </c>
      <c r="E1343" s="69" t="s">
        <v>213</v>
      </c>
      <c r="F1343" s="69" t="s">
        <v>152</v>
      </c>
      <c r="G1343" s="69" t="s">
        <v>214</v>
      </c>
      <c r="H1343" s="69" t="s">
        <v>2417</v>
      </c>
      <c r="I1343" s="69">
        <v>1</v>
      </c>
      <c r="J1343" s="238">
        <f t="shared" ca="1" si="0"/>
        <v>0.312</v>
      </c>
      <c r="K1343" s="238">
        <f t="shared" ca="1" si="0"/>
        <v>0.17064699981121567</v>
      </c>
      <c r="L1343" s="69">
        <v>118.33197577111784</v>
      </c>
      <c r="M1343" s="69">
        <v>0</v>
      </c>
      <c r="N1343" s="69">
        <v>0</v>
      </c>
      <c r="O1343" s="69">
        <v>0</v>
      </c>
      <c r="P1343" s="69">
        <v>409.96800000000076</v>
      </c>
      <c r="Q1343" s="69">
        <v>409.96800000000076</v>
      </c>
      <c r="R1343" s="69">
        <v>409.96800000000076</v>
      </c>
      <c r="S1343" s="69">
        <v>409.96800000000076</v>
      </c>
      <c r="T1343" s="69">
        <v>409.96800000000076</v>
      </c>
      <c r="U1343" s="69">
        <v>409.96800000000076</v>
      </c>
      <c r="V1343" s="69">
        <v>409.96800000000076</v>
      </c>
      <c r="W1343" s="69">
        <v>409.96800000000076</v>
      </c>
      <c r="X1343" s="69">
        <v>409.96800000000076</v>
      </c>
      <c r="Y1343" s="69">
        <v>409.96800000000076</v>
      </c>
      <c r="Z1343" s="69">
        <v>409.96800000000076</v>
      </c>
      <c r="AA1343" s="69">
        <v>409.96800000000076</v>
      </c>
      <c r="AB1343" s="69">
        <v>409.96800000000076</v>
      </c>
      <c r="AC1343" s="69">
        <v>409.96800000000076</v>
      </c>
      <c r="AD1343" s="69">
        <v>409.96800000000076</v>
      </c>
      <c r="AE1343" s="69">
        <v>409.96800000000076</v>
      </c>
      <c r="AF1343" s="69">
        <v>409.96800000000076</v>
      </c>
      <c r="AG1343" s="69">
        <v>409.96800000000076</v>
      </c>
    </row>
    <row r="1344" spans="1:33">
      <c r="A1344" s="69" t="s">
        <v>2381</v>
      </c>
      <c r="B1344" s="69" t="s">
        <v>217</v>
      </c>
      <c r="C1344" s="69" t="s">
        <v>186</v>
      </c>
      <c r="D1344" s="69" t="s">
        <v>218</v>
      </c>
      <c r="E1344" s="69" t="s">
        <v>203</v>
      </c>
      <c r="F1344" s="69" t="s">
        <v>157</v>
      </c>
      <c r="G1344" s="69" t="s">
        <v>192</v>
      </c>
      <c r="H1344" s="69" t="s">
        <v>805</v>
      </c>
      <c r="I1344" s="69">
        <v>1</v>
      </c>
      <c r="J1344" s="238">
        <f t="shared" ca="1" si="0"/>
        <v>0.23561922263058244</v>
      </c>
      <c r="K1344" s="238">
        <f t="shared" ca="1" si="0"/>
        <v>0</v>
      </c>
      <c r="L1344" s="69">
        <v>200.17205317577552</v>
      </c>
      <c r="M1344" s="69">
        <v>-4.8449039881831615</v>
      </c>
      <c r="N1344" s="69">
        <v>0</v>
      </c>
      <c r="O1344" s="69">
        <v>0</v>
      </c>
      <c r="P1344" s="69">
        <v>41.280487804877339</v>
      </c>
      <c r="Q1344" s="69">
        <v>41.280487804877339</v>
      </c>
      <c r="R1344" s="69">
        <v>41.280487804877339</v>
      </c>
      <c r="S1344" s="69">
        <v>41.280487804877339</v>
      </c>
      <c r="T1344" s="69">
        <v>41.280487804877339</v>
      </c>
      <c r="U1344" s="69">
        <v>41.280487804877339</v>
      </c>
      <c r="V1344" s="69">
        <v>41.280487804877339</v>
      </c>
      <c r="W1344" s="69">
        <v>41.280487804877339</v>
      </c>
      <c r="X1344" s="69">
        <v>41.280487804877339</v>
      </c>
      <c r="Y1344" s="69">
        <v>41.280487804877339</v>
      </c>
      <c r="Z1344" s="69">
        <v>41.280487804877339</v>
      </c>
      <c r="AA1344" s="69">
        <v>41.280487804877339</v>
      </c>
      <c r="AB1344" s="69">
        <v>41.280487804877339</v>
      </c>
      <c r="AC1344" s="69">
        <v>41.280487804877339</v>
      </c>
      <c r="AD1344" s="69">
        <v>41.280487804877339</v>
      </c>
      <c r="AE1344" s="69">
        <v>41.280487804877339</v>
      </c>
      <c r="AF1344" s="69">
        <v>41.280487804877339</v>
      </c>
      <c r="AG1344" s="69">
        <v>41.280487804877339</v>
      </c>
    </row>
    <row r="1345" spans="1:33">
      <c r="A1345" s="69" t="s">
        <v>2381</v>
      </c>
      <c r="B1345" s="69" t="s">
        <v>219</v>
      </c>
      <c r="C1345" s="69" t="s">
        <v>186</v>
      </c>
      <c r="D1345" s="69" t="s">
        <v>218</v>
      </c>
      <c r="E1345" s="69" t="s">
        <v>203</v>
      </c>
      <c r="F1345" s="69" t="s">
        <v>157</v>
      </c>
      <c r="G1345" s="69" t="s">
        <v>192</v>
      </c>
      <c r="H1345" s="69" t="s">
        <v>805</v>
      </c>
      <c r="I1345" s="69">
        <v>1</v>
      </c>
      <c r="J1345" s="238">
        <f t="shared" ca="1" si="0"/>
        <v>0.23561922263058244</v>
      </c>
      <c r="K1345" s="238">
        <f t="shared" ca="1" si="0"/>
        <v>0</v>
      </c>
      <c r="L1345" s="69">
        <v>200.17205317577552</v>
      </c>
      <c r="M1345" s="69">
        <v>-4.8449039881831615</v>
      </c>
      <c r="N1345" s="69">
        <v>0</v>
      </c>
      <c r="O1345" s="69">
        <v>0</v>
      </c>
      <c r="P1345" s="69">
        <v>41.280487804877339</v>
      </c>
      <c r="Q1345" s="69">
        <v>41.280487804877339</v>
      </c>
      <c r="R1345" s="69">
        <v>41.280487804877339</v>
      </c>
      <c r="S1345" s="69">
        <v>41.280487804877339</v>
      </c>
      <c r="T1345" s="69">
        <v>41.280487804877339</v>
      </c>
      <c r="U1345" s="69">
        <v>41.280487804877339</v>
      </c>
      <c r="V1345" s="69">
        <v>41.280487804877339</v>
      </c>
      <c r="W1345" s="69">
        <v>41.280487804877339</v>
      </c>
      <c r="X1345" s="69">
        <v>41.280487804877339</v>
      </c>
      <c r="Y1345" s="69">
        <v>41.280487804877339</v>
      </c>
      <c r="Z1345" s="69">
        <v>41.280487804877339</v>
      </c>
      <c r="AA1345" s="69">
        <v>41.280487804877339</v>
      </c>
      <c r="AB1345" s="69">
        <v>41.280487804877339</v>
      </c>
      <c r="AC1345" s="69">
        <v>41.280487804877339</v>
      </c>
      <c r="AD1345" s="69">
        <v>41.280487804877339</v>
      </c>
      <c r="AE1345" s="69">
        <v>41.280487804877339</v>
      </c>
      <c r="AF1345" s="69">
        <v>41.280487804877339</v>
      </c>
      <c r="AG1345" s="69">
        <v>41.280487804877339</v>
      </c>
    </row>
    <row r="1346" spans="1:33">
      <c r="A1346" s="69" t="s">
        <v>2381</v>
      </c>
      <c r="B1346" s="69" t="s">
        <v>220</v>
      </c>
      <c r="C1346" s="69" t="s">
        <v>186</v>
      </c>
      <c r="D1346" s="69" t="s">
        <v>218</v>
      </c>
      <c r="E1346" s="69" t="s">
        <v>203</v>
      </c>
      <c r="F1346" s="69" t="s">
        <v>157</v>
      </c>
      <c r="G1346" s="69" t="s">
        <v>192</v>
      </c>
      <c r="H1346" s="69" t="s">
        <v>805</v>
      </c>
      <c r="I1346" s="69">
        <v>1</v>
      </c>
      <c r="J1346" s="238">
        <f t="shared" ca="1" si="0"/>
        <v>0.23561922263058244</v>
      </c>
      <c r="K1346" s="238">
        <f t="shared" ca="1" si="0"/>
        <v>0</v>
      </c>
      <c r="L1346" s="69">
        <v>200.17205317577552</v>
      </c>
      <c r="M1346" s="69">
        <v>-4.8449039881831615</v>
      </c>
      <c r="N1346" s="69">
        <v>0</v>
      </c>
      <c r="O1346" s="69">
        <v>0</v>
      </c>
      <c r="P1346" s="69">
        <v>41.280487804877339</v>
      </c>
      <c r="Q1346" s="69">
        <v>41.280487804877339</v>
      </c>
      <c r="R1346" s="69">
        <v>41.280487804877339</v>
      </c>
      <c r="S1346" s="69">
        <v>41.280487804877339</v>
      </c>
      <c r="T1346" s="69">
        <v>41.280487804877339</v>
      </c>
      <c r="U1346" s="69">
        <v>41.280487804877339</v>
      </c>
      <c r="V1346" s="69">
        <v>41.280487804877339</v>
      </c>
      <c r="W1346" s="69">
        <v>41.280487804877339</v>
      </c>
      <c r="X1346" s="69">
        <v>41.280487804877339</v>
      </c>
      <c r="Y1346" s="69">
        <v>41.280487804877339</v>
      </c>
      <c r="Z1346" s="69">
        <v>41.280487804877339</v>
      </c>
      <c r="AA1346" s="69">
        <v>41.280487804877339</v>
      </c>
      <c r="AB1346" s="69">
        <v>41.280487804877339</v>
      </c>
      <c r="AC1346" s="69">
        <v>41.280487804877339</v>
      </c>
      <c r="AD1346" s="69">
        <v>41.280487804877339</v>
      </c>
      <c r="AE1346" s="69">
        <v>41.280487804877339</v>
      </c>
      <c r="AF1346" s="69">
        <v>41.280487804877339</v>
      </c>
      <c r="AG1346" s="69">
        <v>41.280487804877339</v>
      </c>
    </row>
    <row r="1347" spans="1:33">
      <c r="A1347" s="69" t="s">
        <v>2381</v>
      </c>
      <c r="B1347" s="69" t="s">
        <v>221</v>
      </c>
      <c r="C1347" s="69" t="s">
        <v>186</v>
      </c>
      <c r="D1347" s="69" t="s">
        <v>218</v>
      </c>
      <c r="E1347" s="69" t="s">
        <v>203</v>
      </c>
      <c r="F1347" s="69" t="s">
        <v>157</v>
      </c>
      <c r="G1347" s="69" t="s">
        <v>192</v>
      </c>
      <c r="H1347" s="69" t="s">
        <v>805</v>
      </c>
      <c r="I1347" s="69">
        <v>1</v>
      </c>
      <c r="J1347" s="238">
        <f t="shared" ca="1" si="0"/>
        <v>0.23561922263058244</v>
      </c>
      <c r="K1347" s="238">
        <f t="shared" ca="1" si="0"/>
        <v>0</v>
      </c>
      <c r="L1347" s="69">
        <v>200.17205317577552</v>
      </c>
      <c r="M1347" s="69">
        <v>-4.8449039881831615</v>
      </c>
      <c r="N1347" s="69">
        <v>0</v>
      </c>
      <c r="O1347" s="69">
        <v>0</v>
      </c>
      <c r="P1347" s="69">
        <v>41.280487804877339</v>
      </c>
      <c r="Q1347" s="69">
        <v>41.280487804877339</v>
      </c>
      <c r="R1347" s="69">
        <v>41.280487804877339</v>
      </c>
      <c r="S1347" s="69">
        <v>41.280487804877339</v>
      </c>
      <c r="T1347" s="69">
        <v>41.280487804877339</v>
      </c>
      <c r="U1347" s="69">
        <v>41.280487804877339</v>
      </c>
      <c r="V1347" s="69">
        <v>41.280487804877339</v>
      </c>
      <c r="W1347" s="69">
        <v>41.280487804877339</v>
      </c>
      <c r="X1347" s="69">
        <v>41.280487804877339</v>
      </c>
      <c r="Y1347" s="69">
        <v>41.280487804877339</v>
      </c>
      <c r="Z1347" s="69">
        <v>41.280487804877339</v>
      </c>
      <c r="AA1347" s="69">
        <v>41.280487804877339</v>
      </c>
      <c r="AB1347" s="69">
        <v>41.280487804877339</v>
      </c>
      <c r="AC1347" s="69">
        <v>41.280487804877339</v>
      </c>
      <c r="AD1347" s="69">
        <v>41.280487804877339</v>
      </c>
      <c r="AE1347" s="69">
        <v>41.280487804877339</v>
      </c>
      <c r="AF1347" s="69">
        <v>41.280487804877339</v>
      </c>
      <c r="AG1347" s="69">
        <v>41.280487804877339</v>
      </c>
    </row>
    <row r="1348" spans="1:33">
      <c r="A1348" s="69" t="s">
        <v>2381</v>
      </c>
      <c r="B1348" s="69" t="s">
        <v>222</v>
      </c>
      <c r="C1348" s="69" t="s">
        <v>186</v>
      </c>
      <c r="D1348" s="69" t="s">
        <v>218</v>
      </c>
      <c r="E1348" s="69" t="s">
        <v>203</v>
      </c>
      <c r="F1348" s="69" t="s">
        <v>157</v>
      </c>
      <c r="G1348" s="69" t="s">
        <v>192</v>
      </c>
      <c r="H1348" s="69" t="s">
        <v>805</v>
      </c>
      <c r="I1348" s="69">
        <v>1</v>
      </c>
      <c r="J1348" s="238">
        <f t="shared" ca="1" si="0"/>
        <v>0.23561922263058249</v>
      </c>
      <c r="K1348" s="238">
        <f t="shared" ca="1" si="0"/>
        <v>0</v>
      </c>
      <c r="L1348" s="69">
        <v>200.17205317577549</v>
      </c>
      <c r="M1348" s="69">
        <v>-4.8449039881831615</v>
      </c>
      <c r="N1348" s="69">
        <v>0</v>
      </c>
      <c r="O1348" s="69">
        <v>18.576219512195166</v>
      </c>
      <c r="P1348" s="69">
        <v>18.576219512195166</v>
      </c>
      <c r="Q1348" s="69">
        <v>18.576219512195166</v>
      </c>
      <c r="R1348" s="69">
        <v>18.576219512195166</v>
      </c>
      <c r="S1348" s="69">
        <v>18.576219512195166</v>
      </c>
      <c r="T1348" s="69">
        <v>18.576219512195166</v>
      </c>
      <c r="U1348" s="69">
        <v>18.576219512195166</v>
      </c>
      <c r="V1348" s="69">
        <v>18.576219512195166</v>
      </c>
      <c r="W1348" s="69">
        <v>18.576219512195166</v>
      </c>
      <c r="X1348" s="69">
        <v>18.576219512195166</v>
      </c>
      <c r="Y1348" s="69">
        <v>18.576219512195166</v>
      </c>
      <c r="Z1348" s="69">
        <v>18.576219512195166</v>
      </c>
      <c r="AA1348" s="69">
        <v>18.576219512195166</v>
      </c>
      <c r="AB1348" s="69">
        <v>18.576219512195166</v>
      </c>
      <c r="AC1348" s="69">
        <v>18.576219512195166</v>
      </c>
      <c r="AD1348" s="69">
        <v>18.576219512195166</v>
      </c>
      <c r="AE1348" s="69">
        <v>18.576219512195166</v>
      </c>
      <c r="AF1348" s="69">
        <v>18.576219512195166</v>
      </c>
      <c r="AG1348" s="69">
        <v>18.576219512195166</v>
      </c>
    </row>
    <row r="1349" spans="1:33">
      <c r="A1349" s="69" t="s">
        <v>2381</v>
      </c>
      <c r="B1349" s="69" t="s">
        <v>223</v>
      </c>
      <c r="C1349" s="69" t="s">
        <v>186</v>
      </c>
      <c r="D1349" s="69" t="s">
        <v>218</v>
      </c>
      <c r="E1349" s="69" t="s">
        <v>203</v>
      </c>
      <c r="F1349" s="69" t="s">
        <v>157</v>
      </c>
      <c r="G1349" s="69" t="s">
        <v>192</v>
      </c>
      <c r="H1349" s="69" t="s">
        <v>805</v>
      </c>
      <c r="I1349" s="69">
        <v>1</v>
      </c>
      <c r="J1349" s="238">
        <f t="shared" ca="1" si="0"/>
        <v>0.23561922263058244</v>
      </c>
      <c r="K1349" s="238">
        <f t="shared" ca="1" si="0"/>
        <v>0</v>
      </c>
      <c r="L1349" s="69">
        <v>200.17205317577552</v>
      </c>
      <c r="M1349" s="69">
        <v>-4.8449039881831615</v>
      </c>
      <c r="N1349" s="69">
        <v>0</v>
      </c>
      <c r="O1349" s="69">
        <v>41.280487804877339</v>
      </c>
      <c r="P1349" s="69">
        <v>41.280487804877339</v>
      </c>
      <c r="Q1349" s="69">
        <v>41.280487804877339</v>
      </c>
      <c r="R1349" s="69">
        <v>41.280487804877339</v>
      </c>
      <c r="S1349" s="69">
        <v>41.280487804877339</v>
      </c>
      <c r="T1349" s="69">
        <v>41.280487804877339</v>
      </c>
      <c r="U1349" s="69">
        <v>41.280487804877339</v>
      </c>
      <c r="V1349" s="69">
        <v>41.280487804877339</v>
      </c>
      <c r="W1349" s="69">
        <v>41.280487804877339</v>
      </c>
      <c r="X1349" s="69">
        <v>41.280487804877339</v>
      </c>
      <c r="Y1349" s="69">
        <v>41.280487804877339</v>
      </c>
      <c r="Z1349" s="69">
        <v>41.280487804877339</v>
      </c>
      <c r="AA1349" s="69">
        <v>41.280487804877339</v>
      </c>
      <c r="AB1349" s="69">
        <v>41.280487804877339</v>
      </c>
      <c r="AC1349" s="69">
        <v>41.280487804877339</v>
      </c>
      <c r="AD1349" s="69">
        <v>41.280487804877339</v>
      </c>
      <c r="AE1349" s="69">
        <v>41.280487804877339</v>
      </c>
      <c r="AF1349" s="69">
        <v>41.280487804877339</v>
      </c>
      <c r="AG1349" s="69">
        <v>41.280487804877339</v>
      </c>
    </row>
    <row r="1350" spans="1:33">
      <c r="A1350" s="69" t="s">
        <v>2381</v>
      </c>
      <c r="B1350" s="69" t="s">
        <v>224</v>
      </c>
      <c r="C1350" s="69" t="s">
        <v>186</v>
      </c>
      <c r="D1350" s="69" t="s">
        <v>218</v>
      </c>
      <c r="E1350" s="69" t="s">
        <v>203</v>
      </c>
      <c r="F1350" s="69" t="s">
        <v>157</v>
      </c>
      <c r="G1350" s="69" t="s">
        <v>192</v>
      </c>
      <c r="H1350" s="69" t="s">
        <v>805</v>
      </c>
      <c r="I1350" s="69">
        <v>1</v>
      </c>
      <c r="J1350" s="238">
        <f t="shared" ca="1" si="0"/>
        <v>0.23561922263058244</v>
      </c>
      <c r="K1350" s="238">
        <f t="shared" ca="1" si="0"/>
        <v>0</v>
      </c>
      <c r="L1350" s="69">
        <v>200.17205317577549</v>
      </c>
      <c r="M1350" s="69">
        <v>-4.8449039881831615</v>
      </c>
      <c r="N1350" s="69">
        <v>0</v>
      </c>
      <c r="O1350" s="69">
        <v>39.216463414633836</v>
      </c>
      <c r="P1350" s="69">
        <v>39.216463414633836</v>
      </c>
      <c r="Q1350" s="69">
        <v>39.216463414633836</v>
      </c>
      <c r="R1350" s="69">
        <v>39.216463414633836</v>
      </c>
      <c r="S1350" s="69">
        <v>39.216463414633836</v>
      </c>
      <c r="T1350" s="69">
        <v>39.216463414633836</v>
      </c>
      <c r="U1350" s="69">
        <v>39.216463414633836</v>
      </c>
      <c r="V1350" s="69">
        <v>39.216463414633836</v>
      </c>
      <c r="W1350" s="69">
        <v>39.216463414633836</v>
      </c>
      <c r="X1350" s="69">
        <v>39.216463414633836</v>
      </c>
      <c r="Y1350" s="69">
        <v>39.216463414633836</v>
      </c>
      <c r="Z1350" s="69">
        <v>39.216463414633836</v>
      </c>
      <c r="AA1350" s="69">
        <v>39.216463414633836</v>
      </c>
      <c r="AB1350" s="69">
        <v>39.216463414633836</v>
      </c>
      <c r="AC1350" s="69">
        <v>39.216463414633836</v>
      </c>
      <c r="AD1350" s="69">
        <v>39.216463414633836</v>
      </c>
      <c r="AE1350" s="69">
        <v>39.216463414633836</v>
      </c>
      <c r="AF1350" s="69">
        <v>39.216463414633836</v>
      </c>
      <c r="AG1350" s="69">
        <v>39.216463414633836</v>
      </c>
    </row>
    <row r="1351" spans="1:33">
      <c r="A1351" s="69" t="s">
        <v>2381</v>
      </c>
      <c r="B1351" s="69" t="s">
        <v>227</v>
      </c>
      <c r="C1351" s="69" t="s">
        <v>187</v>
      </c>
      <c r="D1351" s="69" t="s">
        <v>191</v>
      </c>
      <c r="E1351" s="69" t="s">
        <v>191</v>
      </c>
      <c r="F1351" s="69" t="s">
        <v>175</v>
      </c>
      <c r="G1351" s="69" t="s">
        <v>192</v>
      </c>
      <c r="H1351" s="69" t="s">
        <v>804</v>
      </c>
      <c r="I1351" s="69">
        <v>1</v>
      </c>
      <c r="J1351" s="238">
        <f t="shared" ca="1" si="0"/>
        <v>0.2668262983999703</v>
      </c>
      <c r="K1351" s="238">
        <f t="shared" ca="1" si="0"/>
        <v>0.69237077523038804</v>
      </c>
      <c r="L1351" s="69">
        <v>192.38629588063705</v>
      </c>
      <c r="M1351" s="69">
        <v>0</v>
      </c>
      <c r="N1351" s="69">
        <v>0</v>
      </c>
      <c r="O1351" s="69">
        <v>0</v>
      </c>
      <c r="P1351" s="69">
        <v>565.65040650406445</v>
      </c>
      <c r="Q1351" s="69">
        <v>565.65040650406445</v>
      </c>
      <c r="R1351" s="69">
        <v>565.65040650406445</v>
      </c>
      <c r="S1351" s="69">
        <v>565.65040650406445</v>
      </c>
      <c r="T1351" s="69">
        <v>565.65040650406445</v>
      </c>
      <c r="U1351" s="69">
        <v>565.65040650406445</v>
      </c>
      <c r="V1351" s="69">
        <v>565.65040650406445</v>
      </c>
      <c r="W1351" s="69">
        <v>565.65040650406445</v>
      </c>
      <c r="X1351" s="69">
        <v>565.65040650406445</v>
      </c>
      <c r="Y1351" s="69">
        <v>565.65040650406445</v>
      </c>
      <c r="Z1351" s="69">
        <v>565.65040650406445</v>
      </c>
      <c r="AA1351" s="69">
        <v>565.65040650406445</v>
      </c>
      <c r="AB1351" s="69">
        <v>565.65040650406445</v>
      </c>
      <c r="AC1351" s="69">
        <v>565.65040650406445</v>
      </c>
      <c r="AD1351" s="69">
        <v>565.65040650406445</v>
      </c>
      <c r="AE1351" s="69">
        <v>565.65040650406445</v>
      </c>
      <c r="AF1351" s="69">
        <v>565.65040650406445</v>
      </c>
      <c r="AG1351" s="69">
        <v>565.65040650406445</v>
      </c>
    </row>
    <row r="1352" spans="1:33">
      <c r="A1352" s="69" t="s">
        <v>2381</v>
      </c>
      <c r="B1352" s="69" t="s">
        <v>229</v>
      </c>
      <c r="C1352" s="69" t="s">
        <v>187</v>
      </c>
      <c r="D1352" s="69" t="s">
        <v>191</v>
      </c>
      <c r="E1352" s="69" t="s">
        <v>191</v>
      </c>
      <c r="F1352" s="69" t="s">
        <v>170</v>
      </c>
      <c r="G1352" s="69" t="s">
        <v>192</v>
      </c>
      <c r="H1352" s="69" t="s">
        <v>804</v>
      </c>
      <c r="I1352" s="69">
        <v>2</v>
      </c>
      <c r="J1352" s="238">
        <f t="shared" ca="1" si="0"/>
        <v>0.2668262983999703</v>
      </c>
      <c r="K1352" s="238">
        <f t="shared" ca="1" si="0"/>
        <v>0.7167975850068431</v>
      </c>
      <c r="L1352" s="69">
        <v>192.38629588063705</v>
      </c>
      <c r="M1352" s="69">
        <v>0</v>
      </c>
      <c r="N1352" s="69">
        <v>0</v>
      </c>
      <c r="O1352" s="69">
        <v>0</v>
      </c>
      <c r="P1352" s="69">
        <v>0</v>
      </c>
      <c r="Q1352" s="69">
        <v>0</v>
      </c>
      <c r="R1352" s="69">
        <v>0</v>
      </c>
      <c r="S1352" s="69">
        <v>0</v>
      </c>
      <c r="T1352" s="69">
        <v>0</v>
      </c>
      <c r="U1352" s="69">
        <v>0</v>
      </c>
      <c r="V1352" s="69">
        <v>11.703803355868631</v>
      </c>
      <c r="W1352" s="69">
        <v>11.703803355868631</v>
      </c>
      <c r="X1352" s="69">
        <v>11.703803355868631</v>
      </c>
      <c r="Y1352" s="69">
        <v>11.703803355868631</v>
      </c>
      <c r="Z1352" s="69">
        <v>11.703803355868631</v>
      </c>
      <c r="AA1352" s="69">
        <v>11.703803355868631</v>
      </c>
      <c r="AB1352" s="69">
        <v>11.703803355868631</v>
      </c>
      <c r="AC1352" s="69">
        <v>11.703803355868631</v>
      </c>
      <c r="AD1352" s="69">
        <v>11.703803355868631</v>
      </c>
      <c r="AE1352" s="69">
        <v>11.703803355868631</v>
      </c>
      <c r="AF1352" s="69">
        <v>11.703803355868631</v>
      </c>
      <c r="AG1352" s="69">
        <v>11.703803355868631</v>
      </c>
    </row>
    <row r="1353" spans="1:33">
      <c r="A1353" s="69" t="s">
        <v>2381</v>
      </c>
      <c r="B1353" s="69" t="s">
        <v>230</v>
      </c>
      <c r="C1353" s="69" t="s">
        <v>187</v>
      </c>
      <c r="D1353" s="69" t="s">
        <v>191</v>
      </c>
      <c r="E1353" s="69" t="s">
        <v>191</v>
      </c>
      <c r="F1353" s="69" t="s">
        <v>170</v>
      </c>
      <c r="G1353" s="69" t="s">
        <v>192</v>
      </c>
      <c r="H1353" s="69" t="s">
        <v>804</v>
      </c>
      <c r="I1353" s="69">
        <v>2</v>
      </c>
      <c r="J1353" s="238">
        <f t="shared" ca="1" si="0"/>
        <v>0.2668262983999703</v>
      </c>
      <c r="K1353" s="238">
        <f t="shared" ca="1" si="0"/>
        <v>0.7167975850068431</v>
      </c>
      <c r="L1353" s="69">
        <v>192.38629588063705</v>
      </c>
      <c r="M1353" s="69">
        <v>0</v>
      </c>
      <c r="N1353" s="69">
        <v>0</v>
      </c>
      <c r="O1353" s="69">
        <v>0</v>
      </c>
      <c r="P1353" s="69">
        <v>0</v>
      </c>
      <c r="Q1353" s="69">
        <v>0</v>
      </c>
      <c r="R1353" s="69">
        <v>0</v>
      </c>
      <c r="S1353" s="69">
        <v>0</v>
      </c>
      <c r="T1353" s="69">
        <v>0</v>
      </c>
      <c r="U1353" s="69">
        <v>0</v>
      </c>
      <c r="V1353" s="69">
        <v>11.703803355868631</v>
      </c>
      <c r="W1353" s="69">
        <v>11.703803355868631</v>
      </c>
      <c r="X1353" s="69">
        <v>11.703803355868631</v>
      </c>
      <c r="Y1353" s="69">
        <v>11.703803355868631</v>
      </c>
      <c r="Z1353" s="69">
        <v>11.703803355868631</v>
      </c>
      <c r="AA1353" s="69">
        <v>11.703803355868631</v>
      </c>
      <c r="AB1353" s="69">
        <v>11.703803355868631</v>
      </c>
      <c r="AC1353" s="69">
        <v>11.703803355868631</v>
      </c>
      <c r="AD1353" s="69">
        <v>11.703803355868631</v>
      </c>
      <c r="AE1353" s="69">
        <v>11.703803355868631</v>
      </c>
      <c r="AF1353" s="69">
        <v>11.703803355868631</v>
      </c>
      <c r="AG1353" s="69">
        <v>11.703803355868631</v>
      </c>
    </row>
    <row r="1354" spans="1:33">
      <c r="A1354" s="69" t="s">
        <v>2381</v>
      </c>
      <c r="B1354" s="69" t="s">
        <v>231</v>
      </c>
      <c r="C1354" s="69" t="s">
        <v>187</v>
      </c>
      <c r="D1354" s="69" t="s">
        <v>191</v>
      </c>
      <c r="E1354" s="69" t="s">
        <v>191</v>
      </c>
      <c r="F1354" s="69" t="s">
        <v>170</v>
      </c>
      <c r="G1354" s="69" t="s">
        <v>192</v>
      </c>
      <c r="H1354" s="69" t="s">
        <v>804</v>
      </c>
      <c r="I1354" s="69">
        <v>2</v>
      </c>
      <c r="J1354" s="238">
        <f t="shared" ca="1" si="0"/>
        <v>0.2668262983999703</v>
      </c>
      <c r="K1354" s="238">
        <f t="shared" ca="1" si="0"/>
        <v>0.7167975850068431</v>
      </c>
      <c r="L1354" s="69">
        <v>192.38629588063705</v>
      </c>
      <c r="M1354" s="69">
        <v>0</v>
      </c>
      <c r="N1354" s="69">
        <v>0</v>
      </c>
      <c r="O1354" s="69">
        <v>0</v>
      </c>
      <c r="P1354" s="69">
        <v>0</v>
      </c>
      <c r="Q1354" s="69">
        <v>0</v>
      </c>
      <c r="R1354" s="69">
        <v>0</v>
      </c>
      <c r="S1354" s="69">
        <v>0</v>
      </c>
      <c r="T1354" s="69">
        <v>0</v>
      </c>
      <c r="U1354" s="69">
        <v>0</v>
      </c>
      <c r="V1354" s="69">
        <v>11.703803355868631</v>
      </c>
      <c r="W1354" s="69">
        <v>11.703803355868631</v>
      </c>
      <c r="X1354" s="69">
        <v>11.703803355868631</v>
      </c>
      <c r="Y1354" s="69">
        <v>11.703803355868631</v>
      </c>
      <c r="Z1354" s="69">
        <v>11.703803355868631</v>
      </c>
      <c r="AA1354" s="69">
        <v>11.703803355868631</v>
      </c>
      <c r="AB1354" s="69">
        <v>11.703803355868631</v>
      </c>
      <c r="AC1354" s="69">
        <v>11.703803355868631</v>
      </c>
      <c r="AD1354" s="69">
        <v>11.703803355868631</v>
      </c>
      <c r="AE1354" s="69">
        <v>11.703803355868631</v>
      </c>
      <c r="AF1354" s="69">
        <v>11.703803355868631</v>
      </c>
      <c r="AG1354" s="69">
        <v>11.703803355868631</v>
      </c>
    </row>
    <row r="1355" spans="1:33">
      <c r="A1355" s="69" t="s">
        <v>2381</v>
      </c>
      <c r="B1355" s="69" t="s">
        <v>232</v>
      </c>
      <c r="C1355" s="69" t="s">
        <v>187</v>
      </c>
      <c r="D1355" s="69" t="s">
        <v>191</v>
      </c>
      <c r="E1355" s="69" t="s">
        <v>191</v>
      </c>
      <c r="F1355" s="69" t="s">
        <v>170</v>
      </c>
      <c r="G1355" s="69" t="s">
        <v>192</v>
      </c>
      <c r="H1355" s="69" t="s">
        <v>804</v>
      </c>
      <c r="I1355" s="69">
        <v>2</v>
      </c>
      <c r="J1355" s="238">
        <f t="shared" ca="1" si="0"/>
        <v>0.2668262983999703</v>
      </c>
      <c r="K1355" s="238">
        <f t="shared" ca="1" si="0"/>
        <v>0.7167975850068431</v>
      </c>
      <c r="L1355" s="69">
        <v>192.38629588063705</v>
      </c>
      <c r="M1355" s="69">
        <v>0</v>
      </c>
      <c r="N1355" s="69">
        <v>0</v>
      </c>
      <c r="O1355" s="69">
        <v>0</v>
      </c>
      <c r="P1355" s="69">
        <v>0</v>
      </c>
      <c r="Q1355" s="69">
        <v>0</v>
      </c>
      <c r="R1355" s="69">
        <v>0</v>
      </c>
      <c r="S1355" s="69">
        <v>0</v>
      </c>
      <c r="T1355" s="69">
        <v>0</v>
      </c>
      <c r="U1355" s="69">
        <v>0</v>
      </c>
      <c r="V1355" s="69">
        <v>11.703803355868631</v>
      </c>
      <c r="W1355" s="69">
        <v>11.703803355868631</v>
      </c>
      <c r="X1355" s="69">
        <v>11.703803355868631</v>
      </c>
      <c r="Y1355" s="69">
        <v>11.703803355868631</v>
      </c>
      <c r="Z1355" s="69">
        <v>11.703803355868631</v>
      </c>
      <c r="AA1355" s="69">
        <v>11.703803355868631</v>
      </c>
      <c r="AB1355" s="69">
        <v>11.703803355868631</v>
      </c>
      <c r="AC1355" s="69">
        <v>11.703803355868631</v>
      </c>
      <c r="AD1355" s="69">
        <v>11.703803355868631</v>
      </c>
      <c r="AE1355" s="69">
        <v>11.703803355868631</v>
      </c>
      <c r="AF1355" s="69">
        <v>11.703803355868631</v>
      </c>
      <c r="AG1355" s="69">
        <v>11.703803355868631</v>
      </c>
    </row>
    <row r="1356" spans="1:33">
      <c r="A1356" s="69" t="s">
        <v>2381</v>
      </c>
      <c r="B1356" s="69" t="s">
        <v>233</v>
      </c>
      <c r="C1356" s="69" t="s">
        <v>187</v>
      </c>
      <c r="D1356" s="69" t="s">
        <v>191</v>
      </c>
      <c r="E1356" s="69" t="s">
        <v>191</v>
      </c>
      <c r="F1356" s="69" t="s">
        <v>170</v>
      </c>
      <c r="G1356" s="69" t="s">
        <v>192</v>
      </c>
      <c r="H1356" s="69" t="s">
        <v>804</v>
      </c>
      <c r="I1356" s="69">
        <v>2</v>
      </c>
      <c r="J1356" s="238">
        <f t="shared" ca="1" si="0"/>
        <v>0.2668262983999703</v>
      </c>
      <c r="K1356" s="238">
        <f t="shared" ca="1" si="0"/>
        <v>0.7167975850068431</v>
      </c>
      <c r="L1356" s="69">
        <v>192.38629588063705</v>
      </c>
      <c r="M1356" s="69">
        <v>0</v>
      </c>
      <c r="N1356" s="69">
        <v>0</v>
      </c>
      <c r="O1356" s="69">
        <v>0</v>
      </c>
      <c r="P1356" s="69">
        <v>0</v>
      </c>
      <c r="Q1356" s="69">
        <v>0</v>
      </c>
      <c r="R1356" s="69">
        <v>0</v>
      </c>
      <c r="S1356" s="69">
        <v>0</v>
      </c>
      <c r="T1356" s="69">
        <v>0</v>
      </c>
      <c r="U1356" s="69">
        <v>0</v>
      </c>
      <c r="V1356" s="69">
        <v>11.703803355868631</v>
      </c>
      <c r="W1356" s="69">
        <v>11.703803355868631</v>
      </c>
      <c r="X1356" s="69">
        <v>11.703803355868631</v>
      </c>
      <c r="Y1356" s="69">
        <v>11.703803355868631</v>
      </c>
      <c r="Z1356" s="69">
        <v>11.703803355868631</v>
      </c>
      <c r="AA1356" s="69">
        <v>11.703803355868631</v>
      </c>
      <c r="AB1356" s="69">
        <v>11.703803355868631</v>
      </c>
      <c r="AC1356" s="69">
        <v>11.703803355868631</v>
      </c>
      <c r="AD1356" s="69">
        <v>11.703803355868631</v>
      </c>
      <c r="AE1356" s="69">
        <v>11.703803355868631</v>
      </c>
      <c r="AF1356" s="69">
        <v>11.703803355868631</v>
      </c>
      <c r="AG1356" s="69">
        <v>11.703803355868631</v>
      </c>
    </row>
    <row r="1357" spans="1:33">
      <c r="A1357" s="69" t="s">
        <v>2381</v>
      </c>
      <c r="B1357" s="69" t="s">
        <v>234</v>
      </c>
      <c r="C1357" s="69" t="s">
        <v>187</v>
      </c>
      <c r="D1357" s="69" t="s">
        <v>191</v>
      </c>
      <c r="E1357" s="69" t="s">
        <v>191</v>
      </c>
      <c r="F1357" s="69" t="s">
        <v>170</v>
      </c>
      <c r="G1357" s="69" t="s">
        <v>192</v>
      </c>
      <c r="H1357" s="69" t="s">
        <v>804</v>
      </c>
      <c r="I1357" s="69">
        <v>2</v>
      </c>
      <c r="J1357" s="238">
        <f t="shared" ca="1" si="0"/>
        <v>0.2668262983999703</v>
      </c>
      <c r="K1357" s="238">
        <f t="shared" ca="1" si="0"/>
        <v>0.7167975850068431</v>
      </c>
      <c r="L1357" s="69">
        <v>192.38629588063705</v>
      </c>
      <c r="M1357" s="69">
        <v>0</v>
      </c>
      <c r="N1357" s="69">
        <v>0</v>
      </c>
      <c r="O1357" s="69">
        <v>0</v>
      </c>
      <c r="P1357" s="69">
        <v>0</v>
      </c>
      <c r="Q1357" s="69">
        <v>0</v>
      </c>
      <c r="R1357" s="69">
        <v>0</v>
      </c>
      <c r="S1357" s="69">
        <v>0</v>
      </c>
      <c r="T1357" s="69">
        <v>0</v>
      </c>
      <c r="U1357" s="69">
        <v>0</v>
      </c>
      <c r="V1357" s="69">
        <v>11.703803355868631</v>
      </c>
      <c r="W1357" s="69">
        <v>11.703803355868631</v>
      </c>
      <c r="X1357" s="69">
        <v>11.703803355868631</v>
      </c>
      <c r="Y1357" s="69">
        <v>11.703803355868631</v>
      </c>
      <c r="Z1357" s="69">
        <v>11.703803355868631</v>
      </c>
      <c r="AA1357" s="69">
        <v>11.703803355868631</v>
      </c>
      <c r="AB1357" s="69">
        <v>11.703803355868631</v>
      </c>
      <c r="AC1357" s="69">
        <v>11.703803355868631</v>
      </c>
      <c r="AD1357" s="69">
        <v>11.703803355868631</v>
      </c>
      <c r="AE1357" s="69">
        <v>11.703803355868631</v>
      </c>
      <c r="AF1357" s="69">
        <v>11.703803355868631</v>
      </c>
      <c r="AG1357" s="69">
        <v>11.703803355868631</v>
      </c>
    </row>
    <row r="1358" spans="1:33">
      <c r="A1358" s="69" t="s">
        <v>2381</v>
      </c>
      <c r="B1358" s="69" t="s">
        <v>235</v>
      </c>
      <c r="C1358" s="69" t="s">
        <v>139</v>
      </c>
      <c r="D1358" s="69" t="s">
        <v>191</v>
      </c>
      <c r="E1358" s="69" t="s">
        <v>191</v>
      </c>
      <c r="F1358" s="69" t="s">
        <v>166</v>
      </c>
      <c r="G1358" s="69" t="s">
        <v>236</v>
      </c>
      <c r="H1358" s="69" t="s">
        <v>2417</v>
      </c>
      <c r="I1358" s="69">
        <v>1</v>
      </c>
      <c r="J1358" s="238">
        <f t="shared" ca="1" si="0"/>
        <v>0.85</v>
      </c>
      <c r="K1358" s="238">
        <f t="shared" ca="1" si="0"/>
        <v>0.60506988845340159</v>
      </c>
      <c r="L1358" s="69">
        <v>123.91348598076651</v>
      </c>
      <c r="M1358" s="69">
        <v>0</v>
      </c>
      <c r="N1358" s="69">
        <v>0</v>
      </c>
      <c r="O1358" s="69">
        <v>0</v>
      </c>
      <c r="P1358" s="69">
        <v>0</v>
      </c>
      <c r="Q1358" s="69">
        <v>238.27199999999993</v>
      </c>
      <c r="R1358" s="69">
        <v>238.27199999999993</v>
      </c>
      <c r="S1358" s="69">
        <v>238.27199999999993</v>
      </c>
      <c r="T1358" s="69">
        <v>238.27199999999993</v>
      </c>
      <c r="U1358" s="69">
        <v>238.27199999999993</v>
      </c>
      <c r="V1358" s="69">
        <v>238.27199999999993</v>
      </c>
      <c r="W1358" s="69">
        <v>238.27199999999993</v>
      </c>
      <c r="X1358" s="69">
        <v>238.27199999999993</v>
      </c>
      <c r="Y1358" s="69">
        <v>238.27199999999993</v>
      </c>
      <c r="Z1358" s="69">
        <v>238.27199999999993</v>
      </c>
      <c r="AA1358" s="69">
        <v>238.27199999999993</v>
      </c>
      <c r="AB1358" s="69">
        <v>238.27199999999993</v>
      </c>
      <c r="AC1358" s="69">
        <v>238.27199999999993</v>
      </c>
      <c r="AD1358" s="69">
        <v>238.27199999999993</v>
      </c>
      <c r="AE1358" s="69">
        <v>238.27199999999993</v>
      </c>
      <c r="AF1358" s="69">
        <v>238.27199999999993</v>
      </c>
      <c r="AG1358" s="69">
        <v>238.27199999999993</v>
      </c>
    </row>
    <row r="1359" spans="1:33">
      <c r="A1359" s="69" t="s">
        <v>2381</v>
      </c>
      <c r="B1359" s="69" t="s">
        <v>237</v>
      </c>
      <c r="C1359" s="69" t="s">
        <v>185</v>
      </c>
      <c r="D1359" s="69" t="s">
        <v>205</v>
      </c>
      <c r="E1359" s="69" t="s">
        <v>194</v>
      </c>
      <c r="F1359" s="69" t="s">
        <v>175</v>
      </c>
      <c r="G1359" s="69" t="s">
        <v>192</v>
      </c>
      <c r="H1359" s="69" t="s">
        <v>804</v>
      </c>
      <c r="I1359" s="69">
        <v>1</v>
      </c>
      <c r="J1359" s="238">
        <f t="shared" ca="1" si="0"/>
        <v>0.26624999999999999</v>
      </c>
      <c r="K1359" s="238">
        <f t="shared" ca="1" si="0"/>
        <v>0.50027165852802347</v>
      </c>
      <c r="L1359" s="69">
        <v>147.69233230629843</v>
      </c>
      <c r="M1359" s="69">
        <v>0</v>
      </c>
      <c r="N1359" s="69">
        <v>0</v>
      </c>
      <c r="O1359" s="69">
        <v>0</v>
      </c>
      <c r="P1359" s="69">
        <v>0</v>
      </c>
      <c r="Q1359" s="69">
        <v>0</v>
      </c>
      <c r="R1359" s="69">
        <v>0</v>
      </c>
      <c r="S1359" s="69">
        <v>583.08749999999964</v>
      </c>
      <c r="T1359" s="69">
        <v>583.08749999999964</v>
      </c>
      <c r="U1359" s="69">
        <v>583.08749999999964</v>
      </c>
      <c r="V1359" s="69">
        <v>583.08749999999964</v>
      </c>
      <c r="W1359" s="69">
        <v>583.08749999999964</v>
      </c>
      <c r="X1359" s="69">
        <v>583.08749999999964</v>
      </c>
      <c r="Y1359" s="69">
        <v>583.08749999999964</v>
      </c>
      <c r="Z1359" s="69">
        <v>583.08749999999964</v>
      </c>
      <c r="AA1359" s="69">
        <v>583.08749999999964</v>
      </c>
      <c r="AB1359" s="69">
        <v>583.08749999999964</v>
      </c>
      <c r="AC1359" s="69">
        <v>583.08749999999964</v>
      </c>
      <c r="AD1359" s="69">
        <v>583.08749999999964</v>
      </c>
      <c r="AE1359" s="69">
        <v>583.08749999999964</v>
      </c>
      <c r="AF1359" s="69">
        <v>583.08749999999964</v>
      </c>
      <c r="AG1359" s="69">
        <v>583.08749999999964</v>
      </c>
    </row>
    <row r="1360" spans="1:33">
      <c r="A1360" s="69" t="s">
        <v>2381</v>
      </c>
      <c r="B1360" s="69" t="s">
        <v>238</v>
      </c>
      <c r="C1360" s="69" t="s">
        <v>136</v>
      </c>
      <c r="D1360" s="69" t="s">
        <v>191</v>
      </c>
      <c r="E1360" s="69" t="s">
        <v>191</v>
      </c>
      <c r="F1360" s="69" t="s">
        <v>161</v>
      </c>
      <c r="G1360" s="69" t="s">
        <v>192</v>
      </c>
      <c r="H1360" s="69" t="s">
        <v>2130</v>
      </c>
      <c r="I1360" s="69">
        <v>1</v>
      </c>
      <c r="J1360" s="238">
        <f t="shared" ca="1" si="0"/>
        <v>0.82499999999999996</v>
      </c>
      <c r="K1360" s="238">
        <f t="shared" ca="1" si="0"/>
        <v>0.70497163608542901</v>
      </c>
      <c r="L1360" s="69">
        <v>109.81489691553389</v>
      </c>
      <c r="M1360" s="69">
        <v>0</v>
      </c>
      <c r="N1360" s="69">
        <v>0</v>
      </c>
      <c r="O1360" s="69">
        <v>0</v>
      </c>
      <c r="P1360" s="69">
        <v>0</v>
      </c>
      <c r="Q1360" s="69">
        <v>0</v>
      </c>
      <c r="R1360" s="69">
        <v>289.07999999999981</v>
      </c>
      <c r="S1360" s="69">
        <v>289.07999999999981</v>
      </c>
      <c r="T1360" s="69">
        <v>289.07999999999981</v>
      </c>
      <c r="U1360" s="69">
        <v>289.07999999999981</v>
      </c>
      <c r="V1360" s="69">
        <v>289.07999999999981</v>
      </c>
      <c r="W1360" s="69">
        <v>289.07999999999981</v>
      </c>
      <c r="X1360" s="69">
        <v>289.07999999999981</v>
      </c>
      <c r="Y1360" s="69">
        <v>289.07999999999981</v>
      </c>
      <c r="Z1360" s="69">
        <v>289.07999999999981</v>
      </c>
      <c r="AA1360" s="69">
        <v>289.07999999999981</v>
      </c>
      <c r="AB1360" s="69">
        <v>289.07999999999981</v>
      </c>
      <c r="AC1360" s="69">
        <v>289.07999999999981</v>
      </c>
      <c r="AD1360" s="69">
        <v>289.07999999999981</v>
      </c>
      <c r="AE1360" s="69">
        <v>289.07999999999981</v>
      </c>
      <c r="AF1360" s="69">
        <v>289.07999999999981</v>
      </c>
      <c r="AG1360" s="69">
        <v>289.07999999999981</v>
      </c>
    </row>
    <row r="1361" spans="1:33">
      <c r="A1361" s="69" t="s">
        <v>2381</v>
      </c>
      <c r="B1361" s="69" t="s">
        <v>239</v>
      </c>
      <c r="C1361" s="69" t="s">
        <v>137</v>
      </c>
      <c r="D1361" s="69" t="s">
        <v>191</v>
      </c>
      <c r="E1361" s="69" t="s">
        <v>191</v>
      </c>
      <c r="F1361" s="69" t="s">
        <v>180</v>
      </c>
      <c r="G1361" s="69" t="s">
        <v>192</v>
      </c>
      <c r="H1361" s="69" t="s">
        <v>804</v>
      </c>
      <c r="I1361" s="69">
        <v>2</v>
      </c>
      <c r="J1361" s="238">
        <f t="shared" ref="J1361:K1392" ca="1" si="1">OFFSET(J$10,MATCH($B1361,$B$11:$B$1327,0),0)</f>
        <v>0.32235762917068039</v>
      </c>
      <c r="K1361" s="238">
        <f t="shared" ca="1" si="1"/>
        <v>0.160195270625522</v>
      </c>
      <c r="L1361" s="69">
        <v>96.038728079112801</v>
      </c>
      <c r="M1361" s="69">
        <v>0</v>
      </c>
      <c r="N1361" s="69">
        <v>0</v>
      </c>
      <c r="O1361" s="69">
        <v>0</v>
      </c>
      <c r="P1361" s="69">
        <v>0</v>
      </c>
      <c r="Q1361" s="69">
        <v>0</v>
      </c>
      <c r="R1361" s="69">
        <v>56.477056630701554</v>
      </c>
      <c r="S1361" s="69">
        <v>56.477056630701554</v>
      </c>
      <c r="T1361" s="69">
        <v>56.477056630701554</v>
      </c>
      <c r="U1361" s="69">
        <v>56.477056630701554</v>
      </c>
      <c r="V1361" s="69">
        <v>56.477056630701554</v>
      </c>
      <c r="W1361" s="69">
        <v>56.477056630701554</v>
      </c>
      <c r="X1361" s="69">
        <v>56.477056630701554</v>
      </c>
      <c r="Y1361" s="69">
        <v>56.477056630701554</v>
      </c>
      <c r="Z1361" s="69">
        <v>56.477056630701554</v>
      </c>
      <c r="AA1361" s="69">
        <v>56.477056630701554</v>
      </c>
      <c r="AB1361" s="69">
        <v>56.477056630701554</v>
      </c>
      <c r="AC1361" s="69">
        <v>56.477056630701554</v>
      </c>
      <c r="AD1361" s="69">
        <v>56.477056630701554</v>
      </c>
      <c r="AE1361" s="69">
        <v>56.477056630701554</v>
      </c>
      <c r="AF1361" s="69">
        <v>56.477056630701554</v>
      </c>
      <c r="AG1361" s="69">
        <v>56.477056630701554</v>
      </c>
    </row>
    <row r="1362" spans="1:33">
      <c r="A1362" s="69" t="s">
        <v>2381</v>
      </c>
      <c r="B1362" s="69" t="s">
        <v>240</v>
      </c>
      <c r="C1362" s="69" t="s">
        <v>137</v>
      </c>
      <c r="D1362" s="69" t="s">
        <v>191</v>
      </c>
      <c r="E1362" s="69" t="s">
        <v>191</v>
      </c>
      <c r="F1362" s="69" t="s">
        <v>180</v>
      </c>
      <c r="G1362" s="69" t="s">
        <v>192</v>
      </c>
      <c r="H1362" s="69" t="s">
        <v>804</v>
      </c>
      <c r="I1362" s="69">
        <v>2</v>
      </c>
      <c r="J1362" s="238">
        <f t="shared" ca="1" si="1"/>
        <v>0.32235762917068039</v>
      </c>
      <c r="K1362" s="238">
        <f t="shared" ca="1" si="1"/>
        <v>0.160195270625522</v>
      </c>
      <c r="L1362" s="69">
        <v>96.038728079112801</v>
      </c>
      <c r="M1362" s="69">
        <v>0</v>
      </c>
      <c r="N1362" s="69">
        <v>0</v>
      </c>
      <c r="O1362" s="69">
        <v>0</v>
      </c>
      <c r="P1362" s="69">
        <v>0</v>
      </c>
      <c r="Q1362" s="69">
        <v>0</v>
      </c>
      <c r="R1362" s="69">
        <v>11.295411326140311</v>
      </c>
      <c r="S1362" s="69">
        <v>11.295411326140311</v>
      </c>
      <c r="T1362" s="69">
        <v>11.295411326140311</v>
      </c>
      <c r="U1362" s="69">
        <v>11.295411326140311</v>
      </c>
      <c r="V1362" s="69">
        <v>11.295411326140311</v>
      </c>
      <c r="W1362" s="69">
        <v>11.295411326140311</v>
      </c>
      <c r="X1362" s="69">
        <v>11.295411326140311</v>
      </c>
      <c r="Y1362" s="69">
        <v>11.295411326140311</v>
      </c>
      <c r="Z1362" s="69">
        <v>11.295411326140311</v>
      </c>
      <c r="AA1362" s="69">
        <v>11.295411326140311</v>
      </c>
      <c r="AB1362" s="69">
        <v>11.295411326140311</v>
      </c>
      <c r="AC1362" s="69">
        <v>11.295411326140311</v>
      </c>
      <c r="AD1362" s="69">
        <v>11.295411326140311</v>
      </c>
      <c r="AE1362" s="69">
        <v>11.295411326140311</v>
      </c>
      <c r="AF1362" s="69">
        <v>11.295411326140311</v>
      </c>
      <c r="AG1362" s="69">
        <v>11.295411326140311</v>
      </c>
    </row>
    <row r="1363" spans="1:33">
      <c r="A1363" s="69" t="s">
        <v>2381</v>
      </c>
      <c r="B1363" s="69" t="s">
        <v>241</v>
      </c>
      <c r="C1363" s="69" t="s">
        <v>186</v>
      </c>
      <c r="D1363" s="69" t="s">
        <v>218</v>
      </c>
      <c r="E1363" s="69" t="s">
        <v>242</v>
      </c>
      <c r="F1363" s="69" t="s">
        <v>158</v>
      </c>
      <c r="G1363" s="69" t="s">
        <v>192</v>
      </c>
      <c r="H1363" s="69" t="s">
        <v>804</v>
      </c>
      <c r="I1363" s="69">
        <v>1</v>
      </c>
      <c r="J1363" s="238">
        <f t="shared" ca="1" si="1"/>
        <v>0.24339198871440765</v>
      </c>
      <c r="K1363" s="238">
        <f t="shared" ca="1" si="1"/>
        <v>0</v>
      </c>
      <c r="L1363" s="69">
        <v>193.77952335557677</v>
      </c>
      <c r="M1363" s="69">
        <v>-4.6901811248808389</v>
      </c>
      <c r="N1363" s="69">
        <v>0</v>
      </c>
      <c r="O1363" s="69">
        <v>0</v>
      </c>
      <c r="P1363" s="69">
        <v>0</v>
      </c>
      <c r="Q1363" s="69">
        <v>42.642276422764553</v>
      </c>
      <c r="R1363" s="69">
        <v>42.642276422764553</v>
      </c>
      <c r="S1363" s="69">
        <v>42.642276422764553</v>
      </c>
      <c r="T1363" s="69">
        <v>42.642276422764553</v>
      </c>
      <c r="U1363" s="69">
        <v>42.642276422764553</v>
      </c>
      <c r="V1363" s="69">
        <v>42.642276422764553</v>
      </c>
      <c r="W1363" s="69">
        <v>42.642276422764553</v>
      </c>
      <c r="X1363" s="69">
        <v>42.642276422764553</v>
      </c>
      <c r="Y1363" s="69">
        <v>42.642276422764553</v>
      </c>
      <c r="Z1363" s="69">
        <v>42.642276422764553</v>
      </c>
      <c r="AA1363" s="69">
        <v>42.642276422764553</v>
      </c>
      <c r="AB1363" s="69">
        <v>42.642276422764553</v>
      </c>
      <c r="AC1363" s="69">
        <v>42.642276422764553</v>
      </c>
      <c r="AD1363" s="69">
        <v>42.642276422764553</v>
      </c>
      <c r="AE1363" s="69">
        <v>42.642276422764553</v>
      </c>
      <c r="AF1363" s="69">
        <v>42.642276422764553</v>
      </c>
      <c r="AG1363" s="69">
        <v>42.642276422764553</v>
      </c>
    </row>
    <row r="1364" spans="1:33">
      <c r="A1364" s="69" t="s">
        <v>2381</v>
      </c>
      <c r="B1364" s="69" t="s">
        <v>243</v>
      </c>
      <c r="C1364" s="69" t="s">
        <v>186</v>
      </c>
      <c r="D1364" s="69" t="s">
        <v>218</v>
      </c>
      <c r="E1364" s="69" t="s">
        <v>244</v>
      </c>
      <c r="F1364" s="69" t="s">
        <v>158</v>
      </c>
      <c r="G1364" s="69" t="s">
        <v>192</v>
      </c>
      <c r="H1364" s="69" t="s">
        <v>804</v>
      </c>
      <c r="I1364" s="69">
        <v>1</v>
      </c>
      <c r="J1364" s="238">
        <f t="shared" ca="1" si="1"/>
        <v>0.2668262983999703</v>
      </c>
      <c r="K1364" s="238">
        <f t="shared" ca="1" si="1"/>
        <v>0</v>
      </c>
      <c r="L1364" s="69">
        <v>176.76062608695653</v>
      </c>
      <c r="M1364" s="69">
        <v>-4.2782608695652176</v>
      </c>
      <c r="N1364" s="69">
        <v>46.747967479674116</v>
      </c>
      <c r="O1364" s="69">
        <v>46.747967479674116</v>
      </c>
      <c r="P1364" s="69">
        <v>46.747967479674116</v>
      </c>
      <c r="Q1364" s="69">
        <v>46.747967479674116</v>
      </c>
      <c r="R1364" s="69">
        <v>46.747967479674116</v>
      </c>
      <c r="S1364" s="69">
        <v>46.747967479674116</v>
      </c>
      <c r="T1364" s="69">
        <v>46.747967479674116</v>
      </c>
      <c r="U1364" s="69">
        <v>46.747967479674116</v>
      </c>
      <c r="V1364" s="69">
        <v>46.747967479674116</v>
      </c>
      <c r="W1364" s="69">
        <v>46.747967479674116</v>
      </c>
      <c r="X1364" s="69">
        <v>46.747967479674116</v>
      </c>
      <c r="Y1364" s="69">
        <v>46.747967479674116</v>
      </c>
      <c r="Z1364" s="69">
        <v>46.747967479674116</v>
      </c>
      <c r="AA1364" s="69">
        <v>46.747967479674116</v>
      </c>
      <c r="AB1364" s="69">
        <v>46.747967479674116</v>
      </c>
      <c r="AC1364" s="69">
        <v>46.747967479674116</v>
      </c>
      <c r="AD1364" s="69">
        <v>46.747967479674116</v>
      </c>
      <c r="AE1364" s="69">
        <v>46.747967479674116</v>
      </c>
      <c r="AF1364" s="69">
        <v>46.747967479674116</v>
      </c>
      <c r="AG1364" s="69">
        <v>46.747967479674116</v>
      </c>
    </row>
    <row r="1365" spans="1:33">
      <c r="A1365" s="69" t="s">
        <v>2381</v>
      </c>
      <c r="B1365" s="69" t="s">
        <v>245</v>
      </c>
      <c r="C1365" s="69" t="s">
        <v>137</v>
      </c>
      <c r="D1365" s="69" t="s">
        <v>191</v>
      </c>
      <c r="E1365" s="69" t="s">
        <v>191</v>
      </c>
      <c r="F1365" s="69" t="s">
        <v>180</v>
      </c>
      <c r="G1365" s="69" t="s">
        <v>192</v>
      </c>
      <c r="H1365" s="69" t="s">
        <v>804</v>
      </c>
      <c r="I1365" s="69">
        <v>2</v>
      </c>
      <c r="J1365" s="238">
        <f t="shared" ca="1" si="1"/>
        <v>0.32235762917068039</v>
      </c>
      <c r="K1365" s="238">
        <f t="shared" ca="1" si="1"/>
        <v>0.160195270625522</v>
      </c>
      <c r="L1365" s="69">
        <v>96.038728079112801</v>
      </c>
      <c r="M1365" s="69">
        <v>0</v>
      </c>
      <c r="N1365" s="69">
        <v>0</v>
      </c>
      <c r="O1365" s="69">
        <v>0</v>
      </c>
      <c r="P1365" s="69">
        <v>0</v>
      </c>
      <c r="Q1365" s="69">
        <v>0</v>
      </c>
      <c r="R1365" s="69">
        <v>56.477056630701554</v>
      </c>
      <c r="S1365" s="69">
        <v>56.477056630701554</v>
      </c>
      <c r="T1365" s="69">
        <v>56.477056630701554</v>
      </c>
      <c r="U1365" s="69">
        <v>56.477056630701554</v>
      </c>
      <c r="V1365" s="69">
        <v>56.477056630701554</v>
      </c>
      <c r="W1365" s="69">
        <v>56.477056630701554</v>
      </c>
      <c r="X1365" s="69">
        <v>56.477056630701554</v>
      </c>
      <c r="Y1365" s="69">
        <v>56.477056630701554</v>
      </c>
      <c r="Z1365" s="69">
        <v>56.477056630701554</v>
      </c>
      <c r="AA1365" s="69">
        <v>56.477056630701554</v>
      </c>
      <c r="AB1365" s="69">
        <v>56.477056630701554</v>
      </c>
      <c r="AC1365" s="69">
        <v>56.477056630701554</v>
      </c>
      <c r="AD1365" s="69">
        <v>56.477056630701554</v>
      </c>
      <c r="AE1365" s="69">
        <v>56.477056630701554</v>
      </c>
      <c r="AF1365" s="69">
        <v>56.477056630701554</v>
      </c>
      <c r="AG1365" s="69">
        <v>56.477056630701554</v>
      </c>
    </row>
    <row r="1366" spans="1:33">
      <c r="A1366" s="69" t="s">
        <v>2381</v>
      </c>
      <c r="B1366" s="69" t="s">
        <v>246</v>
      </c>
      <c r="C1366" s="69" t="s">
        <v>186</v>
      </c>
      <c r="D1366" s="69" t="s">
        <v>218</v>
      </c>
      <c r="E1366" s="69" t="s">
        <v>244</v>
      </c>
      <c r="F1366" s="69" t="s">
        <v>158</v>
      </c>
      <c r="G1366" s="69" t="s">
        <v>192</v>
      </c>
      <c r="H1366" s="69" t="s">
        <v>804</v>
      </c>
      <c r="I1366" s="69">
        <v>1</v>
      </c>
      <c r="J1366" s="238">
        <f t="shared" ca="1" si="1"/>
        <v>0.2668262983999703</v>
      </c>
      <c r="K1366" s="238">
        <f t="shared" ca="1" si="1"/>
        <v>0</v>
      </c>
      <c r="L1366" s="69">
        <v>176.76062608695653</v>
      </c>
      <c r="M1366" s="69">
        <v>-4.2782608695652176</v>
      </c>
      <c r="N1366" s="69">
        <v>0</v>
      </c>
      <c r="O1366" s="69">
        <v>0</v>
      </c>
      <c r="P1366" s="69">
        <v>0</v>
      </c>
      <c r="Q1366" s="69">
        <v>11.686991869919437</v>
      </c>
      <c r="R1366" s="69">
        <v>11.686991869919437</v>
      </c>
      <c r="S1366" s="69">
        <v>11.686991869919437</v>
      </c>
      <c r="T1366" s="69">
        <v>11.686991869919437</v>
      </c>
      <c r="U1366" s="69">
        <v>11.686991869919437</v>
      </c>
      <c r="V1366" s="69">
        <v>11.686991869919437</v>
      </c>
      <c r="W1366" s="69">
        <v>11.686991869919437</v>
      </c>
      <c r="X1366" s="69">
        <v>11.686991869919437</v>
      </c>
      <c r="Y1366" s="69">
        <v>11.686991869919437</v>
      </c>
      <c r="Z1366" s="69">
        <v>11.686991869919437</v>
      </c>
      <c r="AA1366" s="69">
        <v>11.686991869919437</v>
      </c>
      <c r="AB1366" s="69">
        <v>11.686991869919437</v>
      </c>
      <c r="AC1366" s="69">
        <v>11.686991869919437</v>
      </c>
      <c r="AD1366" s="69">
        <v>11.686991869919437</v>
      </c>
      <c r="AE1366" s="69">
        <v>11.686991869919437</v>
      </c>
      <c r="AF1366" s="69">
        <v>11.686991869919437</v>
      </c>
      <c r="AG1366" s="69">
        <v>11.686991869919437</v>
      </c>
    </row>
    <row r="1367" spans="1:33">
      <c r="A1367" s="69" t="s">
        <v>2381</v>
      </c>
      <c r="B1367" s="69" t="s">
        <v>247</v>
      </c>
      <c r="C1367" s="69" t="s">
        <v>186</v>
      </c>
      <c r="D1367" s="69" t="s">
        <v>218</v>
      </c>
      <c r="E1367" s="69" t="s">
        <v>244</v>
      </c>
      <c r="F1367" s="69" t="s">
        <v>158</v>
      </c>
      <c r="G1367" s="69" t="s">
        <v>192</v>
      </c>
      <c r="H1367" s="69" t="s">
        <v>804</v>
      </c>
      <c r="I1367" s="69">
        <v>1</v>
      </c>
      <c r="J1367" s="238">
        <f t="shared" ca="1" si="1"/>
        <v>0.2668262983999703</v>
      </c>
      <c r="K1367" s="238">
        <f t="shared" ca="1" si="1"/>
        <v>0</v>
      </c>
      <c r="L1367" s="69">
        <v>176.76062608695653</v>
      </c>
      <c r="M1367" s="69">
        <v>-4.2782608695652176</v>
      </c>
      <c r="N1367" s="69">
        <v>0</v>
      </c>
      <c r="O1367" s="69">
        <v>0</v>
      </c>
      <c r="P1367" s="69">
        <v>0</v>
      </c>
      <c r="Q1367" s="69">
        <v>46.747967479674116</v>
      </c>
      <c r="R1367" s="69">
        <v>46.747967479674116</v>
      </c>
      <c r="S1367" s="69">
        <v>46.747967479674116</v>
      </c>
      <c r="T1367" s="69">
        <v>46.747967479674116</v>
      </c>
      <c r="U1367" s="69">
        <v>46.747967479674116</v>
      </c>
      <c r="V1367" s="69">
        <v>46.747967479674116</v>
      </c>
      <c r="W1367" s="69">
        <v>46.747967479674116</v>
      </c>
      <c r="X1367" s="69">
        <v>46.747967479674116</v>
      </c>
      <c r="Y1367" s="69">
        <v>46.747967479674116</v>
      </c>
      <c r="Z1367" s="69">
        <v>46.747967479674116</v>
      </c>
      <c r="AA1367" s="69">
        <v>46.747967479674116</v>
      </c>
      <c r="AB1367" s="69">
        <v>46.747967479674116</v>
      </c>
      <c r="AC1367" s="69">
        <v>46.747967479674116</v>
      </c>
      <c r="AD1367" s="69">
        <v>46.747967479674116</v>
      </c>
      <c r="AE1367" s="69">
        <v>46.747967479674116</v>
      </c>
      <c r="AF1367" s="69">
        <v>46.747967479674116</v>
      </c>
      <c r="AG1367" s="69">
        <v>46.747967479674116</v>
      </c>
    </row>
    <row r="1368" spans="1:33">
      <c r="A1368" s="69" t="s">
        <v>2381</v>
      </c>
      <c r="B1368" s="69" t="s">
        <v>248</v>
      </c>
      <c r="C1368" s="69" t="s">
        <v>186</v>
      </c>
      <c r="D1368" s="69" t="s">
        <v>218</v>
      </c>
      <c r="E1368" s="69" t="s">
        <v>244</v>
      </c>
      <c r="F1368" s="69" t="s">
        <v>158</v>
      </c>
      <c r="G1368" s="69" t="s">
        <v>192</v>
      </c>
      <c r="H1368" s="69" t="s">
        <v>804</v>
      </c>
      <c r="I1368" s="69">
        <v>1</v>
      </c>
      <c r="J1368" s="238">
        <f t="shared" ca="1" si="1"/>
        <v>0.2668262983999703</v>
      </c>
      <c r="K1368" s="238">
        <f t="shared" ca="1" si="1"/>
        <v>0</v>
      </c>
      <c r="L1368" s="69">
        <v>176.76062608695653</v>
      </c>
      <c r="M1368" s="69">
        <v>-4.2782608695652176</v>
      </c>
      <c r="N1368" s="69">
        <v>0</v>
      </c>
      <c r="O1368" s="69">
        <v>0</v>
      </c>
      <c r="P1368" s="69">
        <v>0</v>
      </c>
      <c r="Q1368" s="69">
        <v>46.747967479674116</v>
      </c>
      <c r="R1368" s="69">
        <v>46.747967479674116</v>
      </c>
      <c r="S1368" s="69">
        <v>46.747967479674116</v>
      </c>
      <c r="T1368" s="69">
        <v>46.747967479674116</v>
      </c>
      <c r="U1368" s="69">
        <v>46.747967479674116</v>
      </c>
      <c r="V1368" s="69">
        <v>46.747967479674116</v>
      </c>
      <c r="W1368" s="69">
        <v>46.747967479674116</v>
      </c>
      <c r="X1368" s="69">
        <v>46.747967479674116</v>
      </c>
      <c r="Y1368" s="69">
        <v>46.747967479674116</v>
      </c>
      <c r="Z1368" s="69">
        <v>46.747967479674116</v>
      </c>
      <c r="AA1368" s="69">
        <v>46.747967479674116</v>
      </c>
      <c r="AB1368" s="69">
        <v>46.747967479674116</v>
      </c>
      <c r="AC1368" s="69">
        <v>46.747967479674116</v>
      </c>
      <c r="AD1368" s="69">
        <v>46.747967479674116</v>
      </c>
      <c r="AE1368" s="69">
        <v>46.747967479674116</v>
      </c>
      <c r="AF1368" s="69">
        <v>46.747967479674116</v>
      </c>
      <c r="AG1368" s="69">
        <v>46.747967479674116</v>
      </c>
    </row>
    <row r="1369" spans="1:33">
      <c r="A1369" s="69" t="s">
        <v>2381</v>
      </c>
      <c r="B1369" s="69" t="s">
        <v>249</v>
      </c>
      <c r="C1369" s="69" t="s">
        <v>186</v>
      </c>
      <c r="D1369" s="69" t="s">
        <v>218</v>
      </c>
      <c r="E1369" s="69" t="s">
        <v>244</v>
      </c>
      <c r="F1369" s="69" t="s">
        <v>158</v>
      </c>
      <c r="G1369" s="69" t="s">
        <v>192</v>
      </c>
      <c r="H1369" s="69" t="s">
        <v>804</v>
      </c>
      <c r="I1369" s="69">
        <v>1</v>
      </c>
      <c r="J1369" s="238">
        <f t="shared" ca="1" si="1"/>
        <v>0.2668262983999703</v>
      </c>
      <c r="K1369" s="238">
        <f t="shared" ca="1" si="1"/>
        <v>0</v>
      </c>
      <c r="L1369" s="69">
        <v>176.76062608695653</v>
      </c>
      <c r="M1369" s="69">
        <v>-4.2782608695652176</v>
      </c>
      <c r="N1369" s="69">
        <v>0</v>
      </c>
      <c r="O1369" s="69">
        <v>0</v>
      </c>
      <c r="P1369" s="69">
        <v>0</v>
      </c>
      <c r="Q1369" s="69">
        <v>0</v>
      </c>
      <c r="R1369" s="69">
        <v>46.747967479674116</v>
      </c>
      <c r="S1369" s="69">
        <v>46.747967479674116</v>
      </c>
      <c r="T1369" s="69">
        <v>46.747967479674116</v>
      </c>
      <c r="U1369" s="69">
        <v>46.747967479674116</v>
      </c>
      <c r="V1369" s="69">
        <v>46.747967479674116</v>
      </c>
      <c r="W1369" s="69">
        <v>46.747967479674116</v>
      </c>
      <c r="X1369" s="69">
        <v>46.747967479674116</v>
      </c>
      <c r="Y1369" s="69">
        <v>46.747967479674116</v>
      </c>
      <c r="Z1369" s="69">
        <v>46.747967479674116</v>
      </c>
      <c r="AA1369" s="69">
        <v>46.747967479674116</v>
      </c>
      <c r="AB1369" s="69">
        <v>46.747967479674116</v>
      </c>
      <c r="AC1369" s="69">
        <v>46.747967479674116</v>
      </c>
      <c r="AD1369" s="69">
        <v>46.747967479674116</v>
      </c>
      <c r="AE1369" s="69">
        <v>46.747967479674116</v>
      </c>
      <c r="AF1369" s="69">
        <v>46.747967479674116</v>
      </c>
      <c r="AG1369" s="69">
        <v>46.747967479674116</v>
      </c>
    </row>
    <row r="1370" spans="1:33">
      <c r="A1370" s="69" t="s">
        <v>2381</v>
      </c>
      <c r="B1370" s="69" t="s">
        <v>250</v>
      </c>
      <c r="C1370" s="69" t="s">
        <v>186</v>
      </c>
      <c r="D1370" s="69" t="s">
        <v>218</v>
      </c>
      <c r="E1370" s="69" t="s">
        <v>244</v>
      </c>
      <c r="F1370" s="69" t="s">
        <v>158</v>
      </c>
      <c r="G1370" s="69" t="s">
        <v>192</v>
      </c>
      <c r="H1370" s="69" t="s">
        <v>804</v>
      </c>
      <c r="I1370" s="69">
        <v>1</v>
      </c>
      <c r="J1370" s="238">
        <f t="shared" ca="1" si="1"/>
        <v>0.2668262983999703</v>
      </c>
      <c r="K1370" s="238">
        <f t="shared" ca="1" si="1"/>
        <v>0</v>
      </c>
      <c r="L1370" s="69">
        <v>176.76062608695653</v>
      </c>
      <c r="M1370" s="69">
        <v>-4.2782608695652176</v>
      </c>
      <c r="N1370" s="69">
        <v>0</v>
      </c>
      <c r="O1370" s="69">
        <v>0</v>
      </c>
      <c r="P1370" s="69">
        <v>0</v>
      </c>
      <c r="Q1370" s="69">
        <v>0</v>
      </c>
      <c r="R1370" s="69">
        <v>46.747967479674116</v>
      </c>
      <c r="S1370" s="69">
        <v>46.747967479674116</v>
      </c>
      <c r="T1370" s="69">
        <v>46.747967479674116</v>
      </c>
      <c r="U1370" s="69">
        <v>46.747967479674116</v>
      </c>
      <c r="V1370" s="69">
        <v>46.747967479674116</v>
      </c>
      <c r="W1370" s="69">
        <v>46.747967479674116</v>
      </c>
      <c r="X1370" s="69">
        <v>46.747967479674116</v>
      </c>
      <c r="Y1370" s="69">
        <v>46.747967479674116</v>
      </c>
      <c r="Z1370" s="69">
        <v>46.747967479674116</v>
      </c>
      <c r="AA1370" s="69">
        <v>46.747967479674116</v>
      </c>
      <c r="AB1370" s="69">
        <v>46.747967479674116</v>
      </c>
      <c r="AC1370" s="69">
        <v>46.747967479674116</v>
      </c>
      <c r="AD1370" s="69">
        <v>46.747967479674116</v>
      </c>
      <c r="AE1370" s="69">
        <v>46.747967479674116</v>
      </c>
      <c r="AF1370" s="69">
        <v>46.747967479674116</v>
      </c>
      <c r="AG1370" s="69">
        <v>46.747967479674116</v>
      </c>
    </row>
    <row r="1371" spans="1:33">
      <c r="A1371" s="69" t="s">
        <v>2381</v>
      </c>
      <c r="B1371" s="69" t="s">
        <v>251</v>
      </c>
      <c r="C1371" s="69" t="s">
        <v>186</v>
      </c>
      <c r="D1371" s="69" t="s">
        <v>218</v>
      </c>
      <c r="E1371" s="69" t="s">
        <v>244</v>
      </c>
      <c r="F1371" s="69" t="s">
        <v>158</v>
      </c>
      <c r="G1371" s="69" t="s">
        <v>192</v>
      </c>
      <c r="H1371" s="69" t="s">
        <v>804</v>
      </c>
      <c r="I1371" s="69">
        <v>1</v>
      </c>
      <c r="J1371" s="238">
        <f t="shared" ca="1" si="1"/>
        <v>0.2668262983999703</v>
      </c>
      <c r="K1371" s="238">
        <f t="shared" ca="1" si="1"/>
        <v>0</v>
      </c>
      <c r="L1371" s="69">
        <v>176.76062608695653</v>
      </c>
      <c r="M1371" s="69">
        <v>-4.2782608695652176</v>
      </c>
      <c r="N1371" s="69">
        <v>0</v>
      </c>
      <c r="O1371" s="69">
        <v>0</v>
      </c>
      <c r="P1371" s="69">
        <v>0</v>
      </c>
      <c r="Q1371" s="69">
        <v>0</v>
      </c>
      <c r="R1371" s="69">
        <v>35.060975609756497</v>
      </c>
      <c r="S1371" s="69">
        <v>35.060975609756497</v>
      </c>
      <c r="T1371" s="69">
        <v>35.060975609756497</v>
      </c>
      <c r="U1371" s="69">
        <v>35.060975609756497</v>
      </c>
      <c r="V1371" s="69">
        <v>35.060975609756497</v>
      </c>
      <c r="W1371" s="69">
        <v>35.060975609756497</v>
      </c>
      <c r="X1371" s="69">
        <v>35.060975609756497</v>
      </c>
      <c r="Y1371" s="69">
        <v>35.060975609756497</v>
      </c>
      <c r="Z1371" s="69">
        <v>35.060975609756497</v>
      </c>
      <c r="AA1371" s="69">
        <v>35.060975609756497</v>
      </c>
      <c r="AB1371" s="69">
        <v>35.060975609756497</v>
      </c>
      <c r="AC1371" s="69">
        <v>35.060975609756497</v>
      </c>
      <c r="AD1371" s="69">
        <v>35.060975609756497</v>
      </c>
      <c r="AE1371" s="69">
        <v>35.060975609756497</v>
      </c>
      <c r="AF1371" s="69">
        <v>35.060975609756497</v>
      </c>
      <c r="AG1371" s="69">
        <v>35.060975609756497</v>
      </c>
    </row>
    <row r="1372" spans="1:33">
      <c r="A1372" s="69" t="s">
        <v>2381</v>
      </c>
      <c r="B1372" s="69" t="s">
        <v>252</v>
      </c>
      <c r="C1372" s="69" t="s">
        <v>137</v>
      </c>
      <c r="D1372" s="69" t="s">
        <v>191</v>
      </c>
      <c r="E1372" s="69" t="s">
        <v>191</v>
      </c>
      <c r="F1372" s="69" t="s">
        <v>169</v>
      </c>
      <c r="G1372" s="69" t="s">
        <v>192</v>
      </c>
      <c r="H1372" s="69" t="s">
        <v>804</v>
      </c>
      <c r="I1372" s="69">
        <v>1</v>
      </c>
      <c r="J1372" s="238">
        <f t="shared" ca="1" si="1"/>
        <v>0.32235762917068039</v>
      </c>
      <c r="K1372" s="238">
        <f t="shared" ca="1" si="1"/>
        <v>0.16115831843295012</v>
      </c>
      <c r="L1372" s="69">
        <v>96.038728079112801</v>
      </c>
      <c r="M1372" s="69">
        <v>0</v>
      </c>
      <c r="N1372" s="69">
        <v>0</v>
      </c>
      <c r="O1372" s="69">
        <v>112.95411326140641</v>
      </c>
      <c r="P1372" s="69">
        <v>112.95411326140641</v>
      </c>
      <c r="Q1372" s="69">
        <v>112.95411326140641</v>
      </c>
      <c r="R1372" s="69">
        <v>112.95411326140641</v>
      </c>
      <c r="S1372" s="69">
        <v>112.95411326140641</v>
      </c>
      <c r="T1372" s="69">
        <v>112.95411326140641</v>
      </c>
      <c r="U1372" s="69">
        <v>112.95411326140641</v>
      </c>
      <c r="V1372" s="69">
        <v>112.95411326140641</v>
      </c>
      <c r="W1372" s="69">
        <v>112.95411326140641</v>
      </c>
      <c r="X1372" s="69">
        <v>112.95411326140641</v>
      </c>
      <c r="Y1372" s="69">
        <v>112.95411326140641</v>
      </c>
      <c r="Z1372" s="69">
        <v>112.95411326140641</v>
      </c>
      <c r="AA1372" s="69">
        <v>112.95411326140641</v>
      </c>
      <c r="AB1372" s="69">
        <v>112.95411326140641</v>
      </c>
      <c r="AC1372" s="69">
        <v>112.95411326140641</v>
      </c>
      <c r="AD1372" s="69">
        <v>112.95411326140641</v>
      </c>
      <c r="AE1372" s="69">
        <v>112.95411326140641</v>
      </c>
      <c r="AF1372" s="69">
        <v>112.95411326140641</v>
      </c>
      <c r="AG1372" s="69">
        <v>112.95411326140641</v>
      </c>
    </row>
    <row r="1373" spans="1:33">
      <c r="A1373" s="69" t="s">
        <v>2381</v>
      </c>
      <c r="B1373" s="69" t="s">
        <v>254</v>
      </c>
      <c r="C1373" s="69" t="s">
        <v>137</v>
      </c>
      <c r="D1373" s="69" t="s">
        <v>191</v>
      </c>
      <c r="E1373" s="69" t="s">
        <v>191</v>
      </c>
      <c r="F1373" s="69" t="s">
        <v>179</v>
      </c>
      <c r="G1373" s="69" t="s">
        <v>192</v>
      </c>
      <c r="H1373" s="69" t="s">
        <v>805</v>
      </c>
      <c r="I1373" s="69">
        <v>1</v>
      </c>
      <c r="J1373" s="238">
        <f t="shared" ca="1" si="1"/>
        <v>0.32235762917068039</v>
      </c>
      <c r="K1373" s="238">
        <f t="shared" ca="1" si="1"/>
        <v>0.16152665976075289</v>
      </c>
      <c r="L1373" s="69">
        <v>96.038728079112801</v>
      </c>
      <c r="M1373" s="69">
        <v>0</v>
      </c>
      <c r="N1373" s="69">
        <v>0</v>
      </c>
      <c r="O1373" s="69">
        <v>0</v>
      </c>
      <c r="P1373" s="69">
        <v>0</v>
      </c>
      <c r="Q1373" s="69">
        <v>0</v>
      </c>
      <c r="R1373" s="69">
        <v>0</v>
      </c>
      <c r="S1373" s="69">
        <v>0</v>
      </c>
      <c r="T1373" s="69">
        <v>107.30640759833626</v>
      </c>
      <c r="U1373" s="69">
        <v>107.30640759833626</v>
      </c>
      <c r="V1373" s="69">
        <v>107.30640759833626</v>
      </c>
      <c r="W1373" s="69">
        <v>107.30640759833626</v>
      </c>
      <c r="X1373" s="69">
        <v>107.30640759833626</v>
      </c>
      <c r="Y1373" s="69">
        <v>107.30640759833626</v>
      </c>
      <c r="Z1373" s="69">
        <v>107.30640759833626</v>
      </c>
      <c r="AA1373" s="69">
        <v>107.30640759833626</v>
      </c>
      <c r="AB1373" s="69">
        <v>107.30640759833626</v>
      </c>
      <c r="AC1373" s="69">
        <v>107.30640759833626</v>
      </c>
      <c r="AD1373" s="69">
        <v>107.30640759833626</v>
      </c>
      <c r="AE1373" s="69">
        <v>107.30640759833626</v>
      </c>
      <c r="AF1373" s="69">
        <v>107.30640759833626</v>
      </c>
      <c r="AG1373" s="69">
        <v>107.30640759833626</v>
      </c>
    </row>
    <row r="1374" spans="1:33">
      <c r="A1374" s="69" t="s">
        <v>2381</v>
      </c>
      <c r="B1374" s="69" t="s">
        <v>255</v>
      </c>
      <c r="C1374" s="69" t="s">
        <v>139</v>
      </c>
      <c r="D1374" s="69" t="s">
        <v>191</v>
      </c>
      <c r="E1374" s="69" t="s">
        <v>191</v>
      </c>
      <c r="F1374" s="69" t="s">
        <v>167</v>
      </c>
      <c r="G1374" s="69" t="s">
        <v>192</v>
      </c>
      <c r="H1374" s="69" t="s">
        <v>805</v>
      </c>
      <c r="I1374" s="69">
        <v>1</v>
      </c>
      <c r="J1374" s="238">
        <f t="shared" ca="1" si="1"/>
        <v>0.85</v>
      </c>
      <c r="K1374" s="238">
        <f t="shared" ca="1" si="1"/>
        <v>0.66</v>
      </c>
      <c r="L1374" s="69">
        <v>127.99027888971092</v>
      </c>
      <c r="M1374" s="69">
        <v>0</v>
      </c>
      <c r="N1374" s="69">
        <v>0</v>
      </c>
      <c r="O1374" s="69">
        <v>0</v>
      </c>
      <c r="P1374" s="69">
        <v>0</v>
      </c>
      <c r="Q1374" s="69">
        <v>37.230000000000018</v>
      </c>
      <c r="R1374" s="69">
        <v>37.230000000000018</v>
      </c>
      <c r="S1374" s="69">
        <v>37.230000000000018</v>
      </c>
      <c r="T1374" s="69">
        <v>37.230000000000018</v>
      </c>
      <c r="U1374" s="69">
        <v>37.230000000000018</v>
      </c>
      <c r="V1374" s="69">
        <v>37.230000000000018</v>
      </c>
      <c r="W1374" s="69">
        <v>37.230000000000018</v>
      </c>
      <c r="X1374" s="69">
        <v>37.230000000000018</v>
      </c>
      <c r="Y1374" s="69">
        <v>37.230000000000018</v>
      </c>
      <c r="Z1374" s="69">
        <v>37.230000000000018</v>
      </c>
      <c r="AA1374" s="69">
        <v>37.230000000000018</v>
      </c>
      <c r="AB1374" s="69">
        <v>37.230000000000018</v>
      </c>
      <c r="AC1374" s="69">
        <v>37.230000000000018</v>
      </c>
      <c r="AD1374" s="69">
        <v>37.230000000000018</v>
      </c>
      <c r="AE1374" s="69">
        <v>37.230000000000018</v>
      </c>
      <c r="AF1374" s="69">
        <v>37.230000000000018</v>
      </c>
      <c r="AG1374" s="69">
        <v>37.230000000000018</v>
      </c>
    </row>
    <row r="1375" spans="1:33">
      <c r="A1375" s="69" t="s">
        <v>2381</v>
      </c>
      <c r="B1375" s="69" t="s">
        <v>256</v>
      </c>
      <c r="C1375" s="69" t="s">
        <v>136</v>
      </c>
      <c r="D1375" s="69" t="s">
        <v>191</v>
      </c>
      <c r="E1375" s="69" t="s">
        <v>191</v>
      </c>
      <c r="F1375" s="69" t="s">
        <v>161</v>
      </c>
      <c r="G1375" s="69" t="s">
        <v>192</v>
      </c>
      <c r="H1375" s="69" t="s">
        <v>2130</v>
      </c>
      <c r="I1375" s="69">
        <v>2</v>
      </c>
      <c r="J1375" s="238">
        <f t="shared" ca="1" si="1"/>
        <v>0.82500000000000007</v>
      </c>
      <c r="K1375" s="238">
        <f t="shared" ca="1" si="1"/>
        <v>0.70497163608542901</v>
      </c>
      <c r="L1375" s="69">
        <v>109.81489691553389</v>
      </c>
      <c r="M1375" s="69">
        <v>0</v>
      </c>
      <c r="N1375" s="69">
        <v>0</v>
      </c>
      <c r="O1375" s="69">
        <v>0</v>
      </c>
      <c r="P1375" s="69">
        <v>0</v>
      </c>
      <c r="Q1375" s="69">
        <v>354.12299999999982</v>
      </c>
      <c r="R1375" s="69">
        <v>354.12299999999982</v>
      </c>
      <c r="S1375" s="69">
        <v>354.12299999999982</v>
      </c>
      <c r="T1375" s="69">
        <v>354.12299999999982</v>
      </c>
      <c r="U1375" s="69">
        <v>354.12299999999982</v>
      </c>
      <c r="V1375" s="69">
        <v>354.12299999999982</v>
      </c>
      <c r="W1375" s="69">
        <v>354.12299999999982</v>
      </c>
      <c r="X1375" s="69">
        <v>354.12299999999982</v>
      </c>
      <c r="Y1375" s="69">
        <v>354.12299999999982</v>
      </c>
      <c r="Z1375" s="69">
        <v>354.12299999999982</v>
      </c>
      <c r="AA1375" s="69">
        <v>354.12299999999982</v>
      </c>
      <c r="AB1375" s="69">
        <v>354.12299999999982</v>
      </c>
      <c r="AC1375" s="69">
        <v>354.12299999999982</v>
      </c>
      <c r="AD1375" s="69">
        <v>354.12299999999982</v>
      </c>
      <c r="AE1375" s="69">
        <v>354.12299999999982</v>
      </c>
      <c r="AF1375" s="69">
        <v>354.12299999999982</v>
      </c>
      <c r="AG1375" s="69">
        <v>354.12299999999982</v>
      </c>
    </row>
    <row r="1376" spans="1:33">
      <c r="A1376" s="69" t="s">
        <v>2381</v>
      </c>
      <c r="B1376" s="69" t="s">
        <v>257</v>
      </c>
      <c r="C1376" s="69" t="s">
        <v>137</v>
      </c>
      <c r="D1376" s="69" t="s">
        <v>191</v>
      </c>
      <c r="E1376" s="69" t="s">
        <v>191</v>
      </c>
      <c r="F1376" s="69" t="s">
        <v>176</v>
      </c>
      <c r="G1376" s="69" t="s">
        <v>192</v>
      </c>
      <c r="H1376" s="69" t="s">
        <v>805</v>
      </c>
      <c r="I1376" s="69">
        <v>1</v>
      </c>
      <c r="J1376" s="238">
        <f t="shared" ca="1" si="1"/>
        <v>0.32235762917068039</v>
      </c>
      <c r="K1376" s="238">
        <f t="shared" ca="1" si="1"/>
        <v>0.16099729857063147</v>
      </c>
      <c r="L1376" s="69">
        <v>96.038728079112801</v>
      </c>
      <c r="M1376" s="69">
        <v>0</v>
      </c>
      <c r="N1376" s="69">
        <v>220.82529142605017</v>
      </c>
      <c r="O1376" s="69">
        <v>220.82529142605017</v>
      </c>
      <c r="P1376" s="69">
        <v>220.82529142605017</v>
      </c>
      <c r="Q1376" s="69">
        <v>220.82529142605017</v>
      </c>
      <c r="R1376" s="69">
        <v>220.82529142605017</v>
      </c>
      <c r="S1376" s="69">
        <v>220.82529142605017</v>
      </c>
      <c r="T1376" s="69">
        <v>220.82529142605017</v>
      </c>
      <c r="U1376" s="69">
        <v>220.82529142605017</v>
      </c>
      <c r="V1376" s="69">
        <v>220.82529142605017</v>
      </c>
      <c r="W1376" s="69">
        <v>220.82529142605017</v>
      </c>
      <c r="X1376" s="69">
        <v>220.82529142605017</v>
      </c>
      <c r="Y1376" s="69">
        <v>220.82529142605017</v>
      </c>
      <c r="Z1376" s="69">
        <v>220.82529142605017</v>
      </c>
      <c r="AA1376" s="69">
        <v>220.82529142605017</v>
      </c>
      <c r="AB1376" s="69">
        <v>220.82529142605017</v>
      </c>
      <c r="AC1376" s="69">
        <v>220.82529142605017</v>
      </c>
      <c r="AD1376" s="69">
        <v>220.82529142605017</v>
      </c>
      <c r="AE1376" s="69">
        <v>220.82529142605017</v>
      </c>
      <c r="AF1376" s="69">
        <v>220.82529142605017</v>
      </c>
      <c r="AG1376" s="69">
        <v>220.82529142605017</v>
      </c>
    </row>
    <row r="1377" spans="1:33">
      <c r="A1377" s="69" t="s">
        <v>2381</v>
      </c>
      <c r="B1377" s="69" t="s">
        <v>258</v>
      </c>
      <c r="C1377" s="69" t="s">
        <v>186</v>
      </c>
      <c r="D1377" s="69" t="s">
        <v>259</v>
      </c>
      <c r="E1377" s="69" t="s">
        <v>260</v>
      </c>
      <c r="F1377" s="69" t="s">
        <v>157</v>
      </c>
      <c r="G1377" s="69" t="s">
        <v>192</v>
      </c>
      <c r="H1377" s="69" t="s">
        <v>805</v>
      </c>
      <c r="I1377" s="69">
        <v>1</v>
      </c>
      <c r="J1377" s="238">
        <f t="shared" ca="1" si="1"/>
        <v>0.21868155325388869</v>
      </c>
      <c r="K1377" s="238">
        <f t="shared" ca="1" si="1"/>
        <v>0</v>
      </c>
      <c r="L1377" s="69">
        <v>224.75395225464192</v>
      </c>
      <c r="M1377" s="69">
        <v>-5.2201591511936343</v>
      </c>
      <c r="N1377" s="69">
        <v>0</v>
      </c>
      <c r="O1377" s="69">
        <v>0</v>
      </c>
      <c r="P1377" s="69">
        <v>0</v>
      </c>
      <c r="Q1377" s="69">
        <v>3.8313008130080561</v>
      </c>
      <c r="R1377" s="69">
        <v>3.8313008130080561</v>
      </c>
      <c r="S1377" s="69">
        <v>3.8313008130080561</v>
      </c>
      <c r="T1377" s="69">
        <v>3.8313008130080561</v>
      </c>
      <c r="U1377" s="69">
        <v>3.8313008130080561</v>
      </c>
      <c r="V1377" s="69">
        <v>3.8313008130080561</v>
      </c>
      <c r="W1377" s="69">
        <v>3.8313008130080561</v>
      </c>
      <c r="X1377" s="69">
        <v>3.8313008130080561</v>
      </c>
      <c r="Y1377" s="69">
        <v>3.8313008130080561</v>
      </c>
      <c r="Z1377" s="69">
        <v>3.8313008130080561</v>
      </c>
      <c r="AA1377" s="69">
        <v>3.8313008130080561</v>
      </c>
      <c r="AB1377" s="69">
        <v>3.8313008130080561</v>
      </c>
      <c r="AC1377" s="69">
        <v>3.8313008130080561</v>
      </c>
      <c r="AD1377" s="69">
        <v>3.8313008130080561</v>
      </c>
      <c r="AE1377" s="69">
        <v>3.8313008130080561</v>
      </c>
      <c r="AF1377" s="69">
        <v>3.8313008130080561</v>
      </c>
      <c r="AG1377" s="69">
        <v>3.8313008130080561</v>
      </c>
    </row>
    <row r="1378" spans="1:33">
      <c r="A1378" s="69" t="s">
        <v>2381</v>
      </c>
      <c r="B1378" s="69" t="s">
        <v>261</v>
      </c>
      <c r="C1378" s="69" t="s">
        <v>186</v>
      </c>
      <c r="D1378" s="69" t="s">
        <v>259</v>
      </c>
      <c r="E1378" s="69" t="s">
        <v>203</v>
      </c>
      <c r="F1378" s="69" t="s">
        <v>157</v>
      </c>
      <c r="G1378" s="69" t="s">
        <v>192</v>
      </c>
      <c r="H1378" s="69" t="s">
        <v>805</v>
      </c>
      <c r="I1378" s="69">
        <v>1</v>
      </c>
      <c r="J1378" s="238">
        <f t="shared" ca="1" si="1"/>
        <v>0.23561922263058244</v>
      </c>
      <c r="K1378" s="238">
        <f t="shared" ca="1" si="1"/>
        <v>0</v>
      </c>
      <c r="L1378" s="69">
        <v>208.59734121122602</v>
      </c>
      <c r="M1378" s="69">
        <v>-4.8449039881831615</v>
      </c>
      <c r="N1378" s="69">
        <v>10.320121951219335</v>
      </c>
      <c r="O1378" s="69">
        <v>10.320121951219335</v>
      </c>
      <c r="P1378" s="69">
        <v>10.320121951219335</v>
      </c>
      <c r="Q1378" s="69">
        <v>10.320121951219335</v>
      </c>
      <c r="R1378" s="69">
        <v>10.320121951219335</v>
      </c>
      <c r="S1378" s="69">
        <v>10.320121951219335</v>
      </c>
      <c r="T1378" s="69">
        <v>10.320121951219335</v>
      </c>
      <c r="U1378" s="69">
        <v>10.320121951219335</v>
      </c>
      <c r="V1378" s="69">
        <v>10.320121951219335</v>
      </c>
      <c r="W1378" s="69">
        <v>10.320121951219335</v>
      </c>
      <c r="X1378" s="69">
        <v>10.320121951219335</v>
      </c>
      <c r="Y1378" s="69">
        <v>10.320121951219335</v>
      </c>
      <c r="Z1378" s="69">
        <v>10.320121951219335</v>
      </c>
      <c r="AA1378" s="69">
        <v>10.320121951219335</v>
      </c>
      <c r="AB1378" s="69">
        <v>10.320121951219335</v>
      </c>
      <c r="AC1378" s="69">
        <v>10.320121951219335</v>
      </c>
      <c r="AD1378" s="69">
        <v>10.320121951219335</v>
      </c>
      <c r="AE1378" s="69">
        <v>10.320121951219335</v>
      </c>
      <c r="AF1378" s="69">
        <v>10.320121951219335</v>
      </c>
      <c r="AG1378" s="69">
        <v>10.320121951219335</v>
      </c>
    </row>
    <row r="1379" spans="1:33">
      <c r="A1379" s="69" t="s">
        <v>2381</v>
      </c>
      <c r="B1379" s="69" t="s">
        <v>263</v>
      </c>
      <c r="C1379" s="69" t="s">
        <v>187</v>
      </c>
      <c r="D1379" s="69" t="s">
        <v>191</v>
      </c>
      <c r="E1379" s="69" t="s">
        <v>191</v>
      </c>
      <c r="F1379" s="69" t="s">
        <v>165</v>
      </c>
      <c r="G1379" s="69" t="s">
        <v>201</v>
      </c>
      <c r="H1379" s="69" t="s">
        <v>2417</v>
      </c>
      <c r="I1379" s="69">
        <v>1</v>
      </c>
      <c r="J1379" s="238">
        <f t="shared" ca="1" si="1"/>
        <v>0.2668262983999703</v>
      </c>
      <c r="K1379" s="238">
        <f t="shared" ca="1" si="1"/>
        <v>0.75151071165035721</v>
      </c>
      <c r="L1379" s="69">
        <v>173.23511247417511</v>
      </c>
      <c r="M1379" s="69">
        <v>0</v>
      </c>
      <c r="N1379" s="69">
        <v>0</v>
      </c>
      <c r="O1379" s="69">
        <v>0</v>
      </c>
      <c r="P1379" s="69">
        <v>0</v>
      </c>
      <c r="Q1379" s="69">
        <v>0</v>
      </c>
      <c r="R1379" s="69">
        <v>467.47967479674838</v>
      </c>
      <c r="S1379" s="69">
        <v>467.47967479674838</v>
      </c>
      <c r="T1379" s="69">
        <v>467.47967479674838</v>
      </c>
      <c r="U1379" s="69">
        <v>467.47967479674838</v>
      </c>
      <c r="V1379" s="69">
        <v>467.47967479674838</v>
      </c>
      <c r="W1379" s="69">
        <v>467.47967479674838</v>
      </c>
      <c r="X1379" s="69">
        <v>467.47967479674838</v>
      </c>
      <c r="Y1379" s="69">
        <v>467.47967479674838</v>
      </c>
      <c r="Z1379" s="69">
        <v>467.47967479674838</v>
      </c>
      <c r="AA1379" s="69">
        <v>467.47967479674838</v>
      </c>
      <c r="AB1379" s="69">
        <v>467.47967479674838</v>
      </c>
      <c r="AC1379" s="69">
        <v>467.47967479674838</v>
      </c>
      <c r="AD1379" s="69">
        <v>467.47967479674838</v>
      </c>
      <c r="AE1379" s="69">
        <v>467.47967479674838</v>
      </c>
      <c r="AF1379" s="69">
        <v>467.47967479674838</v>
      </c>
      <c r="AG1379" s="69">
        <v>467.47967479674838</v>
      </c>
    </row>
    <row r="1380" spans="1:33">
      <c r="A1380" s="69" t="s">
        <v>2381</v>
      </c>
      <c r="B1380" s="69" t="s">
        <v>265</v>
      </c>
      <c r="C1380" s="69" t="s">
        <v>187</v>
      </c>
      <c r="D1380" s="69" t="s">
        <v>191</v>
      </c>
      <c r="E1380" s="69" t="s">
        <v>191</v>
      </c>
      <c r="F1380" s="69" t="s">
        <v>165</v>
      </c>
      <c r="G1380" s="69" t="s">
        <v>201</v>
      </c>
      <c r="H1380" s="69" t="s">
        <v>2417</v>
      </c>
      <c r="I1380" s="69">
        <v>1</v>
      </c>
      <c r="J1380" s="238">
        <f t="shared" ca="1" si="1"/>
        <v>0.2668262983999703</v>
      </c>
      <c r="K1380" s="238">
        <f t="shared" ca="1" si="1"/>
        <v>0.75151071165035721</v>
      </c>
      <c r="L1380" s="69">
        <v>173.23511247417511</v>
      </c>
      <c r="M1380" s="69">
        <v>0</v>
      </c>
      <c r="N1380" s="69">
        <v>0</v>
      </c>
      <c r="O1380" s="69">
        <v>0</v>
      </c>
      <c r="P1380" s="69">
        <v>0</v>
      </c>
      <c r="Q1380" s="69">
        <v>0</v>
      </c>
      <c r="R1380" s="69">
        <v>0</v>
      </c>
      <c r="S1380" s="69">
        <v>467.47967479674838</v>
      </c>
      <c r="T1380" s="69">
        <v>467.47967479674838</v>
      </c>
      <c r="U1380" s="69">
        <v>467.47967479674838</v>
      </c>
      <c r="V1380" s="69">
        <v>467.47967479674838</v>
      </c>
      <c r="W1380" s="69">
        <v>467.47967479674838</v>
      </c>
      <c r="X1380" s="69">
        <v>467.47967479674838</v>
      </c>
      <c r="Y1380" s="69">
        <v>467.47967479674838</v>
      </c>
      <c r="Z1380" s="69">
        <v>467.47967479674838</v>
      </c>
      <c r="AA1380" s="69">
        <v>467.47967479674838</v>
      </c>
      <c r="AB1380" s="69">
        <v>467.47967479674838</v>
      </c>
      <c r="AC1380" s="69">
        <v>467.47967479674838</v>
      </c>
      <c r="AD1380" s="69">
        <v>467.47967479674838</v>
      </c>
      <c r="AE1380" s="69">
        <v>467.47967479674838</v>
      </c>
      <c r="AF1380" s="69">
        <v>467.47967479674838</v>
      </c>
      <c r="AG1380" s="69">
        <v>467.47967479674838</v>
      </c>
    </row>
    <row r="1381" spans="1:33">
      <c r="A1381" s="69" t="s">
        <v>2381</v>
      </c>
      <c r="B1381" s="69" t="s">
        <v>266</v>
      </c>
      <c r="C1381" s="69" t="s">
        <v>184</v>
      </c>
      <c r="D1381" s="69" t="s">
        <v>140</v>
      </c>
      <c r="E1381" s="69" t="s">
        <v>191</v>
      </c>
      <c r="F1381" s="69" t="s">
        <v>167</v>
      </c>
      <c r="G1381" s="69" t="s">
        <v>192</v>
      </c>
      <c r="H1381" s="69" t="s">
        <v>806</v>
      </c>
      <c r="I1381" s="69">
        <v>1</v>
      </c>
      <c r="J1381" s="238">
        <f t="shared" ca="1" si="1"/>
        <v>0.8</v>
      </c>
      <c r="K1381" s="238">
        <f t="shared" ca="1" si="1"/>
        <v>0</v>
      </c>
      <c r="L1381" s="69">
        <v>114.19797366361543</v>
      </c>
      <c r="M1381" s="69">
        <v>0</v>
      </c>
      <c r="N1381" s="69">
        <v>0</v>
      </c>
      <c r="O1381" s="69">
        <v>14.016000000000007</v>
      </c>
      <c r="P1381" s="69">
        <v>14.016000000000007</v>
      </c>
      <c r="Q1381" s="69">
        <v>14.016000000000007</v>
      </c>
      <c r="R1381" s="69">
        <v>14.016000000000007</v>
      </c>
      <c r="S1381" s="69">
        <v>14.016000000000007</v>
      </c>
      <c r="T1381" s="69">
        <v>14.016000000000007</v>
      </c>
      <c r="U1381" s="69">
        <v>14.016000000000007</v>
      </c>
      <c r="V1381" s="69">
        <v>14.016000000000007</v>
      </c>
      <c r="W1381" s="69">
        <v>14.016000000000007</v>
      </c>
      <c r="X1381" s="69">
        <v>14.016000000000007</v>
      </c>
      <c r="Y1381" s="69">
        <v>14.016000000000007</v>
      </c>
      <c r="Z1381" s="69">
        <v>14.016000000000007</v>
      </c>
      <c r="AA1381" s="69">
        <v>14.016000000000007</v>
      </c>
      <c r="AB1381" s="69">
        <v>14.016000000000007</v>
      </c>
      <c r="AC1381" s="69">
        <v>14.016000000000007</v>
      </c>
      <c r="AD1381" s="69">
        <v>14.016000000000007</v>
      </c>
      <c r="AE1381" s="69">
        <v>14.016000000000007</v>
      </c>
      <c r="AF1381" s="69">
        <v>14.016000000000007</v>
      </c>
      <c r="AG1381" s="69">
        <v>14.016000000000007</v>
      </c>
    </row>
    <row r="1382" spans="1:33">
      <c r="A1382" s="69" t="s">
        <v>2381</v>
      </c>
      <c r="B1382" s="69" t="s">
        <v>267</v>
      </c>
      <c r="C1382" s="69" t="s">
        <v>185</v>
      </c>
      <c r="D1382" s="69" t="s">
        <v>205</v>
      </c>
      <c r="E1382" s="69" t="s">
        <v>203</v>
      </c>
      <c r="F1382" s="69" t="s">
        <v>155</v>
      </c>
      <c r="G1382" s="69" t="s">
        <v>192</v>
      </c>
      <c r="H1382" s="69" t="s">
        <v>805</v>
      </c>
      <c r="I1382" s="69">
        <v>1</v>
      </c>
      <c r="J1382" s="238">
        <f t="shared" ca="1" si="1"/>
        <v>0.23499999999999996</v>
      </c>
      <c r="K1382" s="238">
        <f t="shared" ca="1" si="1"/>
        <v>0.49648345467934024</v>
      </c>
      <c r="L1382" s="69">
        <v>166.98446712238427</v>
      </c>
      <c r="M1382" s="69">
        <v>0</v>
      </c>
      <c r="N1382" s="69">
        <v>0</v>
      </c>
      <c r="O1382" s="69">
        <v>308.79000000000087</v>
      </c>
      <c r="P1382" s="69">
        <v>308.79000000000087</v>
      </c>
      <c r="Q1382" s="69">
        <v>308.79000000000087</v>
      </c>
      <c r="R1382" s="69">
        <v>308.79000000000087</v>
      </c>
      <c r="S1382" s="69">
        <v>308.79000000000087</v>
      </c>
      <c r="T1382" s="69">
        <v>308.79000000000087</v>
      </c>
      <c r="U1382" s="69">
        <v>308.79000000000087</v>
      </c>
      <c r="V1382" s="69">
        <v>308.79000000000087</v>
      </c>
      <c r="W1382" s="69">
        <v>308.79000000000087</v>
      </c>
      <c r="X1382" s="69">
        <v>308.79000000000087</v>
      </c>
      <c r="Y1382" s="69">
        <v>308.79000000000087</v>
      </c>
      <c r="Z1382" s="69">
        <v>308.79000000000087</v>
      </c>
      <c r="AA1382" s="69">
        <v>308.79000000000087</v>
      </c>
      <c r="AB1382" s="69">
        <v>308.79000000000087</v>
      </c>
      <c r="AC1382" s="69">
        <v>308.79000000000087</v>
      </c>
      <c r="AD1382" s="69">
        <v>308.79000000000087</v>
      </c>
      <c r="AE1382" s="69">
        <v>308.79000000000087</v>
      </c>
      <c r="AF1382" s="69">
        <v>308.79000000000087</v>
      </c>
      <c r="AG1382" s="69">
        <v>308.79000000000087</v>
      </c>
    </row>
    <row r="1383" spans="1:33">
      <c r="A1383" s="69" t="s">
        <v>2381</v>
      </c>
      <c r="B1383" s="69" t="s">
        <v>268</v>
      </c>
      <c r="C1383" s="69" t="s">
        <v>185</v>
      </c>
      <c r="D1383" s="69" t="s">
        <v>205</v>
      </c>
      <c r="E1383" s="69" t="s">
        <v>203</v>
      </c>
      <c r="F1383" s="69" t="s">
        <v>155</v>
      </c>
      <c r="G1383" s="69" t="s">
        <v>192</v>
      </c>
      <c r="H1383" s="69" t="s">
        <v>805</v>
      </c>
      <c r="I1383" s="69">
        <v>1</v>
      </c>
      <c r="J1383" s="238">
        <f t="shared" ca="1" si="1"/>
        <v>0.23499999999999999</v>
      </c>
      <c r="K1383" s="238">
        <f t="shared" ca="1" si="1"/>
        <v>0.49648345467934019</v>
      </c>
      <c r="L1383" s="69">
        <v>166.98446712238427</v>
      </c>
      <c r="M1383" s="69">
        <v>0</v>
      </c>
      <c r="N1383" s="69">
        <v>0</v>
      </c>
      <c r="O1383" s="69">
        <v>0</v>
      </c>
      <c r="P1383" s="69">
        <v>0</v>
      </c>
      <c r="Q1383" s="69">
        <v>308.79000000000087</v>
      </c>
      <c r="R1383" s="69">
        <v>308.79000000000087</v>
      </c>
      <c r="S1383" s="69">
        <v>823.44000000000017</v>
      </c>
      <c r="T1383" s="69">
        <v>823.44000000000017</v>
      </c>
      <c r="U1383" s="69">
        <v>823.44000000000017</v>
      </c>
      <c r="V1383" s="69">
        <v>823.44000000000017</v>
      </c>
      <c r="W1383" s="69">
        <v>823.44000000000017</v>
      </c>
      <c r="X1383" s="69">
        <v>823.44000000000017</v>
      </c>
      <c r="Y1383" s="69">
        <v>823.44000000000017</v>
      </c>
      <c r="Z1383" s="69">
        <v>823.44000000000017</v>
      </c>
      <c r="AA1383" s="69">
        <v>823.44000000000017</v>
      </c>
      <c r="AB1383" s="69">
        <v>823.44000000000017</v>
      </c>
      <c r="AC1383" s="69">
        <v>823.44000000000017</v>
      </c>
      <c r="AD1383" s="69">
        <v>823.44000000000017</v>
      </c>
      <c r="AE1383" s="69">
        <v>823.44000000000017</v>
      </c>
      <c r="AF1383" s="69">
        <v>823.44000000000017</v>
      </c>
      <c r="AG1383" s="69">
        <v>823.44000000000017</v>
      </c>
    </row>
    <row r="1384" spans="1:33">
      <c r="A1384" s="69" t="s">
        <v>2381</v>
      </c>
      <c r="B1384" s="69" t="s">
        <v>269</v>
      </c>
      <c r="C1384" s="69" t="s">
        <v>185</v>
      </c>
      <c r="D1384" s="69" t="s">
        <v>193</v>
      </c>
      <c r="E1384" s="69" t="s">
        <v>203</v>
      </c>
      <c r="F1384" s="69" t="s">
        <v>155</v>
      </c>
      <c r="G1384" s="69" t="s">
        <v>192</v>
      </c>
      <c r="H1384" s="69" t="s">
        <v>805</v>
      </c>
      <c r="I1384" s="69">
        <v>1</v>
      </c>
      <c r="J1384" s="238">
        <f t="shared" ca="1" si="1"/>
        <v>0.26649999999999996</v>
      </c>
      <c r="K1384" s="238">
        <f t="shared" ca="1" si="1"/>
        <v>0.63277303047366895</v>
      </c>
      <c r="L1384" s="69">
        <v>173.91260768823273</v>
      </c>
      <c r="M1384" s="69">
        <v>0</v>
      </c>
      <c r="N1384" s="69">
        <v>0</v>
      </c>
      <c r="O1384" s="69">
        <v>0</v>
      </c>
      <c r="P1384" s="69">
        <v>0</v>
      </c>
      <c r="Q1384" s="69">
        <v>0</v>
      </c>
      <c r="R1384" s="69">
        <v>0</v>
      </c>
      <c r="S1384" s="69">
        <v>49.025339999999929</v>
      </c>
      <c r="T1384" s="69">
        <v>49.025339999999929</v>
      </c>
      <c r="U1384" s="69">
        <v>49.025339999999929</v>
      </c>
      <c r="V1384" s="69">
        <v>49.025339999999929</v>
      </c>
      <c r="W1384" s="69">
        <v>49.025339999999929</v>
      </c>
      <c r="X1384" s="69">
        <v>49.025339999999929</v>
      </c>
      <c r="Y1384" s="69">
        <v>49.025339999999929</v>
      </c>
      <c r="Z1384" s="69">
        <v>49.025339999999929</v>
      </c>
      <c r="AA1384" s="69">
        <v>49.025339999999929</v>
      </c>
      <c r="AB1384" s="69">
        <v>49.025339999999929</v>
      </c>
      <c r="AC1384" s="69">
        <v>49.025339999999929</v>
      </c>
      <c r="AD1384" s="69">
        <v>49.025339999999929</v>
      </c>
      <c r="AE1384" s="69">
        <v>49.025339999999929</v>
      </c>
      <c r="AF1384" s="69">
        <v>49.025339999999929</v>
      </c>
      <c r="AG1384" s="69">
        <v>49.025339999999929</v>
      </c>
    </row>
    <row r="1385" spans="1:33">
      <c r="A1385" s="69" t="s">
        <v>2381</v>
      </c>
      <c r="B1385" s="69" t="s">
        <v>270</v>
      </c>
      <c r="C1385" s="69" t="s">
        <v>185</v>
      </c>
      <c r="D1385" s="69" t="s">
        <v>193</v>
      </c>
      <c r="E1385" s="69" t="s">
        <v>203</v>
      </c>
      <c r="F1385" s="69" t="s">
        <v>155</v>
      </c>
      <c r="G1385" s="69" t="s">
        <v>192</v>
      </c>
      <c r="H1385" s="69" t="s">
        <v>805</v>
      </c>
      <c r="I1385" s="69">
        <v>1</v>
      </c>
      <c r="J1385" s="238">
        <f t="shared" ca="1" si="1"/>
        <v>0.26649999999999996</v>
      </c>
      <c r="K1385" s="238">
        <f t="shared" ca="1" si="1"/>
        <v>0.63277303047366895</v>
      </c>
      <c r="L1385" s="69">
        <v>173.91260768823275</v>
      </c>
      <c r="M1385" s="69">
        <v>0</v>
      </c>
      <c r="N1385" s="69">
        <v>0</v>
      </c>
      <c r="O1385" s="69">
        <v>0</v>
      </c>
      <c r="P1385" s="69">
        <v>0</v>
      </c>
      <c r="Q1385" s="69">
        <v>0</v>
      </c>
      <c r="R1385" s="69">
        <v>0</v>
      </c>
      <c r="S1385" s="69">
        <v>147.07601999999977</v>
      </c>
      <c r="T1385" s="69">
        <v>147.07601999999977</v>
      </c>
      <c r="U1385" s="69">
        <v>147.07601999999977</v>
      </c>
      <c r="V1385" s="69">
        <v>147.07601999999977</v>
      </c>
      <c r="W1385" s="69">
        <v>147.07601999999977</v>
      </c>
      <c r="X1385" s="69">
        <v>147.07601999999977</v>
      </c>
      <c r="Y1385" s="69">
        <v>147.07601999999977</v>
      </c>
      <c r="Z1385" s="69">
        <v>147.07601999999977</v>
      </c>
      <c r="AA1385" s="69">
        <v>147.07601999999977</v>
      </c>
      <c r="AB1385" s="69">
        <v>147.07601999999977</v>
      </c>
      <c r="AC1385" s="69">
        <v>147.07601999999977</v>
      </c>
      <c r="AD1385" s="69">
        <v>147.07601999999977</v>
      </c>
      <c r="AE1385" s="69">
        <v>147.07601999999977</v>
      </c>
      <c r="AF1385" s="69">
        <v>147.07601999999977</v>
      </c>
      <c r="AG1385" s="69">
        <v>147.07601999999977</v>
      </c>
    </row>
    <row r="1386" spans="1:33">
      <c r="A1386" s="69" t="s">
        <v>2381</v>
      </c>
      <c r="B1386" s="69" t="s">
        <v>271</v>
      </c>
      <c r="C1386" s="69" t="s">
        <v>185</v>
      </c>
      <c r="D1386" s="69" t="s">
        <v>193</v>
      </c>
      <c r="E1386" s="69" t="s">
        <v>203</v>
      </c>
      <c r="F1386" s="69" t="s">
        <v>155</v>
      </c>
      <c r="G1386" s="69" t="s">
        <v>192</v>
      </c>
      <c r="H1386" s="69" t="s">
        <v>805</v>
      </c>
      <c r="I1386" s="69">
        <v>1</v>
      </c>
      <c r="J1386" s="238">
        <f t="shared" ca="1" si="1"/>
        <v>0.26649999999999996</v>
      </c>
      <c r="K1386" s="238">
        <f t="shared" ca="1" si="1"/>
        <v>0.63277303047366895</v>
      </c>
      <c r="L1386" s="69">
        <v>173.91260768823275</v>
      </c>
      <c r="M1386" s="69">
        <v>0</v>
      </c>
      <c r="N1386" s="69">
        <v>0</v>
      </c>
      <c r="O1386" s="69">
        <v>0</v>
      </c>
      <c r="P1386" s="69">
        <v>0</v>
      </c>
      <c r="Q1386" s="69">
        <v>0</v>
      </c>
      <c r="R1386" s="69">
        <v>0</v>
      </c>
      <c r="S1386" s="69">
        <v>294.15203999999954</v>
      </c>
      <c r="T1386" s="69">
        <v>294.15203999999954</v>
      </c>
      <c r="U1386" s="69">
        <v>294.15203999999954</v>
      </c>
      <c r="V1386" s="69">
        <v>294.15203999999954</v>
      </c>
      <c r="W1386" s="69">
        <v>294.15203999999954</v>
      </c>
      <c r="X1386" s="69">
        <v>294.15203999999954</v>
      </c>
      <c r="Y1386" s="69">
        <v>294.15203999999954</v>
      </c>
      <c r="Z1386" s="69">
        <v>294.15203999999954</v>
      </c>
      <c r="AA1386" s="69">
        <v>294.15203999999954</v>
      </c>
      <c r="AB1386" s="69">
        <v>294.15203999999954</v>
      </c>
      <c r="AC1386" s="69">
        <v>294.15203999999954</v>
      </c>
      <c r="AD1386" s="69">
        <v>294.15203999999954</v>
      </c>
      <c r="AE1386" s="69">
        <v>294.15203999999954</v>
      </c>
      <c r="AF1386" s="69">
        <v>294.15203999999954</v>
      </c>
      <c r="AG1386" s="69">
        <v>294.15203999999954</v>
      </c>
    </row>
    <row r="1387" spans="1:33">
      <c r="A1387" s="69" t="s">
        <v>2381</v>
      </c>
      <c r="B1387" s="69" t="s">
        <v>272</v>
      </c>
      <c r="C1387" s="69" t="s">
        <v>139</v>
      </c>
      <c r="D1387" s="69" t="s">
        <v>191</v>
      </c>
      <c r="E1387" s="69" t="s">
        <v>191</v>
      </c>
      <c r="F1387" s="69" t="s">
        <v>167</v>
      </c>
      <c r="G1387" s="69" t="s">
        <v>192</v>
      </c>
      <c r="H1387" s="69" t="s">
        <v>805</v>
      </c>
      <c r="I1387" s="69">
        <v>1</v>
      </c>
      <c r="J1387" s="238">
        <f t="shared" ca="1" si="1"/>
        <v>0.84999999999999987</v>
      </c>
      <c r="K1387" s="238">
        <f t="shared" ca="1" si="1"/>
        <v>0.66</v>
      </c>
      <c r="L1387" s="69">
        <v>127.99027888971092</v>
      </c>
      <c r="M1387" s="69">
        <v>0</v>
      </c>
      <c r="N1387" s="69">
        <v>0</v>
      </c>
      <c r="O1387" s="69">
        <v>0</v>
      </c>
      <c r="P1387" s="69">
        <v>327.62399999999997</v>
      </c>
      <c r="Q1387" s="69">
        <v>327.62399999999997</v>
      </c>
      <c r="R1387" s="69">
        <v>327.62399999999997</v>
      </c>
      <c r="S1387" s="69">
        <v>327.62399999999997</v>
      </c>
      <c r="T1387" s="69">
        <v>327.62399999999997</v>
      </c>
      <c r="U1387" s="69">
        <v>327.62399999999997</v>
      </c>
      <c r="V1387" s="69">
        <v>327.62399999999997</v>
      </c>
      <c r="W1387" s="69">
        <v>327.62399999999997</v>
      </c>
      <c r="X1387" s="69">
        <v>327.62399999999997</v>
      </c>
      <c r="Y1387" s="69">
        <v>327.62399999999997</v>
      </c>
      <c r="Z1387" s="69">
        <v>327.62399999999997</v>
      </c>
      <c r="AA1387" s="69">
        <v>327.62399999999997</v>
      </c>
      <c r="AB1387" s="69">
        <v>327.62399999999997</v>
      </c>
      <c r="AC1387" s="69">
        <v>327.62399999999997</v>
      </c>
      <c r="AD1387" s="69">
        <v>327.62399999999997</v>
      </c>
      <c r="AE1387" s="69">
        <v>327.62399999999997</v>
      </c>
      <c r="AF1387" s="69">
        <v>327.62399999999997</v>
      </c>
      <c r="AG1387" s="69">
        <v>327.62399999999997</v>
      </c>
    </row>
    <row r="1388" spans="1:33">
      <c r="A1388" s="69" t="s">
        <v>2381</v>
      </c>
      <c r="B1388" s="69" t="s">
        <v>273</v>
      </c>
      <c r="C1388" s="69" t="s">
        <v>185</v>
      </c>
      <c r="D1388" s="69" t="s">
        <v>193</v>
      </c>
      <c r="E1388" s="69" t="s">
        <v>194</v>
      </c>
      <c r="F1388" s="69" t="s">
        <v>165</v>
      </c>
      <c r="G1388" s="69" t="s">
        <v>201</v>
      </c>
      <c r="H1388" s="69" t="s">
        <v>2417</v>
      </c>
      <c r="I1388" s="69">
        <v>1</v>
      </c>
      <c r="J1388" s="238">
        <f t="shared" ca="1" si="1"/>
        <v>0.28999999999999998</v>
      </c>
      <c r="K1388" s="238">
        <f t="shared" ca="1" si="1"/>
        <v>0.63437109007818515</v>
      </c>
      <c r="L1388" s="69">
        <v>144.14559944117298</v>
      </c>
      <c r="M1388" s="69">
        <v>0</v>
      </c>
      <c r="N1388" s="69">
        <v>101.61599999999817</v>
      </c>
      <c r="O1388" s="69">
        <v>101.61599999999817</v>
      </c>
      <c r="P1388" s="69">
        <v>101.61599999999817</v>
      </c>
      <c r="Q1388" s="69">
        <v>101.61599999999817</v>
      </c>
      <c r="R1388" s="69">
        <v>101.61599999999817</v>
      </c>
      <c r="S1388" s="69">
        <v>101.61599999999817</v>
      </c>
      <c r="T1388" s="69">
        <v>101.61599999999817</v>
      </c>
      <c r="U1388" s="69">
        <v>101.61599999999817</v>
      </c>
      <c r="V1388" s="69">
        <v>101.61599999999817</v>
      </c>
      <c r="W1388" s="69">
        <v>101.61599999999817</v>
      </c>
      <c r="X1388" s="69">
        <v>101.61599999999817</v>
      </c>
      <c r="Y1388" s="69">
        <v>101.61599999999817</v>
      </c>
      <c r="Z1388" s="69">
        <v>101.61599999999817</v>
      </c>
      <c r="AA1388" s="69">
        <v>101.61599999999817</v>
      </c>
      <c r="AB1388" s="69">
        <v>101.61599999999817</v>
      </c>
      <c r="AC1388" s="69">
        <v>101.61599999999817</v>
      </c>
      <c r="AD1388" s="69">
        <v>101.61599999999817</v>
      </c>
      <c r="AE1388" s="69">
        <v>101.61599999999817</v>
      </c>
      <c r="AF1388" s="69">
        <v>101.61599999999817</v>
      </c>
      <c r="AG1388" s="69">
        <v>101.61599999999817</v>
      </c>
    </row>
    <row r="1389" spans="1:33">
      <c r="A1389" s="69" t="s">
        <v>2381</v>
      </c>
      <c r="B1389" s="69" t="s">
        <v>274</v>
      </c>
      <c r="C1389" s="69" t="s">
        <v>185</v>
      </c>
      <c r="D1389" s="69" t="s">
        <v>193</v>
      </c>
      <c r="E1389" s="69" t="s">
        <v>194</v>
      </c>
      <c r="F1389" s="69" t="s">
        <v>165</v>
      </c>
      <c r="G1389" s="69" t="s">
        <v>201</v>
      </c>
      <c r="H1389" s="69" t="s">
        <v>2417</v>
      </c>
      <c r="I1389" s="69">
        <v>1</v>
      </c>
      <c r="J1389" s="238">
        <f t="shared" ca="1" si="1"/>
        <v>0.28999999999999998</v>
      </c>
      <c r="K1389" s="238">
        <f t="shared" ca="1" si="1"/>
        <v>0.63437109007818515</v>
      </c>
      <c r="L1389" s="69">
        <v>144.14559944117298</v>
      </c>
      <c r="M1389" s="69">
        <v>0</v>
      </c>
      <c r="N1389" s="69">
        <v>0</v>
      </c>
      <c r="O1389" s="69">
        <v>25.403999999998632</v>
      </c>
      <c r="P1389" s="69">
        <v>25.403999999998632</v>
      </c>
      <c r="Q1389" s="69">
        <v>25.403999999998632</v>
      </c>
      <c r="R1389" s="69">
        <v>25.403999999998632</v>
      </c>
      <c r="S1389" s="69">
        <v>25.403999999998632</v>
      </c>
      <c r="T1389" s="69">
        <v>25.403999999998632</v>
      </c>
      <c r="U1389" s="69">
        <v>25.403999999998632</v>
      </c>
      <c r="V1389" s="69">
        <v>25.403999999998632</v>
      </c>
      <c r="W1389" s="69">
        <v>25.403999999998632</v>
      </c>
      <c r="X1389" s="69">
        <v>25.403999999998632</v>
      </c>
      <c r="Y1389" s="69">
        <v>25.403999999998632</v>
      </c>
      <c r="Z1389" s="69">
        <v>25.403999999998632</v>
      </c>
      <c r="AA1389" s="69">
        <v>25.403999999998632</v>
      </c>
      <c r="AB1389" s="69">
        <v>25.403999999998632</v>
      </c>
      <c r="AC1389" s="69">
        <v>25.403999999998632</v>
      </c>
      <c r="AD1389" s="69">
        <v>25.403999999998632</v>
      </c>
      <c r="AE1389" s="69">
        <v>25.403999999998632</v>
      </c>
      <c r="AF1389" s="69">
        <v>25.403999999998632</v>
      </c>
      <c r="AG1389" s="69">
        <v>25.403999999998632</v>
      </c>
    </row>
    <row r="1390" spans="1:33">
      <c r="A1390" s="69" t="s">
        <v>2381</v>
      </c>
      <c r="B1390" s="69" t="s">
        <v>275</v>
      </c>
      <c r="C1390" s="69" t="s">
        <v>137</v>
      </c>
      <c r="D1390" s="69" t="s">
        <v>191</v>
      </c>
      <c r="E1390" s="69" t="s">
        <v>191</v>
      </c>
      <c r="F1390" s="69" t="s">
        <v>169</v>
      </c>
      <c r="G1390" s="69" t="s">
        <v>192</v>
      </c>
      <c r="H1390" s="69" t="s">
        <v>804</v>
      </c>
      <c r="I1390" s="69">
        <v>1</v>
      </c>
      <c r="J1390" s="238">
        <f t="shared" ca="1" si="1"/>
        <v>0.32235762917068039</v>
      </c>
      <c r="K1390" s="238">
        <f t="shared" ca="1" si="1"/>
        <v>0.16115831843295012</v>
      </c>
      <c r="L1390" s="69">
        <v>96.038728079112801</v>
      </c>
      <c r="M1390" s="69">
        <v>0</v>
      </c>
      <c r="N1390" s="69">
        <v>0</v>
      </c>
      <c r="O1390" s="69">
        <v>0</v>
      </c>
      <c r="P1390" s="69">
        <v>0</v>
      </c>
      <c r="Q1390" s="69">
        <v>104.48255476680096</v>
      </c>
      <c r="R1390" s="69">
        <v>104.48255476680096</v>
      </c>
      <c r="S1390" s="69">
        <v>104.48255476680096</v>
      </c>
      <c r="T1390" s="69">
        <v>104.48255476680096</v>
      </c>
      <c r="U1390" s="69">
        <v>104.48255476680096</v>
      </c>
      <c r="V1390" s="69">
        <v>104.48255476680096</v>
      </c>
      <c r="W1390" s="69">
        <v>104.48255476680096</v>
      </c>
      <c r="X1390" s="69">
        <v>104.48255476680096</v>
      </c>
      <c r="Y1390" s="69">
        <v>104.48255476680096</v>
      </c>
      <c r="Z1390" s="69">
        <v>104.48255476680096</v>
      </c>
      <c r="AA1390" s="69">
        <v>104.48255476680096</v>
      </c>
      <c r="AB1390" s="69">
        <v>104.48255476680096</v>
      </c>
      <c r="AC1390" s="69">
        <v>104.48255476680096</v>
      </c>
      <c r="AD1390" s="69">
        <v>104.48255476680096</v>
      </c>
      <c r="AE1390" s="69">
        <v>104.48255476680096</v>
      </c>
      <c r="AF1390" s="69">
        <v>104.48255476680096</v>
      </c>
      <c r="AG1390" s="69">
        <v>104.48255476680096</v>
      </c>
    </row>
    <row r="1391" spans="1:33">
      <c r="A1391" s="69" t="s">
        <v>2381</v>
      </c>
      <c r="B1391" s="69" t="s">
        <v>276</v>
      </c>
      <c r="C1391" s="69" t="s">
        <v>187</v>
      </c>
      <c r="D1391" s="69" t="s">
        <v>191</v>
      </c>
      <c r="E1391" s="69" t="s">
        <v>191</v>
      </c>
      <c r="F1391" s="69" t="s">
        <v>170</v>
      </c>
      <c r="G1391" s="69" t="s">
        <v>192</v>
      </c>
      <c r="H1391" s="69" t="s">
        <v>804</v>
      </c>
      <c r="I1391" s="69">
        <v>1</v>
      </c>
      <c r="J1391" s="238">
        <f t="shared" ca="1" si="1"/>
        <v>0.2668262983999703</v>
      </c>
      <c r="K1391" s="238">
        <f t="shared" ca="1" si="1"/>
        <v>0.71679758500684321</v>
      </c>
      <c r="L1391" s="69">
        <v>192.38629588063705</v>
      </c>
      <c r="M1391" s="69">
        <v>0</v>
      </c>
      <c r="N1391" s="69">
        <v>0</v>
      </c>
      <c r="O1391" s="69">
        <v>0</v>
      </c>
      <c r="P1391" s="69">
        <v>0</v>
      </c>
      <c r="Q1391" s="69">
        <v>0</v>
      </c>
      <c r="R1391" s="69">
        <v>0</v>
      </c>
      <c r="S1391" s="69">
        <v>0</v>
      </c>
      <c r="T1391" s="69">
        <v>642.78455284552911</v>
      </c>
      <c r="U1391" s="69">
        <v>642.78455284552911</v>
      </c>
      <c r="V1391" s="69">
        <v>655.95133162088132</v>
      </c>
      <c r="W1391" s="69">
        <v>655.95133162088132</v>
      </c>
      <c r="X1391" s="69">
        <v>655.95133162088132</v>
      </c>
      <c r="Y1391" s="69">
        <v>655.95133162088132</v>
      </c>
      <c r="Z1391" s="69">
        <v>655.95133162088132</v>
      </c>
      <c r="AA1391" s="69">
        <v>655.95133162088132</v>
      </c>
      <c r="AB1391" s="69">
        <v>655.95133162088132</v>
      </c>
      <c r="AC1391" s="69">
        <v>655.95133162088132</v>
      </c>
      <c r="AD1391" s="69">
        <v>655.95133162088132</v>
      </c>
      <c r="AE1391" s="69">
        <v>655.95133162088132</v>
      </c>
      <c r="AF1391" s="69">
        <v>655.95133162088132</v>
      </c>
      <c r="AG1391" s="69">
        <v>655.95133162088132</v>
      </c>
    </row>
    <row r="1392" spans="1:33">
      <c r="A1392" s="69" t="s">
        <v>2381</v>
      </c>
      <c r="B1392" s="69" t="s">
        <v>277</v>
      </c>
      <c r="C1392" s="69" t="s">
        <v>137</v>
      </c>
      <c r="D1392" s="69" t="s">
        <v>191</v>
      </c>
      <c r="E1392" s="69" t="s">
        <v>191</v>
      </c>
      <c r="F1392" s="69" t="s">
        <v>180</v>
      </c>
      <c r="G1392" s="69" t="s">
        <v>192</v>
      </c>
      <c r="H1392" s="69" t="s">
        <v>804</v>
      </c>
      <c r="I1392" s="69">
        <v>1</v>
      </c>
      <c r="J1392" s="238">
        <f t="shared" ca="1" si="1"/>
        <v>0.32235762917068039</v>
      </c>
      <c r="K1392" s="238">
        <f t="shared" ca="1" si="1"/>
        <v>0.160195270625522</v>
      </c>
      <c r="L1392" s="69">
        <v>96.038728079112801</v>
      </c>
      <c r="M1392" s="69">
        <v>0</v>
      </c>
      <c r="N1392" s="69">
        <v>0</v>
      </c>
      <c r="O1392" s="69">
        <v>0</v>
      </c>
      <c r="P1392" s="69">
        <v>0</v>
      </c>
      <c r="Q1392" s="69">
        <v>0</v>
      </c>
      <c r="R1392" s="69">
        <v>141.19264157675798</v>
      </c>
      <c r="S1392" s="69">
        <v>141.19264157675798</v>
      </c>
      <c r="T1392" s="69">
        <v>141.19264157675798</v>
      </c>
      <c r="U1392" s="69">
        <v>141.19264157675798</v>
      </c>
      <c r="V1392" s="69">
        <v>141.19264157675798</v>
      </c>
      <c r="W1392" s="69">
        <v>141.19264157675798</v>
      </c>
      <c r="X1392" s="69">
        <v>141.19264157675798</v>
      </c>
      <c r="Y1392" s="69">
        <v>141.19264157675798</v>
      </c>
      <c r="Z1392" s="69">
        <v>141.19264157675798</v>
      </c>
      <c r="AA1392" s="69">
        <v>141.19264157675798</v>
      </c>
      <c r="AB1392" s="69">
        <v>141.19264157675798</v>
      </c>
      <c r="AC1392" s="69">
        <v>141.19264157675798</v>
      </c>
      <c r="AD1392" s="69">
        <v>141.19264157675798</v>
      </c>
      <c r="AE1392" s="69">
        <v>141.19264157675798</v>
      </c>
      <c r="AF1392" s="69">
        <v>141.19264157675798</v>
      </c>
      <c r="AG1392" s="69">
        <v>141.19264157675798</v>
      </c>
    </row>
    <row r="1393" spans="1:33">
      <c r="A1393" s="69" t="s">
        <v>2381</v>
      </c>
      <c r="B1393" s="69" t="s">
        <v>278</v>
      </c>
      <c r="C1393" s="69" t="s">
        <v>137</v>
      </c>
      <c r="D1393" s="69" t="s">
        <v>191</v>
      </c>
      <c r="E1393" s="69" t="s">
        <v>191</v>
      </c>
      <c r="F1393" s="69" t="s">
        <v>180</v>
      </c>
      <c r="G1393" s="69" t="s">
        <v>192</v>
      </c>
      <c r="H1393" s="69" t="s">
        <v>804</v>
      </c>
      <c r="I1393" s="69">
        <v>2</v>
      </c>
      <c r="J1393" s="238">
        <f t="shared" ref="J1393:K1424" ca="1" si="2">OFFSET(J$10,MATCH($B1393,$B$11:$B$1327,0),0)</f>
        <v>0.32235762917068039</v>
      </c>
      <c r="K1393" s="238">
        <f t="shared" ca="1" si="2"/>
        <v>0.160195270625522</v>
      </c>
      <c r="L1393" s="69">
        <v>96.038728079112801</v>
      </c>
      <c r="M1393" s="69">
        <v>0</v>
      </c>
      <c r="N1393" s="69">
        <v>0</v>
      </c>
      <c r="O1393" s="69">
        <v>0</v>
      </c>
      <c r="P1393" s="69">
        <v>0</v>
      </c>
      <c r="Q1393" s="69">
        <v>0</v>
      </c>
      <c r="R1393" s="69">
        <v>51.591791232145624</v>
      </c>
      <c r="S1393" s="69">
        <v>51.591791232145624</v>
      </c>
      <c r="T1393" s="69">
        <v>51.591791232145624</v>
      </c>
      <c r="U1393" s="69">
        <v>51.591791232145624</v>
      </c>
      <c r="V1393" s="69">
        <v>51.591791232145624</v>
      </c>
      <c r="W1393" s="69">
        <v>51.591791232145624</v>
      </c>
      <c r="X1393" s="69">
        <v>51.591791232145624</v>
      </c>
      <c r="Y1393" s="69">
        <v>51.591791232145624</v>
      </c>
      <c r="Z1393" s="69">
        <v>51.591791232145624</v>
      </c>
      <c r="AA1393" s="69">
        <v>51.591791232145624</v>
      </c>
      <c r="AB1393" s="69">
        <v>51.591791232145624</v>
      </c>
      <c r="AC1393" s="69">
        <v>51.591791232145624</v>
      </c>
      <c r="AD1393" s="69">
        <v>51.591791232145624</v>
      </c>
      <c r="AE1393" s="69">
        <v>51.591791232145624</v>
      </c>
      <c r="AF1393" s="69">
        <v>51.591791232145624</v>
      </c>
      <c r="AG1393" s="69">
        <v>51.591791232145624</v>
      </c>
    </row>
    <row r="1394" spans="1:33">
      <c r="A1394" s="69" t="s">
        <v>2381</v>
      </c>
      <c r="B1394" s="69" t="s">
        <v>279</v>
      </c>
      <c r="C1394" s="69" t="s">
        <v>137</v>
      </c>
      <c r="D1394" s="69" t="s">
        <v>191</v>
      </c>
      <c r="E1394" s="69" t="s">
        <v>191</v>
      </c>
      <c r="F1394" s="69" t="s">
        <v>180</v>
      </c>
      <c r="G1394" s="69" t="s">
        <v>192</v>
      </c>
      <c r="H1394" s="69" t="s">
        <v>804</v>
      </c>
      <c r="I1394" s="69">
        <v>1</v>
      </c>
      <c r="J1394" s="238">
        <f t="shared" ca="1" si="2"/>
        <v>0.32235762917068039</v>
      </c>
      <c r="K1394" s="238">
        <f t="shared" ca="1" si="2"/>
        <v>0.160195270625522</v>
      </c>
      <c r="L1394" s="69">
        <v>96.038728079112801</v>
      </c>
      <c r="M1394" s="69">
        <v>0</v>
      </c>
      <c r="N1394" s="69">
        <v>0</v>
      </c>
      <c r="O1394" s="69">
        <v>0</v>
      </c>
      <c r="P1394" s="69">
        <v>0</v>
      </c>
      <c r="Q1394" s="69">
        <v>0</v>
      </c>
      <c r="R1394" s="69">
        <v>44.616874738255774</v>
      </c>
      <c r="S1394" s="69">
        <v>44.616874738255774</v>
      </c>
      <c r="T1394" s="69">
        <v>44.616874738255774</v>
      </c>
      <c r="U1394" s="69">
        <v>44.616874738255774</v>
      </c>
      <c r="V1394" s="69">
        <v>44.616874738255774</v>
      </c>
      <c r="W1394" s="69">
        <v>44.616874738255774</v>
      </c>
      <c r="X1394" s="69">
        <v>44.616874738255774</v>
      </c>
      <c r="Y1394" s="69">
        <v>44.616874738255774</v>
      </c>
      <c r="Z1394" s="69">
        <v>44.616874738255774</v>
      </c>
      <c r="AA1394" s="69">
        <v>44.616874738255774</v>
      </c>
      <c r="AB1394" s="69">
        <v>44.616874738255774</v>
      </c>
      <c r="AC1394" s="69">
        <v>44.616874738255774</v>
      </c>
      <c r="AD1394" s="69">
        <v>44.616874738255774</v>
      </c>
      <c r="AE1394" s="69">
        <v>44.616874738255774</v>
      </c>
      <c r="AF1394" s="69">
        <v>44.616874738255774</v>
      </c>
      <c r="AG1394" s="69">
        <v>44.616874738255774</v>
      </c>
    </row>
    <row r="1395" spans="1:33">
      <c r="A1395" s="69" t="s">
        <v>2381</v>
      </c>
      <c r="B1395" s="69" t="s">
        <v>280</v>
      </c>
      <c r="C1395" s="69" t="s">
        <v>137</v>
      </c>
      <c r="D1395" s="69" t="s">
        <v>191</v>
      </c>
      <c r="E1395" s="69" t="s">
        <v>191</v>
      </c>
      <c r="F1395" s="69" t="s">
        <v>180</v>
      </c>
      <c r="G1395" s="69" t="s">
        <v>192</v>
      </c>
      <c r="H1395" s="69" t="s">
        <v>804</v>
      </c>
      <c r="I1395" s="69">
        <v>2</v>
      </c>
      <c r="J1395" s="238">
        <f t="shared" ca="1" si="2"/>
        <v>0.32235762917068039</v>
      </c>
      <c r="K1395" s="238">
        <f t="shared" ca="1" si="2"/>
        <v>0.160195270625522</v>
      </c>
      <c r="L1395" s="69">
        <v>96.038728079112815</v>
      </c>
      <c r="M1395" s="69">
        <v>0</v>
      </c>
      <c r="N1395" s="69">
        <v>0</v>
      </c>
      <c r="O1395" s="69">
        <v>0</v>
      </c>
      <c r="P1395" s="69">
        <v>0</v>
      </c>
      <c r="Q1395" s="69">
        <v>0</v>
      </c>
      <c r="R1395" s="69">
        <v>49.869241004911601</v>
      </c>
      <c r="S1395" s="69">
        <v>49.869241004911601</v>
      </c>
      <c r="T1395" s="69">
        <v>49.869241004911601</v>
      </c>
      <c r="U1395" s="69">
        <v>49.869241004911601</v>
      </c>
      <c r="V1395" s="69">
        <v>49.869241004911601</v>
      </c>
      <c r="W1395" s="69">
        <v>49.869241004911601</v>
      </c>
      <c r="X1395" s="69">
        <v>49.869241004911601</v>
      </c>
      <c r="Y1395" s="69">
        <v>49.869241004911601</v>
      </c>
      <c r="Z1395" s="69">
        <v>49.869241004911601</v>
      </c>
      <c r="AA1395" s="69">
        <v>49.869241004911601</v>
      </c>
      <c r="AB1395" s="69">
        <v>49.869241004911601</v>
      </c>
      <c r="AC1395" s="69">
        <v>49.869241004911601</v>
      </c>
      <c r="AD1395" s="69">
        <v>49.869241004911601</v>
      </c>
      <c r="AE1395" s="69">
        <v>49.869241004911601</v>
      </c>
      <c r="AF1395" s="69">
        <v>49.869241004911601</v>
      </c>
      <c r="AG1395" s="69">
        <v>49.869241004911601</v>
      </c>
    </row>
    <row r="1396" spans="1:33">
      <c r="A1396" s="69" t="s">
        <v>2381</v>
      </c>
      <c r="B1396" s="69" t="s">
        <v>281</v>
      </c>
      <c r="C1396" s="69" t="s">
        <v>137</v>
      </c>
      <c r="D1396" s="69" t="s">
        <v>191</v>
      </c>
      <c r="E1396" s="69" t="s">
        <v>191</v>
      </c>
      <c r="F1396" s="69" t="s">
        <v>180</v>
      </c>
      <c r="G1396" s="69" t="s">
        <v>192</v>
      </c>
      <c r="H1396" s="69" t="s">
        <v>804</v>
      </c>
      <c r="I1396" s="69">
        <v>1</v>
      </c>
      <c r="J1396" s="238">
        <f t="shared" ca="1" si="2"/>
        <v>0.32235762917068039</v>
      </c>
      <c r="K1396" s="238">
        <f t="shared" ca="1" si="2"/>
        <v>0.160195270625522</v>
      </c>
      <c r="L1396" s="69">
        <v>96.038728079112801</v>
      </c>
      <c r="M1396" s="69">
        <v>0</v>
      </c>
      <c r="N1396" s="69">
        <v>0</v>
      </c>
      <c r="O1396" s="69">
        <v>0</v>
      </c>
      <c r="P1396" s="69">
        <v>0</v>
      </c>
      <c r="Q1396" s="69">
        <v>0</v>
      </c>
      <c r="R1396" s="69">
        <v>48.09021372104371</v>
      </c>
      <c r="S1396" s="69">
        <v>48.09021372104371</v>
      </c>
      <c r="T1396" s="69">
        <v>48.09021372104371</v>
      </c>
      <c r="U1396" s="69">
        <v>48.09021372104371</v>
      </c>
      <c r="V1396" s="69">
        <v>48.09021372104371</v>
      </c>
      <c r="W1396" s="69">
        <v>48.09021372104371</v>
      </c>
      <c r="X1396" s="69">
        <v>48.09021372104371</v>
      </c>
      <c r="Y1396" s="69">
        <v>48.09021372104371</v>
      </c>
      <c r="Z1396" s="69">
        <v>48.09021372104371</v>
      </c>
      <c r="AA1396" s="69">
        <v>48.09021372104371</v>
      </c>
      <c r="AB1396" s="69">
        <v>48.09021372104371</v>
      </c>
      <c r="AC1396" s="69">
        <v>48.09021372104371</v>
      </c>
      <c r="AD1396" s="69">
        <v>48.09021372104371</v>
      </c>
      <c r="AE1396" s="69">
        <v>48.09021372104371</v>
      </c>
      <c r="AF1396" s="69">
        <v>48.09021372104371</v>
      </c>
      <c r="AG1396" s="69">
        <v>48.09021372104371</v>
      </c>
    </row>
    <row r="1397" spans="1:33">
      <c r="A1397" s="69" t="s">
        <v>2381</v>
      </c>
      <c r="B1397" s="69" t="s">
        <v>282</v>
      </c>
      <c r="C1397" s="69" t="s">
        <v>137</v>
      </c>
      <c r="D1397" s="69" t="s">
        <v>191</v>
      </c>
      <c r="E1397" s="69" t="s">
        <v>191</v>
      </c>
      <c r="F1397" s="69" t="s">
        <v>180</v>
      </c>
      <c r="G1397" s="69" t="s">
        <v>192</v>
      </c>
      <c r="H1397" s="69" t="s">
        <v>804</v>
      </c>
      <c r="I1397" s="69">
        <v>1</v>
      </c>
      <c r="J1397" s="238">
        <f t="shared" ca="1" si="2"/>
        <v>0.32235762917068039</v>
      </c>
      <c r="K1397" s="238">
        <f t="shared" ca="1" si="2"/>
        <v>0.160195270625522</v>
      </c>
      <c r="L1397" s="69">
        <v>96.038728079112801</v>
      </c>
      <c r="M1397" s="69">
        <v>0</v>
      </c>
      <c r="N1397" s="69">
        <v>0</v>
      </c>
      <c r="O1397" s="69">
        <v>0</v>
      </c>
      <c r="P1397" s="69">
        <v>0</v>
      </c>
      <c r="Q1397" s="69">
        <v>0</v>
      </c>
      <c r="R1397" s="69">
        <v>4235.7792473027403</v>
      </c>
      <c r="S1397" s="69">
        <v>4235.7792473027403</v>
      </c>
      <c r="T1397" s="69">
        <v>4235.7792473027403</v>
      </c>
      <c r="U1397" s="69">
        <v>4235.7792473027403</v>
      </c>
      <c r="V1397" s="69">
        <v>4235.7792473027403</v>
      </c>
      <c r="W1397" s="69">
        <v>4235.7792473027403</v>
      </c>
      <c r="X1397" s="69">
        <v>4235.7792473027403</v>
      </c>
      <c r="Y1397" s="69">
        <v>4235.7792473027403</v>
      </c>
      <c r="Z1397" s="69">
        <v>4235.7792473027403</v>
      </c>
      <c r="AA1397" s="69">
        <v>4235.7792473027403</v>
      </c>
      <c r="AB1397" s="69">
        <v>4235.7792473027403</v>
      </c>
      <c r="AC1397" s="69">
        <v>4235.7792473027403</v>
      </c>
      <c r="AD1397" s="69">
        <v>4235.7792473027403</v>
      </c>
      <c r="AE1397" s="69">
        <v>4235.7792473027403</v>
      </c>
      <c r="AF1397" s="69">
        <v>4235.7792473027403</v>
      </c>
      <c r="AG1397" s="69">
        <v>4235.7792473027403</v>
      </c>
    </row>
    <row r="1398" spans="1:33">
      <c r="A1398" s="69" t="s">
        <v>2381</v>
      </c>
      <c r="B1398" s="69" t="s">
        <v>283</v>
      </c>
      <c r="C1398" s="69" t="s">
        <v>184</v>
      </c>
      <c r="D1398" s="69" t="s">
        <v>284</v>
      </c>
      <c r="E1398" s="69" t="s">
        <v>191</v>
      </c>
      <c r="F1398" s="69" t="s">
        <v>167</v>
      </c>
      <c r="G1398" s="69" t="s">
        <v>192</v>
      </c>
      <c r="H1398" s="69" t="s">
        <v>804</v>
      </c>
      <c r="I1398" s="69">
        <v>2</v>
      </c>
      <c r="J1398" s="238">
        <f t="shared" ca="1" si="2"/>
        <v>0.80000000000000016</v>
      </c>
      <c r="K1398" s="238">
        <f t="shared" ca="1" si="2"/>
        <v>0</v>
      </c>
      <c r="L1398" s="69">
        <v>92.42965494862176</v>
      </c>
      <c r="M1398" s="69">
        <v>0</v>
      </c>
      <c r="N1398" s="69">
        <v>0</v>
      </c>
      <c r="O1398" s="69">
        <v>0</v>
      </c>
      <c r="P1398" s="69">
        <v>0</v>
      </c>
      <c r="Q1398" s="69">
        <v>11.212800000001153</v>
      </c>
      <c r="R1398" s="69">
        <v>11.212800000001153</v>
      </c>
      <c r="S1398" s="69">
        <v>11.212800000001153</v>
      </c>
      <c r="T1398" s="69">
        <v>11.212800000001153</v>
      </c>
      <c r="U1398" s="69">
        <v>11.212800000001153</v>
      </c>
      <c r="V1398" s="69">
        <v>11.212800000001153</v>
      </c>
      <c r="W1398" s="69">
        <v>11.212800000001153</v>
      </c>
      <c r="X1398" s="69">
        <v>11.212800000001153</v>
      </c>
      <c r="Y1398" s="69">
        <v>11.212800000001153</v>
      </c>
      <c r="Z1398" s="69">
        <v>11.212800000001153</v>
      </c>
      <c r="AA1398" s="69">
        <v>11.212800000001153</v>
      </c>
      <c r="AB1398" s="69">
        <v>11.212800000001153</v>
      </c>
      <c r="AC1398" s="69">
        <v>11.212800000001153</v>
      </c>
      <c r="AD1398" s="69">
        <v>11.212800000001153</v>
      </c>
      <c r="AE1398" s="69">
        <v>11.212800000001153</v>
      </c>
      <c r="AF1398" s="69">
        <v>11.212800000001153</v>
      </c>
      <c r="AG1398" s="69">
        <v>11.212800000001153</v>
      </c>
    </row>
    <row r="1399" spans="1:33">
      <c r="A1399" s="69" t="s">
        <v>2381</v>
      </c>
      <c r="B1399" s="69" t="s">
        <v>285</v>
      </c>
      <c r="C1399" s="69" t="s">
        <v>137</v>
      </c>
      <c r="D1399" s="69" t="s">
        <v>191</v>
      </c>
      <c r="E1399" s="69" t="s">
        <v>191</v>
      </c>
      <c r="F1399" s="69" t="s">
        <v>177</v>
      </c>
      <c r="G1399" s="69" t="s">
        <v>192</v>
      </c>
      <c r="H1399" s="69" t="s">
        <v>804</v>
      </c>
      <c r="I1399" s="69">
        <v>1</v>
      </c>
      <c r="J1399" s="238">
        <f t="shared" ca="1" si="2"/>
        <v>0.32235762917068039</v>
      </c>
      <c r="K1399" s="238">
        <f t="shared" ca="1" si="2"/>
        <v>0.16048337423926948</v>
      </c>
      <c r="L1399" s="69">
        <v>96.038728079112801</v>
      </c>
      <c r="M1399" s="69">
        <v>0</v>
      </c>
      <c r="N1399" s="69">
        <v>0</v>
      </c>
      <c r="O1399" s="69">
        <v>0</v>
      </c>
      <c r="P1399" s="69">
        <v>0</v>
      </c>
      <c r="Q1399" s="69">
        <v>118.60181892447689</v>
      </c>
      <c r="R1399" s="69">
        <v>118.60181892447689</v>
      </c>
      <c r="S1399" s="69">
        <v>118.60181892447689</v>
      </c>
      <c r="T1399" s="69">
        <v>118.60181892447689</v>
      </c>
      <c r="U1399" s="69">
        <v>118.60181892447689</v>
      </c>
      <c r="V1399" s="69">
        <v>118.60181892447689</v>
      </c>
      <c r="W1399" s="69">
        <v>118.60181892447689</v>
      </c>
      <c r="X1399" s="69">
        <v>118.60181892447689</v>
      </c>
      <c r="Y1399" s="69">
        <v>118.60181892447689</v>
      </c>
      <c r="Z1399" s="69">
        <v>118.60181892447689</v>
      </c>
      <c r="AA1399" s="69">
        <v>118.60181892447689</v>
      </c>
      <c r="AB1399" s="69">
        <v>118.60181892447689</v>
      </c>
      <c r="AC1399" s="69">
        <v>118.60181892447689</v>
      </c>
      <c r="AD1399" s="69">
        <v>118.60181892447689</v>
      </c>
      <c r="AE1399" s="69">
        <v>118.60181892447689</v>
      </c>
      <c r="AF1399" s="69">
        <v>118.60181892447689</v>
      </c>
      <c r="AG1399" s="69">
        <v>118.60181892447689</v>
      </c>
    </row>
    <row r="1400" spans="1:33">
      <c r="A1400" s="69" t="s">
        <v>2381</v>
      </c>
      <c r="B1400" s="69" t="s">
        <v>286</v>
      </c>
      <c r="C1400" s="69" t="s">
        <v>136</v>
      </c>
      <c r="D1400" s="69" t="s">
        <v>191</v>
      </c>
      <c r="E1400" s="69" t="s">
        <v>191</v>
      </c>
      <c r="F1400" s="69" t="s">
        <v>161</v>
      </c>
      <c r="G1400" s="69" t="s">
        <v>192</v>
      </c>
      <c r="H1400" s="69" t="s">
        <v>2130</v>
      </c>
      <c r="I1400" s="69">
        <v>2</v>
      </c>
      <c r="J1400" s="238">
        <f t="shared" ca="1" si="2"/>
        <v>0.82500000000000007</v>
      </c>
      <c r="K1400" s="238">
        <f t="shared" ca="1" si="2"/>
        <v>0.70497163608542901</v>
      </c>
      <c r="L1400" s="69">
        <v>109.81489691553389</v>
      </c>
      <c r="M1400" s="69">
        <v>0</v>
      </c>
      <c r="N1400" s="69">
        <v>0</v>
      </c>
      <c r="O1400" s="69">
        <v>0</v>
      </c>
      <c r="P1400" s="69">
        <v>0</v>
      </c>
      <c r="Q1400" s="69">
        <v>216.80999999999989</v>
      </c>
      <c r="R1400" s="69">
        <v>216.80999999999989</v>
      </c>
      <c r="S1400" s="69">
        <v>216.80999999999989</v>
      </c>
      <c r="T1400" s="69">
        <v>216.80999999999989</v>
      </c>
      <c r="U1400" s="69">
        <v>216.80999999999989</v>
      </c>
      <c r="V1400" s="69">
        <v>216.80999999999989</v>
      </c>
      <c r="W1400" s="69">
        <v>216.80999999999989</v>
      </c>
      <c r="X1400" s="69">
        <v>216.80999999999989</v>
      </c>
      <c r="Y1400" s="69">
        <v>216.80999999999989</v>
      </c>
      <c r="Z1400" s="69">
        <v>216.80999999999989</v>
      </c>
      <c r="AA1400" s="69">
        <v>216.80999999999989</v>
      </c>
      <c r="AB1400" s="69">
        <v>216.80999999999989</v>
      </c>
      <c r="AC1400" s="69">
        <v>216.80999999999989</v>
      </c>
      <c r="AD1400" s="69">
        <v>216.80999999999989</v>
      </c>
      <c r="AE1400" s="69">
        <v>216.80999999999989</v>
      </c>
      <c r="AF1400" s="69">
        <v>216.80999999999989</v>
      </c>
      <c r="AG1400" s="69">
        <v>216.80999999999989</v>
      </c>
    </row>
    <row r="1401" spans="1:33">
      <c r="A1401" s="69" t="s">
        <v>2381</v>
      </c>
      <c r="B1401" s="69" t="s">
        <v>287</v>
      </c>
      <c r="C1401" s="69" t="s">
        <v>184</v>
      </c>
      <c r="D1401" s="69" t="s">
        <v>140</v>
      </c>
      <c r="E1401" s="69" t="s">
        <v>191</v>
      </c>
      <c r="F1401" s="69" t="s">
        <v>167</v>
      </c>
      <c r="G1401" s="69" t="s">
        <v>192</v>
      </c>
      <c r="H1401" s="69" t="s">
        <v>804</v>
      </c>
      <c r="I1401" s="69">
        <v>2</v>
      </c>
      <c r="J1401" s="238">
        <f t="shared" ca="1" si="2"/>
        <v>0.8</v>
      </c>
      <c r="K1401" s="238">
        <f t="shared" ca="1" si="2"/>
        <v>0</v>
      </c>
      <c r="L1401" s="69">
        <v>114.19797366361543</v>
      </c>
      <c r="M1401" s="69">
        <v>0</v>
      </c>
      <c r="N1401" s="69">
        <v>0</v>
      </c>
      <c r="O1401" s="69">
        <v>0</v>
      </c>
      <c r="P1401" s="69">
        <v>14.015999999999622</v>
      </c>
      <c r="Q1401" s="69">
        <v>14.015999999999622</v>
      </c>
      <c r="R1401" s="69">
        <v>14.015999999999622</v>
      </c>
      <c r="S1401" s="69">
        <v>14.015999999999622</v>
      </c>
      <c r="T1401" s="69">
        <v>14.015999999999622</v>
      </c>
      <c r="U1401" s="69">
        <v>14.015999999999622</v>
      </c>
      <c r="V1401" s="69">
        <v>14.015999999999622</v>
      </c>
      <c r="W1401" s="69">
        <v>14.015999999999622</v>
      </c>
      <c r="X1401" s="69">
        <v>14.015999999999622</v>
      </c>
      <c r="Y1401" s="69">
        <v>14.015999999999622</v>
      </c>
      <c r="Z1401" s="69">
        <v>14.015999999999622</v>
      </c>
      <c r="AA1401" s="69">
        <v>14.015999999999622</v>
      </c>
      <c r="AB1401" s="69">
        <v>14.015999999999622</v>
      </c>
      <c r="AC1401" s="69">
        <v>14.015999999999622</v>
      </c>
      <c r="AD1401" s="69">
        <v>14.015999999999622</v>
      </c>
      <c r="AE1401" s="69">
        <v>14.015999999999622</v>
      </c>
      <c r="AF1401" s="69">
        <v>14.015999999999622</v>
      </c>
      <c r="AG1401" s="69">
        <v>14.015999999999622</v>
      </c>
    </row>
    <row r="1402" spans="1:33">
      <c r="A1402" s="69" t="s">
        <v>2381</v>
      </c>
      <c r="B1402" s="69" t="s">
        <v>288</v>
      </c>
      <c r="C1402" s="69" t="s">
        <v>184</v>
      </c>
      <c r="D1402" s="69" t="s">
        <v>140</v>
      </c>
      <c r="E1402" s="69" t="s">
        <v>191</v>
      </c>
      <c r="F1402" s="69" t="s">
        <v>177</v>
      </c>
      <c r="G1402" s="69" t="s">
        <v>192</v>
      </c>
      <c r="H1402" s="69" t="s">
        <v>804</v>
      </c>
      <c r="I1402" s="69">
        <v>2</v>
      </c>
      <c r="J1402" s="238">
        <f t="shared" ca="1" si="2"/>
        <v>0.8</v>
      </c>
      <c r="K1402" s="238">
        <f t="shared" ca="1" si="2"/>
        <v>0</v>
      </c>
      <c r="L1402" s="69">
        <v>114.19797366361543</v>
      </c>
      <c r="M1402" s="69">
        <v>0</v>
      </c>
      <c r="N1402" s="69">
        <v>0</v>
      </c>
      <c r="O1402" s="69">
        <v>0</v>
      </c>
      <c r="P1402" s="69">
        <v>14.015999999999622</v>
      </c>
      <c r="Q1402" s="69">
        <v>14.015999999999622</v>
      </c>
      <c r="R1402" s="69">
        <v>14.015999999999622</v>
      </c>
      <c r="S1402" s="69">
        <v>14.015999999999622</v>
      </c>
      <c r="T1402" s="69">
        <v>14.015999999999622</v>
      </c>
      <c r="U1402" s="69">
        <v>14.015999999999622</v>
      </c>
      <c r="V1402" s="69">
        <v>14.015999999999622</v>
      </c>
      <c r="W1402" s="69">
        <v>14.015999999999622</v>
      </c>
      <c r="X1402" s="69">
        <v>14.015999999999622</v>
      </c>
      <c r="Y1402" s="69">
        <v>14.015999999999622</v>
      </c>
      <c r="Z1402" s="69">
        <v>14.015999999999622</v>
      </c>
      <c r="AA1402" s="69">
        <v>14.015999999999622</v>
      </c>
      <c r="AB1402" s="69">
        <v>14.015999999999622</v>
      </c>
      <c r="AC1402" s="69">
        <v>14.015999999999622</v>
      </c>
      <c r="AD1402" s="69">
        <v>14.015999999999622</v>
      </c>
      <c r="AE1402" s="69">
        <v>14.015999999999622</v>
      </c>
      <c r="AF1402" s="69">
        <v>14.015999999999622</v>
      </c>
      <c r="AG1402" s="69">
        <v>14.015999999999622</v>
      </c>
    </row>
    <row r="1403" spans="1:33">
      <c r="A1403" s="69" t="s">
        <v>2381</v>
      </c>
      <c r="B1403" s="69" t="s">
        <v>289</v>
      </c>
      <c r="C1403" s="69" t="s">
        <v>187</v>
      </c>
      <c r="D1403" s="69" t="s">
        <v>191</v>
      </c>
      <c r="E1403" s="69" t="s">
        <v>191</v>
      </c>
      <c r="F1403" s="69" t="s">
        <v>180</v>
      </c>
      <c r="G1403" s="69" t="s">
        <v>192</v>
      </c>
      <c r="H1403" s="69" t="s">
        <v>804</v>
      </c>
      <c r="I1403" s="69">
        <v>2</v>
      </c>
      <c r="J1403" s="238">
        <f t="shared" ca="1" si="2"/>
        <v>0.2668262983999703</v>
      </c>
      <c r="K1403" s="238">
        <f t="shared" ca="1" si="2"/>
        <v>0.82586438133842643</v>
      </c>
      <c r="L1403" s="69">
        <v>192.38629588063705</v>
      </c>
      <c r="M1403" s="69">
        <v>0</v>
      </c>
      <c r="N1403" s="69">
        <v>0</v>
      </c>
      <c r="O1403" s="69">
        <v>0</v>
      </c>
      <c r="P1403" s="69">
        <v>0</v>
      </c>
      <c r="Q1403" s="69">
        <v>0</v>
      </c>
      <c r="R1403" s="69">
        <v>245.42682926829002</v>
      </c>
      <c r="S1403" s="69">
        <v>245.42682926829002</v>
      </c>
      <c r="T1403" s="69">
        <v>245.42682926829002</v>
      </c>
      <c r="U1403" s="69">
        <v>245.42682926829002</v>
      </c>
      <c r="V1403" s="69">
        <v>245.42682926829002</v>
      </c>
      <c r="W1403" s="69">
        <v>245.42682926829002</v>
      </c>
      <c r="X1403" s="69">
        <v>245.42682926829002</v>
      </c>
      <c r="Y1403" s="69">
        <v>245.42682926829002</v>
      </c>
      <c r="Z1403" s="69">
        <v>245.42682926829002</v>
      </c>
      <c r="AA1403" s="69">
        <v>245.42682926829002</v>
      </c>
      <c r="AB1403" s="69">
        <v>245.42682926829002</v>
      </c>
      <c r="AC1403" s="69">
        <v>245.42682926829002</v>
      </c>
      <c r="AD1403" s="69">
        <v>245.42682926829002</v>
      </c>
      <c r="AE1403" s="69">
        <v>245.42682926829002</v>
      </c>
      <c r="AF1403" s="69">
        <v>245.42682926829002</v>
      </c>
      <c r="AG1403" s="69">
        <v>245.42682926829002</v>
      </c>
    </row>
    <row r="1404" spans="1:33">
      <c r="A1404" s="69" t="s">
        <v>2381</v>
      </c>
      <c r="B1404" s="69" t="s">
        <v>290</v>
      </c>
      <c r="C1404" s="69" t="s">
        <v>137</v>
      </c>
      <c r="D1404" s="69" t="s">
        <v>191</v>
      </c>
      <c r="E1404" s="69" t="s">
        <v>191</v>
      </c>
      <c r="F1404" s="69" t="s">
        <v>168</v>
      </c>
      <c r="G1404" s="69" t="s">
        <v>199</v>
      </c>
      <c r="H1404" s="69" t="s">
        <v>2417</v>
      </c>
      <c r="I1404" s="69">
        <v>1</v>
      </c>
      <c r="J1404" s="238">
        <f t="shared" ca="1" si="2"/>
        <v>0.29204999999999998</v>
      </c>
      <c r="K1404" s="238">
        <f t="shared" ca="1" si="2"/>
        <v>0.18436399478639695</v>
      </c>
      <c r="L1404" s="69">
        <v>95.155627725733936</v>
      </c>
      <c r="M1404" s="69">
        <v>0</v>
      </c>
      <c r="N1404" s="69">
        <v>0</v>
      </c>
      <c r="O1404" s="69">
        <v>0</v>
      </c>
      <c r="P1404" s="69">
        <v>358.17012000000068</v>
      </c>
      <c r="Q1404" s="69">
        <v>358.17012000000068</v>
      </c>
      <c r="R1404" s="69">
        <v>358.17012000000068</v>
      </c>
      <c r="S1404" s="69">
        <v>358.17012000000068</v>
      </c>
      <c r="T1404" s="69">
        <v>358.17012000000068</v>
      </c>
      <c r="U1404" s="69">
        <v>358.17012000000068</v>
      </c>
      <c r="V1404" s="69">
        <v>358.17012000000068</v>
      </c>
      <c r="W1404" s="69">
        <v>358.17012000000068</v>
      </c>
      <c r="X1404" s="69">
        <v>358.17012000000068</v>
      </c>
      <c r="Y1404" s="69">
        <v>358.17012000000068</v>
      </c>
      <c r="Z1404" s="69">
        <v>358.17012000000068</v>
      </c>
      <c r="AA1404" s="69">
        <v>358.17012000000068</v>
      </c>
      <c r="AB1404" s="69">
        <v>358.17012000000068</v>
      </c>
      <c r="AC1404" s="69">
        <v>358.17012000000068</v>
      </c>
      <c r="AD1404" s="69">
        <v>358.17012000000068</v>
      </c>
      <c r="AE1404" s="69">
        <v>358.17012000000068</v>
      </c>
      <c r="AF1404" s="69">
        <v>358.17012000000068</v>
      </c>
      <c r="AG1404" s="69">
        <v>358.17012000000068</v>
      </c>
    </row>
    <row r="1405" spans="1:33">
      <c r="A1405" s="69" t="s">
        <v>2381</v>
      </c>
      <c r="B1405" s="69" t="s">
        <v>290</v>
      </c>
      <c r="C1405" s="69" t="s">
        <v>137</v>
      </c>
      <c r="D1405" s="69" t="s">
        <v>191</v>
      </c>
      <c r="E1405" s="69" t="s">
        <v>191</v>
      </c>
      <c r="F1405" s="69" t="s">
        <v>168</v>
      </c>
      <c r="G1405" s="69" t="s">
        <v>199</v>
      </c>
      <c r="H1405" s="69" t="s">
        <v>2417</v>
      </c>
      <c r="I1405" s="69">
        <v>1</v>
      </c>
      <c r="J1405" s="238">
        <f t="shared" ca="1" si="2"/>
        <v>0.29204999999999998</v>
      </c>
      <c r="K1405" s="238">
        <f t="shared" ca="1" si="2"/>
        <v>0.18436399478639695</v>
      </c>
      <c r="L1405" s="69">
        <v>95.155627725733936</v>
      </c>
      <c r="M1405" s="69">
        <v>0</v>
      </c>
      <c r="N1405" s="69">
        <v>0</v>
      </c>
      <c r="O1405" s="69">
        <v>0</v>
      </c>
      <c r="P1405" s="69">
        <v>358.17012000000068</v>
      </c>
      <c r="Q1405" s="69">
        <v>358.17012000000068</v>
      </c>
      <c r="R1405" s="69">
        <v>358.17012000000068</v>
      </c>
      <c r="S1405" s="69">
        <v>358.17012000000068</v>
      </c>
      <c r="T1405" s="69">
        <v>358.17012000000068</v>
      </c>
      <c r="U1405" s="69">
        <v>358.17012000000068</v>
      </c>
      <c r="V1405" s="69">
        <v>358.17012000000068</v>
      </c>
      <c r="W1405" s="69">
        <v>358.17012000000068</v>
      </c>
      <c r="X1405" s="69">
        <v>358.17012000000068</v>
      </c>
      <c r="Y1405" s="69">
        <v>358.17012000000068</v>
      </c>
      <c r="Z1405" s="69">
        <v>358.17012000000068</v>
      </c>
      <c r="AA1405" s="69">
        <v>358.17012000000068</v>
      </c>
      <c r="AB1405" s="69">
        <v>358.17012000000068</v>
      </c>
      <c r="AC1405" s="69">
        <v>358.17012000000068</v>
      </c>
      <c r="AD1405" s="69">
        <v>358.17012000000068</v>
      </c>
      <c r="AE1405" s="69">
        <v>358.17012000000068</v>
      </c>
      <c r="AF1405" s="69">
        <v>358.17012000000068</v>
      </c>
      <c r="AG1405" s="69">
        <v>358.17012000000068</v>
      </c>
    </row>
    <row r="1406" spans="1:33">
      <c r="A1406" s="69" t="s">
        <v>2381</v>
      </c>
      <c r="B1406" s="69" t="s">
        <v>290</v>
      </c>
      <c r="C1406" s="69" t="s">
        <v>137</v>
      </c>
      <c r="D1406" s="69" t="s">
        <v>191</v>
      </c>
      <c r="E1406" s="69" t="s">
        <v>191</v>
      </c>
      <c r="F1406" s="69" t="s">
        <v>168</v>
      </c>
      <c r="G1406" s="69" t="s">
        <v>199</v>
      </c>
      <c r="H1406" s="69" t="s">
        <v>2417</v>
      </c>
      <c r="I1406" s="69">
        <v>1</v>
      </c>
      <c r="J1406" s="238">
        <f t="shared" ca="1" si="2"/>
        <v>0.29204999999999998</v>
      </c>
      <c r="K1406" s="238">
        <f t="shared" ca="1" si="2"/>
        <v>0.18436399478639695</v>
      </c>
      <c r="L1406" s="69">
        <v>95.155627725733936</v>
      </c>
      <c r="M1406" s="69">
        <v>0</v>
      </c>
      <c r="N1406" s="69">
        <v>0</v>
      </c>
      <c r="O1406" s="69">
        <v>0</v>
      </c>
      <c r="P1406" s="69">
        <v>358.17012000000068</v>
      </c>
      <c r="Q1406" s="69">
        <v>358.17012000000068</v>
      </c>
      <c r="R1406" s="69">
        <v>358.17012000000068</v>
      </c>
      <c r="S1406" s="69">
        <v>358.17012000000068</v>
      </c>
      <c r="T1406" s="69">
        <v>358.17012000000068</v>
      </c>
      <c r="U1406" s="69">
        <v>358.17012000000068</v>
      </c>
      <c r="V1406" s="69">
        <v>358.17012000000068</v>
      </c>
      <c r="W1406" s="69">
        <v>358.17012000000068</v>
      </c>
      <c r="X1406" s="69">
        <v>358.17012000000068</v>
      </c>
      <c r="Y1406" s="69">
        <v>358.17012000000068</v>
      </c>
      <c r="Z1406" s="69">
        <v>358.17012000000068</v>
      </c>
      <c r="AA1406" s="69">
        <v>358.17012000000068</v>
      </c>
      <c r="AB1406" s="69">
        <v>358.17012000000068</v>
      </c>
      <c r="AC1406" s="69">
        <v>358.17012000000068</v>
      </c>
      <c r="AD1406" s="69">
        <v>358.17012000000068</v>
      </c>
      <c r="AE1406" s="69">
        <v>358.17012000000068</v>
      </c>
      <c r="AF1406" s="69">
        <v>358.17012000000068</v>
      </c>
      <c r="AG1406" s="69">
        <v>358.17012000000068</v>
      </c>
    </row>
    <row r="1407" spans="1:33">
      <c r="A1407" s="69" t="s">
        <v>2381</v>
      </c>
      <c r="B1407" s="69" t="s">
        <v>291</v>
      </c>
      <c r="C1407" s="69" t="s">
        <v>184</v>
      </c>
      <c r="D1407" s="69" t="s">
        <v>140</v>
      </c>
      <c r="E1407" s="69" t="s">
        <v>191</v>
      </c>
      <c r="F1407" s="69" t="s">
        <v>180</v>
      </c>
      <c r="G1407" s="69" t="s">
        <v>192</v>
      </c>
      <c r="H1407" s="69" t="s">
        <v>804</v>
      </c>
      <c r="I1407" s="69">
        <v>2</v>
      </c>
      <c r="J1407" s="238">
        <f t="shared" ca="1" si="2"/>
        <v>0.8</v>
      </c>
      <c r="K1407" s="238">
        <f t="shared" ca="1" si="2"/>
        <v>0</v>
      </c>
      <c r="L1407" s="69">
        <v>114.19797366361543</v>
      </c>
      <c r="M1407" s="69">
        <v>0</v>
      </c>
      <c r="N1407" s="69">
        <v>0</v>
      </c>
      <c r="O1407" s="69">
        <v>0</v>
      </c>
      <c r="P1407" s="69">
        <v>0</v>
      </c>
      <c r="Q1407" s="69">
        <v>0</v>
      </c>
      <c r="R1407" s="69">
        <v>14.015999999999622</v>
      </c>
      <c r="S1407" s="69">
        <v>14.015999999999622</v>
      </c>
      <c r="T1407" s="69">
        <v>14.015999999999622</v>
      </c>
      <c r="U1407" s="69">
        <v>14.015999999999622</v>
      </c>
      <c r="V1407" s="69">
        <v>14.015999999999622</v>
      </c>
      <c r="W1407" s="69">
        <v>14.015999999999622</v>
      </c>
      <c r="X1407" s="69">
        <v>14.015999999999622</v>
      </c>
      <c r="Y1407" s="69">
        <v>14.015999999999622</v>
      </c>
      <c r="Z1407" s="69">
        <v>14.015999999999622</v>
      </c>
      <c r="AA1407" s="69">
        <v>14.015999999999622</v>
      </c>
      <c r="AB1407" s="69">
        <v>14.015999999999622</v>
      </c>
      <c r="AC1407" s="69">
        <v>14.015999999999622</v>
      </c>
      <c r="AD1407" s="69">
        <v>14.015999999999622</v>
      </c>
      <c r="AE1407" s="69">
        <v>14.015999999999622</v>
      </c>
      <c r="AF1407" s="69">
        <v>14.015999999999622</v>
      </c>
      <c r="AG1407" s="69">
        <v>14.015999999999622</v>
      </c>
    </row>
    <row r="1408" spans="1:33">
      <c r="A1408" s="69" t="s">
        <v>2381</v>
      </c>
      <c r="B1408" s="69" t="s">
        <v>292</v>
      </c>
      <c r="C1408" s="69" t="s">
        <v>184</v>
      </c>
      <c r="D1408" s="69" t="s">
        <v>140</v>
      </c>
      <c r="E1408" s="69" t="s">
        <v>191</v>
      </c>
      <c r="F1408" s="69" t="s">
        <v>177</v>
      </c>
      <c r="G1408" s="69" t="s">
        <v>192</v>
      </c>
      <c r="H1408" s="69" t="s">
        <v>804</v>
      </c>
      <c r="I1408" s="69">
        <v>2</v>
      </c>
      <c r="J1408" s="238">
        <f t="shared" ca="1" si="2"/>
        <v>0.8</v>
      </c>
      <c r="K1408" s="238">
        <f t="shared" ca="1" si="2"/>
        <v>0</v>
      </c>
      <c r="L1408" s="69">
        <v>114.19797366361543</v>
      </c>
      <c r="M1408" s="69">
        <v>0</v>
      </c>
      <c r="N1408" s="69">
        <v>0</v>
      </c>
      <c r="O1408" s="69">
        <v>0</v>
      </c>
      <c r="P1408" s="69">
        <v>35.040000000000873</v>
      </c>
      <c r="Q1408" s="69">
        <v>35.040000000000873</v>
      </c>
      <c r="R1408" s="69">
        <v>35.040000000000873</v>
      </c>
      <c r="S1408" s="69">
        <v>35.040000000000873</v>
      </c>
      <c r="T1408" s="69">
        <v>35.040000000000873</v>
      </c>
      <c r="U1408" s="69">
        <v>35.040000000000873</v>
      </c>
      <c r="V1408" s="69">
        <v>35.040000000000873</v>
      </c>
      <c r="W1408" s="69">
        <v>35.040000000000873</v>
      </c>
      <c r="X1408" s="69">
        <v>35.040000000000873</v>
      </c>
      <c r="Y1408" s="69">
        <v>35.040000000000873</v>
      </c>
      <c r="Z1408" s="69">
        <v>35.040000000000873</v>
      </c>
      <c r="AA1408" s="69">
        <v>35.040000000000873</v>
      </c>
      <c r="AB1408" s="69">
        <v>35.040000000000873</v>
      </c>
      <c r="AC1408" s="69">
        <v>35.040000000000873</v>
      </c>
      <c r="AD1408" s="69">
        <v>35.040000000000873</v>
      </c>
      <c r="AE1408" s="69">
        <v>35.040000000000873</v>
      </c>
      <c r="AF1408" s="69">
        <v>35.040000000000873</v>
      </c>
      <c r="AG1408" s="69">
        <v>35.040000000000873</v>
      </c>
    </row>
    <row r="1409" spans="1:33">
      <c r="A1409" s="69" t="s">
        <v>2381</v>
      </c>
      <c r="B1409" s="69" t="s">
        <v>293</v>
      </c>
      <c r="C1409" s="69" t="s">
        <v>137</v>
      </c>
      <c r="D1409" s="69" t="s">
        <v>191</v>
      </c>
      <c r="E1409" s="69" t="s">
        <v>191</v>
      </c>
      <c r="F1409" s="69" t="s">
        <v>181</v>
      </c>
      <c r="G1409" s="69" t="s">
        <v>294</v>
      </c>
      <c r="H1409" s="69" t="s">
        <v>2417</v>
      </c>
      <c r="I1409" s="69">
        <v>1</v>
      </c>
      <c r="J1409" s="238">
        <f t="shared" ca="1" si="2"/>
        <v>0.28989999999999999</v>
      </c>
      <c r="K1409" s="238">
        <f t="shared" ca="1" si="2"/>
        <v>0.18559014484515421</v>
      </c>
      <c r="L1409" s="69">
        <v>91.706640833021837</v>
      </c>
      <c r="M1409" s="69">
        <v>0</v>
      </c>
      <c r="N1409" s="69">
        <v>228.55716000000029</v>
      </c>
      <c r="O1409" s="69">
        <v>228.55716000000029</v>
      </c>
      <c r="P1409" s="69">
        <v>228.55716000000029</v>
      </c>
      <c r="Q1409" s="69">
        <v>228.55716000000029</v>
      </c>
      <c r="R1409" s="69">
        <v>228.55716000000029</v>
      </c>
      <c r="S1409" s="69">
        <v>228.55716000000029</v>
      </c>
      <c r="T1409" s="69">
        <v>228.55716000000029</v>
      </c>
      <c r="U1409" s="69">
        <v>228.55716000000029</v>
      </c>
      <c r="V1409" s="69">
        <v>228.55716000000029</v>
      </c>
      <c r="W1409" s="69">
        <v>228.55716000000029</v>
      </c>
      <c r="X1409" s="69">
        <v>228.55716000000029</v>
      </c>
      <c r="Y1409" s="69">
        <v>228.55716000000029</v>
      </c>
      <c r="Z1409" s="69">
        <v>228.55716000000029</v>
      </c>
      <c r="AA1409" s="69">
        <v>228.55716000000029</v>
      </c>
      <c r="AB1409" s="69">
        <v>228.55716000000029</v>
      </c>
      <c r="AC1409" s="69">
        <v>228.55716000000029</v>
      </c>
      <c r="AD1409" s="69">
        <v>228.55716000000029</v>
      </c>
      <c r="AE1409" s="69">
        <v>228.55716000000029</v>
      </c>
      <c r="AF1409" s="69">
        <v>228.55716000000029</v>
      </c>
      <c r="AG1409" s="69">
        <v>228.55716000000029</v>
      </c>
    </row>
    <row r="1410" spans="1:33">
      <c r="A1410" s="69" t="s">
        <v>2381</v>
      </c>
      <c r="B1410" s="69" t="s">
        <v>295</v>
      </c>
      <c r="C1410" s="69" t="s">
        <v>137</v>
      </c>
      <c r="D1410" s="69" t="s">
        <v>191</v>
      </c>
      <c r="E1410" s="69" t="s">
        <v>191</v>
      </c>
      <c r="F1410" s="69" t="s">
        <v>168</v>
      </c>
      <c r="G1410" s="69" t="s">
        <v>199</v>
      </c>
      <c r="H1410" s="69" t="s">
        <v>2417</v>
      </c>
      <c r="I1410" s="69">
        <v>1</v>
      </c>
      <c r="J1410" s="238">
        <f t="shared" ca="1" si="2"/>
        <v>0.29204999999999998</v>
      </c>
      <c r="K1410" s="238">
        <f t="shared" ca="1" si="2"/>
        <v>0.18436399478639695</v>
      </c>
      <c r="L1410" s="69">
        <v>95.155627725733964</v>
      </c>
      <c r="M1410" s="69">
        <v>0</v>
      </c>
      <c r="N1410" s="69">
        <v>0</v>
      </c>
      <c r="O1410" s="69">
        <v>266.06923199999983</v>
      </c>
      <c r="P1410" s="69">
        <v>266.06923199999983</v>
      </c>
      <c r="Q1410" s="69">
        <v>266.06923199999983</v>
      </c>
      <c r="R1410" s="69">
        <v>266.06923199999983</v>
      </c>
      <c r="S1410" s="69">
        <v>266.06923199999983</v>
      </c>
      <c r="T1410" s="69">
        <v>266.06923199999983</v>
      </c>
      <c r="U1410" s="69">
        <v>266.06923199999983</v>
      </c>
      <c r="V1410" s="69">
        <v>266.06923199999983</v>
      </c>
      <c r="W1410" s="69">
        <v>266.06923199999983</v>
      </c>
      <c r="X1410" s="69">
        <v>266.06923199999983</v>
      </c>
      <c r="Y1410" s="69">
        <v>266.06923199999983</v>
      </c>
      <c r="Z1410" s="69">
        <v>266.06923199999983</v>
      </c>
      <c r="AA1410" s="69">
        <v>266.06923199999983</v>
      </c>
      <c r="AB1410" s="69">
        <v>266.06923199999983</v>
      </c>
      <c r="AC1410" s="69">
        <v>266.06923199999983</v>
      </c>
      <c r="AD1410" s="69">
        <v>266.06923199999983</v>
      </c>
      <c r="AE1410" s="69">
        <v>266.06923199999983</v>
      </c>
      <c r="AF1410" s="69">
        <v>266.06923199999983</v>
      </c>
      <c r="AG1410" s="69">
        <v>266.06923199999983</v>
      </c>
    </row>
    <row r="1411" spans="1:33">
      <c r="A1411" s="69" t="s">
        <v>2381</v>
      </c>
      <c r="B1411" s="69" t="s">
        <v>296</v>
      </c>
      <c r="C1411" s="69" t="s">
        <v>184</v>
      </c>
      <c r="D1411" s="69" t="s">
        <v>140</v>
      </c>
      <c r="E1411" s="69" t="s">
        <v>191</v>
      </c>
      <c r="F1411" s="69" t="s">
        <v>167</v>
      </c>
      <c r="G1411" s="69" t="s">
        <v>192</v>
      </c>
      <c r="H1411" s="69" t="s">
        <v>804</v>
      </c>
      <c r="I1411" s="69">
        <v>2</v>
      </c>
      <c r="J1411" s="238">
        <f t="shared" ca="1" si="2"/>
        <v>0.8</v>
      </c>
      <c r="K1411" s="238">
        <f t="shared" ca="1" si="2"/>
        <v>0</v>
      </c>
      <c r="L1411" s="69">
        <v>114.19797366361543</v>
      </c>
      <c r="M1411" s="69">
        <v>0</v>
      </c>
      <c r="N1411" s="69">
        <v>0</v>
      </c>
      <c r="O1411" s="69">
        <v>0</v>
      </c>
      <c r="P1411" s="69">
        <v>0</v>
      </c>
      <c r="Q1411" s="69">
        <v>0</v>
      </c>
      <c r="R1411" s="69">
        <v>21.024000000001251</v>
      </c>
      <c r="S1411" s="69">
        <v>21.024000000001251</v>
      </c>
      <c r="T1411" s="69">
        <v>21.024000000001251</v>
      </c>
      <c r="U1411" s="69">
        <v>21.024000000001251</v>
      </c>
      <c r="V1411" s="69">
        <v>21.024000000001251</v>
      </c>
      <c r="W1411" s="69">
        <v>21.024000000001251</v>
      </c>
      <c r="X1411" s="69">
        <v>21.024000000001251</v>
      </c>
      <c r="Y1411" s="69">
        <v>21.024000000001251</v>
      </c>
      <c r="Z1411" s="69">
        <v>21.024000000001251</v>
      </c>
      <c r="AA1411" s="69">
        <v>21.024000000001251</v>
      </c>
      <c r="AB1411" s="69">
        <v>21.024000000001251</v>
      </c>
      <c r="AC1411" s="69">
        <v>21.024000000001251</v>
      </c>
      <c r="AD1411" s="69">
        <v>21.024000000001251</v>
      </c>
      <c r="AE1411" s="69">
        <v>21.024000000001251</v>
      </c>
      <c r="AF1411" s="69">
        <v>21.024000000001251</v>
      </c>
      <c r="AG1411" s="69">
        <v>21.024000000001251</v>
      </c>
    </row>
    <row r="1412" spans="1:33">
      <c r="A1412" s="69" t="s">
        <v>2381</v>
      </c>
      <c r="B1412" s="69" t="s">
        <v>297</v>
      </c>
      <c r="C1412" s="69" t="s">
        <v>184</v>
      </c>
      <c r="D1412" s="69" t="s">
        <v>140</v>
      </c>
      <c r="E1412" s="69" t="s">
        <v>191</v>
      </c>
      <c r="F1412" s="69" t="s">
        <v>167</v>
      </c>
      <c r="G1412" s="69" t="s">
        <v>192</v>
      </c>
      <c r="H1412" s="69" t="s">
        <v>804</v>
      </c>
      <c r="I1412" s="69">
        <v>2</v>
      </c>
      <c r="J1412" s="238">
        <f t="shared" ca="1" si="2"/>
        <v>0.8</v>
      </c>
      <c r="K1412" s="238">
        <f t="shared" ca="1" si="2"/>
        <v>0</v>
      </c>
      <c r="L1412" s="69">
        <v>114.19797366361543</v>
      </c>
      <c r="M1412" s="69">
        <v>0</v>
      </c>
      <c r="N1412" s="69">
        <v>0</v>
      </c>
      <c r="O1412" s="69">
        <v>0</v>
      </c>
      <c r="P1412" s="69">
        <v>0</v>
      </c>
      <c r="Q1412" s="69">
        <v>0</v>
      </c>
      <c r="R1412" s="69">
        <v>0</v>
      </c>
      <c r="S1412" s="69">
        <v>0</v>
      </c>
      <c r="T1412" s="69">
        <v>0</v>
      </c>
      <c r="U1412" s="69">
        <v>0</v>
      </c>
      <c r="V1412" s="69">
        <v>21.024000000001251</v>
      </c>
      <c r="W1412" s="69">
        <v>21.024000000001251</v>
      </c>
      <c r="X1412" s="69">
        <v>21.024000000001251</v>
      </c>
      <c r="Y1412" s="69">
        <v>21.024000000001251</v>
      </c>
      <c r="Z1412" s="69">
        <v>21.024000000001251</v>
      </c>
      <c r="AA1412" s="69">
        <v>21.024000000001251</v>
      </c>
      <c r="AB1412" s="69">
        <v>21.024000000001251</v>
      </c>
      <c r="AC1412" s="69">
        <v>21.024000000001251</v>
      </c>
      <c r="AD1412" s="69">
        <v>21.024000000001251</v>
      </c>
      <c r="AE1412" s="69">
        <v>21.024000000001251</v>
      </c>
      <c r="AF1412" s="69">
        <v>21.024000000001251</v>
      </c>
      <c r="AG1412" s="69">
        <v>21.024000000001251</v>
      </c>
    </row>
    <row r="1413" spans="1:33">
      <c r="A1413" s="69" t="s">
        <v>2381</v>
      </c>
      <c r="B1413" s="69" t="s">
        <v>298</v>
      </c>
      <c r="C1413" s="69" t="s">
        <v>137</v>
      </c>
      <c r="D1413" s="69" t="s">
        <v>191</v>
      </c>
      <c r="E1413" s="69" t="s">
        <v>191</v>
      </c>
      <c r="F1413" s="69" t="s">
        <v>180</v>
      </c>
      <c r="G1413" s="69" t="s">
        <v>192</v>
      </c>
      <c r="H1413" s="69" t="s">
        <v>804</v>
      </c>
      <c r="I1413" s="69">
        <v>1</v>
      </c>
      <c r="J1413" s="238">
        <f t="shared" ca="1" si="2"/>
        <v>0.32235762917068039</v>
      </c>
      <c r="K1413" s="238">
        <f t="shared" ca="1" si="2"/>
        <v>0.160195270625522</v>
      </c>
      <c r="L1413" s="69">
        <v>96.038728079112815</v>
      </c>
      <c r="M1413" s="69">
        <v>0</v>
      </c>
      <c r="N1413" s="69">
        <v>0</v>
      </c>
      <c r="O1413" s="69">
        <v>0</v>
      </c>
      <c r="P1413" s="69">
        <v>0</v>
      </c>
      <c r="Q1413" s="69">
        <v>0</v>
      </c>
      <c r="R1413" s="69">
        <v>395.3393964149227</v>
      </c>
      <c r="S1413" s="69">
        <v>395.3393964149227</v>
      </c>
      <c r="T1413" s="69">
        <v>395.3393964149227</v>
      </c>
      <c r="U1413" s="69">
        <v>395.3393964149227</v>
      </c>
      <c r="V1413" s="69">
        <v>395.3393964149227</v>
      </c>
      <c r="W1413" s="69">
        <v>395.3393964149227</v>
      </c>
      <c r="X1413" s="69">
        <v>395.3393964149227</v>
      </c>
      <c r="Y1413" s="69">
        <v>395.3393964149227</v>
      </c>
      <c r="Z1413" s="69">
        <v>395.3393964149227</v>
      </c>
      <c r="AA1413" s="69">
        <v>395.3393964149227</v>
      </c>
      <c r="AB1413" s="69">
        <v>395.3393964149227</v>
      </c>
      <c r="AC1413" s="69">
        <v>395.3393964149227</v>
      </c>
      <c r="AD1413" s="69">
        <v>395.3393964149227</v>
      </c>
      <c r="AE1413" s="69">
        <v>395.3393964149227</v>
      </c>
      <c r="AF1413" s="69">
        <v>395.3393964149227</v>
      </c>
      <c r="AG1413" s="69">
        <v>395.3393964149227</v>
      </c>
    </row>
    <row r="1414" spans="1:33">
      <c r="A1414" s="69" t="s">
        <v>2381</v>
      </c>
      <c r="B1414" s="69" t="s">
        <v>299</v>
      </c>
      <c r="C1414" s="69" t="s">
        <v>187</v>
      </c>
      <c r="D1414" s="69" t="s">
        <v>191</v>
      </c>
      <c r="E1414" s="69" t="s">
        <v>191</v>
      </c>
      <c r="F1414" s="69" t="s">
        <v>161</v>
      </c>
      <c r="G1414" s="69" t="s">
        <v>192</v>
      </c>
      <c r="H1414" s="69" t="s">
        <v>2130</v>
      </c>
      <c r="I1414" s="69">
        <v>1</v>
      </c>
      <c r="J1414" s="238">
        <f t="shared" ca="1" si="2"/>
        <v>0.2668262983999703</v>
      </c>
      <c r="K1414" s="238">
        <f t="shared" ca="1" si="2"/>
        <v>0.69294738572207071</v>
      </c>
      <c r="L1414" s="69">
        <v>192.38629588063705</v>
      </c>
      <c r="M1414" s="69">
        <v>0</v>
      </c>
      <c r="N1414" s="69">
        <v>0</v>
      </c>
      <c r="O1414" s="69">
        <v>0</v>
      </c>
      <c r="P1414" s="69">
        <v>0</v>
      </c>
      <c r="Q1414" s="69">
        <v>0</v>
      </c>
      <c r="R1414" s="69">
        <v>701.21951219512152</v>
      </c>
      <c r="S1414" s="69">
        <v>701.21951219512152</v>
      </c>
      <c r="T1414" s="69">
        <v>701.21951219512152</v>
      </c>
      <c r="U1414" s="69">
        <v>701.21951219512152</v>
      </c>
      <c r="V1414" s="69">
        <v>701.21951219512152</v>
      </c>
      <c r="W1414" s="69">
        <v>701.21951219512152</v>
      </c>
      <c r="X1414" s="69">
        <v>701.21951219512152</v>
      </c>
      <c r="Y1414" s="69">
        <v>701.21951219512152</v>
      </c>
      <c r="Z1414" s="69">
        <v>701.21951219512152</v>
      </c>
      <c r="AA1414" s="69">
        <v>701.21951219512152</v>
      </c>
      <c r="AB1414" s="69">
        <v>701.21951219512152</v>
      </c>
      <c r="AC1414" s="69">
        <v>701.21951219512152</v>
      </c>
      <c r="AD1414" s="69">
        <v>701.21951219512152</v>
      </c>
      <c r="AE1414" s="69">
        <v>701.21951219512152</v>
      </c>
      <c r="AF1414" s="69">
        <v>701.21951219512152</v>
      </c>
      <c r="AG1414" s="69">
        <v>701.21951219512152</v>
      </c>
    </row>
    <row r="1415" spans="1:33">
      <c r="A1415" s="69" t="s">
        <v>2381</v>
      </c>
      <c r="B1415" s="69" t="s">
        <v>300</v>
      </c>
      <c r="C1415" s="69" t="s">
        <v>139</v>
      </c>
      <c r="D1415" s="69" t="s">
        <v>191</v>
      </c>
      <c r="E1415" s="69" t="s">
        <v>191</v>
      </c>
      <c r="F1415" s="69" t="s">
        <v>178</v>
      </c>
      <c r="G1415" s="69" t="s">
        <v>192</v>
      </c>
      <c r="H1415" s="69" t="s">
        <v>2130</v>
      </c>
      <c r="I1415" s="69">
        <v>1</v>
      </c>
      <c r="J1415" s="238">
        <f t="shared" ca="1" si="2"/>
        <v>0.85000000000000009</v>
      </c>
      <c r="K1415" s="238">
        <f t="shared" ca="1" si="2"/>
        <v>0.65417202707739608</v>
      </c>
      <c r="L1415" s="69">
        <v>127.99027888971091</v>
      </c>
      <c r="M1415" s="69">
        <v>0</v>
      </c>
      <c r="N1415" s="69">
        <v>0</v>
      </c>
      <c r="O1415" s="69">
        <v>0</v>
      </c>
      <c r="P1415" s="69">
        <v>0</v>
      </c>
      <c r="Q1415" s="69">
        <v>156.36599999999999</v>
      </c>
      <c r="R1415" s="69">
        <v>156.36599999999999</v>
      </c>
      <c r="S1415" s="69">
        <v>156.36599999999999</v>
      </c>
      <c r="T1415" s="69">
        <v>156.36599999999999</v>
      </c>
      <c r="U1415" s="69">
        <v>156.36599999999999</v>
      </c>
      <c r="V1415" s="69">
        <v>156.36599999999999</v>
      </c>
      <c r="W1415" s="69">
        <v>156.36599999999999</v>
      </c>
      <c r="X1415" s="69">
        <v>156.36599999999999</v>
      </c>
      <c r="Y1415" s="69">
        <v>156.36599999999999</v>
      </c>
      <c r="Z1415" s="69">
        <v>156.36599999999999</v>
      </c>
      <c r="AA1415" s="69">
        <v>156.36599999999999</v>
      </c>
      <c r="AB1415" s="69">
        <v>156.36599999999999</v>
      </c>
      <c r="AC1415" s="69">
        <v>156.36599999999999</v>
      </c>
      <c r="AD1415" s="69">
        <v>156.36599999999999</v>
      </c>
      <c r="AE1415" s="69">
        <v>156.36599999999999</v>
      </c>
      <c r="AF1415" s="69">
        <v>156.36599999999999</v>
      </c>
      <c r="AG1415" s="69">
        <v>156.36599999999999</v>
      </c>
    </row>
    <row r="1416" spans="1:33">
      <c r="A1416" s="69" t="s">
        <v>2381</v>
      </c>
      <c r="B1416" s="69" t="s">
        <v>301</v>
      </c>
      <c r="C1416" s="69" t="s">
        <v>136</v>
      </c>
      <c r="D1416" s="69" t="s">
        <v>191</v>
      </c>
      <c r="E1416" s="69" t="s">
        <v>191</v>
      </c>
      <c r="F1416" s="69" t="s">
        <v>161</v>
      </c>
      <c r="G1416" s="69" t="s">
        <v>192</v>
      </c>
      <c r="H1416" s="69" t="s">
        <v>2130</v>
      </c>
      <c r="I1416" s="69">
        <v>2</v>
      </c>
      <c r="J1416" s="238">
        <f t="shared" ca="1" si="2"/>
        <v>0.82499999999999996</v>
      </c>
      <c r="K1416" s="238">
        <f t="shared" ca="1" si="2"/>
        <v>0.70497163608542901</v>
      </c>
      <c r="L1416" s="69">
        <v>109.81489691553389</v>
      </c>
      <c r="M1416" s="69">
        <v>0</v>
      </c>
      <c r="N1416" s="69">
        <v>0</v>
      </c>
      <c r="O1416" s="69">
        <v>0</v>
      </c>
      <c r="P1416" s="69">
        <v>0</v>
      </c>
      <c r="Q1416" s="69">
        <v>144.53999999999991</v>
      </c>
      <c r="R1416" s="69">
        <v>144.53999999999991</v>
      </c>
      <c r="S1416" s="69">
        <v>144.53999999999991</v>
      </c>
      <c r="T1416" s="69">
        <v>144.53999999999991</v>
      </c>
      <c r="U1416" s="69">
        <v>144.53999999999991</v>
      </c>
      <c r="V1416" s="69">
        <v>144.53999999999991</v>
      </c>
      <c r="W1416" s="69">
        <v>144.53999999999991</v>
      </c>
      <c r="X1416" s="69">
        <v>144.53999999999991</v>
      </c>
      <c r="Y1416" s="69">
        <v>144.53999999999991</v>
      </c>
      <c r="Z1416" s="69">
        <v>144.53999999999991</v>
      </c>
      <c r="AA1416" s="69">
        <v>144.53999999999991</v>
      </c>
      <c r="AB1416" s="69">
        <v>144.53999999999991</v>
      </c>
      <c r="AC1416" s="69">
        <v>144.53999999999991</v>
      </c>
      <c r="AD1416" s="69">
        <v>144.53999999999991</v>
      </c>
      <c r="AE1416" s="69">
        <v>144.53999999999991</v>
      </c>
      <c r="AF1416" s="69">
        <v>144.53999999999991</v>
      </c>
      <c r="AG1416" s="69">
        <v>144.53999999999991</v>
      </c>
    </row>
    <row r="1417" spans="1:33">
      <c r="A1417" s="69" t="s">
        <v>2381</v>
      </c>
      <c r="B1417" s="69" t="s">
        <v>302</v>
      </c>
      <c r="C1417" s="69" t="s">
        <v>185</v>
      </c>
      <c r="D1417" s="69" t="s">
        <v>193</v>
      </c>
      <c r="E1417" s="69" t="s">
        <v>194</v>
      </c>
      <c r="F1417" s="69" t="s">
        <v>161</v>
      </c>
      <c r="G1417" s="69" t="s">
        <v>192</v>
      </c>
      <c r="H1417" s="69" t="s">
        <v>2130</v>
      </c>
      <c r="I1417" s="69">
        <v>1</v>
      </c>
      <c r="J1417" s="238">
        <f t="shared" ca="1" si="2"/>
        <v>0.28999999999999998</v>
      </c>
      <c r="K1417" s="238">
        <f t="shared" ca="1" si="2"/>
        <v>0.63643272702156795</v>
      </c>
      <c r="L1417" s="69">
        <v>160.03163342556323</v>
      </c>
      <c r="M1417" s="69">
        <v>0</v>
      </c>
      <c r="N1417" s="69">
        <v>0</v>
      </c>
      <c r="O1417" s="69">
        <v>0</v>
      </c>
      <c r="P1417" s="69">
        <v>0</v>
      </c>
      <c r="Q1417" s="69">
        <v>125.49575999999993</v>
      </c>
      <c r="R1417" s="69">
        <v>125.49575999999993</v>
      </c>
      <c r="S1417" s="69">
        <v>125.49575999999993</v>
      </c>
      <c r="T1417" s="69">
        <v>125.49575999999993</v>
      </c>
      <c r="U1417" s="69">
        <v>125.49575999999993</v>
      </c>
      <c r="V1417" s="69">
        <v>125.49575999999993</v>
      </c>
      <c r="W1417" s="69">
        <v>125.49575999999993</v>
      </c>
      <c r="X1417" s="69">
        <v>125.49575999999993</v>
      </c>
      <c r="Y1417" s="69">
        <v>125.49575999999993</v>
      </c>
      <c r="Z1417" s="69">
        <v>125.49575999999993</v>
      </c>
      <c r="AA1417" s="69">
        <v>125.49575999999993</v>
      </c>
      <c r="AB1417" s="69">
        <v>125.49575999999993</v>
      </c>
      <c r="AC1417" s="69">
        <v>125.49575999999993</v>
      </c>
      <c r="AD1417" s="69">
        <v>125.49575999999993</v>
      </c>
      <c r="AE1417" s="69">
        <v>125.49575999999993</v>
      </c>
      <c r="AF1417" s="69">
        <v>125.49575999999993</v>
      </c>
      <c r="AG1417" s="69">
        <v>125.49575999999993</v>
      </c>
    </row>
    <row r="1418" spans="1:33">
      <c r="A1418" s="69" t="s">
        <v>2381</v>
      </c>
      <c r="B1418" s="69" t="s">
        <v>303</v>
      </c>
      <c r="C1418" s="69" t="s">
        <v>136</v>
      </c>
      <c r="D1418" s="69" t="s">
        <v>191</v>
      </c>
      <c r="E1418" s="69" t="s">
        <v>191</v>
      </c>
      <c r="F1418" s="69" t="s">
        <v>161</v>
      </c>
      <c r="G1418" s="69" t="s">
        <v>192</v>
      </c>
      <c r="H1418" s="69" t="s">
        <v>2130</v>
      </c>
      <c r="I1418" s="69">
        <v>2</v>
      </c>
      <c r="J1418" s="238">
        <f t="shared" ca="1" si="2"/>
        <v>0.82499999999999996</v>
      </c>
      <c r="K1418" s="238">
        <f t="shared" ca="1" si="2"/>
        <v>0.70497163608542901</v>
      </c>
      <c r="L1418" s="69">
        <v>109.81489691553389</v>
      </c>
      <c r="M1418" s="69">
        <v>0</v>
      </c>
      <c r="N1418" s="69">
        <v>0</v>
      </c>
      <c r="O1418" s="69">
        <v>0</v>
      </c>
      <c r="P1418" s="69">
        <v>0</v>
      </c>
      <c r="Q1418" s="69">
        <v>289.07999999999981</v>
      </c>
      <c r="R1418" s="69">
        <v>289.07999999999981</v>
      </c>
      <c r="S1418" s="69">
        <v>289.07999999999981</v>
      </c>
      <c r="T1418" s="69">
        <v>289.07999999999981</v>
      </c>
      <c r="U1418" s="69">
        <v>289.07999999999981</v>
      </c>
      <c r="V1418" s="69">
        <v>289.07999999999981</v>
      </c>
      <c r="W1418" s="69">
        <v>289.07999999999981</v>
      </c>
      <c r="X1418" s="69">
        <v>289.07999999999981</v>
      </c>
      <c r="Y1418" s="69">
        <v>289.07999999999981</v>
      </c>
      <c r="Z1418" s="69">
        <v>289.07999999999981</v>
      </c>
      <c r="AA1418" s="69">
        <v>289.07999999999981</v>
      </c>
      <c r="AB1418" s="69">
        <v>289.07999999999981</v>
      </c>
      <c r="AC1418" s="69">
        <v>289.07999999999981</v>
      </c>
      <c r="AD1418" s="69">
        <v>289.07999999999981</v>
      </c>
      <c r="AE1418" s="69">
        <v>289.07999999999981</v>
      </c>
      <c r="AF1418" s="69">
        <v>289.07999999999981</v>
      </c>
      <c r="AG1418" s="69">
        <v>289.07999999999981</v>
      </c>
    </row>
    <row r="1419" spans="1:33">
      <c r="A1419" s="69" t="s">
        <v>2381</v>
      </c>
      <c r="B1419" s="69" t="s">
        <v>304</v>
      </c>
      <c r="C1419" s="69" t="s">
        <v>139</v>
      </c>
      <c r="D1419" s="69" t="s">
        <v>191</v>
      </c>
      <c r="E1419" s="69" t="s">
        <v>191</v>
      </c>
      <c r="F1419" s="69" t="s">
        <v>167</v>
      </c>
      <c r="G1419" s="69" t="s">
        <v>192</v>
      </c>
      <c r="H1419" s="69" t="s">
        <v>805</v>
      </c>
      <c r="I1419" s="69">
        <v>1</v>
      </c>
      <c r="J1419" s="238">
        <f t="shared" ca="1" si="2"/>
        <v>0.84999999999999987</v>
      </c>
      <c r="K1419" s="238">
        <f t="shared" ca="1" si="2"/>
        <v>0.66</v>
      </c>
      <c r="L1419" s="69">
        <v>127.99027888971092</v>
      </c>
      <c r="M1419" s="69">
        <v>0</v>
      </c>
      <c r="N1419" s="69">
        <v>81.905999999999949</v>
      </c>
      <c r="O1419" s="69">
        <v>81.905999999999949</v>
      </c>
      <c r="P1419" s="69">
        <v>81.905999999999949</v>
      </c>
      <c r="Q1419" s="69">
        <v>81.905999999999949</v>
      </c>
      <c r="R1419" s="69">
        <v>81.905999999999949</v>
      </c>
      <c r="S1419" s="69">
        <v>81.905999999999949</v>
      </c>
      <c r="T1419" s="69">
        <v>81.905999999999949</v>
      </c>
      <c r="U1419" s="69">
        <v>81.905999999999949</v>
      </c>
      <c r="V1419" s="69">
        <v>81.905999999999949</v>
      </c>
      <c r="W1419" s="69">
        <v>81.905999999999949</v>
      </c>
      <c r="X1419" s="69">
        <v>81.905999999999949</v>
      </c>
      <c r="Y1419" s="69">
        <v>81.905999999999949</v>
      </c>
      <c r="Z1419" s="69">
        <v>81.905999999999949</v>
      </c>
      <c r="AA1419" s="69">
        <v>81.905999999999949</v>
      </c>
      <c r="AB1419" s="69">
        <v>81.905999999999949</v>
      </c>
      <c r="AC1419" s="69">
        <v>81.905999999999949</v>
      </c>
      <c r="AD1419" s="69">
        <v>81.905999999999949</v>
      </c>
      <c r="AE1419" s="69">
        <v>81.905999999999949</v>
      </c>
      <c r="AF1419" s="69">
        <v>81.905999999999949</v>
      </c>
      <c r="AG1419" s="69">
        <v>81.905999999999949</v>
      </c>
    </row>
    <row r="1420" spans="1:33">
      <c r="A1420" s="69" t="s">
        <v>2381</v>
      </c>
      <c r="B1420" s="69" t="s">
        <v>305</v>
      </c>
      <c r="C1420" s="69" t="s">
        <v>137</v>
      </c>
      <c r="D1420" s="69" t="s">
        <v>191</v>
      </c>
      <c r="E1420" s="69" t="s">
        <v>191</v>
      </c>
      <c r="F1420" s="69" t="s">
        <v>163</v>
      </c>
      <c r="G1420" s="69" t="s">
        <v>306</v>
      </c>
      <c r="H1420" s="69" t="s">
        <v>2417</v>
      </c>
      <c r="I1420" s="69">
        <v>1</v>
      </c>
      <c r="J1420" s="238">
        <f t="shared" ca="1" si="2"/>
        <v>0.37809999999999999</v>
      </c>
      <c r="K1420" s="238">
        <f t="shared" ca="1" si="2"/>
        <v>0.1774753372665249</v>
      </c>
      <c r="L1420" s="69">
        <v>72.572266000309625</v>
      </c>
      <c r="M1420" s="69">
        <v>0</v>
      </c>
      <c r="N1420" s="69">
        <v>0</v>
      </c>
      <c r="O1420" s="69">
        <v>993.64679999999953</v>
      </c>
      <c r="P1420" s="69">
        <v>993.64679999999953</v>
      </c>
      <c r="Q1420" s="69">
        <v>993.64679999999953</v>
      </c>
      <c r="R1420" s="69">
        <v>993.64679999999953</v>
      </c>
      <c r="S1420" s="69">
        <v>993.64679999999953</v>
      </c>
      <c r="T1420" s="69">
        <v>993.64679999999953</v>
      </c>
      <c r="U1420" s="69">
        <v>993.64679999999953</v>
      </c>
      <c r="V1420" s="69">
        <v>993.64679999999953</v>
      </c>
      <c r="W1420" s="69">
        <v>993.64679999999953</v>
      </c>
      <c r="X1420" s="69">
        <v>993.64679999999953</v>
      </c>
      <c r="Y1420" s="69">
        <v>993.64679999999953</v>
      </c>
      <c r="Z1420" s="69">
        <v>993.64679999999953</v>
      </c>
      <c r="AA1420" s="69">
        <v>993.64679999999953</v>
      </c>
      <c r="AB1420" s="69">
        <v>993.64679999999953</v>
      </c>
      <c r="AC1420" s="69">
        <v>993.64679999999953</v>
      </c>
      <c r="AD1420" s="69">
        <v>993.64679999999953</v>
      </c>
      <c r="AE1420" s="69">
        <v>993.64679999999953</v>
      </c>
      <c r="AF1420" s="69">
        <v>993.64679999999953</v>
      </c>
      <c r="AG1420" s="69">
        <v>993.64679999999953</v>
      </c>
    </row>
    <row r="1421" spans="1:33">
      <c r="A1421" s="69" t="s">
        <v>2381</v>
      </c>
      <c r="B1421" s="69" t="s">
        <v>307</v>
      </c>
      <c r="C1421" s="69" t="s">
        <v>185</v>
      </c>
      <c r="D1421" s="69" t="s">
        <v>193</v>
      </c>
      <c r="E1421" s="69" t="s">
        <v>203</v>
      </c>
      <c r="F1421" s="69" t="s">
        <v>167</v>
      </c>
      <c r="G1421" s="69" t="s">
        <v>192</v>
      </c>
      <c r="H1421" s="69" t="s">
        <v>805</v>
      </c>
      <c r="I1421" s="69">
        <v>2</v>
      </c>
      <c r="J1421" s="238">
        <f t="shared" ca="1" si="2"/>
        <v>0.26649999999999996</v>
      </c>
      <c r="K1421" s="238">
        <f t="shared" ca="1" si="2"/>
        <v>0.65</v>
      </c>
      <c r="L1421" s="69">
        <v>173.91260768823273</v>
      </c>
      <c r="M1421" s="69">
        <v>0</v>
      </c>
      <c r="N1421" s="69">
        <v>0</v>
      </c>
      <c r="O1421" s="69">
        <v>0</v>
      </c>
      <c r="P1421" s="69">
        <v>0</v>
      </c>
      <c r="Q1421" s="69">
        <v>0</v>
      </c>
      <c r="R1421" s="69">
        <v>542.78055000000313</v>
      </c>
      <c r="S1421" s="69">
        <v>542.78055000000313</v>
      </c>
      <c r="T1421" s="69">
        <v>542.78055000000313</v>
      </c>
      <c r="U1421" s="69">
        <v>542.78055000000313</v>
      </c>
      <c r="V1421" s="69">
        <v>542.78055000000313</v>
      </c>
      <c r="W1421" s="69">
        <v>542.78055000000313</v>
      </c>
      <c r="X1421" s="69">
        <v>542.78055000000313</v>
      </c>
      <c r="Y1421" s="69">
        <v>542.78055000000313</v>
      </c>
      <c r="Z1421" s="69">
        <v>542.78055000000313</v>
      </c>
      <c r="AA1421" s="69">
        <v>542.78055000000313</v>
      </c>
      <c r="AB1421" s="69">
        <v>542.78055000000313</v>
      </c>
      <c r="AC1421" s="69">
        <v>542.78055000000313</v>
      </c>
      <c r="AD1421" s="69">
        <v>542.78055000000313</v>
      </c>
      <c r="AE1421" s="69">
        <v>542.78055000000313</v>
      </c>
      <c r="AF1421" s="69">
        <v>542.78055000000313</v>
      </c>
      <c r="AG1421" s="69">
        <v>542.78055000000313</v>
      </c>
    </row>
    <row r="1422" spans="1:33">
      <c r="A1422" s="69" t="s">
        <v>2381</v>
      </c>
      <c r="B1422" s="69" t="s">
        <v>308</v>
      </c>
      <c r="C1422" s="69" t="s">
        <v>185</v>
      </c>
      <c r="D1422" s="69" t="s">
        <v>205</v>
      </c>
      <c r="E1422" s="69" t="s">
        <v>203</v>
      </c>
      <c r="F1422" s="69" t="s">
        <v>180</v>
      </c>
      <c r="G1422" s="69" t="s">
        <v>192</v>
      </c>
      <c r="H1422" s="69" t="s">
        <v>804</v>
      </c>
      <c r="I1422" s="69">
        <v>2</v>
      </c>
      <c r="J1422" s="238">
        <f t="shared" ca="1" si="2"/>
        <v>0.23499999999999999</v>
      </c>
      <c r="K1422" s="238">
        <f t="shared" ca="1" si="2"/>
        <v>0.50535649574198227</v>
      </c>
      <c r="L1422" s="69">
        <v>166.98446712238427</v>
      </c>
      <c r="M1422" s="69">
        <v>0</v>
      </c>
      <c r="N1422" s="69">
        <v>0</v>
      </c>
      <c r="O1422" s="69">
        <v>0</v>
      </c>
      <c r="P1422" s="69">
        <v>0</v>
      </c>
      <c r="Q1422" s="69">
        <v>0</v>
      </c>
      <c r="R1422" s="69">
        <v>2806.9011000000023</v>
      </c>
      <c r="S1422" s="69">
        <v>2806.9011000000023</v>
      </c>
      <c r="T1422" s="69">
        <v>2806.9011000000023</v>
      </c>
      <c r="U1422" s="69">
        <v>2806.9011000000023</v>
      </c>
      <c r="V1422" s="69">
        <v>2806.9011000000023</v>
      </c>
      <c r="W1422" s="69">
        <v>2806.9011000000023</v>
      </c>
      <c r="X1422" s="69">
        <v>2806.9011000000023</v>
      </c>
      <c r="Y1422" s="69">
        <v>2806.9011000000023</v>
      </c>
      <c r="Z1422" s="69">
        <v>2806.9011000000023</v>
      </c>
      <c r="AA1422" s="69">
        <v>2806.9011000000023</v>
      </c>
      <c r="AB1422" s="69">
        <v>2806.9011000000023</v>
      </c>
      <c r="AC1422" s="69">
        <v>2806.9011000000023</v>
      </c>
      <c r="AD1422" s="69">
        <v>2806.9011000000023</v>
      </c>
      <c r="AE1422" s="69">
        <v>2806.9011000000023</v>
      </c>
      <c r="AF1422" s="69">
        <v>2806.9011000000023</v>
      </c>
      <c r="AG1422" s="69">
        <v>2806.9011000000023</v>
      </c>
    </row>
    <row r="1423" spans="1:33">
      <c r="A1423" s="69" t="s">
        <v>2381</v>
      </c>
      <c r="B1423" s="69" t="s">
        <v>309</v>
      </c>
      <c r="C1423" s="69" t="s">
        <v>137</v>
      </c>
      <c r="D1423" s="69" t="s">
        <v>191</v>
      </c>
      <c r="E1423" s="69" t="s">
        <v>191</v>
      </c>
      <c r="F1423" s="69" t="s">
        <v>180</v>
      </c>
      <c r="G1423" s="69" t="s">
        <v>192</v>
      </c>
      <c r="H1423" s="69" t="s">
        <v>804</v>
      </c>
      <c r="I1423" s="69">
        <v>2</v>
      </c>
      <c r="J1423" s="238">
        <f t="shared" ca="1" si="2"/>
        <v>0.32235762917068039</v>
      </c>
      <c r="K1423" s="238">
        <f t="shared" ca="1" si="2"/>
        <v>0.160195270625522</v>
      </c>
      <c r="L1423" s="69">
        <v>96.038728079112815</v>
      </c>
      <c r="M1423" s="69">
        <v>0</v>
      </c>
      <c r="N1423" s="69">
        <v>0</v>
      </c>
      <c r="O1423" s="69">
        <v>0</v>
      </c>
      <c r="P1423" s="69">
        <v>0</v>
      </c>
      <c r="Q1423" s="69">
        <v>0</v>
      </c>
      <c r="R1423" s="69">
        <v>2006.3474368057325</v>
      </c>
      <c r="S1423" s="69">
        <v>2006.3474368057325</v>
      </c>
      <c r="T1423" s="69">
        <v>2006.3474368057325</v>
      </c>
      <c r="U1423" s="69">
        <v>2006.3474368057325</v>
      </c>
      <c r="V1423" s="69">
        <v>2006.3474368057325</v>
      </c>
      <c r="W1423" s="69">
        <v>2006.3474368057325</v>
      </c>
      <c r="X1423" s="69">
        <v>2006.3474368057325</v>
      </c>
      <c r="Y1423" s="69">
        <v>2006.3474368057325</v>
      </c>
      <c r="Z1423" s="69">
        <v>2006.3474368057325</v>
      </c>
      <c r="AA1423" s="69">
        <v>2006.3474368057325</v>
      </c>
      <c r="AB1423" s="69">
        <v>2006.3474368057325</v>
      </c>
      <c r="AC1423" s="69">
        <v>2006.3474368057325</v>
      </c>
      <c r="AD1423" s="69">
        <v>2006.3474368057325</v>
      </c>
      <c r="AE1423" s="69">
        <v>2006.3474368057325</v>
      </c>
      <c r="AF1423" s="69">
        <v>2006.3474368057325</v>
      </c>
      <c r="AG1423" s="69">
        <v>2006.3474368057325</v>
      </c>
    </row>
    <row r="1424" spans="1:33">
      <c r="A1424" s="69" t="s">
        <v>2381</v>
      </c>
      <c r="B1424" s="69" t="s">
        <v>310</v>
      </c>
      <c r="C1424" s="69" t="s">
        <v>137</v>
      </c>
      <c r="D1424" s="69" t="s">
        <v>191</v>
      </c>
      <c r="E1424" s="69" t="s">
        <v>191</v>
      </c>
      <c r="F1424" s="69" t="s">
        <v>168</v>
      </c>
      <c r="G1424" s="69" t="s">
        <v>199</v>
      </c>
      <c r="H1424" s="69" t="s">
        <v>2417</v>
      </c>
      <c r="I1424" s="69">
        <v>2</v>
      </c>
      <c r="J1424" s="238">
        <f t="shared" ca="1" si="2"/>
        <v>0.29204999999999998</v>
      </c>
      <c r="K1424" s="238">
        <f t="shared" ca="1" si="2"/>
        <v>0.18436399478639695</v>
      </c>
      <c r="L1424" s="69">
        <v>95.155627725733936</v>
      </c>
      <c r="M1424" s="69">
        <v>0</v>
      </c>
      <c r="N1424" s="69">
        <v>0</v>
      </c>
      <c r="O1424" s="69">
        <v>0</v>
      </c>
      <c r="P1424" s="69">
        <v>0</v>
      </c>
      <c r="Q1424" s="69">
        <v>0</v>
      </c>
      <c r="R1424" s="69">
        <v>1916.2101419999963</v>
      </c>
      <c r="S1424" s="69">
        <v>1916.2101419999963</v>
      </c>
      <c r="T1424" s="69">
        <v>1916.2101419999963</v>
      </c>
      <c r="U1424" s="69">
        <v>1916.2101419999963</v>
      </c>
      <c r="V1424" s="69">
        <v>1916.2101419999963</v>
      </c>
      <c r="W1424" s="69">
        <v>1916.2101419999963</v>
      </c>
      <c r="X1424" s="69">
        <v>1916.2101419999963</v>
      </c>
      <c r="Y1424" s="69">
        <v>1916.2101419999963</v>
      </c>
      <c r="Z1424" s="69">
        <v>1916.2101419999963</v>
      </c>
      <c r="AA1424" s="69">
        <v>1916.2101419999963</v>
      </c>
      <c r="AB1424" s="69">
        <v>1916.2101419999963</v>
      </c>
      <c r="AC1424" s="69">
        <v>1916.2101419999963</v>
      </c>
      <c r="AD1424" s="69">
        <v>1916.2101419999963</v>
      </c>
      <c r="AE1424" s="69">
        <v>1916.2101419999963</v>
      </c>
      <c r="AF1424" s="69">
        <v>1916.2101419999963</v>
      </c>
      <c r="AG1424" s="69">
        <v>1916.2101419999963</v>
      </c>
    </row>
    <row r="1425" spans="1:33">
      <c r="A1425" s="69" t="s">
        <v>2381</v>
      </c>
      <c r="B1425" s="69" t="s">
        <v>311</v>
      </c>
      <c r="C1425" s="69" t="s">
        <v>137</v>
      </c>
      <c r="D1425" s="69" t="s">
        <v>191</v>
      </c>
      <c r="E1425" s="69" t="s">
        <v>191</v>
      </c>
      <c r="F1425" s="69" t="s">
        <v>168</v>
      </c>
      <c r="G1425" s="69" t="s">
        <v>199</v>
      </c>
      <c r="H1425" s="69" t="s">
        <v>2417</v>
      </c>
      <c r="I1425" s="69">
        <v>2</v>
      </c>
      <c r="J1425" s="238">
        <f t="shared" ref="J1425:K1456" ca="1" si="3">OFFSET(J$10,MATCH($B1425,$B$11:$B$1327,0),0)</f>
        <v>0.29204999999999998</v>
      </c>
      <c r="K1425" s="238">
        <f t="shared" ca="1" si="3"/>
        <v>0.18436399478639695</v>
      </c>
      <c r="L1425" s="69">
        <v>95.155627725733936</v>
      </c>
      <c r="M1425" s="69">
        <v>0</v>
      </c>
      <c r="N1425" s="69">
        <v>0</v>
      </c>
      <c r="O1425" s="69">
        <v>0</v>
      </c>
      <c r="P1425" s="69">
        <v>0</v>
      </c>
      <c r="Q1425" s="69">
        <v>0</v>
      </c>
      <c r="R1425" s="69">
        <v>1130.2825643999968</v>
      </c>
      <c r="S1425" s="69">
        <v>1130.2825643999968</v>
      </c>
      <c r="T1425" s="69">
        <v>1130.2825643999968</v>
      </c>
      <c r="U1425" s="69">
        <v>1130.2825643999968</v>
      </c>
      <c r="V1425" s="69">
        <v>1130.2825643999968</v>
      </c>
      <c r="W1425" s="69">
        <v>1130.2825643999968</v>
      </c>
      <c r="X1425" s="69">
        <v>1130.2825643999968</v>
      </c>
      <c r="Y1425" s="69">
        <v>1130.2825643999968</v>
      </c>
      <c r="Z1425" s="69">
        <v>1130.2825643999968</v>
      </c>
      <c r="AA1425" s="69">
        <v>1130.2825643999968</v>
      </c>
      <c r="AB1425" s="69">
        <v>1130.2825643999968</v>
      </c>
      <c r="AC1425" s="69">
        <v>1130.2825643999968</v>
      </c>
      <c r="AD1425" s="69">
        <v>1130.2825643999968</v>
      </c>
      <c r="AE1425" s="69">
        <v>1130.2825643999968</v>
      </c>
      <c r="AF1425" s="69">
        <v>1130.2825643999968</v>
      </c>
      <c r="AG1425" s="69">
        <v>1130.2825643999968</v>
      </c>
    </row>
    <row r="1426" spans="1:33">
      <c r="A1426" s="69" t="s">
        <v>2381</v>
      </c>
      <c r="B1426" s="69" t="s">
        <v>312</v>
      </c>
      <c r="C1426" s="69" t="s">
        <v>137</v>
      </c>
      <c r="D1426" s="69" t="s">
        <v>191</v>
      </c>
      <c r="E1426" s="69" t="s">
        <v>191</v>
      </c>
      <c r="F1426" s="69" t="s">
        <v>156</v>
      </c>
      <c r="G1426" s="69" t="s">
        <v>313</v>
      </c>
      <c r="H1426" s="69" t="s">
        <v>2417</v>
      </c>
      <c r="I1426" s="69">
        <v>2</v>
      </c>
      <c r="J1426" s="238">
        <f t="shared" ca="1" si="3"/>
        <v>0.31759999999999999</v>
      </c>
      <c r="K1426" s="238">
        <f t="shared" ca="1" si="3"/>
        <v>0.18058588251804827</v>
      </c>
      <c r="L1426" s="69">
        <v>86.538452901949512</v>
      </c>
      <c r="M1426" s="69">
        <v>0</v>
      </c>
      <c r="N1426" s="69">
        <v>0</v>
      </c>
      <c r="O1426" s="69">
        <v>0</v>
      </c>
      <c r="P1426" s="69">
        <v>0</v>
      </c>
      <c r="Q1426" s="69">
        <v>0</v>
      </c>
      <c r="R1426" s="69">
        <v>1168.5139199999976</v>
      </c>
      <c r="S1426" s="69">
        <v>1168.5139199999976</v>
      </c>
      <c r="T1426" s="69">
        <v>1168.5139199999976</v>
      </c>
      <c r="U1426" s="69">
        <v>1168.5139199999976</v>
      </c>
      <c r="V1426" s="69">
        <v>1168.5139199999976</v>
      </c>
      <c r="W1426" s="69">
        <v>1168.5139199999976</v>
      </c>
      <c r="X1426" s="69">
        <v>1168.5139199999976</v>
      </c>
      <c r="Y1426" s="69">
        <v>1168.5139199999976</v>
      </c>
      <c r="Z1426" s="69">
        <v>1168.5139199999976</v>
      </c>
      <c r="AA1426" s="69">
        <v>1168.5139199999976</v>
      </c>
      <c r="AB1426" s="69">
        <v>1168.5139199999976</v>
      </c>
      <c r="AC1426" s="69">
        <v>1168.5139199999976</v>
      </c>
      <c r="AD1426" s="69">
        <v>1168.5139199999976</v>
      </c>
      <c r="AE1426" s="69">
        <v>1168.5139199999976</v>
      </c>
      <c r="AF1426" s="69">
        <v>1168.5139199999976</v>
      </c>
      <c r="AG1426" s="69">
        <v>1168.5139199999976</v>
      </c>
    </row>
    <row r="1427" spans="1:33">
      <c r="A1427" s="69" t="s">
        <v>2381</v>
      </c>
      <c r="B1427" s="69" t="s">
        <v>314</v>
      </c>
      <c r="C1427" s="69" t="s">
        <v>137</v>
      </c>
      <c r="D1427" s="69" t="s">
        <v>191</v>
      </c>
      <c r="E1427" s="69" t="s">
        <v>213</v>
      </c>
      <c r="F1427" s="69" t="s">
        <v>152</v>
      </c>
      <c r="G1427" s="69" t="s">
        <v>214</v>
      </c>
      <c r="H1427" s="69" t="s">
        <v>2417</v>
      </c>
      <c r="I1427" s="69">
        <v>2</v>
      </c>
      <c r="J1427" s="238">
        <f t="shared" ca="1" si="3"/>
        <v>0.312</v>
      </c>
      <c r="K1427" s="238">
        <f t="shared" ca="1" si="3"/>
        <v>0.17064699981121567</v>
      </c>
      <c r="L1427" s="69">
        <v>118.33197577111784</v>
      </c>
      <c r="M1427" s="69">
        <v>0</v>
      </c>
      <c r="N1427" s="69">
        <v>0</v>
      </c>
      <c r="O1427" s="69">
        <v>0</v>
      </c>
      <c r="P1427" s="69">
        <v>0</v>
      </c>
      <c r="Q1427" s="69">
        <v>0</v>
      </c>
      <c r="R1427" s="69">
        <v>1191.6403199999986</v>
      </c>
      <c r="S1427" s="69">
        <v>1191.6403199999986</v>
      </c>
      <c r="T1427" s="69">
        <v>1191.6403199999986</v>
      </c>
      <c r="U1427" s="69">
        <v>1191.6403199999986</v>
      </c>
      <c r="V1427" s="69">
        <v>1191.6403199999986</v>
      </c>
      <c r="W1427" s="69">
        <v>1191.6403199999986</v>
      </c>
      <c r="X1427" s="69">
        <v>1191.6403199999986</v>
      </c>
      <c r="Y1427" s="69">
        <v>1191.6403199999986</v>
      </c>
      <c r="Z1427" s="69">
        <v>1191.6403199999986</v>
      </c>
      <c r="AA1427" s="69">
        <v>1191.6403199999986</v>
      </c>
      <c r="AB1427" s="69">
        <v>1191.6403199999986</v>
      </c>
      <c r="AC1427" s="69">
        <v>1191.6403199999986</v>
      </c>
      <c r="AD1427" s="69">
        <v>1191.6403199999986</v>
      </c>
      <c r="AE1427" s="69">
        <v>1191.6403199999986</v>
      </c>
      <c r="AF1427" s="69">
        <v>1191.6403199999986</v>
      </c>
      <c r="AG1427" s="69">
        <v>1191.6403199999986</v>
      </c>
    </row>
    <row r="1428" spans="1:33">
      <c r="A1428" s="69" t="s">
        <v>2381</v>
      </c>
      <c r="B1428" s="69" t="s">
        <v>315</v>
      </c>
      <c r="C1428" s="69" t="s">
        <v>137</v>
      </c>
      <c r="D1428" s="69" t="s">
        <v>191</v>
      </c>
      <c r="E1428" s="69" t="s">
        <v>191</v>
      </c>
      <c r="F1428" s="69" t="s">
        <v>179</v>
      </c>
      <c r="G1428" s="69" t="s">
        <v>192</v>
      </c>
      <c r="H1428" s="69" t="s">
        <v>805</v>
      </c>
      <c r="I1428" s="69">
        <v>2</v>
      </c>
      <c r="J1428" s="238">
        <f t="shared" ca="1" si="3"/>
        <v>0.32235762917068039</v>
      </c>
      <c r="K1428" s="238">
        <f t="shared" ca="1" si="3"/>
        <v>0.16152665976075289</v>
      </c>
      <c r="L1428" s="69">
        <v>96.038728079112815</v>
      </c>
      <c r="M1428" s="69">
        <v>0</v>
      </c>
      <c r="N1428" s="69">
        <v>0</v>
      </c>
      <c r="O1428" s="69">
        <v>0</v>
      </c>
      <c r="P1428" s="69">
        <v>0</v>
      </c>
      <c r="Q1428" s="69">
        <v>0</v>
      </c>
      <c r="R1428" s="69">
        <v>0</v>
      </c>
      <c r="S1428" s="69">
        <v>0</v>
      </c>
      <c r="T1428" s="69">
        <v>561.3819429091908</v>
      </c>
      <c r="U1428" s="69">
        <v>561.3819429091908</v>
      </c>
      <c r="V1428" s="69">
        <v>561.3819429091908</v>
      </c>
      <c r="W1428" s="69">
        <v>561.3819429091908</v>
      </c>
      <c r="X1428" s="69">
        <v>561.3819429091908</v>
      </c>
      <c r="Y1428" s="69">
        <v>561.3819429091908</v>
      </c>
      <c r="Z1428" s="69">
        <v>561.3819429091908</v>
      </c>
      <c r="AA1428" s="69">
        <v>561.3819429091908</v>
      </c>
      <c r="AB1428" s="69">
        <v>561.3819429091908</v>
      </c>
      <c r="AC1428" s="69">
        <v>561.3819429091908</v>
      </c>
      <c r="AD1428" s="69">
        <v>561.3819429091908</v>
      </c>
      <c r="AE1428" s="69">
        <v>561.3819429091908</v>
      </c>
      <c r="AF1428" s="69">
        <v>561.3819429091908</v>
      </c>
      <c r="AG1428" s="69">
        <v>561.3819429091908</v>
      </c>
    </row>
    <row r="1429" spans="1:33">
      <c r="A1429" s="69" t="s">
        <v>2381</v>
      </c>
      <c r="B1429" s="69" t="s">
        <v>316</v>
      </c>
      <c r="C1429" s="69" t="s">
        <v>137</v>
      </c>
      <c r="D1429" s="69" t="s">
        <v>191</v>
      </c>
      <c r="E1429" s="69" t="s">
        <v>191</v>
      </c>
      <c r="F1429" s="69" t="s">
        <v>161</v>
      </c>
      <c r="G1429" s="69" t="s">
        <v>192</v>
      </c>
      <c r="H1429" s="69" t="s">
        <v>2130</v>
      </c>
      <c r="I1429" s="69">
        <v>2</v>
      </c>
      <c r="J1429" s="238">
        <f t="shared" ca="1" si="3"/>
        <v>0.32235762917068039</v>
      </c>
      <c r="K1429" s="238">
        <f t="shared" ca="1" si="3"/>
        <v>0.15829280011723607</v>
      </c>
      <c r="L1429" s="69">
        <v>96.038728079112815</v>
      </c>
      <c r="M1429" s="69">
        <v>0</v>
      </c>
      <c r="N1429" s="69">
        <v>0</v>
      </c>
      <c r="O1429" s="69">
        <v>0</v>
      </c>
      <c r="P1429" s="69">
        <v>0</v>
      </c>
      <c r="Q1429" s="69">
        <v>0</v>
      </c>
      <c r="R1429" s="69">
        <v>0</v>
      </c>
      <c r="S1429" s="69">
        <v>448.45659694256329</v>
      </c>
      <c r="T1429" s="69">
        <v>448.45659694256329</v>
      </c>
      <c r="U1429" s="69">
        <v>448.45659694256329</v>
      </c>
      <c r="V1429" s="69">
        <v>448.45659694256329</v>
      </c>
      <c r="W1429" s="69">
        <v>448.45659694256329</v>
      </c>
      <c r="X1429" s="69">
        <v>448.45659694256329</v>
      </c>
      <c r="Y1429" s="69">
        <v>448.45659694256329</v>
      </c>
      <c r="Z1429" s="69">
        <v>448.45659694256329</v>
      </c>
      <c r="AA1429" s="69">
        <v>448.45659694256329</v>
      </c>
      <c r="AB1429" s="69">
        <v>448.45659694256329</v>
      </c>
      <c r="AC1429" s="69">
        <v>448.45659694256329</v>
      </c>
      <c r="AD1429" s="69">
        <v>448.45659694256329</v>
      </c>
      <c r="AE1429" s="69">
        <v>448.45659694256329</v>
      </c>
      <c r="AF1429" s="69">
        <v>448.45659694256329</v>
      </c>
      <c r="AG1429" s="69">
        <v>448.45659694256329</v>
      </c>
    </row>
    <row r="1430" spans="1:33">
      <c r="A1430" s="69" t="s">
        <v>2381</v>
      </c>
      <c r="B1430" s="69" t="s">
        <v>317</v>
      </c>
      <c r="C1430" s="69" t="s">
        <v>137</v>
      </c>
      <c r="D1430" s="69" t="s">
        <v>191</v>
      </c>
      <c r="E1430" s="69" t="s">
        <v>191</v>
      </c>
      <c r="F1430" s="69" t="s">
        <v>178</v>
      </c>
      <c r="G1430" s="69" t="s">
        <v>192</v>
      </c>
      <c r="H1430" s="69" t="s">
        <v>2130</v>
      </c>
      <c r="I1430" s="69">
        <v>2</v>
      </c>
      <c r="J1430" s="238">
        <f t="shared" ca="1" si="3"/>
        <v>0.32235762917068039</v>
      </c>
      <c r="K1430" s="238">
        <f t="shared" ca="1" si="3"/>
        <v>0.16023967225809357</v>
      </c>
      <c r="L1430" s="69">
        <v>96.038728079112801</v>
      </c>
      <c r="M1430" s="69">
        <v>0</v>
      </c>
      <c r="N1430" s="69">
        <v>0</v>
      </c>
      <c r="O1430" s="69">
        <v>0</v>
      </c>
      <c r="P1430" s="69">
        <v>0</v>
      </c>
      <c r="Q1430" s="69">
        <v>0</v>
      </c>
      <c r="R1430" s="69">
        <v>1070.2402231518245</v>
      </c>
      <c r="S1430" s="69">
        <v>1070.2402231518245</v>
      </c>
      <c r="T1430" s="69">
        <v>1070.2402231518245</v>
      </c>
      <c r="U1430" s="69">
        <v>1070.2402231518245</v>
      </c>
      <c r="V1430" s="69">
        <v>1070.2402231518245</v>
      </c>
      <c r="W1430" s="69">
        <v>1070.2402231518245</v>
      </c>
      <c r="X1430" s="69">
        <v>1070.2402231518245</v>
      </c>
      <c r="Y1430" s="69">
        <v>1070.2402231518245</v>
      </c>
      <c r="Z1430" s="69">
        <v>1070.2402231518245</v>
      </c>
      <c r="AA1430" s="69">
        <v>1070.2402231518245</v>
      </c>
      <c r="AB1430" s="69">
        <v>1070.2402231518245</v>
      </c>
      <c r="AC1430" s="69">
        <v>1070.2402231518245</v>
      </c>
      <c r="AD1430" s="69">
        <v>1070.2402231518245</v>
      </c>
      <c r="AE1430" s="69">
        <v>1070.2402231518245</v>
      </c>
      <c r="AF1430" s="69">
        <v>1070.2402231518245</v>
      </c>
      <c r="AG1430" s="69">
        <v>1070.2402231518245</v>
      </c>
    </row>
    <row r="1431" spans="1:33">
      <c r="A1431" s="69" t="s">
        <v>2381</v>
      </c>
      <c r="B1431" s="69" t="s">
        <v>318</v>
      </c>
      <c r="C1431" s="69" t="s">
        <v>186</v>
      </c>
      <c r="D1431" s="69" t="s">
        <v>218</v>
      </c>
      <c r="E1431" s="69" t="s">
        <v>203</v>
      </c>
      <c r="F1431" s="69" t="s">
        <v>157</v>
      </c>
      <c r="G1431" s="69" t="s">
        <v>192</v>
      </c>
      <c r="H1431" s="69" t="s">
        <v>805</v>
      </c>
      <c r="I1431" s="69">
        <v>1</v>
      </c>
      <c r="J1431" s="238">
        <f t="shared" ca="1" si="3"/>
        <v>0.23561922263058246</v>
      </c>
      <c r="K1431" s="238">
        <f t="shared" ca="1" si="3"/>
        <v>0</v>
      </c>
      <c r="L1431" s="69">
        <v>200.17205317577552</v>
      </c>
      <c r="M1431" s="69">
        <v>-4.8449039881831615</v>
      </c>
      <c r="N1431" s="69">
        <v>0</v>
      </c>
      <c r="O1431" s="69">
        <v>0</v>
      </c>
      <c r="P1431" s="69">
        <v>0</v>
      </c>
      <c r="Q1431" s="69">
        <v>224.9786585365855</v>
      </c>
      <c r="R1431" s="69">
        <v>224.9786585365855</v>
      </c>
      <c r="S1431" s="69">
        <v>224.9786585365855</v>
      </c>
      <c r="T1431" s="69">
        <v>224.9786585365855</v>
      </c>
      <c r="U1431" s="69">
        <v>224.9786585365855</v>
      </c>
      <c r="V1431" s="69">
        <v>224.9786585365855</v>
      </c>
      <c r="W1431" s="69">
        <v>224.9786585365855</v>
      </c>
      <c r="X1431" s="69">
        <v>224.9786585365855</v>
      </c>
      <c r="Y1431" s="69">
        <v>224.9786585365855</v>
      </c>
      <c r="Z1431" s="69">
        <v>224.9786585365855</v>
      </c>
      <c r="AA1431" s="69">
        <v>224.9786585365855</v>
      </c>
      <c r="AB1431" s="69">
        <v>224.9786585365855</v>
      </c>
      <c r="AC1431" s="69">
        <v>224.9786585365855</v>
      </c>
      <c r="AD1431" s="69">
        <v>224.9786585365855</v>
      </c>
      <c r="AE1431" s="69">
        <v>224.9786585365855</v>
      </c>
      <c r="AF1431" s="69">
        <v>224.9786585365855</v>
      </c>
      <c r="AG1431" s="69">
        <v>224.9786585365855</v>
      </c>
    </row>
    <row r="1432" spans="1:33">
      <c r="A1432" s="69" t="s">
        <v>2381</v>
      </c>
      <c r="B1432" s="69" t="s">
        <v>319</v>
      </c>
      <c r="C1432" s="69" t="s">
        <v>184</v>
      </c>
      <c r="D1432" s="69" t="s">
        <v>140</v>
      </c>
      <c r="E1432" s="69" t="s">
        <v>191</v>
      </c>
      <c r="F1432" s="69" t="s">
        <v>167</v>
      </c>
      <c r="G1432" s="69" t="s">
        <v>192</v>
      </c>
      <c r="H1432" s="69" t="s">
        <v>148</v>
      </c>
      <c r="I1432" s="69">
        <v>4</v>
      </c>
      <c r="J1432" s="238">
        <f t="shared" ca="1" si="3"/>
        <v>0.8</v>
      </c>
      <c r="K1432" s="238">
        <f t="shared" ca="1" si="3"/>
        <v>0</v>
      </c>
      <c r="L1432" s="69">
        <v>114.19797366361543</v>
      </c>
      <c r="M1432" s="69">
        <v>0</v>
      </c>
      <c r="N1432" s="69">
        <v>0</v>
      </c>
      <c r="O1432" s="69">
        <v>0</v>
      </c>
      <c r="P1432" s="69">
        <v>0</v>
      </c>
      <c r="Q1432" s="69">
        <v>0</v>
      </c>
      <c r="R1432" s="69">
        <v>1013</v>
      </c>
      <c r="S1432" s="69">
        <v>1013</v>
      </c>
      <c r="T1432" s="69">
        <v>1013</v>
      </c>
      <c r="U1432" s="69">
        <v>1013</v>
      </c>
      <c r="V1432" s="69">
        <v>1013</v>
      </c>
      <c r="W1432" s="69">
        <v>1013</v>
      </c>
      <c r="X1432" s="69">
        <v>1013</v>
      </c>
      <c r="Y1432" s="69">
        <v>1013</v>
      </c>
      <c r="Z1432" s="69">
        <v>1013</v>
      </c>
      <c r="AA1432" s="69">
        <v>1013</v>
      </c>
      <c r="AB1432" s="69">
        <v>1013</v>
      </c>
      <c r="AC1432" s="69">
        <v>1013</v>
      </c>
      <c r="AD1432" s="69">
        <v>1013</v>
      </c>
      <c r="AE1432" s="69">
        <v>1013</v>
      </c>
      <c r="AF1432" s="69">
        <v>1013</v>
      </c>
      <c r="AG1432" s="69">
        <v>1013</v>
      </c>
    </row>
    <row r="1433" spans="1:33">
      <c r="A1433" s="69" t="s">
        <v>2381</v>
      </c>
      <c r="B1433" s="69" t="s">
        <v>320</v>
      </c>
      <c r="C1433" s="69" t="s">
        <v>139</v>
      </c>
      <c r="D1433" s="69" t="s">
        <v>191</v>
      </c>
      <c r="E1433" s="69" t="s">
        <v>213</v>
      </c>
      <c r="F1433" s="69" t="s">
        <v>154</v>
      </c>
      <c r="G1433" s="69" t="s">
        <v>225</v>
      </c>
      <c r="H1433" s="69" t="s">
        <v>148</v>
      </c>
      <c r="I1433" s="69">
        <v>4</v>
      </c>
      <c r="J1433" s="238">
        <f t="shared" ca="1" si="3"/>
        <v>0.85</v>
      </c>
      <c r="K1433" s="238">
        <f t="shared" ca="1" si="3"/>
        <v>0.58204398831457249</v>
      </c>
      <c r="L1433" s="69">
        <v>139.86106095076619</v>
      </c>
      <c r="M1433" s="69">
        <v>0</v>
      </c>
      <c r="N1433" s="69">
        <v>0</v>
      </c>
      <c r="O1433" s="69">
        <v>0</v>
      </c>
      <c r="P1433" s="69">
        <v>0</v>
      </c>
      <c r="Q1433" s="69">
        <v>0</v>
      </c>
      <c r="R1433" s="69">
        <v>12</v>
      </c>
      <c r="S1433" s="69">
        <v>12</v>
      </c>
      <c r="T1433" s="69">
        <v>12</v>
      </c>
      <c r="U1433" s="69">
        <v>12</v>
      </c>
      <c r="V1433" s="69">
        <v>12</v>
      </c>
      <c r="W1433" s="69">
        <v>12</v>
      </c>
      <c r="X1433" s="69">
        <v>12</v>
      </c>
      <c r="Y1433" s="69">
        <v>12</v>
      </c>
      <c r="Z1433" s="69">
        <v>12</v>
      </c>
      <c r="AA1433" s="69">
        <v>12</v>
      </c>
      <c r="AB1433" s="69">
        <v>12</v>
      </c>
      <c r="AC1433" s="69">
        <v>12</v>
      </c>
      <c r="AD1433" s="69">
        <v>12</v>
      </c>
      <c r="AE1433" s="69">
        <v>12</v>
      </c>
      <c r="AF1433" s="69">
        <v>12</v>
      </c>
      <c r="AG1433" s="69">
        <v>12</v>
      </c>
    </row>
    <row r="1434" spans="1:33">
      <c r="A1434" s="69" t="s">
        <v>2381</v>
      </c>
      <c r="B1434" s="69" t="s">
        <v>321</v>
      </c>
      <c r="C1434" s="69" t="s">
        <v>136</v>
      </c>
      <c r="D1434" s="69" t="s">
        <v>191</v>
      </c>
      <c r="E1434" s="69" t="s">
        <v>191</v>
      </c>
      <c r="F1434" s="69" t="s">
        <v>181</v>
      </c>
      <c r="G1434" s="69" t="s">
        <v>294</v>
      </c>
      <c r="H1434" s="69" t="s">
        <v>148</v>
      </c>
      <c r="I1434" s="69">
        <v>4</v>
      </c>
      <c r="J1434" s="238">
        <f t="shared" ca="1" si="3"/>
        <v>0.82500000000000007</v>
      </c>
      <c r="K1434" s="238">
        <f t="shared" ca="1" si="3"/>
        <v>0.66812452144255507</v>
      </c>
      <c r="L1434" s="69">
        <v>97.919965869917917</v>
      </c>
      <c r="M1434" s="69">
        <v>0</v>
      </c>
      <c r="N1434" s="69">
        <v>0</v>
      </c>
      <c r="O1434" s="69">
        <v>0</v>
      </c>
      <c r="P1434" s="69">
        <v>0</v>
      </c>
      <c r="Q1434" s="69">
        <v>0</v>
      </c>
      <c r="R1434" s="69">
        <v>0</v>
      </c>
      <c r="S1434" s="69">
        <v>0</v>
      </c>
      <c r="T1434" s="69">
        <v>810.41860465116406</v>
      </c>
      <c r="U1434" s="69">
        <v>810.41860465116406</v>
      </c>
      <c r="V1434" s="69">
        <v>810.41860465116406</v>
      </c>
      <c r="W1434" s="69">
        <v>810.41860465116406</v>
      </c>
      <c r="X1434" s="69">
        <v>810.41860465116406</v>
      </c>
      <c r="Y1434" s="69">
        <v>810.41860465116406</v>
      </c>
      <c r="Z1434" s="69">
        <v>810.41860465116406</v>
      </c>
      <c r="AA1434" s="69">
        <v>810.41860465116406</v>
      </c>
      <c r="AB1434" s="69">
        <v>810.41860465116406</v>
      </c>
      <c r="AC1434" s="69">
        <v>810.41860465116406</v>
      </c>
      <c r="AD1434" s="69">
        <v>810.41860465116406</v>
      </c>
      <c r="AE1434" s="69">
        <v>810.41860465116406</v>
      </c>
      <c r="AF1434" s="69">
        <v>810.41860465116406</v>
      </c>
      <c r="AG1434" s="69">
        <v>810.41860465116406</v>
      </c>
    </row>
    <row r="1435" spans="1:33">
      <c r="A1435" s="69" t="s">
        <v>2381</v>
      </c>
      <c r="B1435" s="69" t="s">
        <v>322</v>
      </c>
      <c r="C1435" s="69" t="s">
        <v>136</v>
      </c>
      <c r="D1435" s="69" t="s">
        <v>191</v>
      </c>
      <c r="E1435" s="69" t="s">
        <v>191</v>
      </c>
      <c r="F1435" s="69" t="s">
        <v>161</v>
      </c>
      <c r="G1435" s="69" t="s">
        <v>192</v>
      </c>
      <c r="H1435" s="69" t="s">
        <v>148</v>
      </c>
      <c r="I1435" s="69">
        <v>4</v>
      </c>
      <c r="J1435" s="238">
        <f t="shared" ca="1" si="3"/>
        <v>0.82500000000000007</v>
      </c>
      <c r="K1435" s="238">
        <f t="shared" ca="1" si="3"/>
        <v>0.70497163608542901</v>
      </c>
      <c r="L1435" s="69">
        <v>109.81489691553389</v>
      </c>
      <c r="M1435" s="69">
        <v>0</v>
      </c>
      <c r="N1435" s="69">
        <v>0</v>
      </c>
      <c r="O1435" s="69">
        <v>0</v>
      </c>
      <c r="P1435" s="69">
        <v>0</v>
      </c>
      <c r="Q1435" s="69">
        <v>0</v>
      </c>
      <c r="R1435" s="69">
        <v>0</v>
      </c>
      <c r="S1435" s="69">
        <v>0</v>
      </c>
      <c r="T1435" s="69">
        <v>0</v>
      </c>
      <c r="U1435" s="69">
        <v>3163.906976744192</v>
      </c>
      <c r="V1435" s="69">
        <v>3163.906976744192</v>
      </c>
      <c r="W1435" s="69">
        <v>3163.906976744192</v>
      </c>
      <c r="X1435" s="69">
        <v>3163.906976744192</v>
      </c>
      <c r="Y1435" s="69">
        <v>3163.906976744192</v>
      </c>
      <c r="Z1435" s="69">
        <v>3163.906976744192</v>
      </c>
      <c r="AA1435" s="69">
        <v>3163.906976744192</v>
      </c>
      <c r="AB1435" s="69">
        <v>3163.906976744192</v>
      </c>
      <c r="AC1435" s="69">
        <v>3163.906976744192</v>
      </c>
      <c r="AD1435" s="69">
        <v>3163.906976744192</v>
      </c>
      <c r="AE1435" s="69">
        <v>3163.906976744192</v>
      </c>
      <c r="AF1435" s="69">
        <v>3163.906976744192</v>
      </c>
      <c r="AG1435" s="69">
        <v>3163.906976744192</v>
      </c>
    </row>
    <row r="1436" spans="1:33">
      <c r="A1436" s="69" t="s">
        <v>2381</v>
      </c>
      <c r="B1436" s="69" t="s">
        <v>323</v>
      </c>
      <c r="C1436" s="69" t="s">
        <v>136</v>
      </c>
      <c r="D1436" s="69" t="s">
        <v>191</v>
      </c>
      <c r="E1436" s="69" t="s">
        <v>191</v>
      </c>
      <c r="F1436" s="69" t="s">
        <v>181</v>
      </c>
      <c r="G1436" s="69" t="s">
        <v>294</v>
      </c>
      <c r="H1436" s="69" t="s">
        <v>148</v>
      </c>
      <c r="I1436" s="69">
        <v>4</v>
      </c>
      <c r="J1436" s="238">
        <f t="shared" ca="1" si="3"/>
        <v>0.82499999999999996</v>
      </c>
      <c r="K1436" s="238">
        <f t="shared" ca="1" si="3"/>
        <v>0.66812452144255507</v>
      </c>
      <c r="L1436" s="69">
        <v>97.919965869917917</v>
      </c>
      <c r="M1436" s="69">
        <v>0</v>
      </c>
      <c r="N1436" s="69">
        <v>0</v>
      </c>
      <c r="O1436" s="69">
        <v>0</v>
      </c>
      <c r="P1436" s="69">
        <v>0</v>
      </c>
      <c r="Q1436" s="69">
        <v>0</v>
      </c>
      <c r="R1436" s="69">
        <v>305.95348837209531</v>
      </c>
      <c r="S1436" s="69">
        <v>305.95348837209531</v>
      </c>
      <c r="T1436" s="69">
        <v>305.95348837209531</v>
      </c>
      <c r="U1436" s="69">
        <v>305.95348837209531</v>
      </c>
      <c r="V1436" s="69">
        <v>305.95348837209531</v>
      </c>
      <c r="W1436" s="69">
        <v>305.95348837209531</v>
      </c>
      <c r="X1436" s="69">
        <v>305.95348837209531</v>
      </c>
      <c r="Y1436" s="69">
        <v>305.95348837209531</v>
      </c>
      <c r="Z1436" s="69">
        <v>305.95348837209531</v>
      </c>
      <c r="AA1436" s="69">
        <v>305.95348837209531</v>
      </c>
      <c r="AB1436" s="69">
        <v>305.95348837209531</v>
      </c>
      <c r="AC1436" s="69">
        <v>305.95348837209531</v>
      </c>
      <c r="AD1436" s="69">
        <v>305.95348837209531</v>
      </c>
      <c r="AE1436" s="69">
        <v>305.95348837209531</v>
      </c>
      <c r="AF1436" s="69">
        <v>305.95348837209531</v>
      </c>
      <c r="AG1436" s="69">
        <v>305.95348837209531</v>
      </c>
    </row>
    <row r="1437" spans="1:33">
      <c r="A1437" s="69" t="s">
        <v>2381</v>
      </c>
      <c r="B1437" s="69" t="s">
        <v>324</v>
      </c>
      <c r="C1437" s="69" t="s">
        <v>18</v>
      </c>
      <c r="D1437" s="69" t="s">
        <v>325</v>
      </c>
      <c r="E1437" s="69" t="s">
        <v>191</v>
      </c>
      <c r="F1437" s="69" t="s">
        <v>168</v>
      </c>
      <c r="G1437" s="69" t="s">
        <v>199</v>
      </c>
      <c r="H1437" s="69" t="s">
        <v>148</v>
      </c>
      <c r="I1437" s="69">
        <v>4</v>
      </c>
      <c r="J1437" s="238">
        <f t="shared" ca="1" si="3"/>
        <v>0.35</v>
      </c>
      <c r="K1437" s="238">
        <f t="shared" ca="1" si="3"/>
        <v>0</v>
      </c>
      <c r="L1437" s="69">
        <v>138.77253590202551</v>
      </c>
      <c r="M1437" s="69">
        <v>0</v>
      </c>
      <c r="N1437" s="69">
        <v>0</v>
      </c>
      <c r="O1437" s="69">
        <v>0</v>
      </c>
      <c r="P1437" s="69">
        <v>0</v>
      </c>
      <c r="Q1437" s="69">
        <v>0</v>
      </c>
      <c r="R1437" s="69">
        <v>48</v>
      </c>
      <c r="S1437" s="69">
        <v>48</v>
      </c>
      <c r="T1437" s="69">
        <v>48</v>
      </c>
      <c r="U1437" s="69">
        <v>48</v>
      </c>
      <c r="V1437" s="69">
        <v>48</v>
      </c>
      <c r="W1437" s="69">
        <v>48</v>
      </c>
      <c r="X1437" s="69">
        <v>48</v>
      </c>
      <c r="Y1437" s="69">
        <v>48</v>
      </c>
      <c r="Z1437" s="69">
        <v>48</v>
      </c>
      <c r="AA1437" s="69">
        <v>48</v>
      </c>
      <c r="AB1437" s="69">
        <v>48</v>
      </c>
      <c r="AC1437" s="69">
        <v>48</v>
      </c>
      <c r="AD1437" s="69">
        <v>48</v>
      </c>
      <c r="AE1437" s="69">
        <v>48</v>
      </c>
      <c r="AF1437" s="69">
        <v>48</v>
      </c>
      <c r="AG1437" s="69">
        <v>48</v>
      </c>
    </row>
    <row r="1438" spans="1:33">
      <c r="A1438" s="69" t="s">
        <v>2381</v>
      </c>
      <c r="B1438" s="69" t="s">
        <v>326</v>
      </c>
      <c r="C1438" s="69" t="s">
        <v>187</v>
      </c>
      <c r="D1438" s="69" t="s">
        <v>191</v>
      </c>
      <c r="E1438" s="69" t="s">
        <v>191</v>
      </c>
      <c r="F1438" s="69" t="s">
        <v>167</v>
      </c>
      <c r="G1438" s="69" t="s">
        <v>192</v>
      </c>
      <c r="H1438" s="69" t="s">
        <v>148</v>
      </c>
      <c r="I1438" s="69">
        <v>4</v>
      </c>
      <c r="J1438" s="238">
        <f t="shared" ca="1" si="3"/>
        <v>0.2668262983999703</v>
      </c>
      <c r="K1438" s="238">
        <f t="shared" ca="1" si="3"/>
        <v>0.770025573694614</v>
      </c>
      <c r="L1438" s="69">
        <v>192.38629588063708</v>
      </c>
      <c r="M1438" s="69">
        <v>0</v>
      </c>
      <c r="N1438" s="69">
        <v>0</v>
      </c>
      <c r="O1438" s="69">
        <v>0</v>
      </c>
      <c r="P1438" s="69">
        <v>0</v>
      </c>
      <c r="Q1438" s="69">
        <v>0</v>
      </c>
      <c r="R1438" s="69">
        <v>0</v>
      </c>
      <c r="S1438" s="69">
        <v>0</v>
      </c>
      <c r="T1438" s="69">
        <v>865.24336157038488</v>
      </c>
      <c r="U1438" s="69">
        <v>865.24336157038488</v>
      </c>
      <c r="V1438" s="69">
        <v>865.24336157038488</v>
      </c>
      <c r="W1438" s="69">
        <v>865.24336157038488</v>
      </c>
      <c r="X1438" s="69">
        <v>865.24336157038488</v>
      </c>
      <c r="Y1438" s="69">
        <v>865.24336157038488</v>
      </c>
      <c r="Z1438" s="69">
        <v>865.24336157038488</v>
      </c>
      <c r="AA1438" s="69">
        <v>865.24336157038488</v>
      </c>
      <c r="AB1438" s="69">
        <v>865.24336157038488</v>
      </c>
      <c r="AC1438" s="69">
        <v>865.24336157038488</v>
      </c>
      <c r="AD1438" s="69">
        <v>865.24336157038488</v>
      </c>
      <c r="AE1438" s="69">
        <v>865.24336157038488</v>
      </c>
      <c r="AF1438" s="69">
        <v>865.24336157038488</v>
      </c>
      <c r="AG1438" s="69">
        <v>865.24336157038488</v>
      </c>
    </row>
    <row r="1439" spans="1:33">
      <c r="A1439" s="69" t="s">
        <v>2381</v>
      </c>
      <c r="B1439" s="69" t="s">
        <v>327</v>
      </c>
      <c r="C1439" s="69" t="s">
        <v>137</v>
      </c>
      <c r="D1439" s="69" t="s">
        <v>191</v>
      </c>
      <c r="E1439" s="69" t="s">
        <v>191</v>
      </c>
      <c r="F1439" s="69" t="s">
        <v>181</v>
      </c>
      <c r="G1439" s="69" t="s">
        <v>294</v>
      </c>
      <c r="H1439" s="69" t="s">
        <v>148</v>
      </c>
      <c r="I1439" s="69">
        <v>4</v>
      </c>
      <c r="J1439" s="238">
        <f t="shared" ca="1" si="3"/>
        <v>0.28989999999999999</v>
      </c>
      <c r="K1439" s="238">
        <f t="shared" ca="1" si="3"/>
        <v>0.18559014484515421</v>
      </c>
      <c r="L1439" s="69">
        <v>91.706640833021837</v>
      </c>
      <c r="M1439" s="69">
        <v>0</v>
      </c>
      <c r="N1439" s="69">
        <v>0</v>
      </c>
      <c r="O1439" s="69">
        <v>0</v>
      </c>
      <c r="P1439" s="69">
        <v>0</v>
      </c>
      <c r="Q1439" s="69">
        <v>34.32910017062386</v>
      </c>
      <c r="R1439" s="69">
        <v>34.32910017062386</v>
      </c>
      <c r="S1439" s="69">
        <v>34.32910017062386</v>
      </c>
      <c r="T1439" s="69">
        <v>34.32910017062386</v>
      </c>
      <c r="U1439" s="69">
        <v>34.32910017062386</v>
      </c>
      <c r="V1439" s="69">
        <v>34.32910017062386</v>
      </c>
      <c r="W1439" s="69">
        <v>34.32910017062386</v>
      </c>
      <c r="X1439" s="69">
        <v>34.32910017062386</v>
      </c>
      <c r="Y1439" s="69">
        <v>34.32910017062386</v>
      </c>
      <c r="Z1439" s="69">
        <v>34.32910017062386</v>
      </c>
      <c r="AA1439" s="69">
        <v>34.32910017062386</v>
      </c>
      <c r="AB1439" s="69">
        <v>34.32910017062386</v>
      </c>
      <c r="AC1439" s="69">
        <v>34.32910017062386</v>
      </c>
      <c r="AD1439" s="69">
        <v>34.32910017062386</v>
      </c>
      <c r="AE1439" s="69">
        <v>34.32910017062386</v>
      </c>
      <c r="AF1439" s="69">
        <v>34.32910017062386</v>
      </c>
      <c r="AG1439" s="69">
        <v>34.32910017062386</v>
      </c>
    </row>
    <row r="1440" spans="1:33">
      <c r="A1440" s="69" t="s">
        <v>2381</v>
      </c>
      <c r="B1440" s="69" t="s">
        <v>328</v>
      </c>
      <c r="C1440" s="69" t="s">
        <v>137</v>
      </c>
      <c r="D1440" s="69" t="s">
        <v>191</v>
      </c>
      <c r="E1440" s="69" t="s">
        <v>191</v>
      </c>
      <c r="F1440" s="69" t="s">
        <v>183</v>
      </c>
      <c r="G1440" s="69" t="s">
        <v>329</v>
      </c>
      <c r="H1440" s="69" t="s">
        <v>148</v>
      </c>
      <c r="I1440" s="69">
        <v>4</v>
      </c>
      <c r="J1440" s="238">
        <f t="shared" ca="1" si="3"/>
        <v>0.37659999999999999</v>
      </c>
      <c r="K1440" s="238">
        <f t="shared" ca="1" si="3"/>
        <v>0.17884977722471748</v>
      </c>
      <c r="L1440" s="69">
        <v>70.728535467115464</v>
      </c>
      <c r="M1440" s="69">
        <v>0</v>
      </c>
      <c r="N1440" s="69">
        <v>0</v>
      </c>
      <c r="O1440" s="69">
        <v>0</v>
      </c>
      <c r="P1440" s="69">
        <v>0</v>
      </c>
      <c r="Q1440" s="69">
        <v>0</v>
      </c>
      <c r="R1440" s="69">
        <v>316.74493746021471</v>
      </c>
      <c r="S1440" s="69">
        <v>316.74493746021471</v>
      </c>
      <c r="T1440" s="69">
        <v>316.74493746021471</v>
      </c>
      <c r="U1440" s="69">
        <v>316.74493746021471</v>
      </c>
      <c r="V1440" s="69">
        <v>316.74493746021471</v>
      </c>
      <c r="W1440" s="69">
        <v>316.74493746021471</v>
      </c>
      <c r="X1440" s="69">
        <v>316.74493746021471</v>
      </c>
      <c r="Y1440" s="69">
        <v>316.74493746021471</v>
      </c>
      <c r="Z1440" s="69">
        <v>316.74493746021471</v>
      </c>
      <c r="AA1440" s="69">
        <v>316.74493746021471</v>
      </c>
      <c r="AB1440" s="69">
        <v>316.74493746021471</v>
      </c>
      <c r="AC1440" s="69">
        <v>316.74493746021471</v>
      </c>
      <c r="AD1440" s="69">
        <v>316.74493746021471</v>
      </c>
      <c r="AE1440" s="69">
        <v>316.74493746021471</v>
      </c>
      <c r="AF1440" s="69">
        <v>316.74493746021471</v>
      </c>
      <c r="AG1440" s="69">
        <v>316.74493746021471</v>
      </c>
    </row>
    <row r="1441" spans="1:33">
      <c r="A1441" s="69" t="s">
        <v>2381</v>
      </c>
      <c r="B1441" s="69" t="s">
        <v>330</v>
      </c>
      <c r="C1441" s="69" t="s">
        <v>137</v>
      </c>
      <c r="D1441" s="69" t="s">
        <v>191</v>
      </c>
      <c r="E1441" s="69" t="s">
        <v>191</v>
      </c>
      <c r="F1441" s="69" t="s">
        <v>168</v>
      </c>
      <c r="G1441" s="69" t="s">
        <v>199</v>
      </c>
      <c r="H1441" s="69" t="s">
        <v>148</v>
      </c>
      <c r="I1441" s="69">
        <v>4</v>
      </c>
      <c r="J1441" s="238">
        <f t="shared" ca="1" si="3"/>
        <v>0.29204999999999998</v>
      </c>
      <c r="K1441" s="238">
        <f t="shared" ca="1" si="3"/>
        <v>0.18436399478639695</v>
      </c>
      <c r="L1441" s="69">
        <v>95.155627725733936</v>
      </c>
      <c r="M1441" s="69">
        <v>0</v>
      </c>
      <c r="N1441" s="69">
        <v>0</v>
      </c>
      <c r="O1441" s="69">
        <v>0</v>
      </c>
      <c r="P1441" s="69">
        <v>0</v>
      </c>
      <c r="Q1441" s="69">
        <v>0</v>
      </c>
      <c r="R1441" s="69">
        <v>1378.470684334854</v>
      </c>
      <c r="S1441" s="69">
        <v>1378.470684334854</v>
      </c>
      <c r="T1441" s="69">
        <v>1378.470684334854</v>
      </c>
      <c r="U1441" s="69">
        <v>1378.470684334854</v>
      </c>
      <c r="V1441" s="69">
        <v>1378.470684334854</v>
      </c>
      <c r="W1441" s="69">
        <v>1378.470684334854</v>
      </c>
      <c r="X1441" s="69">
        <v>1378.470684334854</v>
      </c>
      <c r="Y1441" s="69">
        <v>1378.470684334854</v>
      </c>
      <c r="Z1441" s="69">
        <v>1378.470684334854</v>
      </c>
      <c r="AA1441" s="69">
        <v>1378.470684334854</v>
      </c>
      <c r="AB1441" s="69">
        <v>1378.470684334854</v>
      </c>
      <c r="AC1441" s="69">
        <v>1378.470684334854</v>
      </c>
      <c r="AD1441" s="69">
        <v>1378.470684334854</v>
      </c>
      <c r="AE1441" s="69">
        <v>1378.470684334854</v>
      </c>
      <c r="AF1441" s="69">
        <v>1378.470684334854</v>
      </c>
      <c r="AG1441" s="69">
        <v>1378.470684334854</v>
      </c>
    </row>
    <row r="1442" spans="1:33">
      <c r="A1442" s="69" t="s">
        <v>2381</v>
      </c>
      <c r="B1442" s="69" t="s">
        <v>331</v>
      </c>
      <c r="C1442" s="69" t="s">
        <v>137</v>
      </c>
      <c r="D1442" s="69" t="s">
        <v>191</v>
      </c>
      <c r="E1442" s="69" t="s">
        <v>191</v>
      </c>
      <c r="F1442" s="69" t="s">
        <v>180</v>
      </c>
      <c r="G1442" s="69" t="s">
        <v>192</v>
      </c>
      <c r="H1442" s="69" t="s">
        <v>148</v>
      </c>
      <c r="I1442" s="69">
        <v>4</v>
      </c>
      <c r="J1442" s="238">
        <f t="shared" ca="1" si="3"/>
        <v>0.32235762917068039</v>
      </c>
      <c r="K1442" s="238">
        <f t="shared" ca="1" si="3"/>
        <v>0.160195270625522</v>
      </c>
      <c r="L1442" s="69">
        <v>96.038728079112815</v>
      </c>
      <c r="M1442" s="69">
        <v>0</v>
      </c>
      <c r="N1442" s="69">
        <v>0</v>
      </c>
      <c r="O1442" s="69">
        <v>0</v>
      </c>
      <c r="P1442" s="69">
        <v>0</v>
      </c>
      <c r="Q1442" s="69">
        <v>0</v>
      </c>
      <c r="R1442" s="69">
        <v>768.34665922935903</v>
      </c>
      <c r="S1442" s="69">
        <v>768.34665922935903</v>
      </c>
      <c r="T1442" s="69">
        <v>768.34665922935903</v>
      </c>
      <c r="U1442" s="69">
        <v>768.34665922935903</v>
      </c>
      <c r="V1442" s="69">
        <v>768.34665922935903</v>
      </c>
      <c r="W1442" s="69">
        <v>768.34665922935903</v>
      </c>
      <c r="X1442" s="69">
        <v>768.34665922935903</v>
      </c>
      <c r="Y1442" s="69">
        <v>768.34665922935903</v>
      </c>
      <c r="Z1442" s="69">
        <v>768.34665922935903</v>
      </c>
      <c r="AA1442" s="69">
        <v>768.34665922935903</v>
      </c>
      <c r="AB1442" s="69">
        <v>768.34665922935903</v>
      </c>
      <c r="AC1442" s="69">
        <v>768.34665922935903</v>
      </c>
      <c r="AD1442" s="69">
        <v>768.34665922935903</v>
      </c>
      <c r="AE1442" s="69">
        <v>768.34665922935903</v>
      </c>
      <c r="AF1442" s="69">
        <v>768.34665922935903</v>
      </c>
      <c r="AG1442" s="69">
        <v>768.34665922935903</v>
      </c>
    </row>
    <row r="1443" spans="1:33">
      <c r="A1443" s="69" t="s">
        <v>2381</v>
      </c>
      <c r="B1443" s="69" t="s">
        <v>332</v>
      </c>
      <c r="C1443" s="69" t="s">
        <v>137</v>
      </c>
      <c r="D1443" s="69" t="s">
        <v>191</v>
      </c>
      <c r="E1443" s="69" t="s">
        <v>191</v>
      </c>
      <c r="F1443" s="69" t="s">
        <v>179</v>
      </c>
      <c r="G1443" s="69" t="s">
        <v>192</v>
      </c>
      <c r="H1443" s="69" t="s">
        <v>148</v>
      </c>
      <c r="I1443" s="69">
        <v>4</v>
      </c>
      <c r="J1443" s="238">
        <f t="shared" ca="1" si="3"/>
        <v>0.32235762917068039</v>
      </c>
      <c r="K1443" s="238">
        <f t="shared" ca="1" si="3"/>
        <v>0.16152665976075289</v>
      </c>
      <c r="L1443" s="69">
        <v>96.038728079112801</v>
      </c>
      <c r="M1443" s="69">
        <v>0</v>
      </c>
      <c r="N1443" s="69">
        <v>0</v>
      </c>
      <c r="O1443" s="69">
        <v>0</v>
      </c>
      <c r="P1443" s="69">
        <v>0</v>
      </c>
      <c r="Q1443" s="69">
        <v>0</v>
      </c>
      <c r="R1443" s="69">
        <v>0</v>
      </c>
      <c r="S1443" s="69">
        <v>0</v>
      </c>
      <c r="T1443" s="69">
        <v>169.99594045841687</v>
      </c>
      <c r="U1443" s="69">
        <v>169.99594045841687</v>
      </c>
      <c r="V1443" s="69">
        <v>169.99594045841687</v>
      </c>
      <c r="W1443" s="69">
        <v>169.99594045841687</v>
      </c>
      <c r="X1443" s="69">
        <v>169.99594045841687</v>
      </c>
      <c r="Y1443" s="69">
        <v>169.99594045841687</v>
      </c>
      <c r="Z1443" s="69">
        <v>169.99594045841687</v>
      </c>
      <c r="AA1443" s="69">
        <v>169.99594045841687</v>
      </c>
      <c r="AB1443" s="69">
        <v>169.99594045841687</v>
      </c>
      <c r="AC1443" s="69">
        <v>169.99594045841687</v>
      </c>
      <c r="AD1443" s="69">
        <v>169.99594045841687</v>
      </c>
      <c r="AE1443" s="69">
        <v>169.99594045841687</v>
      </c>
      <c r="AF1443" s="69">
        <v>169.99594045841687</v>
      </c>
      <c r="AG1443" s="69">
        <v>169.99594045841687</v>
      </c>
    </row>
    <row r="1444" spans="1:33">
      <c r="A1444" s="69" t="s">
        <v>2381</v>
      </c>
      <c r="B1444" s="69" t="s">
        <v>333</v>
      </c>
      <c r="C1444" s="69" t="s">
        <v>186</v>
      </c>
      <c r="D1444" s="69" t="s">
        <v>334</v>
      </c>
      <c r="E1444" s="69" t="s">
        <v>260</v>
      </c>
      <c r="F1444" s="69" t="s">
        <v>157</v>
      </c>
      <c r="G1444" s="69" t="s">
        <v>192</v>
      </c>
      <c r="H1444" s="69" t="s">
        <v>805</v>
      </c>
      <c r="I1444" s="69">
        <v>1</v>
      </c>
      <c r="J1444" s="238">
        <f t="shared" ca="1" si="3"/>
        <v>0.19559527787058692</v>
      </c>
      <c r="K1444" s="238">
        <f t="shared" ca="1" si="3"/>
        <v>0</v>
      </c>
      <c r="L1444" s="69">
        <v>307.09437722419932</v>
      </c>
      <c r="M1444" s="69">
        <v>-26.263345195729539</v>
      </c>
      <c r="N1444" s="69">
        <v>6.1682926829271318</v>
      </c>
      <c r="O1444" s="69">
        <v>6.1682926829271318</v>
      </c>
      <c r="P1444" s="69">
        <v>6.1682926829271318</v>
      </c>
      <c r="Q1444" s="69">
        <v>6.1682926829271318</v>
      </c>
      <c r="R1444" s="69">
        <v>6.1682926829271318</v>
      </c>
      <c r="S1444" s="69">
        <v>6.1682926829271318</v>
      </c>
      <c r="T1444" s="69">
        <v>6.1682926829271318</v>
      </c>
      <c r="U1444" s="69">
        <v>6.1682926829271318</v>
      </c>
      <c r="V1444" s="69">
        <v>6.1682926829271318</v>
      </c>
      <c r="W1444" s="69">
        <v>6.1682926829271318</v>
      </c>
      <c r="X1444" s="69">
        <v>6.1682926829271318</v>
      </c>
      <c r="Y1444" s="69">
        <v>6.1682926829271318</v>
      </c>
      <c r="Z1444" s="69">
        <v>6.1682926829271318</v>
      </c>
      <c r="AA1444" s="69">
        <v>6.1682926829271318</v>
      </c>
      <c r="AB1444" s="69">
        <v>6.1682926829271318</v>
      </c>
      <c r="AC1444" s="69">
        <v>6.1682926829271318</v>
      </c>
      <c r="AD1444" s="69">
        <v>6.1682926829271318</v>
      </c>
      <c r="AE1444" s="69">
        <v>6.1682926829271318</v>
      </c>
      <c r="AF1444" s="69">
        <v>6.1682926829271318</v>
      </c>
      <c r="AG1444" s="69">
        <v>6.1682926829271318</v>
      </c>
    </row>
    <row r="1445" spans="1:33">
      <c r="A1445" s="69" t="s">
        <v>2381</v>
      </c>
      <c r="B1445" s="69" t="s">
        <v>335</v>
      </c>
      <c r="C1445" s="69" t="s">
        <v>186</v>
      </c>
      <c r="D1445" s="69" t="s">
        <v>334</v>
      </c>
      <c r="E1445" s="69" t="s">
        <v>260</v>
      </c>
      <c r="F1445" s="69" t="s">
        <v>157</v>
      </c>
      <c r="G1445" s="69" t="s">
        <v>192</v>
      </c>
      <c r="H1445" s="69" t="s">
        <v>805</v>
      </c>
      <c r="I1445" s="69">
        <v>1</v>
      </c>
      <c r="J1445" s="238">
        <f t="shared" ca="1" si="3"/>
        <v>0.19559527787058692</v>
      </c>
      <c r="K1445" s="238">
        <f t="shared" ca="1" si="3"/>
        <v>0</v>
      </c>
      <c r="L1445" s="69">
        <v>307.09437722419932</v>
      </c>
      <c r="M1445" s="69">
        <v>-26.263345195729539</v>
      </c>
      <c r="N1445" s="69">
        <v>0</v>
      </c>
      <c r="O1445" s="69">
        <v>6.1682926829271318</v>
      </c>
      <c r="P1445" s="69">
        <v>6.1682926829271318</v>
      </c>
      <c r="Q1445" s="69">
        <v>6.1682926829271318</v>
      </c>
      <c r="R1445" s="69">
        <v>6.1682926829271318</v>
      </c>
      <c r="S1445" s="69">
        <v>6.1682926829271318</v>
      </c>
      <c r="T1445" s="69">
        <v>6.1682926829271318</v>
      </c>
      <c r="U1445" s="69">
        <v>6.1682926829271318</v>
      </c>
      <c r="V1445" s="69">
        <v>6.1682926829271318</v>
      </c>
      <c r="W1445" s="69">
        <v>6.1682926829271318</v>
      </c>
      <c r="X1445" s="69">
        <v>6.1682926829271318</v>
      </c>
      <c r="Y1445" s="69">
        <v>6.1682926829271318</v>
      </c>
      <c r="Z1445" s="69">
        <v>6.1682926829271318</v>
      </c>
      <c r="AA1445" s="69">
        <v>6.1682926829271318</v>
      </c>
      <c r="AB1445" s="69">
        <v>6.1682926829271318</v>
      </c>
      <c r="AC1445" s="69">
        <v>6.1682926829271318</v>
      </c>
      <c r="AD1445" s="69">
        <v>6.1682926829271318</v>
      </c>
      <c r="AE1445" s="69">
        <v>6.1682926829271318</v>
      </c>
      <c r="AF1445" s="69">
        <v>6.1682926829271318</v>
      </c>
      <c r="AG1445" s="69">
        <v>6.1682926829271318</v>
      </c>
    </row>
    <row r="1446" spans="1:33">
      <c r="A1446" s="69" t="s">
        <v>2381</v>
      </c>
      <c r="B1446" s="69" t="s">
        <v>336</v>
      </c>
      <c r="C1446" s="69" t="s">
        <v>186</v>
      </c>
      <c r="D1446" s="69" t="s">
        <v>334</v>
      </c>
      <c r="E1446" s="69" t="s">
        <v>260</v>
      </c>
      <c r="F1446" s="69" t="s">
        <v>157</v>
      </c>
      <c r="G1446" s="69" t="s">
        <v>192</v>
      </c>
      <c r="H1446" s="69" t="s">
        <v>805</v>
      </c>
      <c r="I1446" s="69">
        <v>1</v>
      </c>
      <c r="J1446" s="238">
        <f t="shared" ca="1" si="3"/>
        <v>0.19559527787058692</v>
      </c>
      <c r="K1446" s="238">
        <f t="shared" ca="1" si="3"/>
        <v>0</v>
      </c>
      <c r="L1446" s="69">
        <v>307.09437722419932</v>
      </c>
      <c r="M1446" s="69">
        <v>-26.263345195729539</v>
      </c>
      <c r="N1446" s="69">
        <v>0</v>
      </c>
      <c r="O1446" s="69">
        <v>0</v>
      </c>
      <c r="P1446" s="69">
        <v>6.1682926829271318</v>
      </c>
      <c r="Q1446" s="69">
        <v>6.1682926829271318</v>
      </c>
      <c r="R1446" s="69">
        <v>6.1682926829271318</v>
      </c>
      <c r="S1446" s="69">
        <v>6.1682926829271318</v>
      </c>
      <c r="T1446" s="69">
        <v>6.1682926829271318</v>
      </c>
      <c r="U1446" s="69">
        <v>6.1682926829271318</v>
      </c>
      <c r="V1446" s="69">
        <v>6.1682926829271318</v>
      </c>
      <c r="W1446" s="69">
        <v>6.1682926829271318</v>
      </c>
      <c r="X1446" s="69">
        <v>6.1682926829271318</v>
      </c>
      <c r="Y1446" s="69">
        <v>6.1682926829271318</v>
      </c>
      <c r="Z1446" s="69">
        <v>6.1682926829271318</v>
      </c>
      <c r="AA1446" s="69">
        <v>6.1682926829271318</v>
      </c>
      <c r="AB1446" s="69">
        <v>6.1682926829271318</v>
      </c>
      <c r="AC1446" s="69">
        <v>6.1682926829271318</v>
      </c>
      <c r="AD1446" s="69">
        <v>6.1682926829271318</v>
      </c>
      <c r="AE1446" s="69">
        <v>6.1682926829271318</v>
      </c>
      <c r="AF1446" s="69">
        <v>6.1682926829271318</v>
      </c>
      <c r="AG1446" s="69">
        <v>6.1682926829271318</v>
      </c>
    </row>
    <row r="1447" spans="1:33">
      <c r="A1447" s="69" t="s">
        <v>2381</v>
      </c>
      <c r="B1447" s="69" t="s">
        <v>337</v>
      </c>
      <c r="C1447" s="69" t="s">
        <v>186</v>
      </c>
      <c r="D1447" s="69" t="s">
        <v>334</v>
      </c>
      <c r="E1447" s="69" t="s">
        <v>260</v>
      </c>
      <c r="F1447" s="69" t="s">
        <v>157</v>
      </c>
      <c r="G1447" s="69" t="s">
        <v>192</v>
      </c>
      <c r="H1447" s="69" t="s">
        <v>805</v>
      </c>
      <c r="I1447" s="69">
        <v>1</v>
      </c>
      <c r="J1447" s="238">
        <f t="shared" ca="1" si="3"/>
        <v>0.19559527787058692</v>
      </c>
      <c r="K1447" s="238">
        <f t="shared" ca="1" si="3"/>
        <v>0</v>
      </c>
      <c r="L1447" s="69">
        <v>307.09437722419932</v>
      </c>
      <c r="M1447" s="69">
        <v>-26.263345195729539</v>
      </c>
      <c r="N1447" s="69">
        <v>0</v>
      </c>
      <c r="O1447" s="69">
        <v>0</v>
      </c>
      <c r="P1447" s="69">
        <v>0</v>
      </c>
      <c r="Q1447" s="69">
        <v>6.1682926829271318</v>
      </c>
      <c r="R1447" s="69">
        <v>6.1682926829271318</v>
      </c>
      <c r="S1447" s="69">
        <v>6.1682926829271318</v>
      </c>
      <c r="T1447" s="69">
        <v>6.1682926829271318</v>
      </c>
      <c r="U1447" s="69">
        <v>6.1682926829271318</v>
      </c>
      <c r="V1447" s="69">
        <v>6.1682926829271318</v>
      </c>
      <c r="W1447" s="69">
        <v>6.1682926829271318</v>
      </c>
      <c r="X1447" s="69">
        <v>6.1682926829271318</v>
      </c>
      <c r="Y1447" s="69">
        <v>6.1682926829271318</v>
      </c>
      <c r="Z1447" s="69">
        <v>6.1682926829271318</v>
      </c>
      <c r="AA1447" s="69">
        <v>6.1682926829271318</v>
      </c>
      <c r="AB1447" s="69">
        <v>6.1682926829271318</v>
      </c>
      <c r="AC1447" s="69">
        <v>6.1682926829271318</v>
      </c>
      <c r="AD1447" s="69">
        <v>6.1682926829271318</v>
      </c>
      <c r="AE1447" s="69">
        <v>6.1682926829271318</v>
      </c>
      <c r="AF1447" s="69">
        <v>6.1682926829271318</v>
      </c>
      <c r="AG1447" s="69">
        <v>6.1682926829271318</v>
      </c>
    </row>
    <row r="1448" spans="1:33">
      <c r="A1448" s="69" t="s">
        <v>2381</v>
      </c>
      <c r="B1448" s="69" t="s">
        <v>338</v>
      </c>
      <c r="C1448" s="69" t="s">
        <v>186</v>
      </c>
      <c r="D1448" s="69" t="s">
        <v>334</v>
      </c>
      <c r="E1448" s="69" t="s">
        <v>260</v>
      </c>
      <c r="F1448" s="69" t="s">
        <v>157</v>
      </c>
      <c r="G1448" s="69" t="s">
        <v>192</v>
      </c>
      <c r="H1448" s="69" t="s">
        <v>805</v>
      </c>
      <c r="I1448" s="69">
        <v>1</v>
      </c>
      <c r="J1448" s="238">
        <f t="shared" ca="1" si="3"/>
        <v>0.19559527787058692</v>
      </c>
      <c r="K1448" s="238">
        <f t="shared" ca="1" si="3"/>
        <v>0</v>
      </c>
      <c r="L1448" s="69">
        <v>307.09437722419932</v>
      </c>
      <c r="M1448" s="69">
        <v>-26.263345195729539</v>
      </c>
      <c r="N1448" s="69">
        <v>0</v>
      </c>
      <c r="O1448" s="69">
        <v>0</v>
      </c>
      <c r="P1448" s="69">
        <v>0</v>
      </c>
      <c r="Q1448" s="69">
        <v>0</v>
      </c>
      <c r="R1448" s="69">
        <v>6.1682926829271318</v>
      </c>
      <c r="S1448" s="69">
        <v>6.1682926829271318</v>
      </c>
      <c r="T1448" s="69">
        <v>6.1682926829271318</v>
      </c>
      <c r="U1448" s="69">
        <v>6.1682926829271318</v>
      </c>
      <c r="V1448" s="69">
        <v>6.1682926829271318</v>
      </c>
      <c r="W1448" s="69">
        <v>6.1682926829271318</v>
      </c>
      <c r="X1448" s="69">
        <v>6.1682926829271318</v>
      </c>
      <c r="Y1448" s="69">
        <v>6.1682926829271318</v>
      </c>
      <c r="Z1448" s="69">
        <v>6.1682926829271318</v>
      </c>
      <c r="AA1448" s="69">
        <v>6.1682926829271318</v>
      </c>
      <c r="AB1448" s="69">
        <v>6.1682926829271318</v>
      </c>
      <c r="AC1448" s="69">
        <v>6.1682926829271318</v>
      </c>
      <c r="AD1448" s="69">
        <v>6.1682926829271318</v>
      </c>
      <c r="AE1448" s="69">
        <v>6.1682926829271318</v>
      </c>
      <c r="AF1448" s="69">
        <v>6.1682926829271318</v>
      </c>
      <c r="AG1448" s="69">
        <v>6.1682926829271318</v>
      </c>
    </row>
    <row r="1449" spans="1:33">
      <c r="A1449" s="69" t="s">
        <v>2381</v>
      </c>
      <c r="B1449" s="69" t="s">
        <v>339</v>
      </c>
      <c r="C1449" s="69" t="s">
        <v>186</v>
      </c>
      <c r="D1449" s="69" t="s">
        <v>218</v>
      </c>
      <c r="E1449" s="69" t="s">
        <v>260</v>
      </c>
      <c r="F1449" s="69" t="s">
        <v>157</v>
      </c>
      <c r="G1449" s="69" t="s">
        <v>192</v>
      </c>
      <c r="H1449" s="69" t="s">
        <v>805</v>
      </c>
      <c r="I1449" s="69">
        <v>1</v>
      </c>
      <c r="J1449" s="238">
        <f t="shared" ca="1" si="3"/>
        <v>0.21868155325388869</v>
      </c>
      <c r="K1449" s="238">
        <f t="shared" ca="1" si="3"/>
        <v>0</v>
      </c>
      <c r="L1449" s="69">
        <v>215.67609549071619</v>
      </c>
      <c r="M1449" s="69">
        <v>-5.2201591511936343</v>
      </c>
      <c r="N1449" s="69">
        <v>26.249425539017466</v>
      </c>
      <c r="O1449" s="69">
        <v>26.249425539017466</v>
      </c>
      <c r="P1449" s="69">
        <v>26.249425539017466</v>
      </c>
      <c r="Q1449" s="69">
        <v>26.249425539017466</v>
      </c>
      <c r="R1449" s="69">
        <v>26.249425539017466</v>
      </c>
      <c r="S1449" s="69">
        <v>26.249425539017466</v>
      </c>
      <c r="T1449" s="69">
        <v>26.249425539017466</v>
      </c>
      <c r="U1449" s="69">
        <v>26.249425539017466</v>
      </c>
      <c r="V1449" s="69">
        <v>26.249425539017466</v>
      </c>
      <c r="W1449" s="69">
        <v>26.249425539017466</v>
      </c>
      <c r="X1449" s="69">
        <v>26.249425539017466</v>
      </c>
      <c r="Y1449" s="69">
        <v>26.249425539017466</v>
      </c>
      <c r="Z1449" s="69">
        <v>26.249425539017466</v>
      </c>
      <c r="AA1449" s="69">
        <v>26.249425539017466</v>
      </c>
      <c r="AB1449" s="69">
        <v>26.249425539017466</v>
      </c>
      <c r="AC1449" s="69">
        <v>26.249425539017466</v>
      </c>
      <c r="AD1449" s="69">
        <v>26.249425539017466</v>
      </c>
      <c r="AE1449" s="69">
        <v>26.249425539017466</v>
      </c>
      <c r="AF1449" s="69">
        <v>26.249425539017466</v>
      </c>
      <c r="AG1449" s="69">
        <v>26.249425539017466</v>
      </c>
    </row>
    <row r="1450" spans="1:33">
      <c r="A1450" s="69" t="s">
        <v>2381</v>
      </c>
      <c r="B1450" s="69" t="s">
        <v>340</v>
      </c>
      <c r="C1450" s="69" t="s">
        <v>186</v>
      </c>
      <c r="D1450" s="69" t="s">
        <v>218</v>
      </c>
      <c r="E1450" s="69" t="s">
        <v>203</v>
      </c>
      <c r="F1450" s="69" t="s">
        <v>157</v>
      </c>
      <c r="G1450" s="69" t="s">
        <v>192</v>
      </c>
      <c r="H1450" s="69" t="s">
        <v>805</v>
      </c>
      <c r="I1450" s="69">
        <v>1</v>
      </c>
      <c r="J1450" s="238">
        <f t="shared" ca="1" si="3"/>
        <v>0.23561922263058244</v>
      </c>
      <c r="K1450" s="238">
        <f t="shared" ca="1" si="3"/>
        <v>0</v>
      </c>
      <c r="L1450" s="69">
        <v>200.17205317577549</v>
      </c>
      <c r="M1450" s="69">
        <v>-4.8449039881831615</v>
      </c>
      <c r="N1450" s="69">
        <v>69.965023431977897</v>
      </c>
      <c r="O1450" s="69">
        <v>69.965023431977897</v>
      </c>
      <c r="P1450" s="69">
        <v>69.965023431977897</v>
      </c>
      <c r="Q1450" s="69">
        <v>69.965023431977897</v>
      </c>
      <c r="R1450" s="69">
        <v>69.965023431977897</v>
      </c>
      <c r="S1450" s="69">
        <v>69.965023431977897</v>
      </c>
      <c r="T1450" s="69">
        <v>69.965023431977897</v>
      </c>
      <c r="U1450" s="69">
        <v>69.965023431977897</v>
      </c>
      <c r="V1450" s="69">
        <v>69.965023431977897</v>
      </c>
      <c r="W1450" s="69">
        <v>69.965023431977897</v>
      </c>
      <c r="X1450" s="69">
        <v>69.965023431977897</v>
      </c>
      <c r="Y1450" s="69">
        <v>69.965023431977897</v>
      </c>
      <c r="Z1450" s="69">
        <v>69.965023431977897</v>
      </c>
      <c r="AA1450" s="69">
        <v>69.965023431977897</v>
      </c>
      <c r="AB1450" s="69">
        <v>69.965023431977897</v>
      </c>
      <c r="AC1450" s="69">
        <v>69.965023431977897</v>
      </c>
      <c r="AD1450" s="69">
        <v>69.965023431977897</v>
      </c>
      <c r="AE1450" s="69">
        <v>69.965023431977897</v>
      </c>
      <c r="AF1450" s="69">
        <v>69.965023431977897</v>
      </c>
      <c r="AG1450" s="69">
        <v>69.965023431977897</v>
      </c>
    </row>
    <row r="1451" spans="1:33">
      <c r="A1451" s="69" t="s">
        <v>2381</v>
      </c>
      <c r="B1451" s="69" t="s">
        <v>341</v>
      </c>
      <c r="C1451" s="69" t="s">
        <v>186</v>
      </c>
      <c r="D1451" s="69" t="s">
        <v>218</v>
      </c>
      <c r="E1451" s="69" t="s">
        <v>260</v>
      </c>
      <c r="F1451" s="69" t="s">
        <v>157</v>
      </c>
      <c r="G1451" s="69" t="s">
        <v>192</v>
      </c>
      <c r="H1451" s="69" t="s">
        <v>805</v>
      </c>
      <c r="I1451" s="69">
        <v>1</v>
      </c>
      <c r="J1451" s="238">
        <f t="shared" ca="1" si="3"/>
        <v>0.21868155325388869</v>
      </c>
      <c r="K1451" s="238">
        <f t="shared" ca="1" si="3"/>
        <v>0</v>
      </c>
      <c r="L1451" s="69">
        <v>215.67609549071619</v>
      </c>
      <c r="M1451" s="69">
        <v>-5.2201591511936343</v>
      </c>
      <c r="N1451" s="69">
        <v>0</v>
      </c>
      <c r="O1451" s="69">
        <v>26.249425539017466</v>
      </c>
      <c r="P1451" s="69">
        <v>26.249425539017466</v>
      </c>
      <c r="Q1451" s="69">
        <v>26.249425539017466</v>
      </c>
      <c r="R1451" s="69">
        <v>26.249425539017466</v>
      </c>
      <c r="S1451" s="69">
        <v>26.249425539017466</v>
      </c>
      <c r="T1451" s="69">
        <v>26.249425539017466</v>
      </c>
      <c r="U1451" s="69">
        <v>26.249425539017466</v>
      </c>
      <c r="V1451" s="69">
        <v>26.249425539017466</v>
      </c>
      <c r="W1451" s="69">
        <v>26.249425539017466</v>
      </c>
      <c r="X1451" s="69">
        <v>26.249425539017466</v>
      </c>
      <c r="Y1451" s="69">
        <v>26.249425539017466</v>
      </c>
      <c r="Z1451" s="69">
        <v>26.249425539017466</v>
      </c>
      <c r="AA1451" s="69">
        <v>26.249425539017466</v>
      </c>
      <c r="AB1451" s="69">
        <v>26.249425539017466</v>
      </c>
      <c r="AC1451" s="69">
        <v>26.249425539017466</v>
      </c>
      <c r="AD1451" s="69">
        <v>26.249425539017466</v>
      </c>
      <c r="AE1451" s="69">
        <v>26.249425539017466</v>
      </c>
      <c r="AF1451" s="69">
        <v>26.249425539017466</v>
      </c>
      <c r="AG1451" s="69">
        <v>26.249425539017466</v>
      </c>
    </row>
    <row r="1452" spans="1:33">
      <c r="A1452" s="69" t="s">
        <v>2381</v>
      </c>
      <c r="B1452" s="69" t="s">
        <v>342</v>
      </c>
      <c r="C1452" s="69" t="s">
        <v>186</v>
      </c>
      <c r="D1452" s="69" t="s">
        <v>218</v>
      </c>
      <c r="E1452" s="69" t="s">
        <v>203</v>
      </c>
      <c r="F1452" s="69" t="s">
        <v>157</v>
      </c>
      <c r="G1452" s="69" t="s">
        <v>192</v>
      </c>
      <c r="H1452" s="69" t="s">
        <v>805</v>
      </c>
      <c r="I1452" s="69">
        <v>1</v>
      </c>
      <c r="J1452" s="238">
        <f t="shared" ca="1" si="3"/>
        <v>0.23561922263058244</v>
      </c>
      <c r="K1452" s="238">
        <f t="shared" ca="1" si="3"/>
        <v>0</v>
      </c>
      <c r="L1452" s="69">
        <v>200.17205317577549</v>
      </c>
      <c r="M1452" s="69">
        <v>-4.8449039881831615</v>
      </c>
      <c r="N1452" s="69">
        <v>0</v>
      </c>
      <c r="O1452" s="69">
        <v>69.965023431977897</v>
      </c>
      <c r="P1452" s="69">
        <v>69.965023431977897</v>
      </c>
      <c r="Q1452" s="69">
        <v>69.965023431977897</v>
      </c>
      <c r="R1452" s="69">
        <v>69.965023431977897</v>
      </c>
      <c r="S1452" s="69">
        <v>69.965023431977897</v>
      </c>
      <c r="T1452" s="69">
        <v>69.965023431977897</v>
      </c>
      <c r="U1452" s="69">
        <v>69.965023431977897</v>
      </c>
      <c r="V1452" s="69">
        <v>69.965023431977897</v>
      </c>
      <c r="W1452" s="69">
        <v>69.965023431977897</v>
      </c>
      <c r="X1452" s="69">
        <v>69.965023431977897</v>
      </c>
      <c r="Y1452" s="69">
        <v>69.965023431977897</v>
      </c>
      <c r="Z1452" s="69">
        <v>69.965023431977897</v>
      </c>
      <c r="AA1452" s="69">
        <v>69.965023431977897</v>
      </c>
      <c r="AB1452" s="69">
        <v>69.965023431977897</v>
      </c>
      <c r="AC1452" s="69">
        <v>69.965023431977897</v>
      </c>
      <c r="AD1452" s="69">
        <v>69.965023431977897</v>
      </c>
      <c r="AE1452" s="69">
        <v>69.965023431977897</v>
      </c>
      <c r="AF1452" s="69">
        <v>69.965023431977897</v>
      </c>
      <c r="AG1452" s="69">
        <v>69.965023431977897</v>
      </c>
    </row>
    <row r="1453" spans="1:33">
      <c r="A1453" s="69" t="s">
        <v>2381</v>
      </c>
      <c r="B1453" s="69" t="s">
        <v>343</v>
      </c>
      <c r="C1453" s="69" t="s">
        <v>186</v>
      </c>
      <c r="D1453" s="69" t="s">
        <v>218</v>
      </c>
      <c r="E1453" s="69" t="s">
        <v>260</v>
      </c>
      <c r="F1453" s="69" t="s">
        <v>157</v>
      </c>
      <c r="G1453" s="69" t="s">
        <v>192</v>
      </c>
      <c r="H1453" s="69" t="s">
        <v>805</v>
      </c>
      <c r="I1453" s="69">
        <v>1</v>
      </c>
      <c r="J1453" s="238">
        <f t="shared" ca="1" si="3"/>
        <v>0.21868155325388869</v>
      </c>
      <c r="K1453" s="238">
        <f t="shared" ca="1" si="3"/>
        <v>0</v>
      </c>
      <c r="L1453" s="69">
        <v>215.67609549071619</v>
      </c>
      <c r="M1453" s="69">
        <v>-5.2201591511936343</v>
      </c>
      <c r="N1453" s="69">
        <v>0</v>
      </c>
      <c r="O1453" s="69">
        <v>0</v>
      </c>
      <c r="P1453" s="69">
        <v>26.249425539017466</v>
      </c>
      <c r="Q1453" s="69">
        <v>26.249425539017466</v>
      </c>
      <c r="R1453" s="69">
        <v>26.249425539017466</v>
      </c>
      <c r="S1453" s="69">
        <v>26.249425539017466</v>
      </c>
      <c r="T1453" s="69">
        <v>26.249425539017466</v>
      </c>
      <c r="U1453" s="69">
        <v>26.249425539017466</v>
      </c>
      <c r="V1453" s="69">
        <v>26.249425539017466</v>
      </c>
      <c r="W1453" s="69">
        <v>26.249425539017466</v>
      </c>
      <c r="X1453" s="69">
        <v>26.249425539017466</v>
      </c>
      <c r="Y1453" s="69">
        <v>26.249425539017466</v>
      </c>
      <c r="Z1453" s="69">
        <v>26.249425539017466</v>
      </c>
      <c r="AA1453" s="69">
        <v>26.249425539017466</v>
      </c>
      <c r="AB1453" s="69">
        <v>26.249425539017466</v>
      </c>
      <c r="AC1453" s="69">
        <v>26.249425539017466</v>
      </c>
      <c r="AD1453" s="69">
        <v>26.249425539017466</v>
      </c>
      <c r="AE1453" s="69">
        <v>26.249425539017466</v>
      </c>
      <c r="AF1453" s="69">
        <v>26.249425539017466</v>
      </c>
      <c r="AG1453" s="69">
        <v>26.249425539017466</v>
      </c>
    </row>
    <row r="1454" spans="1:33">
      <c r="A1454" s="69" t="s">
        <v>2381</v>
      </c>
      <c r="B1454" s="69" t="s">
        <v>344</v>
      </c>
      <c r="C1454" s="69" t="s">
        <v>186</v>
      </c>
      <c r="D1454" s="69" t="s">
        <v>218</v>
      </c>
      <c r="E1454" s="69" t="s">
        <v>203</v>
      </c>
      <c r="F1454" s="69" t="s">
        <v>157</v>
      </c>
      <c r="G1454" s="69" t="s">
        <v>192</v>
      </c>
      <c r="H1454" s="69" t="s">
        <v>805</v>
      </c>
      <c r="I1454" s="69">
        <v>1</v>
      </c>
      <c r="J1454" s="238">
        <f t="shared" ca="1" si="3"/>
        <v>0.23561922263058244</v>
      </c>
      <c r="K1454" s="238">
        <f t="shared" ca="1" si="3"/>
        <v>0</v>
      </c>
      <c r="L1454" s="69">
        <v>200.17205317577549</v>
      </c>
      <c r="M1454" s="69">
        <v>-4.8449039881831615</v>
      </c>
      <c r="N1454" s="69">
        <v>0</v>
      </c>
      <c r="O1454" s="69">
        <v>0</v>
      </c>
      <c r="P1454" s="69">
        <v>69.965023431977897</v>
      </c>
      <c r="Q1454" s="69">
        <v>69.965023431977897</v>
      </c>
      <c r="R1454" s="69">
        <v>69.965023431977897</v>
      </c>
      <c r="S1454" s="69">
        <v>69.965023431977897</v>
      </c>
      <c r="T1454" s="69">
        <v>69.965023431977897</v>
      </c>
      <c r="U1454" s="69">
        <v>69.965023431977897</v>
      </c>
      <c r="V1454" s="69">
        <v>69.965023431977897</v>
      </c>
      <c r="W1454" s="69">
        <v>69.965023431977897</v>
      </c>
      <c r="X1454" s="69">
        <v>69.965023431977897</v>
      </c>
      <c r="Y1454" s="69">
        <v>69.965023431977897</v>
      </c>
      <c r="Z1454" s="69">
        <v>69.965023431977897</v>
      </c>
      <c r="AA1454" s="69">
        <v>69.965023431977897</v>
      </c>
      <c r="AB1454" s="69">
        <v>69.965023431977897</v>
      </c>
      <c r="AC1454" s="69">
        <v>69.965023431977897</v>
      </c>
      <c r="AD1454" s="69">
        <v>69.965023431977897</v>
      </c>
      <c r="AE1454" s="69">
        <v>69.965023431977897</v>
      </c>
      <c r="AF1454" s="69">
        <v>69.965023431977897</v>
      </c>
      <c r="AG1454" s="69">
        <v>69.965023431977897</v>
      </c>
    </row>
    <row r="1455" spans="1:33">
      <c r="A1455" s="69" t="s">
        <v>2381</v>
      </c>
      <c r="B1455" s="69" t="s">
        <v>345</v>
      </c>
      <c r="C1455" s="69" t="s">
        <v>186</v>
      </c>
      <c r="D1455" s="69" t="s">
        <v>218</v>
      </c>
      <c r="E1455" s="69" t="s">
        <v>260</v>
      </c>
      <c r="F1455" s="69" t="s">
        <v>157</v>
      </c>
      <c r="G1455" s="69" t="s">
        <v>192</v>
      </c>
      <c r="H1455" s="69" t="s">
        <v>805</v>
      </c>
      <c r="I1455" s="69">
        <v>1</v>
      </c>
      <c r="J1455" s="238">
        <f t="shared" ca="1" si="3"/>
        <v>0.21868155325388869</v>
      </c>
      <c r="K1455" s="238">
        <f t="shared" ca="1" si="3"/>
        <v>0</v>
      </c>
      <c r="L1455" s="69">
        <v>215.67609549071619</v>
      </c>
      <c r="M1455" s="69">
        <v>-5.2201591511936343</v>
      </c>
      <c r="N1455" s="69">
        <v>0</v>
      </c>
      <c r="O1455" s="69">
        <v>0</v>
      </c>
      <c r="P1455" s="69">
        <v>0</v>
      </c>
      <c r="Q1455" s="69">
        <v>26.249425539017466</v>
      </c>
      <c r="R1455" s="69">
        <v>26.249425539017466</v>
      </c>
      <c r="S1455" s="69">
        <v>26.249425539017466</v>
      </c>
      <c r="T1455" s="69">
        <v>26.249425539017466</v>
      </c>
      <c r="U1455" s="69">
        <v>26.249425539017466</v>
      </c>
      <c r="V1455" s="69">
        <v>26.249425539017466</v>
      </c>
      <c r="W1455" s="69">
        <v>26.249425539017466</v>
      </c>
      <c r="X1455" s="69">
        <v>26.249425539017466</v>
      </c>
      <c r="Y1455" s="69">
        <v>26.249425539017466</v>
      </c>
      <c r="Z1455" s="69">
        <v>26.249425539017466</v>
      </c>
      <c r="AA1455" s="69">
        <v>26.249425539017466</v>
      </c>
      <c r="AB1455" s="69">
        <v>26.249425539017466</v>
      </c>
      <c r="AC1455" s="69">
        <v>26.249425539017466</v>
      </c>
      <c r="AD1455" s="69">
        <v>26.249425539017466</v>
      </c>
      <c r="AE1455" s="69">
        <v>26.249425539017466</v>
      </c>
      <c r="AF1455" s="69">
        <v>26.249425539017466</v>
      </c>
      <c r="AG1455" s="69">
        <v>26.249425539017466</v>
      </c>
    </row>
    <row r="1456" spans="1:33">
      <c r="A1456" s="69" t="s">
        <v>2381</v>
      </c>
      <c r="B1456" s="69" t="s">
        <v>346</v>
      </c>
      <c r="C1456" s="69" t="s">
        <v>186</v>
      </c>
      <c r="D1456" s="69" t="s">
        <v>218</v>
      </c>
      <c r="E1456" s="69" t="s">
        <v>203</v>
      </c>
      <c r="F1456" s="69" t="s">
        <v>157</v>
      </c>
      <c r="G1456" s="69" t="s">
        <v>192</v>
      </c>
      <c r="H1456" s="69" t="s">
        <v>805</v>
      </c>
      <c r="I1456" s="69">
        <v>1</v>
      </c>
      <c r="J1456" s="238">
        <f t="shared" ca="1" si="3"/>
        <v>0.23561922263058244</v>
      </c>
      <c r="K1456" s="238">
        <f t="shared" ca="1" si="3"/>
        <v>0</v>
      </c>
      <c r="L1456" s="69">
        <v>200.17205317577549</v>
      </c>
      <c r="M1456" s="69">
        <v>-4.8449039881831615</v>
      </c>
      <c r="N1456" s="69">
        <v>0</v>
      </c>
      <c r="O1456" s="69">
        <v>0</v>
      </c>
      <c r="P1456" s="69">
        <v>0</v>
      </c>
      <c r="Q1456" s="69">
        <v>69.965023431977897</v>
      </c>
      <c r="R1456" s="69">
        <v>69.965023431977897</v>
      </c>
      <c r="S1456" s="69">
        <v>69.965023431977897</v>
      </c>
      <c r="T1456" s="69">
        <v>69.965023431977897</v>
      </c>
      <c r="U1456" s="69">
        <v>69.965023431977897</v>
      </c>
      <c r="V1456" s="69">
        <v>69.965023431977897</v>
      </c>
      <c r="W1456" s="69">
        <v>69.965023431977897</v>
      </c>
      <c r="X1456" s="69">
        <v>69.965023431977897</v>
      </c>
      <c r="Y1456" s="69">
        <v>69.965023431977897</v>
      </c>
      <c r="Z1456" s="69">
        <v>69.965023431977897</v>
      </c>
      <c r="AA1456" s="69">
        <v>69.965023431977897</v>
      </c>
      <c r="AB1456" s="69">
        <v>69.965023431977897</v>
      </c>
      <c r="AC1456" s="69">
        <v>69.965023431977897</v>
      </c>
      <c r="AD1456" s="69">
        <v>69.965023431977897</v>
      </c>
      <c r="AE1456" s="69">
        <v>69.965023431977897</v>
      </c>
      <c r="AF1456" s="69">
        <v>69.965023431977897</v>
      </c>
      <c r="AG1456" s="69">
        <v>69.965023431977897</v>
      </c>
    </row>
    <row r="1457" spans="1:33">
      <c r="A1457" s="69" t="s">
        <v>2381</v>
      </c>
      <c r="B1457" s="69" t="s">
        <v>347</v>
      </c>
      <c r="C1457" s="69" t="s">
        <v>186</v>
      </c>
      <c r="D1457" s="69" t="s">
        <v>218</v>
      </c>
      <c r="E1457" s="69" t="s">
        <v>260</v>
      </c>
      <c r="F1457" s="69" t="s">
        <v>157</v>
      </c>
      <c r="G1457" s="69" t="s">
        <v>192</v>
      </c>
      <c r="H1457" s="69" t="s">
        <v>805</v>
      </c>
      <c r="I1457" s="69">
        <v>1</v>
      </c>
      <c r="J1457" s="238">
        <f t="shared" ref="J1457:K1475" ca="1" si="4">OFFSET(J$10,MATCH($B1457,$B$11:$B$1327,0),0)</f>
        <v>0.21868155325388869</v>
      </c>
      <c r="K1457" s="238">
        <f t="shared" ca="1" si="4"/>
        <v>0</v>
      </c>
      <c r="L1457" s="69">
        <v>215.67609549071619</v>
      </c>
      <c r="M1457" s="69">
        <v>-5.2201591511936343</v>
      </c>
      <c r="N1457" s="69">
        <v>0</v>
      </c>
      <c r="O1457" s="69">
        <v>0</v>
      </c>
      <c r="P1457" s="69">
        <v>0</v>
      </c>
      <c r="Q1457" s="69">
        <v>0</v>
      </c>
      <c r="R1457" s="69">
        <v>26.249425539017466</v>
      </c>
      <c r="S1457" s="69">
        <v>26.249425539017466</v>
      </c>
      <c r="T1457" s="69">
        <v>26.249425539017466</v>
      </c>
      <c r="U1457" s="69">
        <v>26.249425539017466</v>
      </c>
      <c r="V1457" s="69">
        <v>26.249425539017466</v>
      </c>
      <c r="W1457" s="69">
        <v>26.249425539017466</v>
      </c>
      <c r="X1457" s="69">
        <v>26.249425539017466</v>
      </c>
      <c r="Y1457" s="69">
        <v>26.249425539017466</v>
      </c>
      <c r="Z1457" s="69">
        <v>26.249425539017466</v>
      </c>
      <c r="AA1457" s="69">
        <v>26.249425539017466</v>
      </c>
      <c r="AB1457" s="69">
        <v>26.249425539017466</v>
      </c>
      <c r="AC1457" s="69">
        <v>26.249425539017466</v>
      </c>
      <c r="AD1457" s="69">
        <v>26.249425539017466</v>
      </c>
      <c r="AE1457" s="69">
        <v>26.249425539017466</v>
      </c>
      <c r="AF1457" s="69">
        <v>26.249425539017466</v>
      </c>
      <c r="AG1457" s="69">
        <v>26.249425539017466</v>
      </c>
    </row>
    <row r="1458" spans="1:33">
      <c r="A1458" s="69" t="s">
        <v>2381</v>
      </c>
      <c r="B1458" s="69" t="s">
        <v>348</v>
      </c>
      <c r="C1458" s="69" t="s">
        <v>186</v>
      </c>
      <c r="D1458" s="69" t="s">
        <v>218</v>
      </c>
      <c r="E1458" s="69" t="s">
        <v>203</v>
      </c>
      <c r="F1458" s="69" t="s">
        <v>157</v>
      </c>
      <c r="G1458" s="69" t="s">
        <v>192</v>
      </c>
      <c r="H1458" s="69" t="s">
        <v>805</v>
      </c>
      <c r="I1458" s="69">
        <v>1</v>
      </c>
      <c r="J1458" s="238">
        <f t="shared" ca="1" si="4"/>
        <v>0.23561922263058244</v>
      </c>
      <c r="K1458" s="238">
        <f t="shared" ca="1" si="4"/>
        <v>0</v>
      </c>
      <c r="L1458" s="69">
        <v>200.17205317577549</v>
      </c>
      <c r="M1458" s="69">
        <v>-4.8449039881831615</v>
      </c>
      <c r="N1458" s="69">
        <v>0</v>
      </c>
      <c r="O1458" s="69">
        <v>0</v>
      </c>
      <c r="P1458" s="69">
        <v>0</v>
      </c>
      <c r="Q1458" s="69">
        <v>0</v>
      </c>
      <c r="R1458" s="69">
        <v>69.965023431977897</v>
      </c>
      <c r="S1458" s="69">
        <v>69.965023431977897</v>
      </c>
      <c r="T1458" s="69">
        <v>69.965023431977897</v>
      </c>
      <c r="U1458" s="69">
        <v>69.965023431977897</v>
      </c>
      <c r="V1458" s="69">
        <v>69.965023431977897</v>
      </c>
      <c r="W1458" s="69">
        <v>69.965023431977897</v>
      </c>
      <c r="X1458" s="69">
        <v>69.965023431977897</v>
      </c>
      <c r="Y1458" s="69">
        <v>69.965023431977897</v>
      </c>
      <c r="Z1458" s="69">
        <v>69.965023431977897</v>
      </c>
      <c r="AA1458" s="69">
        <v>69.965023431977897</v>
      </c>
      <c r="AB1458" s="69">
        <v>69.965023431977897</v>
      </c>
      <c r="AC1458" s="69">
        <v>69.965023431977897</v>
      </c>
      <c r="AD1458" s="69">
        <v>69.965023431977897</v>
      </c>
      <c r="AE1458" s="69">
        <v>69.965023431977897</v>
      </c>
      <c r="AF1458" s="69">
        <v>69.965023431977897</v>
      </c>
      <c r="AG1458" s="69">
        <v>69.965023431977897</v>
      </c>
    </row>
    <row r="1459" spans="1:33">
      <c r="A1459" s="69" t="s">
        <v>2381</v>
      </c>
      <c r="B1459" s="69" t="s">
        <v>349</v>
      </c>
      <c r="C1459" s="69" t="s">
        <v>186</v>
      </c>
      <c r="D1459" s="69" t="s">
        <v>334</v>
      </c>
      <c r="E1459" s="69" t="s">
        <v>242</v>
      </c>
      <c r="F1459" s="69" t="s">
        <v>158</v>
      </c>
      <c r="G1459" s="69" t="s">
        <v>192</v>
      </c>
      <c r="H1459" s="69" t="s">
        <v>804</v>
      </c>
      <c r="I1459" s="69">
        <v>1</v>
      </c>
      <c r="J1459" s="238">
        <f t="shared" ca="1" si="4"/>
        <v>0.21172086720867206</v>
      </c>
      <c r="K1459" s="238">
        <f t="shared" ca="1" si="4"/>
        <v>0</v>
      </c>
      <c r="L1459" s="69">
        <v>283.70472328767124</v>
      </c>
      <c r="M1459" s="69">
        <v>-24.263013698630136</v>
      </c>
      <c r="N1459" s="69">
        <v>133.53658536585317</v>
      </c>
      <c r="O1459" s="69">
        <v>133.53658536585317</v>
      </c>
      <c r="P1459" s="69">
        <v>133.53658536585317</v>
      </c>
      <c r="Q1459" s="69">
        <v>133.53658536585317</v>
      </c>
      <c r="R1459" s="69">
        <v>133.53658536585317</v>
      </c>
      <c r="S1459" s="69">
        <v>133.53658536585317</v>
      </c>
      <c r="T1459" s="69">
        <v>133.53658536585317</v>
      </c>
      <c r="U1459" s="69">
        <v>133.53658536585317</v>
      </c>
      <c r="V1459" s="69">
        <v>133.53658536585317</v>
      </c>
      <c r="W1459" s="69">
        <v>133.53658536585317</v>
      </c>
      <c r="X1459" s="69">
        <v>133.53658536585317</v>
      </c>
      <c r="Y1459" s="69">
        <v>133.53658536585317</v>
      </c>
      <c r="Z1459" s="69">
        <v>133.53658536585317</v>
      </c>
      <c r="AA1459" s="69">
        <v>133.53658536585317</v>
      </c>
      <c r="AB1459" s="69">
        <v>133.53658536585317</v>
      </c>
      <c r="AC1459" s="69">
        <v>133.53658536585317</v>
      </c>
      <c r="AD1459" s="69">
        <v>133.53658536585317</v>
      </c>
      <c r="AE1459" s="69">
        <v>133.53658536585317</v>
      </c>
      <c r="AF1459" s="69">
        <v>133.53658536585317</v>
      </c>
      <c r="AG1459" s="69">
        <v>133.53658536585317</v>
      </c>
    </row>
    <row r="1460" spans="1:33">
      <c r="A1460" s="69" t="s">
        <v>2381</v>
      </c>
      <c r="B1460" s="69" t="s">
        <v>350</v>
      </c>
      <c r="C1460" s="69" t="s">
        <v>186</v>
      </c>
      <c r="D1460" s="69" t="s">
        <v>334</v>
      </c>
      <c r="E1460" s="69" t="s">
        <v>242</v>
      </c>
      <c r="F1460" s="69" t="s">
        <v>158</v>
      </c>
      <c r="G1460" s="69" t="s">
        <v>192</v>
      </c>
      <c r="H1460" s="69" t="s">
        <v>804</v>
      </c>
      <c r="I1460" s="69">
        <v>1</v>
      </c>
      <c r="J1460" s="238">
        <f t="shared" ca="1" si="4"/>
        <v>0.21172086720867206</v>
      </c>
      <c r="K1460" s="238">
        <f t="shared" ca="1" si="4"/>
        <v>0</v>
      </c>
      <c r="L1460" s="69">
        <v>283.70472328767124</v>
      </c>
      <c r="M1460" s="69">
        <v>-24.263013698630136</v>
      </c>
      <c r="N1460" s="69">
        <v>0</v>
      </c>
      <c r="O1460" s="69">
        <v>133.53658536585317</v>
      </c>
      <c r="P1460" s="69">
        <v>133.53658536585317</v>
      </c>
      <c r="Q1460" s="69">
        <v>133.53658536585317</v>
      </c>
      <c r="R1460" s="69">
        <v>133.53658536585317</v>
      </c>
      <c r="S1460" s="69">
        <v>133.53658536585317</v>
      </c>
      <c r="T1460" s="69">
        <v>133.53658536585317</v>
      </c>
      <c r="U1460" s="69">
        <v>133.53658536585317</v>
      </c>
      <c r="V1460" s="69">
        <v>133.53658536585317</v>
      </c>
      <c r="W1460" s="69">
        <v>133.53658536585317</v>
      </c>
      <c r="X1460" s="69">
        <v>133.53658536585317</v>
      </c>
      <c r="Y1460" s="69">
        <v>133.53658536585317</v>
      </c>
      <c r="Z1460" s="69">
        <v>133.53658536585317</v>
      </c>
      <c r="AA1460" s="69">
        <v>133.53658536585317</v>
      </c>
      <c r="AB1460" s="69">
        <v>133.53658536585317</v>
      </c>
      <c r="AC1460" s="69">
        <v>133.53658536585317</v>
      </c>
      <c r="AD1460" s="69">
        <v>133.53658536585317</v>
      </c>
      <c r="AE1460" s="69">
        <v>133.53658536585317</v>
      </c>
      <c r="AF1460" s="69">
        <v>133.53658536585317</v>
      </c>
      <c r="AG1460" s="69">
        <v>133.53658536585317</v>
      </c>
    </row>
    <row r="1461" spans="1:33">
      <c r="A1461" s="69" t="s">
        <v>2381</v>
      </c>
      <c r="B1461" s="69" t="s">
        <v>351</v>
      </c>
      <c r="C1461" s="69" t="s">
        <v>186</v>
      </c>
      <c r="D1461" s="69" t="s">
        <v>334</v>
      </c>
      <c r="E1461" s="69" t="s">
        <v>242</v>
      </c>
      <c r="F1461" s="69" t="s">
        <v>158</v>
      </c>
      <c r="G1461" s="69" t="s">
        <v>192</v>
      </c>
      <c r="H1461" s="69" t="s">
        <v>804</v>
      </c>
      <c r="I1461" s="69">
        <v>1</v>
      </c>
      <c r="J1461" s="238">
        <f t="shared" ca="1" si="4"/>
        <v>0.21172086720867206</v>
      </c>
      <c r="K1461" s="238">
        <f t="shared" ca="1" si="4"/>
        <v>0</v>
      </c>
      <c r="L1461" s="69">
        <v>283.70472328767124</v>
      </c>
      <c r="M1461" s="69">
        <v>-24.263013698630136</v>
      </c>
      <c r="N1461" s="69">
        <v>0</v>
      </c>
      <c r="O1461" s="69">
        <v>0</v>
      </c>
      <c r="P1461" s="69">
        <v>133.53658536585317</v>
      </c>
      <c r="Q1461" s="69">
        <v>133.53658536585317</v>
      </c>
      <c r="R1461" s="69">
        <v>133.53658536585317</v>
      </c>
      <c r="S1461" s="69">
        <v>133.53658536585317</v>
      </c>
      <c r="T1461" s="69">
        <v>133.53658536585317</v>
      </c>
      <c r="U1461" s="69">
        <v>133.53658536585317</v>
      </c>
      <c r="V1461" s="69">
        <v>133.53658536585317</v>
      </c>
      <c r="W1461" s="69">
        <v>133.53658536585317</v>
      </c>
      <c r="X1461" s="69">
        <v>133.53658536585317</v>
      </c>
      <c r="Y1461" s="69">
        <v>133.53658536585317</v>
      </c>
      <c r="Z1461" s="69">
        <v>133.53658536585317</v>
      </c>
      <c r="AA1461" s="69">
        <v>133.53658536585317</v>
      </c>
      <c r="AB1461" s="69">
        <v>133.53658536585317</v>
      </c>
      <c r="AC1461" s="69">
        <v>133.53658536585317</v>
      </c>
      <c r="AD1461" s="69">
        <v>133.53658536585317</v>
      </c>
      <c r="AE1461" s="69">
        <v>133.53658536585317</v>
      </c>
      <c r="AF1461" s="69">
        <v>133.53658536585317</v>
      </c>
      <c r="AG1461" s="69">
        <v>133.53658536585317</v>
      </c>
    </row>
    <row r="1462" spans="1:33">
      <c r="A1462" s="69" t="s">
        <v>2381</v>
      </c>
      <c r="B1462" s="69" t="s">
        <v>352</v>
      </c>
      <c r="C1462" s="69" t="s">
        <v>186</v>
      </c>
      <c r="D1462" s="69" t="s">
        <v>334</v>
      </c>
      <c r="E1462" s="69" t="s">
        <v>242</v>
      </c>
      <c r="F1462" s="69" t="s">
        <v>158</v>
      </c>
      <c r="G1462" s="69" t="s">
        <v>192</v>
      </c>
      <c r="H1462" s="69" t="s">
        <v>804</v>
      </c>
      <c r="I1462" s="69">
        <v>1</v>
      </c>
      <c r="J1462" s="238">
        <f t="shared" ca="1" si="4"/>
        <v>0.21172086720867206</v>
      </c>
      <c r="K1462" s="238">
        <f t="shared" ca="1" si="4"/>
        <v>0</v>
      </c>
      <c r="L1462" s="69">
        <v>283.70472328767124</v>
      </c>
      <c r="M1462" s="69">
        <v>-24.263013698630136</v>
      </c>
      <c r="N1462" s="69">
        <v>0</v>
      </c>
      <c r="O1462" s="69">
        <v>0</v>
      </c>
      <c r="P1462" s="69">
        <v>0</v>
      </c>
      <c r="Q1462" s="69">
        <v>133.53658536585317</v>
      </c>
      <c r="R1462" s="69">
        <v>133.53658536585317</v>
      </c>
      <c r="S1462" s="69">
        <v>133.53658536585317</v>
      </c>
      <c r="T1462" s="69">
        <v>133.53658536585317</v>
      </c>
      <c r="U1462" s="69">
        <v>133.53658536585317</v>
      </c>
      <c r="V1462" s="69">
        <v>133.53658536585317</v>
      </c>
      <c r="W1462" s="69">
        <v>133.53658536585317</v>
      </c>
      <c r="X1462" s="69">
        <v>133.53658536585317</v>
      </c>
      <c r="Y1462" s="69">
        <v>133.53658536585317</v>
      </c>
      <c r="Z1462" s="69">
        <v>133.53658536585317</v>
      </c>
      <c r="AA1462" s="69">
        <v>133.53658536585317</v>
      </c>
      <c r="AB1462" s="69">
        <v>133.53658536585317</v>
      </c>
      <c r="AC1462" s="69">
        <v>133.53658536585317</v>
      </c>
      <c r="AD1462" s="69">
        <v>133.53658536585317</v>
      </c>
      <c r="AE1462" s="69">
        <v>133.53658536585317</v>
      </c>
      <c r="AF1462" s="69">
        <v>133.53658536585317</v>
      </c>
      <c r="AG1462" s="69">
        <v>133.53658536585317</v>
      </c>
    </row>
    <row r="1463" spans="1:33">
      <c r="A1463" s="69" t="s">
        <v>2381</v>
      </c>
      <c r="B1463" s="69" t="s">
        <v>353</v>
      </c>
      <c r="C1463" s="69" t="s">
        <v>186</v>
      </c>
      <c r="D1463" s="69" t="s">
        <v>334</v>
      </c>
      <c r="E1463" s="69" t="s">
        <v>242</v>
      </c>
      <c r="F1463" s="69" t="s">
        <v>158</v>
      </c>
      <c r="G1463" s="69" t="s">
        <v>192</v>
      </c>
      <c r="H1463" s="69" t="s">
        <v>804</v>
      </c>
      <c r="I1463" s="69">
        <v>1</v>
      </c>
      <c r="J1463" s="238">
        <f t="shared" ca="1" si="4"/>
        <v>0.21172086720867206</v>
      </c>
      <c r="K1463" s="238">
        <f t="shared" ca="1" si="4"/>
        <v>0</v>
      </c>
      <c r="L1463" s="69">
        <v>283.70472328767124</v>
      </c>
      <c r="M1463" s="69">
        <v>-24.263013698630136</v>
      </c>
      <c r="N1463" s="69">
        <v>0</v>
      </c>
      <c r="O1463" s="69">
        <v>0</v>
      </c>
      <c r="P1463" s="69">
        <v>0</v>
      </c>
      <c r="Q1463" s="69">
        <v>0</v>
      </c>
      <c r="R1463" s="69">
        <v>133.53658536585317</v>
      </c>
      <c r="S1463" s="69">
        <v>133.53658536585317</v>
      </c>
      <c r="T1463" s="69">
        <v>133.53658536585317</v>
      </c>
      <c r="U1463" s="69">
        <v>133.53658536585317</v>
      </c>
      <c r="V1463" s="69">
        <v>133.53658536585317</v>
      </c>
      <c r="W1463" s="69">
        <v>133.53658536585317</v>
      </c>
      <c r="X1463" s="69">
        <v>133.53658536585317</v>
      </c>
      <c r="Y1463" s="69">
        <v>133.53658536585317</v>
      </c>
      <c r="Z1463" s="69">
        <v>133.53658536585317</v>
      </c>
      <c r="AA1463" s="69">
        <v>133.53658536585317</v>
      </c>
      <c r="AB1463" s="69">
        <v>133.53658536585317</v>
      </c>
      <c r="AC1463" s="69">
        <v>133.53658536585317</v>
      </c>
      <c r="AD1463" s="69">
        <v>133.53658536585317</v>
      </c>
      <c r="AE1463" s="69">
        <v>133.53658536585317</v>
      </c>
      <c r="AF1463" s="69">
        <v>133.53658536585317</v>
      </c>
      <c r="AG1463" s="69">
        <v>133.53658536585317</v>
      </c>
    </row>
    <row r="1464" spans="1:33">
      <c r="A1464" s="69" t="s">
        <v>2381</v>
      </c>
      <c r="B1464" s="69" t="s">
        <v>354</v>
      </c>
      <c r="C1464" s="69" t="s">
        <v>186</v>
      </c>
      <c r="D1464" s="69" t="s">
        <v>334</v>
      </c>
      <c r="E1464" s="69" t="s">
        <v>242</v>
      </c>
      <c r="F1464" s="69" t="s">
        <v>159</v>
      </c>
      <c r="G1464" s="69" t="s">
        <v>192</v>
      </c>
      <c r="H1464" s="69" t="s">
        <v>2130</v>
      </c>
      <c r="I1464" s="69">
        <v>1</v>
      </c>
      <c r="J1464" s="238">
        <f t="shared" ca="1" si="4"/>
        <v>0.21172086720867209</v>
      </c>
      <c r="K1464" s="238">
        <f t="shared" ca="1" si="4"/>
        <v>0</v>
      </c>
      <c r="L1464" s="69">
        <v>283.7047232876713</v>
      </c>
      <c r="M1464" s="69">
        <v>-24.263013698630136</v>
      </c>
      <c r="N1464" s="69">
        <v>12.675377468060105</v>
      </c>
      <c r="O1464" s="69">
        <v>12.675377468060105</v>
      </c>
      <c r="P1464" s="69">
        <v>12.675377468060105</v>
      </c>
      <c r="Q1464" s="69">
        <v>12.675377468060105</v>
      </c>
      <c r="R1464" s="69">
        <v>12.675377468060105</v>
      </c>
      <c r="S1464" s="69">
        <v>12.675377468060105</v>
      </c>
      <c r="T1464" s="69">
        <v>12.675377468060105</v>
      </c>
      <c r="U1464" s="69">
        <v>12.675377468060105</v>
      </c>
      <c r="V1464" s="69">
        <v>12.675377468060105</v>
      </c>
      <c r="W1464" s="69">
        <v>12.675377468060105</v>
      </c>
      <c r="X1464" s="69">
        <v>12.675377468060105</v>
      </c>
      <c r="Y1464" s="69">
        <v>12.675377468060105</v>
      </c>
      <c r="Z1464" s="69">
        <v>12.675377468060105</v>
      </c>
      <c r="AA1464" s="69">
        <v>12.675377468060105</v>
      </c>
      <c r="AB1464" s="69">
        <v>12.675377468060105</v>
      </c>
      <c r="AC1464" s="69">
        <v>12.675377468060105</v>
      </c>
      <c r="AD1464" s="69">
        <v>12.675377468060105</v>
      </c>
      <c r="AE1464" s="69">
        <v>12.675377468060105</v>
      </c>
      <c r="AF1464" s="69">
        <v>12.675377468060105</v>
      </c>
      <c r="AG1464" s="69">
        <v>12.675377468060105</v>
      </c>
    </row>
    <row r="1465" spans="1:33">
      <c r="A1465" s="69" t="s">
        <v>2381</v>
      </c>
      <c r="B1465" s="69" t="s">
        <v>355</v>
      </c>
      <c r="C1465" s="69" t="s">
        <v>186</v>
      </c>
      <c r="D1465" s="69" t="s">
        <v>334</v>
      </c>
      <c r="E1465" s="69" t="s">
        <v>244</v>
      </c>
      <c r="F1465" s="69" t="s">
        <v>159</v>
      </c>
      <c r="G1465" s="69" t="s">
        <v>192</v>
      </c>
      <c r="H1465" s="69" t="s">
        <v>2130</v>
      </c>
      <c r="I1465" s="69">
        <v>1</v>
      </c>
      <c r="J1465" s="238">
        <f t="shared" ca="1" si="4"/>
        <v>0.22877454801945279</v>
      </c>
      <c r="K1465" s="238">
        <f t="shared" ca="1" si="4"/>
        <v>0</v>
      </c>
      <c r="L1465" s="69">
        <v>262.55634888438135</v>
      </c>
      <c r="M1465" s="69">
        <v>-22.454361054766736</v>
      </c>
      <c r="N1465" s="69">
        <v>7.1459233449477324</v>
      </c>
      <c r="O1465" s="69">
        <v>7.1459233449477324</v>
      </c>
      <c r="P1465" s="69">
        <v>7.1459233449477324</v>
      </c>
      <c r="Q1465" s="69">
        <v>7.1459233449477324</v>
      </c>
      <c r="R1465" s="69">
        <v>7.1459233449477324</v>
      </c>
      <c r="S1465" s="69">
        <v>7.1459233449477324</v>
      </c>
      <c r="T1465" s="69">
        <v>7.1459233449477324</v>
      </c>
      <c r="U1465" s="69">
        <v>7.1459233449477324</v>
      </c>
      <c r="V1465" s="69">
        <v>7.1459233449477324</v>
      </c>
      <c r="W1465" s="69">
        <v>7.1459233449477324</v>
      </c>
      <c r="X1465" s="69">
        <v>7.1459233449477324</v>
      </c>
      <c r="Y1465" s="69">
        <v>7.1459233449477324</v>
      </c>
      <c r="Z1465" s="69">
        <v>7.1459233449477324</v>
      </c>
      <c r="AA1465" s="69">
        <v>7.1459233449477324</v>
      </c>
      <c r="AB1465" s="69">
        <v>7.1459233449477324</v>
      </c>
      <c r="AC1465" s="69">
        <v>7.1459233449477324</v>
      </c>
      <c r="AD1465" s="69">
        <v>7.1459233449477324</v>
      </c>
      <c r="AE1465" s="69">
        <v>7.1459233449477324</v>
      </c>
      <c r="AF1465" s="69">
        <v>7.1459233449477324</v>
      </c>
      <c r="AG1465" s="69">
        <v>7.1459233449477324</v>
      </c>
    </row>
    <row r="1466" spans="1:33">
      <c r="A1466" s="69" t="s">
        <v>2381</v>
      </c>
      <c r="B1466" s="69" t="s">
        <v>356</v>
      </c>
      <c r="C1466" s="69" t="s">
        <v>186</v>
      </c>
      <c r="D1466" s="69" t="s">
        <v>334</v>
      </c>
      <c r="E1466" s="69" t="s">
        <v>242</v>
      </c>
      <c r="F1466" s="69" t="s">
        <v>159</v>
      </c>
      <c r="G1466" s="69" t="s">
        <v>192</v>
      </c>
      <c r="H1466" s="69" t="s">
        <v>2130</v>
      </c>
      <c r="I1466" s="69">
        <v>1</v>
      </c>
      <c r="J1466" s="238">
        <f t="shared" ca="1" si="4"/>
        <v>0.21172086720867209</v>
      </c>
      <c r="K1466" s="238">
        <f t="shared" ca="1" si="4"/>
        <v>0</v>
      </c>
      <c r="L1466" s="69">
        <v>283.7047232876713</v>
      </c>
      <c r="M1466" s="69">
        <v>-24.263013698630136</v>
      </c>
      <c r="N1466" s="69">
        <v>0</v>
      </c>
      <c r="O1466" s="69">
        <v>12.675377468060105</v>
      </c>
      <c r="P1466" s="69">
        <v>12.675377468060105</v>
      </c>
      <c r="Q1466" s="69">
        <v>12.675377468060105</v>
      </c>
      <c r="R1466" s="69">
        <v>12.675377468060105</v>
      </c>
      <c r="S1466" s="69">
        <v>12.675377468060105</v>
      </c>
      <c r="T1466" s="69">
        <v>12.675377468060105</v>
      </c>
      <c r="U1466" s="69">
        <v>12.675377468060105</v>
      </c>
      <c r="V1466" s="69">
        <v>12.675377468060105</v>
      </c>
      <c r="W1466" s="69">
        <v>12.675377468060105</v>
      </c>
      <c r="X1466" s="69">
        <v>12.675377468060105</v>
      </c>
      <c r="Y1466" s="69">
        <v>12.675377468060105</v>
      </c>
      <c r="Z1466" s="69">
        <v>12.675377468060105</v>
      </c>
      <c r="AA1466" s="69">
        <v>12.675377468060105</v>
      </c>
      <c r="AB1466" s="69">
        <v>12.675377468060105</v>
      </c>
      <c r="AC1466" s="69">
        <v>12.675377468060105</v>
      </c>
      <c r="AD1466" s="69">
        <v>12.675377468060105</v>
      </c>
      <c r="AE1466" s="69">
        <v>12.675377468060105</v>
      </c>
      <c r="AF1466" s="69">
        <v>12.675377468060105</v>
      </c>
      <c r="AG1466" s="69">
        <v>12.675377468060105</v>
      </c>
    </row>
    <row r="1467" spans="1:33">
      <c r="A1467" s="69" t="s">
        <v>2381</v>
      </c>
      <c r="B1467" s="69" t="s">
        <v>357</v>
      </c>
      <c r="C1467" s="69" t="s">
        <v>186</v>
      </c>
      <c r="D1467" s="69" t="s">
        <v>334</v>
      </c>
      <c r="E1467" s="69" t="s">
        <v>244</v>
      </c>
      <c r="F1467" s="69" t="s">
        <v>159</v>
      </c>
      <c r="G1467" s="69" t="s">
        <v>192</v>
      </c>
      <c r="H1467" s="69" t="s">
        <v>2130</v>
      </c>
      <c r="I1467" s="69">
        <v>1</v>
      </c>
      <c r="J1467" s="238">
        <f t="shared" ca="1" si="4"/>
        <v>0.22877454801945279</v>
      </c>
      <c r="K1467" s="238">
        <f t="shared" ca="1" si="4"/>
        <v>0</v>
      </c>
      <c r="L1467" s="69">
        <v>262.55634888438135</v>
      </c>
      <c r="M1467" s="69">
        <v>-22.454361054766736</v>
      </c>
      <c r="N1467" s="69">
        <v>0</v>
      </c>
      <c r="O1467" s="69">
        <v>7.1459233449477324</v>
      </c>
      <c r="P1467" s="69">
        <v>7.1459233449477324</v>
      </c>
      <c r="Q1467" s="69">
        <v>7.1459233449477324</v>
      </c>
      <c r="R1467" s="69">
        <v>7.1459233449477324</v>
      </c>
      <c r="S1467" s="69">
        <v>7.1459233449477324</v>
      </c>
      <c r="T1467" s="69">
        <v>7.1459233449477324</v>
      </c>
      <c r="U1467" s="69">
        <v>7.1459233449477324</v>
      </c>
      <c r="V1467" s="69">
        <v>7.1459233449477324</v>
      </c>
      <c r="W1467" s="69">
        <v>7.1459233449477324</v>
      </c>
      <c r="X1467" s="69">
        <v>7.1459233449477324</v>
      </c>
      <c r="Y1467" s="69">
        <v>7.1459233449477324</v>
      </c>
      <c r="Z1467" s="69">
        <v>7.1459233449477324</v>
      </c>
      <c r="AA1467" s="69">
        <v>7.1459233449477324</v>
      </c>
      <c r="AB1467" s="69">
        <v>7.1459233449477324</v>
      </c>
      <c r="AC1467" s="69">
        <v>7.1459233449477324</v>
      </c>
      <c r="AD1467" s="69">
        <v>7.1459233449477324</v>
      </c>
      <c r="AE1467" s="69">
        <v>7.1459233449477324</v>
      </c>
      <c r="AF1467" s="69">
        <v>7.1459233449477324</v>
      </c>
      <c r="AG1467" s="69">
        <v>7.1459233449477324</v>
      </c>
    </row>
    <row r="1468" spans="1:33">
      <c r="A1468" s="69" t="s">
        <v>2381</v>
      </c>
      <c r="B1468" s="69" t="s">
        <v>358</v>
      </c>
      <c r="C1468" s="69" t="s">
        <v>186</v>
      </c>
      <c r="D1468" s="69" t="s">
        <v>334</v>
      </c>
      <c r="E1468" s="69" t="s">
        <v>242</v>
      </c>
      <c r="F1468" s="69" t="s">
        <v>159</v>
      </c>
      <c r="G1468" s="69" t="s">
        <v>192</v>
      </c>
      <c r="H1468" s="69" t="s">
        <v>2130</v>
      </c>
      <c r="I1468" s="69">
        <v>1</v>
      </c>
      <c r="J1468" s="238">
        <f t="shared" ca="1" si="4"/>
        <v>0.21172086720867209</v>
      </c>
      <c r="K1468" s="238">
        <f t="shared" ca="1" si="4"/>
        <v>0</v>
      </c>
      <c r="L1468" s="69">
        <v>283.7047232876713</v>
      </c>
      <c r="M1468" s="69">
        <v>-24.263013698630136</v>
      </c>
      <c r="N1468" s="69">
        <v>0</v>
      </c>
      <c r="O1468" s="69">
        <v>0</v>
      </c>
      <c r="P1468" s="69">
        <v>12.675377468060105</v>
      </c>
      <c r="Q1468" s="69">
        <v>12.675377468060105</v>
      </c>
      <c r="R1468" s="69">
        <v>12.675377468060105</v>
      </c>
      <c r="S1468" s="69">
        <v>12.675377468060105</v>
      </c>
      <c r="T1468" s="69">
        <v>12.675377468060105</v>
      </c>
      <c r="U1468" s="69">
        <v>12.675377468060105</v>
      </c>
      <c r="V1468" s="69">
        <v>12.675377468060105</v>
      </c>
      <c r="W1468" s="69">
        <v>12.675377468060105</v>
      </c>
      <c r="X1468" s="69">
        <v>12.675377468060105</v>
      </c>
      <c r="Y1468" s="69">
        <v>12.675377468060105</v>
      </c>
      <c r="Z1468" s="69">
        <v>12.675377468060105</v>
      </c>
      <c r="AA1468" s="69">
        <v>12.675377468060105</v>
      </c>
      <c r="AB1468" s="69">
        <v>12.675377468060105</v>
      </c>
      <c r="AC1468" s="69">
        <v>12.675377468060105</v>
      </c>
      <c r="AD1468" s="69">
        <v>12.675377468060105</v>
      </c>
      <c r="AE1468" s="69">
        <v>12.675377468060105</v>
      </c>
      <c r="AF1468" s="69">
        <v>12.675377468060105</v>
      </c>
      <c r="AG1468" s="69">
        <v>12.675377468060105</v>
      </c>
    </row>
    <row r="1469" spans="1:33">
      <c r="A1469" s="69" t="s">
        <v>2381</v>
      </c>
      <c r="B1469" s="69" t="s">
        <v>359</v>
      </c>
      <c r="C1469" s="69" t="s">
        <v>186</v>
      </c>
      <c r="D1469" s="69" t="s">
        <v>334</v>
      </c>
      <c r="E1469" s="69" t="s">
        <v>244</v>
      </c>
      <c r="F1469" s="69" t="s">
        <v>159</v>
      </c>
      <c r="G1469" s="69" t="s">
        <v>192</v>
      </c>
      <c r="H1469" s="69" t="s">
        <v>2130</v>
      </c>
      <c r="I1469" s="69">
        <v>1</v>
      </c>
      <c r="J1469" s="238">
        <f t="shared" ca="1" si="4"/>
        <v>0.22877454801945279</v>
      </c>
      <c r="K1469" s="238">
        <f t="shared" ca="1" si="4"/>
        <v>0</v>
      </c>
      <c r="L1469" s="69">
        <v>262.55634888438135</v>
      </c>
      <c r="M1469" s="69">
        <v>-22.454361054766736</v>
      </c>
      <c r="N1469" s="69">
        <v>0</v>
      </c>
      <c r="O1469" s="69">
        <v>0</v>
      </c>
      <c r="P1469" s="69">
        <v>7.1459233449477324</v>
      </c>
      <c r="Q1469" s="69">
        <v>7.1459233449477324</v>
      </c>
      <c r="R1469" s="69">
        <v>7.1459233449477324</v>
      </c>
      <c r="S1469" s="69">
        <v>7.1459233449477324</v>
      </c>
      <c r="T1469" s="69">
        <v>7.1459233449477324</v>
      </c>
      <c r="U1469" s="69">
        <v>7.1459233449477324</v>
      </c>
      <c r="V1469" s="69">
        <v>7.1459233449477324</v>
      </c>
      <c r="W1469" s="69">
        <v>7.1459233449477324</v>
      </c>
      <c r="X1469" s="69">
        <v>7.1459233449477324</v>
      </c>
      <c r="Y1469" s="69">
        <v>7.1459233449477324</v>
      </c>
      <c r="Z1469" s="69">
        <v>7.1459233449477324</v>
      </c>
      <c r="AA1469" s="69">
        <v>7.1459233449477324</v>
      </c>
      <c r="AB1469" s="69">
        <v>7.1459233449477324</v>
      </c>
      <c r="AC1469" s="69">
        <v>7.1459233449477324</v>
      </c>
      <c r="AD1469" s="69">
        <v>7.1459233449477324</v>
      </c>
      <c r="AE1469" s="69">
        <v>7.1459233449477324</v>
      </c>
      <c r="AF1469" s="69">
        <v>7.1459233449477324</v>
      </c>
      <c r="AG1469" s="69">
        <v>7.1459233449477324</v>
      </c>
    </row>
    <row r="1470" spans="1:33">
      <c r="A1470" s="69" t="s">
        <v>2381</v>
      </c>
      <c r="B1470" s="69" t="s">
        <v>360</v>
      </c>
      <c r="C1470" s="69" t="s">
        <v>186</v>
      </c>
      <c r="D1470" s="69" t="s">
        <v>334</v>
      </c>
      <c r="E1470" s="69" t="s">
        <v>242</v>
      </c>
      <c r="F1470" s="69" t="s">
        <v>159</v>
      </c>
      <c r="G1470" s="69" t="s">
        <v>192</v>
      </c>
      <c r="H1470" s="69" t="s">
        <v>2130</v>
      </c>
      <c r="I1470" s="69">
        <v>1</v>
      </c>
      <c r="J1470" s="238">
        <f t="shared" ca="1" si="4"/>
        <v>0.21172086720867209</v>
      </c>
      <c r="K1470" s="238">
        <f t="shared" ca="1" si="4"/>
        <v>0</v>
      </c>
      <c r="L1470" s="69">
        <v>283.7047232876713</v>
      </c>
      <c r="M1470" s="69">
        <v>-24.263013698630136</v>
      </c>
      <c r="N1470" s="69">
        <v>0</v>
      </c>
      <c r="O1470" s="69">
        <v>0</v>
      </c>
      <c r="P1470" s="69">
        <v>0</v>
      </c>
      <c r="Q1470" s="69">
        <v>12.675377468060105</v>
      </c>
      <c r="R1470" s="69">
        <v>12.675377468060105</v>
      </c>
      <c r="S1470" s="69">
        <v>12.675377468060105</v>
      </c>
      <c r="T1470" s="69">
        <v>12.675377468060105</v>
      </c>
      <c r="U1470" s="69">
        <v>12.675377468060105</v>
      </c>
      <c r="V1470" s="69">
        <v>12.675377468060105</v>
      </c>
      <c r="W1470" s="69">
        <v>12.675377468060105</v>
      </c>
      <c r="X1470" s="69">
        <v>12.675377468060105</v>
      </c>
      <c r="Y1470" s="69">
        <v>12.675377468060105</v>
      </c>
      <c r="Z1470" s="69">
        <v>12.675377468060105</v>
      </c>
      <c r="AA1470" s="69">
        <v>12.675377468060105</v>
      </c>
      <c r="AB1470" s="69">
        <v>12.675377468060105</v>
      </c>
      <c r="AC1470" s="69">
        <v>12.675377468060105</v>
      </c>
      <c r="AD1470" s="69">
        <v>12.675377468060105</v>
      </c>
      <c r="AE1470" s="69">
        <v>12.675377468060105</v>
      </c>
      <c r="AF1470" s="69">
        <v>12.675377468060105</v>
      </c>
      <c r="AG1470" s="69">
        <v>12.675377468060105</v>
      </c>
    </row>
    <row r="1471" spans="1:33">
      <c r="A1471" s="69" t="s">
        <v>2381</v>
      </c>
      <c r="B1471" s="69" t="s">
        <v>361</v>
      </c>
      <c r="C1471" s="69" t="s">
        <v>186</v>
      </c>
      <c r="D1471" s="69" t="s">
        <v>334</v>
      </c>
      <c r="E1471" s="69" t="s">
        <v>244</v>
      </c>
      <c r="F1471" s="69" t="s">
        <v>159</v>
      </c>
      <c r="G1471" s="69" t="s">
        <v>192</v>
      </c>
      <c r="H1471" s="69" t="s">
        <v>2130</v>
      </c>
      <c r="I1471" s="69">
        <v>1</v>
      </c>
      <c r="J1471" s="238">
        <f t="shared" ca="1" si="4"/>
        <v>0.22877454801945279</v>
      </c>
      <c r="K1471" s="238">
        <f t="shared" ca="1" si="4"/>
        <v>0</v>
      </c>
      <c r="L1471" s="69">
        <v>262.55634888438135</v>
      </c>
      <c r="M1471" s="69">
        <v>-22.454361054766736</v>
      </c>
      <c r="N1471" s="69">
        <v>0</v>
      </c>
      <c r="O1471" s="69">
        <v>0</v>
      </c>
      <c r="P1471" s="69">
        <v>0</v>
      </c>
      <c r="Q1471" s="69">
        <v>7.1459233449477324</v>
      </c>
      <c r="R1471" s="69">
        <v>7.1459233449477324</v>
      </c>
      <c r="S1471" s="69">
        <v>7.1459233449477324</v>
      </c>
      <c r="T1471" s="69">
        <v>7.1459233449477324</v>
      </c>
      <c r="U1471" s="69">
        <v>7.1459233449477324</v>
      </c>
      <c r="V1471" s="69">
        <v>7.1459233449477324</v>
      </c>
      <c r="W1471" s="69">
        <v>7.1459233449477324</v>
      </c>
      <c r="X1471" s="69">
        <v>7.1459233449477324</v>
      </c>
      <c r="Y1471" s="69">
        <v>7.1459233449477324</v>
      </c>
      <c r="Z1471" s="69">
        <v>7.1459233449477324</v>
      </c>
      <c r="AA1471" s="69">
        <v>7.1459233449477324</v>
      </c>
      <c r="AB1471" s="69">
        <v>7.1459233449477324</v>
      </c>
      <c r="AC1471" s="69">
        <v>7.1459233449477324</v>
      </c>
      <c r="AD1471" s="69">
        <v>7.1459233449477324</v>
      </c>
      <c r="AE1471" s="69">
        <v>7.1459233449477324</v>
      </c>
      <c r="AF1471" s="69">
        <v>7.1459233449477324</v>
      </c>
      <c r="AG1471" s="69">
        <v>7.1459233449477324</v>
      </c>
    </row>
    <row r="1472" spans="1:33">
      <c r="A1472" s="69" t="s">
        <v>2381</v>
      </c>
      <c r="B1472" s="69" t="s">
        <v>362</v>
      </c>
      <c r="C1472" s="69" t="s">
        <v>186</v>
      </c>
      <c r="D1472" s="69" t="s">
        <v>334</v>
      </c>
      <c r="E1472" s="69" t="s">
        <v>242</v>
      </c>
      <c r="F1472" s="69" t="s">
        <v>159</v>
      </c>
      <c r="G1472" s="69" t="s">
        <v>192</v>
      </c>
      <c r="H1472" s="69" t="s">
        <v>2130</v>
      </c>
      <c r="I1472" s="69">
        <v>1</v>
      </c>
      <c r="J1472" s="238">
        <f t="shared" ca="1" si="4"/>
        <v>0.21172086720867209</v>
      </c>
      <c r="K1472" s="238">
        <f t="shared" ca="1" si="4"/>
        <v>0</v>
      </c>
      <c r="L1472" s="69">
        <v>283.7047232876713</v>
      </c>
      <c r="M1472" s="69">
        <v>-24.263013698630136</v>
      </c>
      <c r="N1472" s="69">
        <v>0</v>
      </c>
      <c r="O1472" s="69">
        <v>0</v>
      </c>
      <c r="P1472" s="69">
        <v>0</v>
      </c>
      <c r="Q1472" s="69">
        <v>0</v>
      </c>
      <c r="R1472" s="69">
        <v>12.675377468060105</v>
      </c>
      <c r="S1472" s="69">
        <v>12.675377468060105</v>
      </c>
      <c r="T1472" s="69">
        <v>12.675377468060105</v>
      </c>
      <c r="U1472" s="69">
        <v>12.675377468060105</v>
      </c>
      <c r="V1472" s="69">
        <v>12.675377468060105</v>
      </c>
      <c r="W1472" s="69">
        <v>12.675377468060105</v>
      </c>
      <c r="X1472" s="69">
        <v>12.675377468060105</v>
      </c>
      <c r="Y1472" s="69">
        <v>12.675377468060105</v>
      </c>
      <c r="Z1472" s="69">
        <v>12.675377468060105</v>
      </c>
      <c r="AA1472" s="69">
        <v>12.675377468060105</v>
      </c>
      <c r="AB1472" s="69">
        <v>12.675377468060105</v>
      </c>
      <c r="AC1472" s="69">
        <v>12.675377468060105</v>
      </c>
      <c r="AD1472" s="69">
        <v>12.675377468060105</v>
      </c>
      <c r="AE1472" s="69">
        <v>12.675377468060105</v>
      </c>
      <c r="AF1472" s="69">
        <v>12.675377468060105</v>
      </c>
      <c r="AG1472" s="69">
        <v>12.675377468060105</v>
      </c>
    </row>
    <row r="1473" spans="1:33">
      <c r="A1473" s="69" t="s">
        <v>2381</v>
      </c>
      <c r="B1473" s="69" t="s">
        <v>363</v>
      </c>
      <c r="C1473" s="69" t="s">
        <v>186</v>
      </c>
      <c r="D1473" s="69" t="s">
        <v>334</v>
      </c>
      <c r="E1473" s="69" t="s">
        <v>244</v>
      </c>
      <c r="F1473" s="69" t="s">
        <v>159</v>
      </c>
      <c r="G1473" s="69" t="s">
        <v>192</v>
      </c>
      <c r="H1473" s="69" t="s">
        <v>2130</v>
      </c>
      <c r="I1473" s="69">
        <v>1</v>
      </c>
      <c r="J1473" s="238">
        <f t="shared" ca="1" si="4"/>
        <v>0.22877454801945279</v>
      </c>
      <c r="K1473" s="238">
        <f t="shared" ca="1" si="4"/>
        <v>0</v>
      </c>
      <c r="L1473" s="69">
        <v>262.55634888438135</v>
      </c>
      <c r="M1473" s="69">
        <v>-22.454361054766736</v>
      </c>
      <c r="N1473" s="69">
        <v>0</v>
      </c>
      <c r="O1473" s="69">
        <v>0</v>
      </c>
      <c r="P1473" s="69">
        <v>0</v>
      </c>
      <c r="Q1473" s="69">
        <v>0</v>
      </c>
      <c r="R1473" s="69">
        <v>7.1459233449477324</v>
      </c>
      <c r="S1473" s="69">
        <v>7.1459233449477324</v>
      </c>
      <c r="T1473" s="69">
        <v>7.1459233449477324</v>
      </c>
      <c r="U1473" s="69">
        <v>7.1459233449477324</v>
      </c>
      <c r="V1473" s="69">
        <v>7.1459233449477324</v>
      </c>
      <c r="W1473" s="69">
        <v>7.1459233449477324</v>
      </c>
      <c r="X1473" s="69">
        <v>7.1459233449477324</v>
      </c>
      <c r="Y1473" s="69">
        <v>7.1459233449477324</v>
      </c>
      <c r="Z1473" s="69">
        <v>7.1459233449477324</v>
      </c>
      <c r="AA1473" s="69">
        <v>7.1459233449477324</v>
      </c>
      <c r="AB1473" s="69">
        <v>7.1459233449477324</v>
      </c>
      <c r="AC1473" s="69">
        <v>7.1459233449477324</v>
      </c>
      <c r="AD1473" s="69">
        <v>7.1459233449477324</v>
      </c>
      <c r="AE1473" s="69">
        <v>7.1459233449477324</v>
      </c>
      <c r="AF1473" s="69">
        <v>7.1459233449477324</v>
      </c>
      <c r="AG1473" s="69">
        <v>7.1459233449477324</v>
      </c>
    </row>
    <row r="1474" spans="1:33">
      <c r="A1474" s="69" t="s">
        <v>2381</v>
      </c>
      <c r="B1474" s="69" t="s">
        <v>423</v>
      </c>
      <c r="C1474" s="69" t="s">
        <v>185</v>
      </c>
      <c r="D1474" s="69" t="s">
        <v>193</v>
      </c>
      <c r="E1474" s="69" t="s">
        <v>203</v>
      </c>
      <c r="F1474" s="69" t="s">
        <v>155</v>
      </c>
      <c r="G1474" s="69" t="s">
        <v>192</v>
      </c>
      <c r="H1474" s="69" t="s">
        <v>805</v>
      </c>
      <c r="I1474" s="69">
        <v>3</v>
      </c>
      <c r="J1474" s="238">
        <f t="shared" ca="1" si="4"/>
        <v>0.27845285353771942</v>
      </c>
      <c r="K1474" s="238">
        <f t="shared" ca="1" si="4"/>
        <v>0.63277303047366895</v>
      </c>
      <c r="L1474" s="69">
        <v>165.6639121820418</v>
      </c>
      <c r="M1474" s="69">
        <v>0</v>
      </c>
      <c r="N1474" s="69">
        <v>0</v>
      </c>
      <c r="O1474" s="69">
        <v>0</v>
      </c>
      <c r="P1474" s="69">
        <v>0</v>
      </c>
      <c r="Q1474" s="69">
        <v>0</v>
      </c>
      <c r="R1474" s="69">
        <v>0</v>
      </c>
      <c r="S1474" s="69">
        <v>243.92469969904189</v>
      </c>
      <c r="T1474" s="69">
        <v>243.92469969904189</v>
      </c>
      <c r="U1474" s="69">
        <v>243.92469969904189</v>
      </c>
      <c r="V1474" s="69">
        <v>243.92469969904189</v>
      </c>
      <c r="W1474" s="69">
        <v>243.92469969904189</v>
      </c>
      <c r="X1474" s="69">
        <v>243.92469969904189</v>
      </c>
      <c r="Y1474" s="69">
        <v>243.92469969904189</v>
      </c>
      <c r="Z1474" s="69">
        <v>243.92469969904189</v>
      </c>
      <c r="AA1474" s="69">
        <v>243.92469969904189</v>
      </c>
      <c r="AB1474" s="69">
        <v>243.92469969904189</v>
      </c>
      <c r="AC1474" s="69">
        <v>243.92469969904189</v>
      </c>
      <c r="AD1474" s="69">
        <v>243.92469969904189</v>
      </c>
      <c r="AE1474" s="69">
        <v>243.92469969904189</v>
      </c>
      <c r="AF1474" s="69">
        <v>243.92469969904189</v>
      </c>
      <c r="AG1474" s="69">
        <v>243.92469969904189</v>
      </c>
    </row>
    <row r="1475" spans="1:33">
      <c r="A1475" s="69" t="s">
        <v>2381</v>
      </c>
      <c r="B1475" s="69" t="s">
        <v>424</v>
      </c>
      <c r="C1475" s="69" t="s">
        <v>185</v>
      </c>
      <c r="D1475" s="69" t="s">
        <v>193</v>
      </c>
      <c r="E1475" s="69" t="s">
        <v>194</v>
      </c>
      <c r="F1475" s="69" t="s">
        <v>170</v>
      </c>
      <c r="G1475" s="69" t="s">
        <v>192</v>
      </c>
      <c r="H1475" s="69" t="s">
        <v>804</v>
      </c>
      <c r="I1475" s="69">
        <v>3</v>
      </c>
      <c r="J1475" s="238">
        <f t="shared" ca="1" si="4"/>
        <v>0.29747541147361495</v>
      </c>
      <c r="K1475" s="238">
        <f t="shared" ca="1" si="4"/>
        <v>0.64178864414683756</v>
      </c>
      <c r="L1475" s="69">
        <v>154.74983877406962</v>
      </c>
      <c r="M1475" s="69">
        <v>0</v>
      </c>
      <c r="N1475" s="69">
        <v>0</v>
      </c>
      <c r="O1475" s="69">
        <v>0</v>
      </c>
      <c r="P1475" s="69">
        <v>0</v>
      </c>
      <c r="Q1475" s="69">
        <v>0</v>
      </c>
      <c r="R1475" s="69">
        <v>0</v>
      </c>
      <c r="S1475" s="69">
        <v>0</v>
      </c>
      <c r="T1475" s="69">
        <v>0</v>
      </c>
      <c r="U1475" s="69">
        <v>0</v>
      </c>
      <c r="V1475" s="69">
        <v>4.8930620875417103</v>
      </c>
      <c r="W1475" s="69">
        <v>4.8930620875417103</v>
      </c>
      <c r="X1475" s="69">
        <v>4.8930620875417103</v>
      </c>
      <c r="Y1475" s="69">
        <v>4.8930620875417103</v>
      </c>
      <c r="Z1475" s="69">
        <v>4.8930620875417103</v>
      </c>
      <c r="AA1475" s="69">
        <v>4.8930620875417103</v>
      </c>
      <c r="AB1475" s="69">
        <v>4.8930620875417103</v>
      </c>
      <c r="AC1475" s="69">
        <v>4.8930620875417103</v>
      </c>
      <c r="AD1475" s="69">
        <v>4.8930620875417103</v>
      </c>
      <c r="AE1475" s="69">
        <v>4.8930620875417103</v>
      </c>
      <c r="AF1475" s="69">
        <v>4.8930620875417103</v>
      </c>
      <c r="AG1475" s="69">
        <v>4.8930620875417103</v>
      </c>
    </row>
    <row r="1476" spans="1:33" ht="12.75" customHeight="1">
      <c r="A1476" s="237" t="s">
        <v>2379</v>
      </c>
      <c r="B1476" s="69" t="s">
        <v>2189</v>
      </c>
      <c r="C1476" s="69" t="s">
        <v>137</v>
      </c>
      <c r="G1476" s="69" t="s">
        <v>214</v>
      </c>
      <c r="H1476" s="69" t="s">
        <v>2417</v>
      </c>
      <c r="I1476" s="69">
        <v>1</v>
      </c>
      <c r="J1476" s="238">
        <v>0.312</v>
      </c>
      <c r="K1476" s="238">
        <v>0</v>
      </c>
      <c r="L1476" s="69">
        <v>92.297447605666775</v>
      </c>
      <c r="M1476" s="69">
        <v>0</v>
      </c>
      <c r="N1476" s="69">
        <v>175</v>
      </c>
      <c r="O1476" s="69">
        <v>465.4</v>
      </c>
      <c r="P1476" s="69">
        <v>999.4</v>
      </c>
      <c r="Q1476" s="69">
        <v>999.4</v>
      </c>
      <c r="R1476" s="69">
        <v>824.4</v>
      </c>
      <c r="S1476" s="69">
        <v>824.4</v>
      </c>
      <c r="T1476" s="69">
        <v>824.4</v>
      </c>
      <c r="U1476" s="69">
        <v>824.4</v>
      </c>
      <c r="V1476" s="69">
        <v>824.4</v>
      </c>
      <c r="W1476" s="69">
        <v>824.4</v>
      </c>
      <c r="X1476" s="69">
        <v>824.4</v>
      </c>
      <c r="Y1476" s="69">
        <v>824.4</v>
      </c>
      <c r="Z1476" s="69">
        <v>824.4</v>
      </c>
      <c r="AA1476" s="69">
        <v>824.4</v>
      </c>
      <c r="AB1476" s="69">
        <v>824.4</v>
      </c>
      <c r="AC1476" s="69">
        <v>824.4</v>
      </c>
      <c r="AD1476" s="69">
        <v>824.4</v>
      </c>
      <c r="AE1476" s="69">
        <v>824.4</v>
      </c>
      <c r="AF1476" s="69">
        <v>824.4</v>
      </c>
      <c r="AG1476" s="69">
        <v>824.4</v>
      </c>
    </row>
    <row r="1477" spans="1:33" ht="12.75" customHeight="1">
      <c r="A1477" s="237" t="s">
        <v>2379</v>
      </c>
      <c r="B1477" s="69" t="s">
        <v>2190</v>
      </c>
      <c r="C1477" s="69" t="s">
        <v>137</v>
      </c>
      <c r="G1477" s="69" t="s">
        <v>214</v>
      </c>
      <c r="H1477" s="69" t="s">
        <v>2417</v>
      </c>
      <c r="I1477" s="69">
        <v>1</v>
      </c>
      <c r="J1477" s="238">
        <v>0.312</v>
      </c>
      <c r="K1477" s="238">
        <v>0</v>
      </c>
      <c r="L1477" s="69">
        <v>92.297447605666775</v>
      </c>
      <c r="M1477" s="69">
        <v>0</v>
      </c>
      <c r="N1477" s="69">
        <v>330</v>
      </c>
      <c r="O1477" s="69">
        <v>330</v>
      </c>
      <c r="P1477" s="69">
        <v>330</v>
      </c>
      <c r="Q1477" s="69">
        <v>330</v>
      </c>
      <c r="R1477" s="69">
        <v>0</v>
      </c>
      <c r="S1477" s="69">
        <v>0</v>
      </c>
      <c r="T1477" s="69">
        <v>0</v>
      </c>
      <c r="U1477" s="69">
        <v>0</v>
      </c>
      <c r="V1477" s="69">
        <v>0</v>
      </c>
      <c r="W1477" s="69">
        <v>0</v>
      </c>
      <c r="X1477" s="69">
        <v>0</v>
      </c>
      <c r="Y1477" s="69">
        <v>0</v>
      </c>
      <c r="Z1477" s="69">
        <v>0</v>
      </c>
      <c r="AA1477" s="69">
        <v>0</v>
      </c>
      <c r="AB1477" s="69">
        <v>0</v>
      </c>
      <c r="AC1477" s="69">
        <v>0</v>
      </c>
      <c r="AD1477" s="69">
        <v>0</v>
      </c>
      <c r="AE1477" s="69">
        <v>0</v>
      </c>
      <c r="AF1477" s="69">
        <v>0</v>
      </c>
      <c r="AG1477" s="69">
        <v>0</v>
      </c>
    </row>
    <row r="1478" spans="1:33" ht="12.75" customHeight="1">
      <c r="A1478" s="237" t="s">
        <v>2379</v>
      </c>
      <c r="B1478" s="69" t="s">
        <v>2191</v>
      </c>
      <c r="C1478" s="69" t="s">
        <v>185</v>
      </c>
      <c r="G1478" s="69" t="s">
        <v>192</v>
      </c>
      <c r="H1478" s="69" t="s">
        <v>805</v>
      </c>
      <c r="I1478" s="69">
        <v>1</v>
      </c>
      <c r="J1478" s="238">
        <v>0.26650000000000001</v>
      </c>
      <c r="K1478" s="238">
        <v>0.57242353861999196</v>
      </c>
      <c r="L1478" s="69">
        <v>139.78128453571153</v>
      </c>
      <c r="M1478" s="69">
        <v>0</v>
      </c>
      <c r="N1478" s="69">
        <v>235.5976766</v>
      </c>
      <c r="O1478" s="69">
        <v>507.48754159999999</v>
      </c>
      <c r="P1478" s="69">
        <v>883.74814160000005</v>
      </c>
      <c r="Q1478" s="69">
        <v>1375.754142</v>
      </c>
      <c r="R1478" s="69">
        <v>1416.986742</v>
      </c>
      <c r="S1478" s="69">
        <v>1413.1503419999999</v>
      </c>
      <c r="T1478" s="69">
        <v>1409.313942</v>
      </c>
      <c r="U1478" s="69">
        <v>1659.2770619999999</v>
      </c>
      <c r="V1478" s="69">
        <v>1984.296443</v>
      </c>
      <c r="W1478" s="69">
        <v>2277.6867820000002</v>
      </c>
      <c r="X1478" s="69">
        <v>2277.6867820000002</v>
      </c>
      <c r="Y1478" s="69">
        <v>2277.6867820000002</v>
      </c>
      <c r="Z1478" s="69">
        <v>2277.6867820000002</v>
      </c>
      <c r="AA1478" s="69">
        <v>2277.6867820000002</v>
      </c>
      <c r="AB1478" s="69">
        <v>2277.6867820000002</v>
      </c>
      <c r="AC1478" s="69">
        <v>2277.6867820000002</v>
      </c>
      <c r="AD1478" s="69">
        <v>2277.6867820000002</v>
      </c>
      <c r="AE1478" s="69">
        <v>2277.6867820000002</v>
      </c>
      <c r="AF1478" s="69">
        <v>2277.6867820000002</v>
      </c>
      <c r="AG1478" s="69">
        <v>2277.6867820000002</v>
      </c>
    </row>
    <row r="1479" spans="1:33" ht="12.75" customHeight="1">
      <c r="A1479" s="237" t="s">
        <v>2379</v>
      </c>
      <c r="B1479" s="69" t="s">
        <v>2192</v>
      </c>
      <c r="C1479" s="69" t="s">
        <v>185</v>
      </c>
      <c r="G1479" s="69" t="s">
        <v>192</v>
      </c>
      <c r="H1479" s="69" t="s">
        <v>804</v>
      </c>
      <c r="I1479" s="69">
        <v>1</v>
      </c>
      <c r="J1479" s="238">
        <v>0.28999999999999998</v>
      </c>
      <c r="K1479" s="238">
        <v>0.55854882869120503</v>
      </c>
      <c r="L1479" s="69">
        <v>128.45418044402459</v>
      </c>
      <c r="M1479" s="69">
        <v>0</v>
      </c>
      <c r="N1479" s="69">
        <v>119.6234279</v>
      </c>
      <c r="O1479" s="69">
        <v>377.3398282</v>
      </c>
      <c r="P1479" s="69">
        <v>562.22449819999997</v>
      </c>
      <c r="Q1479" s="69">
        <v>686.80224120000003</v>
      </c>
      <c r="R1479" s="69">
        <v>684.10588319999999</v>
      </c>
      <c r="S1479" s="69">
        <v>680.7569092</v>
      </c>
      <c r="T1479" s="69">
        <v>677.76150519999999</v>
      </c>
      <c r="U1479" s="69">
        <v>805.40610589999994</v>
      </c>
      <c r="V1479" s="69">
        <v>970.60246629999995</v>
      </c>
      <c r="W1479" s="69">
        <v>1118.9699009999999</v>
      </c>
      <c r="X1479" s="69">
        <v>1118.9699009999999</v>
      </c>
      <c r="Y1479" s="69">
        <v>1118.9699009999999</v>
      </c>
      <c r="Z1479" s="69">
        <v>1118.9699009999999</v>
      </c>
      <c r="AA1479" s="69">
        <v>1118.9699009999999</v>
      </c>
      <c r="AB1479" s="69">
        <v>1118.9699009999999</v>
      </c>
      <c r="AC1479" s="69">
        <v>1118.9699009999999</v>
      </c>
      <c r="AD1479" s="69">
        <v>1118.9699009999999</v>
      </c>
      <c r="AE1479" s="69">
        <v>1118.9699009999999</v>
      </c>
      <c r="AF1479" s="69">
        <v>1118.9699009999999</v>
      </c>
      <c r="AG1479" s="69">
        <v>1118.9699009999999</v>
      </c>
    </row>
    <row r="1480" spans="1:33" ht="12.75" customHeight="1">
      <c r="A1480" s="237" t="s">
        <v>2379</v>
      </c>
      <c r="B1480" s="69" t="s">
        <v>2193</v>
      </c>
      <c r="C1480" s="69" t="s">
        <v>187</v>
      </c>
      <c r="G1480" s="69" t="s">
        <v>192</v>
      </c>
      <c r="H1480" s="69" t="s">
        <v>804</v>
      </c>
      <c r="I1480" s="69">
        <v>1</v>
      </c>
      <c r="J1480" s="238">
        <v>0.26679999999999998</v>
      </c>
      <c r="K1480" s="238">
        <v>0.81072645613133609</v>
      </c>
      <c r="L1480" s="69">
        <v>182.37028745901023</v>
      </c>
      <c r="M1480" s="69">
        <v>0</v>
      </c>
      <c r="N1480" s="69">
        <v>0</v>
      </c>
      <c r="O1480" s="69">
        <v>0</v>
      </c>
      <c r="P1480" s="69">
        <v>0</v>
      </c>
      <c r="Q1480" s="69">
        <v>362.4</v>
      </c>
      <c r="R1480" s="69">
        <v>534.29999999999995</v>
      </c>
      <c r="S1480" s="69">
        <v>734.85</v>
      </c>
      <c r="T1480" s="69">
        <v>1221.9000000000001</v>
      </c>
      <c r="U1480" s="69">
        <v>1393.8</v>
      </c>
      <c r="V1480" s="69">
        <v>1393.8</v>
      </c>
      <c r="W1480" s="69">
        <v>1396.626</v>
      </c>
      <c r="X1480" s="69">
        <v>1396.626</v>
      </c>
      <c r="Y1480" s="69">
        <v>1396.626</v>
      </c>
      <c r="Z1480" s="69">
        <v>1396.626</v>
      </c>
      <c r="AA1480" s="69">
        <v>1396.626</v>
      </c>
      <c r="AB1480" s="69">
        <v>1396.626</v>
      </c>
      <c r="AC1480" s="69">
        <v>1396.626</v>
      </c>
      <c r="AD1480" s="69">
        <v>1396.626</v>
      </c>
      <c r="AE1480" s="69">
        <v>1396.626</v>
      </c>
      <c r="AF1480" s="69">
        <v>1396.626</v>
      </c>
      <c r="AG1480" s="69">
        <v>1396.626</v>
      </c>
    </row>
    <row r="1481" spans="1:33" ht="12.75" customHeight="1">
      <c r="A1481" s="237" t="s">
        <v>2379</v>
      </c>
      <c r="B1481" s="69" t="s">
        <v>2194</v>
      </c>
      <c r="C1481" s="69" t="s">
        <v>18</v>
      </c>
      <c r="G1481" s="69" t="s">
        <v>192</v>
      </c>
      <c r="H1481" s="69" t="s">
        <v>805</v>
      </c>
      <c r="I1481" s="69">
        <v>1</v>
      </c>
      <c r="J1481" s="238">
        <v>0.61299999999999999</v>
      </c>
      <c r="K1481" s="238">
        <v>0.65</v>
      </c>
      <c r="L1481" s="69">
        <v>128.30776532949341</v>
      </c>
      <c r="M1481" s="69">
        <v>0</v>
      </c>
      <c r="N1481" s="69">
        <v>141.8256375</v>
      </c>
      <c r="O1481" s="69">
        <v>146.75814339999999</v>
      </c>
      <c r="P1481" s="69">
        <v>179.75714339999999</v>
      </c>
      <c r="Q1481" s="69">
        <v>190.75714339999999</v>
      </c>
      <c r="R1481" s="69">
        <v>190.75714339999999</v>
      </c>
      <c r="S1481" s="69">
        <v>190.8791434</v>
      </c>
      <c r="T1481" s="69">
        <v>190.75714339999999</v>
      </c>
      <c r="U1481" s="69">
        <v>191.19814339999999</v>
      </c>
      <c r="V1481" s="69">
        <v>191.8191434</v>
      </c>
      <c r="W1481" s="69">
        <v>188.3661434</v>
      </c>
      <c r="X1481" s="69">
        <v>188.3661434</v>
      </c>
      <c r="Y1481" s="69">
        <v>188.3661434</v>
      </c>
      <c r="Z1481" s="69">
        <v>188.3661434</v>
      </c>
      <c r="AA1481" s="69">
        <v>188.3661434</v>
      </c>
      <c r="AB1481" s="69">
        <v>188.3661434</v>
      </c>
      <c r="AC1481" s="69">
        <v>188.3661434</v>
      </c>
      <c r="AD1481" s="69">
        <v>188.3661434</v>
      </c>
      <c r="AE1481" s="69">
        <v>188.3661434</v>
      </c>
      <c r="AF1481" s="69">
        <v>188.3661434</v>
      </c>
      <c r="AG1481" s="69">
        <v>188.3661434</v>
      </c>
    </row>
    <row r="1482" spans="1:33" ht="12.75" customHeight="1">
      <c r="A1482" s="237" t="s">
        <v>2379</v>
      </c>
      <c r="B1482" s="69" t="s">
        <v>2195</v>
      </c>
      <c r="C1482" s="69" t="s">
        <v>139</v>
      </c>
      <c r="G1482" s="69" t="s">
        <v>192</v>
      </c>
      <c r="H1482" s="69" t="s">
        <v>148</v>
      </c>
      <c r="I1482" s="69">
        <v>1</v>
      </c>
      <c r="J1482" s="238">
        <v>0.85</v>
      </c>
      <c r="K1482" s="238">
        <v>0.66</v>
      </c>
      <c r="L1482" s="69">
        <v>113.68346667349664</v>
      </c>
      <c r="M1482" s="69">
        <v>0</v>
      </c>
      <c r="N1482" s="69">
        <v>0</v>
      </c>
      <c r="O1482" s="69">
        <v>0</v>
      </c>
      <c r="P1482" s="69">
        <v>0</v>
      </c>
      <c r="Q1482" s="69">
        <v>0</v>
      </c>
      <c r="R1482" s="69">
        <v>84</v>
      </c>
      <c r="S1482" s="69">
        <v>84</v>
      </c>
      <c r="T1482" s="69">
        <v>84</v>
      </c>
      <c r="U1482" s="69">
        <v>84</v>
      </c>
      <c r="V1482" s="69">
        <v>84</v>
      </c>
      <c r="W1482" s="69">
        <v>84</v>
      </c>
      <c r="X1482" s="69">
        <v>84</v>
      </c>
      <c r="Y1482" s="69">
        <v>84</v>
      </c>
      <c r="Z1482" s="69">
        <v>84</v>
      </c>
      <c r="AA1482" s="69">
        <v>84</v>
      </c>
      <c r="AB1482" s="69">
        <v>84</v>
      </c>
      <c r="AC1482" s="69">
        <v>84</v>
      </c>
      <c r="AD1482" s="69">
        <v>84</v>
      </c>
      <c r="AE1482" s="69">
        <v>84</v>
      </c>
      <c r="AF1482" s="69">
        <v>84</v>
      </c>
      <c r="AG1482" s="69">
        <v>84</v>
      </c>
    </row>
    <row r="1483" spans="1:33" ht="12.75" customHeight="1">
      <c r="A1483" s="237" t="s">
        <v>2379</v>
      </c>
      <c r="B1483" s="69" t="s">
        <v>2196</v>
      </c>
      <c r="C1483" s="69" t="s">
        <v>187</v>
      </c>
      <c r="G1483" s="69" t="s">
        <v>192</v>
      </c>
      <c r="H1483" s="69" t="s">
        <v>805</v>
      </c>
      <c r="I1483" s="69">
        <v>1</v>
      </c>
      <c r="J1483" s="238">
        <v>0.26679999999999998</v>
      </c>
      <c r="K1483" s="238">
        <v>0.72310146512785223</v>
      </c>
      <c r="L1483" s="69">
        <v>182.37028745901023</v>
      </c>
      <c r="M1483" s="69">
        <v>0</v>
      </c>
      <c r="N1483" s="69">
        <v>0</v>
      </c>
      <c r="O1483" s="69">
        <v>0</v>
      </c>
      <c r="P1483" s="69">
        <v>85.2</v>
      </c>
      <c r="Q1483" s="69">
        <v>384</v>
      </c>
      <c r="R1483" s="69">
        <v>384</v>
      </c>
      <c r="S1483" s="69">
        <v>384</v>
      </c>
      <c r="T1483" s="69">
        <v>384</v>
      </c>
      <c r="U1483" s="69">
        <v>384</v>
      </c>
      <c r="V1483" s="69">
        <v>384</v>
      </c>
      <c r="W1483" s="69">
        <v>384</v>
      </c>
      <c r="X1483" s="69">
        <v>384</v>
      </c>
      <c r="Y1483" s="69">
        <v>384</v>
      </c>
      <c r="Z1483" s="69">
        <v>384</v>
      </c>
      <c r="AA1483" s="69">
        <v>384</v>
      </c>
      <c r="AB1483" s="69">
        <v>384</v>
      </c>
      <c r="AC1483" s="69">
        <v>384</v>
      </c>
      <c r="AD1483" s="69">
        <v>384</v>
      </c>
      <c r="AE1483" s="69">
        <v>384</v>
      </c>
      <c r="AF1483" s="69">
        <v>384</v>
      </c>
      <c r="AG1483" s="69">
        <v>384</v>
      </c>
    </row>
    <row r="1484" spans="1:33" ht="12.75" customHeight="1">
      <c r="A1484" s="237" t="s">
        <v>2379</v>
      </c>
      <c r="B1484" s="69" t="s">
        <v>2197</v>
      </c>
      <c r="C1484" s="69" t="s">
        <v>137</v>
      </c>
      <c r="G1484" s="69" t="s">
        <v>199</v>
      </c>
      <c r="H1484" s="69" t="s">
        <v>2417</v>
      </c>
      <c r="I1484" s="69">
        <v>1</v>
      </c>
      <c r="J1484" s="238">
        <v>0.29199999999999998</v>
      </c>
      <c r="K1484" s="238">
        <v>0.2</v>
      </c>
      <c r="L1484" s="69">
        <v>98.619190592356304</v>
      </c>
      <c r="M1484" s="69">
        <v>0</v>
      </c>
      <c r="N1484" s="69">
        <v>1810.843752</v>
      </c>
      <c r="O1484" s="69">
        <v>861.62892629999999</v>
      </c>
      <c r="P1484" s="69">
        <v>204.62892629999999</v>
      </c>
      <c r="Q1484" s="69">
        <v>204.62892629999999</v>
      </c>
      <c r="R1484" s="69">
        <v>204.62892629999999</v>
      </c>
      <c r="S1484" s="69">
        <v>204.62892629999999</v>
      </c>
      <c r="T1484" s="69">
        <v>204.62892629999999</v>
      </c>
      <c r="U1484" s="69">
        <v>374.80213889999999</v>
      </c>
      <c r="V1484" s="69">
        <v>593.45055239999999</v>
      </c>
      <c r="W1484" s="69">
        <v>790.99909950000006</v>
      </c>
      <c r="X1484" s="69">
        <v>790.99909950000006</v>
      </c>
      <c r="Y1484" s="69">
        <v>790.99909950000006</v>
      </c>
      <c r="Z1484" s="69">
        <v>790.99909950000006</v>
      </c>
      <c r="AA1484" s="69">
        <v>790.99909950000006</v>
      </c>
      <c r="AB1484" s="69">
        <v>790.99909950000006</v>
      </c>
      <c r="AC1484" s="69">
        <v>790.99909950000006</v>
      </c>
      <c r="AD1484" s="69">
        <v>790.99909950000006</v>
      </c>
      <c r="AE1484" s="69">
        <v>790.99909950000006</v>
      </c>
      <c r="AF1484" s="69">
        <v>790.99909950000006</v>
      </c>
      <c r="AG1484" s="69">
        <v>790.99909950000006</v>
      </c>
    </row>
    <row r="1485" spans="1:33" ht="12.75" customHeight="1">
      <c r="A1485" s="237" t="s">
        <v>2379</v>
      </c>
      <c r="B1485" s="69" t="s">
        <v>2198</v>
      </c>
      <c r="C1485" s="69" t="s">
        <v>137</v>
      </c>
      <c r="G1485" s="69" t="s">
        <v>199</v>
      </c>
      <c r="H1485" s="69" t="s">
        <v>2417</v>
      </c>
      <c r="I1485" s="69">
        <v>1</v>
      </c>
      <c r="J1485" s="238">
        <v>0.29199999999999998</v>
      </c>
      <c r="K1485" s="238">
        <v>0.2</v>
      </c>
      <c r="L1485" s="69">
        <v>98.619190592356304</v>
      </c>
      <c r="M1485" s="69">
        <v>0</v>
      </c>
      <c r="N1485" s="69">
        <v>413</v>
      </c>
      <c r="O1485" s="69">
        <v>0</v>
      </c>
      <c r="P1485" s="69">
        <v>0</v>
      </c>
      <c r="Q1485" s="69">
        <v>0</v>
      </c>
      <c r="R1485" s="69">
        <v>0</v>
      </c>
      <c r="S1485" s="69">
        <v>0</v>
      </c>
      <c r="T1485" s="69">
        <v>0</v>
      </c>
      <c r="U1485" s="69">
        <v>0</v>
      </c>
      <c r="V1485" s="69">
        <v>0</v>
      </c>
      <c r="W1485" s="69">
        <v>0</v>
      </c>
      <c r="X1485" s="69">
        <v>0</v>
      </c>
      <c r="Y1485" s="69">
        <v>0</v>
      </c>
      <c r="Z1485" s="69">
        <v>0</v>
      </c>
      <c r="AA1485" s="69">
        <v>0</v>
      </c>
      <c r="AB1485" s="69">
        <v>0</v>
      </c>
      <c r="AC1485" s="69">
        <v>0</v>
      </c>
      <c r="AD1485" s="69">
        <v>0</v>
      </c>
      <c r="AE1485" s="69">
        <v>0</v>
      </c>
      <c r="AF1485" s="69">
        <v>0</v>
      </c>
      <c r="AG1485" s="69">
        <v>0</v>
      </c>
    </row>
    <row r="1486" spans="1:33" ht="12.75" customHeight="1">
      <c r="A1486" s="237" t="s">
        <v>2379</v>
      </c>
      <c r="B1486" s="69" t="s">
        <v>2199</v>
      </c>
      <c r="C1486" s="69" t="s">
        <v>185</v>
      </c>
      <c r="G1486" s="69" t="s">
        <v>192</v>
      </c>
      <c r="H1486" s="69" t="s">
        <v>2417</v>
      </c>
      <c r="I1486" s="69">
        <v>1</v>
      </c>
      <c r="J1486" s="238">
        <v>0.28999999999999998</v>
      </c>
      <c r="K1486" s="238">
        <v>0</v>
      </c>
      <c r="L1486" s="69">
        <v>128.45418044402459</v>
      </c>
      <c r="M1486" s="69">
        <v>0</v>
      </c>
      <c r="N1486" s="69">
        <v>0</v>
      </c>
      <c r="O1486" s="69">
        <v>53.7042</v>
      </c>
      <c r="P1486" s="69">
        <v>206.43719999999999</v>
      </c>
      <c r="Q1486" s="69">
        <v>482.589</v>
      </c>
      <c r="R1486" s="69">
        <v>635.71019999999999</v>
      </c>
      <c r="S1486" s="69">
        <v>632.38139999999999</v>
      </c>
      <c r="T1486" s="69">
        <v>628.1934</v>
      </c>
      <c r="U1486" s="69">
        <v>624.46979999999996</v>
      </c>
      <c r="V1486" s="69">
        <v>620.77020000000005</v>
      </c>
      <c r="W1486" s="69">
        <v>617.52059999999994</v>
      </c>
      <c r="X1486" s="69">
        <v>617.52059999999994</v>
      </c>
      <c r="Y1486" s="69">
        <v>617.52059999999994</v>
      </c>
      <c r="Z1486" s="69">
        <v>617.52059999999994</v>
      </c>
      <c r="AA1486" s="69">
        <v>617.52059999999994</v>
      </c>
      <c r="AB1486" s="69">
        <v>617.52059999999994</v>
      </c>
      <c r="AC1486" s="69">
        <v>617.52059999999994</v>
      </c>
      <c r="AD1486" s="69">
        <v>617.52059999999994</v>
      </c>
      <c r="AE1486" s="69">
        <v>617.52059999999994</v>
      </c>
      <c r="AF1486" s="69">
        <v>617.52059999999994</v>
      </c>
      <c r="AG1486" s="69">
        <v>617.52059999999994</v>
      </c>
    </row>
    <row r="1487" spans="1:33" ht="12.75" customHeight="1">
      <c r="A1487" s="237" t="s">
        <v>2379</v>
      </c>
      <c r="B1487" s="69" t="s">
        <v>2200</v>
      </c>
      <c r="C1487" s="69" t="s">
        <v>136</v>
      </c>
      <c r="G1487" s="237" t="s">
        <v>2234</v>
      </c>
      <c r="H1487" s="69" t="s">
        <v>2417</v>
      </c>
      <c r="I1487" s="69">
        <v>1</v>
      </c>
      <c r="J1487" s="238">
        <v>0.85</v>
      </c>
      <c r="K1487" s="238">
        <v>0.72</v>
      </c>
      <c r="L1487" s="69">
        <v>102.38230922334316</v>
      </c>
      <c r="M1487" s="69">
        <v>0</v>
      </c>
      <c r="N1487" s="69">
        <v>0</v>
      </c>
      <c r="O1487" s="69">
        <v>0</v>
      </c>
      <c r="P1487" s="69">
        <v>154.00020000000001</v>
      </c>
      <c r="Q1487" s="69">
        <v>264.60000000000002</v>
      </c>
      <c r="R1487" s="69">
        <v>264.60000000000002</v>
      </c>
      <c r="S1487" s="69">
        <v>264.60000000000002</v>
      </c>
      <c r="T1487" s="69">
        <v>264.60000000000002</v>
      </c>
      <c r="U1487" s="69">
        <v>264.60000000000002</v>
      </c>
      <c r="V1487" s="69">
        <v>264.60000000000002</v>
      </c>
      <c r="W1487" s="69">
        <v>264.60000000000002</v>
      </c>
      <c r="X1487" s="69">
        <v>264.60000000000002</v>
      </c>
      <c r="Y1487" s="69">
        <v>264.60000000000002</v>
      </c>
      <c r="Z1487" s="69">
        <v>264.60000000000002</v>
      </c>
      <c r="AA1487" s="69">
        <v>264.60000000000002</v>
      </c>
      <c r="AB1487" s="69">
        <v>264.60000000000002</v>
      </c>
      <c r="AC1487" s="69">
        <v>264.60000000000002</v>
      </c>
      <c r="AD1487" s="69">
        <v>264.60000000000002</v>
      </c>
      <c r="AE1487" s="69">
        <v>264.60000000000002</v>
      </c>
      <c r="AF1487" s="69">
        <v>264.60000000000002</v>
      </c>
      <c r="AG1487" s="69">
        <v>264.60000000000002</v>
      </c>
    </row>
    <row r="1488" spans="1:33" ht="12.75" customHeight="1">
      <c r="A1488" s="237" t="s">
        <v>2379</v>
      </c>
      <c r="B1488" s="69" t="s">
        <v>2201</v>
      </c>
      <c r="C1488" s="69" t="s">
        <v>185</v>
      </c>
      <c r="G1488" s="237" t="s">
        <v>2234</v>
      </c>
      <c r="H1488" s="69" t="s">
        <v>2417</v>
      </c>
      <c r="I1488" s="69">
        <v>1</v>
      </c>
      <c r="J1488" s="238">
        <v>0.28999999999999998</v>
      </c>
      <c r="K1488" s="238">
        <v>0.51</v>
      </c>
      <c r="L1488" s="69">
        <v>128.45418044402459</v>
      </c>
      <c r="M1488" s="69">
        <v>0</v>
      </c>
      <c r="N1488" s="69">
        <v>131.27728519999999</v>
      </c>
      <c r="O1488" s="69">
        <v>130.22726689999999</v>
      </c>
      <c r="P1488" s="69">
        <v>129.18524880000001</v>
      </c>
      <c r="Q1488" s="69">
        <v>128.15199999999999</v>
      </c>
      <c r="R1488" s="69">
        <v>127.126</v>
      </c>
      <c r="S1488" s="69">
        <v>126.10899999999999</v>
      </c>
      <c r="T1488" s="69">
        <v>125.101</v>
      </c>
      <c r="U1488" s="69">
        <v>124.1</v>
      </c>
      <c r="V1488" s="69">
        <v>123.107</v>
      </c>
      <c r="W1488" s="69">
        <v>122.122</v>
      </c>
      <c r="X1488" s="69">
        <v>122.122</v>
      </c>
      <c r="Y1488" s="69">
        <v>122.122</v>
      </c>
      <c r="Z1488" s="69">
        <v>122.122</v>
      </c>
      <c r="AA1488" s="69">
        <v>122.122</v>
      </c>
      <c r="AB1488" s="69">
        <v>122.122</v>
      </c>
      <c r="AC1488" s="69">
        <v>122.122</v>
      </c>
      <c r="AD1488" s="69">
        <v>122.122</v>
      </c>
      <c r="AE1488" s="69">
        <v>122.122</v>
      </c>
      <c r="AF1488" s="69">
        <v>122.122</v>
      </c>
      <c r="AG1488" s="69">
        <v>122.122</v>
      </c>
    </row>
    <row r="1489" spans="1:33" ht="12.75" customHeight="1">
      <c r="A1489" s="237" t="s">
        <v>2379</v>
      </c>
      <c r="B1489" s="69" t="s">
        <v>2202</v>
      </c>
      <c r="C1489" s="69" t="s">
        <v>187</v>
      </c>
      <c r="G1489" s="237" t="s">
        <v>2234</v>
      </c>
      <c r="H1489" s="69" t="s">
        <v>2417</v>
      </c>
      <c r="I1489" s="69">
        <v>1</v>
      </c>
      <c r="J1489" s="238">
        <v>0.26679999999999998</v>
      </c>
      <c r="K1489" s="238">
        <v>0.72310146512785223</v>
      </c>
      <c r="L1489" s="69">
        <v>182.37028745901023</v>
      </c>
      <c r="M1489" s="69">
        <v>0</v>
      </c>
      <c r="N1489" s="69">
        <v>0</v>
      </c>
      <c r="O1489" s="69">
        <v>0</v>
      </c>
      <c r="P1489" s="69">
        <v>0</v>
      </c>
      <c r="Q1489" s="69">
        <v>171.9</v>
      </c>
      <c r="R1489" s="69">
        <v>515.70000000000005</v>
      </c>
      <c r="S1489" s="69">
        <v>688.54200000000003</v>
      </c>
      <c r="T1489" s="69">
        <v>687.6</v>
      </c>
      <c r="U1489" s="69">
        <v>687.6</v>
      </c>
      <c r="V1489" s="69">
        <v>687.6</v>
      </c>
      <c r="W1489" s="69">
        <v>689.48400000000004</v>
      </c>
      <c r="X1489" s="69">
        <v>689.48400000000004</v>
      </c>
      <c r="Y1489" s="69">
        <v>689.48400000000004</v>
      </c>
      <c r="Z1489" s="69">
        <v>689.48400000000004</v>
      </c>
      <c r="AA1489" s="69">
        <v>689.48400000000004</v>
      </c>
      <c r="AB1489" s="69">
        <v>689.48400000000004</v>
      </c>
      <c r="AC1489" s="69">
        <v>689.48400000000004</v>
      </c>
      <c r="AD1489" s="69">
        <v>689.48400000000004</v>
      </c>
      <c r="AE1489" s="69">
        <v>689.48400000000004</v>
      </c>
      <c r="AF1489" s="69">
        <v>689.48400000000004</v>
      </c>
      <c r="AG1489" s="69">
        <v>689.48400000000004</v>
      </c>
    </row>
    <row r="1490" spans="1:33" ht="12.75" customHeight="1">
      <c r="A1490" s="237" t="s">
        <v>2379</v>
      </c>
      <c r="B1490" s="69" t="s">
        <v>2195</v>
      </c>
      <c r="C1490" s="69" t="s">
        <v>139</v>
      </c>
      <c r="G1490" s="69" t="s">
        <v>192</v>
      </c>
      <c r="H1490" s="69" t="s">
        <v>148</v>
      </c>
      <c r="I1490" s="69">
        <v>1</v>
      </c>
      <c r="J1490" s="238">
        <v>0.85</v>
      </c>
      <c r="K1490" s="238">
        <v>0.66</v>
      </c>
      <c r="L1490" s="69">
        <v>113.68346667349664</v>
      </c>
      <c r="M1490" s="69">
        <v>0</v>
      </c>
      <c r="N1490" s="69">
        <v>2422.3574409899998</v>
      </c>
      <c r="O1490" s="69">
        <v>2428.4395034300001</v>
      </c>
      <c r="P1490" s="69">
        <v>2428.4395034300001</v>
      </c>
      <c r="Q1490" s="69">
        <v>2428.43970343</v>
      </c>
      <c r="R1490" s="69">
        <v>2445.2397034299997</v>
      </c>
      <c r="S1490" s="69">
        <v>2462.0397034299999</v>
      </c>
      <c r="T1490" s="69">
        <v>2462.0397034299999</v>
      </c>
      <c r="U1490" s="69">
        <v>2470.42140595</v>
      </c>
      <c r="V1490" s="69">
        <v>2481.1907034699998</v>
      </c>
      <c r="W1490" s="69">
        <v>2490.9207492799997</v>
      </c>
      <c r="X1490" s="69">
        <v>2490.9207492799997</v>
      </c>
      <c r="Y1490" s="69">
        <v>2490.9207492799997</v>
      </c>
      <c r="Z1490" s="69">
        <v>2490.9207492799997</v>
      </c>
      <c r="AA1490" s="69">
        <v>2490.9207492799997</v>
      </c>
      <c r="AB1490" s="69">
        <v>2490.9207492799997</v>
      </c>
      <c r="AC1490" s="69">
        <v>2490.9207492799997</v>
      </c>
      <c r="AD1490" s="69">
        <v>2490.9207492799997</v>
      </c>
      <c r="AE1490" s="69">
        <v>2490.9207492799997</v>
      </c>
      <c r="AF1490" s="69">
        <v>2490.9207492799997</v>
      </c>
      <c r="AG1490" s="69">
        <v>2490.9207492799997</v>
      </c>
    </row>
    <row r="1491" spans="1:33" ht="12.75" customHeight="1">
      <c r="A1491" s="237" t="s">
        <v>2379</v>
      </c>
      <c r="B1491" s="69" t="s">
        <v>2200</v>
      </c>
      <c r="C1491" s="69" t="s">
        <v>136</v>
      </c>
      <c r="G1491" s="237" t="s">
        <v>2234</v>
      </c>
      <c r="H1491" s="69" t="s">
        <v>2417</v>
      </c>
      <c r="I1491" s="69">
        <v>1</v>
      </c>
      <c r="J1491" s="238">
        <v>0.85</v>
      </c>
      <c r="K1491" s="238">
        <v>0.72</v>
      </c>
      <c r="L1491" s="69">
        <v>102.38230922334316</v>
      </c>
      <c r="M1491" s="69">
        <v>0</v>
      </c>
      <c r="N1491" s="69">
        <v>3742.5242977600001</v>
      </c>
      <c r="O1491" s="69">
        <v>3771.4288851000001</v>
      </c>
      <c r="P1491" s="69">
        <v>3742.9099771000001</v>
      </c>
      <c r="Q1491" s="69">
        <v>3679.5292531</v>
      </c>
      <c r="R1491" s="69">
        <v>3645.5292531</v>
      </c>
      <c r="S1491" s="69">
        <v>3645.5292531</v>
      </c>
      <c r="T1491" s="69">
        <v>3645.5292531</v>
      </c>
      <c r="U1491" s="69">
        <v>3730.6158593999999</v>
      </c>
      <c r="V1491" s="69">
        <v>3839.9400661999998</v>
      </c>
      <c r="W1491" s="69">
        <v>3938.7143397</v>
      </c>
      <c r="X1491" s="69">
        <v>3938.7143397</v>
      </c>
      <c r="Y1491" s="69">
        <v>3938.7143397</v>
      </c>
      <c r="Z1491" s="69">
        <v>3938.7143397</v>
      </c>
      <c r="AA1491" s="69">
        <v>3938.7143397</v>
      </c>
      <c r="AB1491" s="69">
        <v>3938.7143397</v>
      </c>
      <c r="AC1491" s="69">
        <v>3938.7143397</v>
      </c>
      <c r="AD1491" s="69">
        <v>3938.7143397</v>
      </c>
      <c r="AE1491" s="69">
        <v>3938.7143397</v>
      </c>
      <c r="AF1491" s="69">
        <v>3938.7143397</v>
      </c>
      <c r="AG1491" s="69">
        <v>3938.7143397</v>
      </c>
    </row>
    <row r="1492" spans="1:33" ht="12.75" customHeight="1">
      <c r="A1492" s="237" t="s">
        <v>2379</v>
      </c>
      <c r="B1492" s="69" t="s">
        <v>2195</v>
      </c>
      <c r="C1492" s="69" t="s">
        <v>139</v>
      </c>
      <c r="G1492" s="69" t="s">
        <v>192</v>
      </c>
      <c r="H1492" s="69" t="s">
        <v>148</v>
      </c>
      <c r="I1492" s="69">
        <v>1</v>
      </c>
      <c r="J1492" s="238">
        <v>0.85</v>
      </c>
      <c r="K1492" s="238">
        <v>0.66</v>
      </c>
      <c r="L1492" s="69">
        <v>113.68346667349664</v>
      </c>
      <c r="M1492" s="69">
        <v>0</v>
      </c>
      <c r="N1492" s="69">
        <v>828.06134537000003</v>
      </c>
      <c r="O1492" s="69">
        <v>924.13621030000002</v>
      </c>
      <c r="P1492" s="69">
        <v>1072.1191703</v>
      </c>
      <c r="Q1492" s="69">
        <v>1240.1191703</v>
      </c>
      <c r="R1492" s="69">
        <v>1240.1191703</v>
      </c>
      <c r="S1492" s="69">
        <v>1240.1191703</v>
      </c>
      <c r="T1492" s="69">
        <v>1240.1191703</v>
      </c>
      <c r="U1492" s="69">
        <v>1316.8240741</v>
      </c>
      <c r="V1492" s="69">
        <v>1415.3789833000001</v>
      </c>
      <c r="W1492" s="69">
        <v>1504.4232111000001</v>
      </c>
      <c r="X1492" s="69">
        <v>1504.4232111000001</v>
      </c>
      <c r="Y1492" s="69">
        <v>1504.4232111000001</v>
      </c>
      <c r="Z1492" s="69">
        <v>1504.4232111000001</v>
      </c>
      <c r="AA1492" s="69">
        <v>1504.4232111000001</v>
      </c>
      <c r="AB1492" s="69">
        <v>1504.4232111000001</v>
      </c>
      <c r="AC1492" s="69">
        <v>1504.4232111000001</v>
      </c>
      <c r="AD1492" s="69">
        <v>1504.4232111000001</v>
      </c>
      <c r="AE1492" s="69">
        <v>1504.4232111000001</v>
      </c>
      <c r="AF1492" s="69">
        <v>1504.4232111000001</v>
      </c>
      <c r="AG1492" s="69">
        <v>1504.4232111000001</v>
      </c>
    </row>
    <row r="1493" spans="1:33" ht="12.75" customHeight="1">
      <c r="A1493" s="237" t="s">
        <v>2379</v>
      </c>
      <c r="B1493" s="69" t="s">
        <v>2200</v>
      </c>
      <c r="C1493" s="69" t="s">
        <v>136</v>
      </c>
      <c r="G1493" s="237" t="s">
        <v>2234</v>
      </c>
      <c r="H1493" s="69" t="s">
        <v>2417</v>
      </c>
      <c r="I1493" s="69">
        <v>1</v>
      </c>
      <c r="J1493" s="238">
        <v>0.85</v>
      </c>
      <c r="K1493" s="238">
        <v>0.72</v>
      </c>
      <c r="L1493" s="69">
        <v>102.38230922334316</v>
      </c>
      <c r="M1493" s="69">
        <v>0</v>
      </c>
      <c r="N1493" s="69">
        <v>0</v>
      </c>
      <c r="O1493" s="69">
        <v>0</v>
      </c>
      <c r="P1493" s="69">
        <v>0</v>
      </c>
      <c r="Q1493" s="69">
        <v>0</v>
      </c>
      <c r="R1493" s="69">
        <v>0</v>
      </c>
      <c r="S1493" s="69">
        <v>0</v>
      </c>
      <c r="T1493" s="69">
        <v>0</v>
      </c>
      <c r="U1493" s="69">
        <v>0</v>
      </c>
      <c r="V1493" s="69">
        <v>0</v>
      </c>
      <c r="W1493" s="69">
        <v>0</v>
      </c>
      <c r="X1493" s="69">
        <v>0</v>
      </c>
      <c r="Y1493" s="69">
        <v>0</v>
      </c>
      <c r="Z1493" s="69">
        <v>0</v>
      </c>
      <c r="AA1493" s="69">
        <v>0</v>
      </c>
      <c r="AB1493" s="69">
        <v>0</v>
      </c>
      <c r="AC1493" s="69">
        <v>0</v>
      </c>
      <c r="AD1493" s="69">
        <v>0</v>
      </c>
      <c r="AE1493" s="69">
        <v>0</v>
      </c>
      <c r="AF1493" s="69">
        <v>0</v>
      </c>
      <c r="AG1493" s="69">
        <v>0</v>
      </c>
    </row>
    <row r="1494" spans="1:33" ht="12.75" customHeight="1">
      <c r="A1494" s="237" t="s">
        <v>2379</v>
      </c>
      <c r="B1494" s="69" t="s">
        <v>2203</v>
      </c>
      <c r="C1494" s="69" t="s">
        <v>18</v>
      </c>
      <c r="G1494" s="69" t="s">
        <v>192</v>
      </c>
      <c r="H1494" s="69" t="s">
        <v>805</v>
      </c>
      <c r="I1494" s="69">
        <v>1</v>
      </c>
      <c r="J1494" s="238">
        <v>0.57099999999999995</v>
      </c>
      <c r="K1494" s="238">
        <v>0.65</v>
      </c>
      <c r="L1494" s="69">
        <v>135.14704191871482</v>
      </c>
      <c r="M1494" s="69">
        <v>0</v>
      </c>
      <c r="N1494" s="69">
        <v>63.536514390000001</v>
      </c>
      <c r="O1494" s="69">
        <v>63.536514390000001</v>
      </c>
      <c r="P1494" s="69">
        <v>63.536514390000001</v>
      </c>
      <c r="Q1494" s="69">
        <v>63.536514390000001</v>
      </c>
      <c r="R1494" s="69">
        <v>63.536514390000001</v>
      </c>
      <c r="S1494" s="69">
        <v>63.536514390000001</v>
      </c>
      <c r="T1494" s="69">
        <v>63.536514390000001</v>
      </c>
      <c r="U1494" s="69">
        <v>63.536514390000001</v>
      </c>
      <c r="V1494" s="69">
        <v>63.536514390000001</v>
      </c>
      <c r="W1494" s="69">
        <v>63.536514390000001</v>
      </c>
      <c r="X1494" s="69">
        <v>63.536514390000001</v>
      </c>
      <c r="Y1494" s="69">
        <v>63.536514390000001</v>
      </c>
      <c r="Z1494" s="69">
        <v>63.536514390000001</v>
      </c>
      <c r="AA1494" s="69">
        <v>63.536514390000001</v>
      </c>
      <c r="AB1494" s="69">
        <v>63.536514390000001</v>
      </c>
      <c r="AC1494" s="69">
        <v>63.536514390000001</v>
      </c>
      <c r="AD1494" s="69">
        <v>63.536514390000001</v>
      </c>
      <c r="AE1494" s="69">
        <v>63.536514390000001</v>
      </c>
      <c r="AF1494" s="69">
        <v>63.536514390000001</v>
      </c>
      <c r="AG1494" s="69">
        <v>63.536514390000001</v>
      </c>
    </row>
    <row r="1495" spans="1:33" ht="12.75" customHeight="1">
      <c r="A1495" s="237" t="s">
        <v>2379</v>
      </c>
      <c r="B1495" s="69" t="s">
        <v>2204</v>
      </c>
      <c r="C1495" s="69" t="s">
        <v>185</v>
      </c>
      <c r="G1495" s="69" t="s">
        <v>192</v>
      </c>
      <c r="H1495" s="69" t="s">
        <v>805</v>
      </c>
      <c r="I1495" s="69">
        <v>1</v>
      </c>
      <c r="J1495" s="238">
        <v>0.2356</v>
      </c>
      <c r="K1495" s="238">
        <v>0</v>
      </c>
      <c r="L1495" s="69">
        <v>158.11422889969069</v>
      </c>
      <c r="M1495" s="69">
        <v>0</v>
      </c>
      <c r="N1495" s="69">
        <v>5.3575601320000006</v>
      </c>
      <c r="O1495" s="69">
        <v>10.065448539</v>
      </c>
      <c r="P1495" s="69">
        <v>10.027448539</v>
      </c>
      <c r="Q1495" s="69">
        <v>9.9904485389999991</v>
      </c>
      <c r="R1495" s="69">
        <v>9.953448539</v>
      </c>
      <c r="S1495" s="69">
        <v>9.916448539000001</v>
      </c>
      <c r="T1495" s="69">
        <v>9.8804485389999996</v>
      </c>
      <c r="U1495" s="69">
        <v>11.055178928</v>
      </c>
      <c r="V1495" s="69">
        <v>12.575795554999999</v>
      </c>
      <c r="W1495" s="69">
        <v>13.946293078</v>
      </c>
      <c r="X1495" s="69">
        <v>13.946293078</v>
      </c>
      <c r="Y1495" s="69">
        <v>13.946293078</v>
      </c>
      <c r="Z1495" s="69">
        <v>13.946293078</v>
      </c>
      <c r="AA1495" s="69">
        <v>13.946293078</v>
      </c>
      <c r="AB1495" s="69">
        <v>13.946293078</v>
      </c>
      <c r="AC1495" s="69">
        <v>13.946293078</v>
      </c>
      <c r="AD1495" s="69">
        <v>13.946293078</v>
      </c>
      <c r="AE1495" s="69">
        <v>13.946293078</v>
      </c>
      <c r="AF1495" s="69">
        <v>13.946293078</v>
      </c>
      <c r="AG1495" s="69">
        <v>13.946293078</v>
      </c>
    </row>
    <row r="1496" spans="1:33" ht="12.75" customHeight="1">
      <c r="A1496" s="237" t="s">
        <v>2379</v>
      </c>
      <c r="B1496" s="69" t="s">
        <v>2205</v>
      </c>
      <c r="C1496" s="69" t="s">
        <v>137</v>
      </c>
      <c r="G1496" s="69" t="s">
        <v>192</v>
      </c>
      <c r="H1496" s="69" t="s">
        <v>805</v>
      </c>
      <c r="I1496" s="69">
        <v>1</v>
      </c>
      <c r="J1496" s="238">
        <v>0.32200000000000001</v>
      </c>
      <c r="K1496" s="238">
        <v>0.16166723631218391</v>
      </c>
      <c r="L1496" s="69">
        <v>89.431067245242346</v>
      </c>
      <c r="M1496" s="69">
        <v>0</v>
      </c>
      <c r="N1496" s="69">
        <v>615.59655929999997</v>
      </c>
      <c r="O1496" s="69">
        <v>615.59655929999997</v>
      </c>
      <c r="P1496" s="69">
        <v>615.59655929999997</v>
      </c>
      <c r="Q1496" s="69">
        <v>615.59655929999997</v>
      </c>
      <c r="R1496" s="69">
        <v>615.59655929999997</v>
      </c>
      <c r="S1496" s="69">
        <v>615.59655929999997</v>
      </c>
      <c r="T1496" s="69">
        <v>615.59655929999997</v>
      </c>
      <c r="U1496" s="69">
        <v>615.59655929999997</v>
      </c>
      <c r="V1496" s="69">
        <v>615.59655929999997</v>
      </c>
      <c r="W1496" s="69">
        <v>615.59655929999997</v>
      </c>
      <c r="X1496" s="69">
        <v>615.59655929999997</v>
      </c>
      <c r="Y1496" s="69">
        <v>615.59655929999997</v>
      </c>
      <c r="Z1496" s="69">
        <v>615.59655929999997</v>
      </c>
      <c r="AA1496" s="69">
        <v>615.59655929999997</v>
      </c>
      <c r="AB1496" s="69">
        <v>615.59655929999997</v>
      </c>
      <c r="AC1496" s="69">
        <v>615.59655929999997</v>
      </c>
      <c r="AD1496" s="69">
        <v>615.59655929999997</v>
      </c>
      <c r="AE1496" s="69">
        <v>615.59655929999997</v>
      </c>
      <c r="AF1496" s="69">
        <v>615.59655929999997</v>
      </c>
      <c r="AG1496" s="69">
        <v>615.59655929999997</v>
      </c>
    </row>
    <row r="1497" spans="1:33" ht="12.75" customHeight="1">
      <c r="A1497" s="237" t="s">
        <v>2379</v>
      </c>
      <c r="B1497" s="69" t="s">
        <v>2206</v>
      </c>
      <c r="C1497" s="69" t="s">
        <v>18</v>
      </c>
      <c r="G1497" s="69" t="s">
        <v>192</v>
      </c>
      <c r="H1497" s="69" t="s">
        <v>805</v>
      </c>
      <c r="I1497" s="69">
        <v>1</v>
      </c>
      <c r="J1497" s="238">
        <v>0.57099999999999995</v>
      </c>
      <c r="K1497" s="238">
        <v>0.65</v>
      </c>
      <c r="L1497" s="69">
        <v>135.14704191871482</v>
      </c>
      <c r="M1497" s="69">
        <v>0</v>
      </c>
      <c r="N1497" s="69">
        <v>2186.8091439999998</v>
      </c>
      <c r="O1497" s="69">
        <v>2186.8091439999998</v>
      </c>
      <c r="P1497" s="69">
        <v>2186.8091439999998</v>
      </c>
      <c r="Q1497" s="69">
        <v>2186.8091439999998</v>
      </c>
      <c r="R1497" s="69">
        <v>2186.8091439999998</v>
      </c>
      <c r="S1497" s="69">
        <v>2186.8091439999998</v>
      </c>
      <c r="T1497" s="69">
        <v>2186.8091439999998</v>
      </c>
      <c r="U1497" s="69">
        <v>2186.8091439999998</v>
      </c>
      <c r="V1497" s="69">
        <v>2186.8091439999998</v>
      </c>
      <c r="W1497" s="69">
        <v>2186.8091439999998</v>
      </c>
      <c r="X1497" s="69">
        <v>2186.8091439999998</v>
      </c>
      <c r="Y1497" s="69">
        <v>2186.8091439999998</v>
      </c>
      <c r="Z1497" s="69">
        <v>2186.8091439999998</v>
      </c>
      <c r="AA1497" s="69">
        <v>2186.8091439999998</v>
      </c>
      <c r="AB1497" s="69">
        <v>2186.8091439999998</v>
      </c>
      <c r="AC1497" s="69">
        <v>2186.8091439999998</v>
      </c>
      <c r="AD1497" s="69">
        <v>2186.8091439999998</v>
      </c>
      <c r="AE1497" s="69">
        <v>2186.8091439999998</v>
      </c>
      <c r="AF1497" s="69">
        <v>2186.8091439999998</v>
      </c>
      <c r="AG1497" s="69">
        <v>2186.8091439999998</v>
      </c>
    </row>
    <row r="1498" spans="1:33" ht="12.75" customHeight="1">
      <c r="A1498" s="237" t="s">
        <v>2379</v>
      </c>
      <c r="B1498" s="69" t="s">
        <v>2207</v>
      </c>
      <c r="C1498" s="69" t="s">
        <v>185</v>
      </c>
      <c r="G1498" s="69" t="s">
        <v>192</v>
      </c>
      <c r="H1498" s="69" t="s">
        <v>805</v>
      </c>
      <c r="I1498" s="69">
        <v>1</v>
      </c>
      <c r="J1498" s="238">
        <v>0.21</v>
      </c>
      <c r="K1498" s="238">
        <v>0.57286144710521369</v>
      </c>
      <c r="L1498" s="69">
        <v>177.38910632746251</v>
      </c>
      <c r="M1498" s="69">
        <v>0</v>
      </c>
      <c r="N1498" s="69">
        <v>354.38145159999999</v>
      </c>
      <c r="O1498" s="69">
        <v>663.58374070000002</v>
      </c>
      <c r="P1498" s="69">
        <v>979.93327529999999</v>
      </c>
      <c r="Q1498" s="69">
        <v>1223.9035920000001</v>
      </c>
      <c r="R1498" s="69">
        <v>1428.303392</v>
      </c>
      <c r="S1498" s="69">
        <v>1596.7541920000001</v>
      </c>
      <c r="T1498" s="69">
        <v>1696.1989920000001</v>
      </c>
      <c r="U1498" s="69">
        <v>1977.7221750000001</v>
      </c>
      <c r="V1498" s="69">
        <v>2344.0006509999998</v>
      </c>
      <c r="W1498" s="69">
        <v>2678.5156959999999</v>
      </c>
      <c r="X1498" s="69">
        <v>2678.5156959999999</v>
      </c>
      <c r="Y1498" s="69">
        <v>2678.5156959999999</v>
      </c>
      <c r="Z1498" s="69">
        <v>2678.5156959999999</v>
      </c>
      <c r="AA1498" s="69">
        <v>2678.5156959999999</v>
      </c>
      <c r="AB1498" s="69">
        <v>2678.5156959999999</v>
      </c>
      <c r="AC1498" s="69">
        <v>2678.5156959999999</v>
      </c>
      <c r="AD1498" s="69">
        <v>2678.5156959999999</v>
      </c>
      <c r="AE1498" s="69">
        <v>2678.5156959999999</v>
      </c>
      <c r="AF1498" s="69">
        <v>2678.5156959999999</v>
      </c>
      <c r="AG1498" s="69">
        <v>2678.5156959999999</v>
      </c>
    </row>
    <row r="1499" spans="1:33" ht="12.75" customHeight="1">
      <c r="A1499" s="237" t="s">
        <v>2379</v>
      </c>
      <c r="B1499" s="69" t="s">
        <v>2208</v>
      </c>
      <c r="C1499" s="69" t="s">
        <v>137</v>
      </c>
      <c r="G1499" s="69" t="s">
        <v>192</v>
      </c>
      <c r="H1499" s="69" t="s">
        <v>805</v>
      </c>
      <c r="I1499" s="69">
        <v>1</v>
      </c>
      <c r="J1499" s="238">
        <v>0.378</v>
      </c>
      <c r="K1499" s="238">
        <v>0.16166723631218391</v>
      </c>
      <c r="L1499" s="69">
        <v>76.182020245947186</v>
      </c>
      <c r="M1499" s="69">
        <v>0</v>
      </c>
      <c r="N1499" s="69">
        <v>73.375527210000001</v>
      </c>
      <c r="O1499" s="69">
        <v>73.375527210000001</v>
      </c>
      <c r="P1499" s="69">
        <v>73.375527210000001</v>
      </c>
      <c r="Q1499" s="69">
        <v>73.375527210000001</v>
      </c>
      <c r="R1499" s="69">
        <v>73.375527210000001</v>
      </c>
      <c r="S1499" s="69">
        <v>73.375527210000001</v>
      </c>
      <c r="T1499" s="69">
        <v>73.375527210000001</v>
      </c>
      <c r="U1499" s="69">
        <v>73.375527210000001</v>
      </c>
      <c r="V1499" s="69">
        <v>73.375527210000001</v>
      </c>
      <c r="W1499" s="69">
        <v>73.375527210000001</v>
      </c>
      <c r="X1499" s="69">
        <v>73.375527210000001</v>
      </c>
      <c r="Y1499" s="69">
        <v>73.375527210000001</v>
      </c>
      <c r="Z1499" s="69">
        <v>73.375527210000001</v>
      </c>
      <c r="AA1499" s="69">
        <v>73.375527210000001</v>
      </c>
      <c r="AB1499" s="69">
        <v>73.375527210000001</v>
      </c>
      <c r="AC1499" s="69">
        <v>73.375527210000001</v>
      </c>
      <c r="AD1499" s="69">
        <v>73.375527210000001</v>
      </c>
      <c r="AE1499" s="69">
        <v>73.375527210000001</v>
      </c>
      <c r="AF1499" s="69">
        <v>73.375527210000001</v>
      </c>
      <c r="AG1499" s="69">
        <v>73.375527210000001</v>
      </c>
    </row>
    <row r="1500" spans="1:33" ht="12.75" customHeight="1">
      <c r="A1500" s="237" t="s">
        <v>2379</v>
      </c>
      <c r="B1500" s="69" t="s">
        <v>2209</v>
      </c>
      <c r="C1500" s="69" t="s">
        <v>185</v>
      </c>
      <c r="G1500" s="69" t="s">
        <v>192</v>
      </c>
      <c r="H1500" s="69" t="s">
        <v>804</v>
      </c>
      <c r="I1500" s="69">
        <v>1</v>
      </c>
      <c r="J1500" s="238">
        <v>0.2742</v>
      </c>
      <c r="K1500" s="238">
        <v>0.54732693206919336</v>
      </c>
      <c r="L1500" s="69">
        <v>135.8559895286912</v>
      </c>
      <c r="M1500" s="69">
        <v>0</v>
      </c>
      <c r="N1500" s="69">
        <v>79.165067190000002</v>
      </c>
      <c r="O1500" s="69">
        <v>103.946822</v>
      </c>
      <c r="P1500" s="69">
        <v>206.696822</v>
      </c>
      <c r="Q1500" s="69">
        <v>412.196822</v>
      </c>
      <c r="R1500" s="69">
        <v>514.946822</v>
      </c>
      <c r="S1500" s="69">
        <v>511.34682199999997</v>
      </c>
      <c r="T1500" s="69">
        <v>508.34682199999997</v>
      </c>
      <c r="U1500" s="69">
        <v>591.19092820000003</v>
      </c>
      <c r="V1500" s="69">
        <v>699.2593296</v>
      </c>
      <c r="W1500" s="69">
        <v>796.00948059999996</v>
      </c>
      <c r="X1500" s="69">
        <v>796.00948059999996</v>
      </c>
      <c r="Y1500" s="69">
        <v>796.00948059999996</v>
      </c>
      <c r="Z1500" s="69">
        <v>796.00948059999996</v>
      </c>
      <c r="AA1500" s="69">
        <v>796.00948059999996</v>
      </c>
      <c r="AB1500" s="69">
        <v>796.00948059999996</v>
      </c>
      <c r="AC1500" s="69">
        <v>796.00948059999996</v>
      </c>
      <c r="AD1500" s="69">
        <v>796.00948059999996</v>
      </c>
      <c r="AE1500" s="69">
        <v>796.00948059999996</v>
      </c>
      <c r="AF1500" s="69">
        <v>796.00948059999996</v>
      </c>
      <c r="AG1500" s="69">
        <v>796.00948059999996</v>
      </c>
    </row>
    <row r="1501" spans="1:33" ht="12.75" customHeight="1">
      <c r="A1501" s="237" t="s">
        <v>2379</v>
      </c>
      <c r="B1501" s="69" t="s">
        <v>2210</v>
      </c>
      <c r="C1501" s="69" t="s">
        <v>187</v>
      </c>
      <c r="G1501" s="69" t="s">
        <v>192</v>
      </c>
      <c r="H1501" s="69" t="s">
        <v>804</v>
      </c>
      <c r="I1501" s="69">
        <v>1</v>
      </c>
      <c r="J1501" s="238">
        <v>0.26679999999999998</v>
      </c>
      <c r="K1501" s="238">
        <v>0.70583469870443993</v>
      </c>
      <c r="L1501" s="69">
        <v>182.37028745901023</v>
      </c>
      <c r="M1501" s="69">
        <v>0</v>
      </c>
      <c r="N1501" s="69">
        <v>0</v>
      </c>
      <c r="O1501" s="69">
        <v>0</v>
      </c>
      <c r="P1501" s="69">
        <v>80.3</v>
      </c>
      <c r="Q1501" s="69">
        <v>439.1</v>
      </c>
      <c r="R1501" s="69">
        <v>583.20000000000005</v>
      </c>
      <c r="S1501" s="69">
        <v>583.20000000000005</v>
      </c>
      <c r="T1501" s="69">
        <v>583.20000000000005</v>
      </c>
      <c r="U1501" s="69">
        <v>583.20000000000005</v>
      </c>
      <c r="V1501" s="69">
        <v>583.20000000000005</v>
      </c>
      <c r="W1501" s="69">
        <v>583.20000000000005</v>
      </c>
      <c r="X1501" s="69">
        <v>583.20000000000005</v>
      </c>
      <c r="Y1501" s="69">
        <v>583.20000000000005</v>
      </c>
      <c r="Z1501" s="69">
        <v>583.20000000000005</v>
      </c>
      <c r="AA1501" s="69">
        <v>583.20000000000005</v>
      </c>
      <c r="AB1501" s="69">
        <v>583.20000000000005</v>
      </c>
      <c r="AC1501" s="69">
        <v>583.20000000000005</v>
      </c>
      <c r="AD1501" s="69">
        <v>583.20000000000005</v>
      </c>
      <c r="AE1501" s="69">
        <v>583.20000000000005</v>
      </c>
      <c r="AF1501" s="69">
        <v>583.20000000000005</v>
      </c>
      <c r="AG1501" s="69">
        <v>583.20000000000005</v>
      </c>
    </row>
    <row r="1502" spans="1:33" ht="12.75" customHeight="1">
      <c r="A1502" s="237" t="s">
        <v>2379</v>
      </c>
      <c r="B1502" s="69" t="s">
        <v>2211</v>
      </c>
      <c r="C1502" s="69" t="s">
        <v>18</v>
      </c>
      <c r="G1502" s="69" t="s">
        <v>192</v>
      </c>
      <c r="H1502" s="69" t="s">
        <v>805</v>
      </c>
      <c r="I1502" s="69">
        <v>1</v>
      </c>
      <c r="J1502" s="238">
        <v>0.57099999999999995</v>
      </c>
      <c r="K1502" s="238">
        <v>0.65</v>
      </c>
      <c r="L1502" s="69">
        <v>135.14704191871482</v>
      </c>
      <c r="M1502" s="69">
        <v>0</v>
      </c>
      <c r="N1502" s="69">
        <v>17.287351999999998</v>
      </c>
      <c r="O1502" s="69">
        <v>32.985584000000003</v>
      </c>
      <c r="P1502" s="69">
        <v>37.785584</v>
      </c>
      <c r="Q1502" s="69">
        <v>37.785584</v>
      </c>
      <c r="R1502" s="69">
        <v>37.785584</v>
      </c>
      <c r="S1502" s="69">
        <v>37.838583999999997</v>
      </c>
      <c r="T1502" s="69">
        <v>37.785584</v>
      </c>
      <c r="U1502" s="69">
        <v>37.785584</v>
      </c>
      <c r="V1502" s="69">
        <v>37.785584</v>
      </c>
      <c r="W1502" s="69">
        <v>37.838583999999997</v>
      </c>
      <c r="X1502" s="69">
        <v>37.838583999999997</v>
      </c>
      <c r="Y1502" s="69">
        <v>37.838583999999997</v>
      </c>
      <c r="Z1502" s="69">
        <v>37.838583999999997</v>
      </c>
      <c r="AA1502" s="69">
        <v>37.838583999999997</v>
      </c>
      <c r="AB1502" s="69">
        <v>37.838583999999997</v>
      </c>
      <c r="AC1502" s="69">
        <v>37.838583999999997</v>
      </c>
      <c r="AD1502" s="69">
        <v>37.838583999999997</v>
      </c>
      <c r="AE1502" s="69">
        <v>37.838583999999997</v>
      </c>
      <c r="AF1502" s="69">
        <v>37.838583999999997</v>
      </c>
      <c r="AG1502" s="69">
        <v>37.838583999999997</v>
      </c>
    </row>
    <row r="1503" spans="1:33" ht="12.75" customHeight="1">
      <c r="A1503" s="237" t="s">
        <v>2379</v>
      </c>
      <c r="B1503" s="69" t="s">
        <v>2212</v>
      </c>
      <c r="C1503" s="69" t="s">
        <v>137</v>
      </c>
      <c r="G1503" s="69" t="s">
        <v>192</v>
      </c>
      <c r="H1503" s="69" t="s">
        <v>805</v>
      </c>
      <c r="I1503" s="69">
        <v>1</v>
      </c>
      <c r="J1503" s="238">
        <v>0.36899999999999999</v>
      </c>
      <c r="K1503" s="238">
        <v>0.16166723631218391</v>
      </c>
      <c r="L1503" s="69">
        <v>78.040118300726391</v>
      </c>
      <c r="M1503" s="69">
        <v>0</v>
      </c>
      <c r="N1503" s="69">
        <v>303</v>
      </c>
      <c r="O1503" s="69">
        <v>303.83013699999998</v>
      </c>
      <c r="P1503" s="69">
        <v>303</v>
      </c>
      <c r="Q1503" s="69">
        <v>303</v>
      </c>
      <c r="R1503" s="69">
        <v>303</v>
      </c>
      <c r="S1503" s="69">
        <v>303.83</v>
      </c>
      <c r="T1503" s="69">
        <v>303</v>
      </c>
      <c r="U1503" s="69">
        <v>303</v>
      </c>
      <c r="V1503" s="69">
        <v>303</v>
      </c>
      <c r="W1503" s="69">
        <v>303.83</v>
      </c>
      <c r="X1503" s="69">
        <v>303.83</v>
      </c>
      <c r="Y1503" s="69">
        <v>303.83</v>
      </c>
      <c r="Z1503" s="69">
        <v>303.83</v>
      </c>
      <c r="AA1503" s="69">
        <v>303.83</v>
      </c>
      <c r="AB1503" s="69">
        <v>303.83</v>
      </c>
      <c r="AC1503" s="69">
        <v>303.83</v>
      </c>
      <c r="AD1503" s="69">
        <v>303.83</v>
      </c>
      <c r="AE1503" s="69">
        <v>303.83</v>
      </c>
      <c r="AF1503" s="69">
        <v>303.83</v>
      </c>
      <c r="AG1503" s="69">
        <v>303.83</v>
      </c>
    </row>
    <row r="1504" spans="1:33" ht="12.75" customHeight="1">
      <c r="A1504" s="237" t="s">
        <v>2379</v>
      </c>
      <c r="B1504" s="69" t="s">
        <v>2195</v>
      </c>
      <c r="C1504" s="69" t="s">
        <v>139</v>
      </c>
      <c r="G1504" s="69" t="s">
        <v>192</v>
      </c>
      <c r="H1504" s="69" t="s">
        <v>148</v>
      </c>
      <c r="I1504" s="69">
        <v>1</v>
      </c>
      <c r="J1504" s="238">
        <v>0.85</v>
      </c>
      <c r="K1504" s="238">
        <v>0.66</v>
      </c>
      <c r="L1504" s="69">
        <v>113.68346667349664</v>
      </c>
      <c r="M1504" s="69">
        <v>0</v>
      </c>
      <c r="N1504" s="69">
        <v>114.4594041</v>
      </c>
      <c r="O1504" s="69">
        <v>404.24878176999999</v>
      </c>
      <c r="P1504" s="69">
        <v>404.24878176999999</v>
      </c>
      <c r="Q1504" s="69">
        <v>404.24908176999998</v>
      </c>
      <c r="R1504" s="69">
        <v>404.24908176999998</v>
      </c>
      <c r="S1504" s="69">
        <v>404.24908176999998</v>
      </c>
      <c r="T1504" s="69">
        <v>404.24908176999998</v>
      </c>
      <c r="U1504" s="69">
        <v>404.24908176999998</v>
      </c>
      <c r="V1504" s="69">
        <v>404.24908176999998</v>
      </c>
      <c r="W1504" s="69">
        <v>404.24908176999998</v>
      </c>
      <c r="X1504" s="69">
        <v>404.24908176999998</v>
      </c>
      <c r="Y1504" s="69">
        <v>404.24908176999998</v>
      </c>
      <c r="Z1504" s="69">
        <v>404.24908176999998</v>
      </c>
      <c r="AA1504" s="69">
        <v>404.24908176999998</v>
      </c>
      <c r="AB1504" s="69">
        <v>404.24908176999998</v>
      </c>
      <c r="AC1504" s="69">
        <v>404.24908176999998</v>
      </c>
      <c r="AD1504" s="69">
        <v>404.24908176999998</v>
      </c>
      <c r="AE1504" s="69">
        <v>404.24908176999998</v>
      </c>
      <c r="AF1504" s="69">
        <v>404.24908176999998</v>
      </c>
      <c r="AG1504" s="69">
        <v>404.24908176999998</v>
      </c>
    </row>
    <row r="1505" spans="1:33" ht="12.75" customHeight="1">
      <c r="A1505" s="237" t="s">
        <v>2379</v>
      </c>
      <c r="B1505" s="69" t="s">
        <v>2213</v>
      </c>
      <c r="C1505" s="69" t="s">
        <v>18</v>
      </c>
      <c r="G1505" s="69" t="s">
        <v>192</v>
      </c>
      <c r="H1505" s="69" t="s">
        <v>805</v>
      </c>
      <c r="I1505" s="69">
        <v>1</v>
      </c>
      <c r="J1505" s="238">
        <v>0.57099999999999995</v>
      </c>
      <c r="K1505" s="238">
        <v>0.65</v>
      </c>
      <c r="L1505" s="69">
        <v>135.14704191871482</v>
      </c>
      <c r="M1505" s="69">
        <v>0</v>
      </c>
      <c r="N1505" s="69">
        <v>96.572605760000002</v>
      </c>
      <c r="O1505" s="69">
        <v>96.572605760000002</v>
      </c>
      <c r="P1505" s="69">
        <v>96.572605760000002</v>
      </c>
      <c r="Q1505" s="69">
        <v>96.572605760000002</v>
      </c>
      <c r="R1505" s="69">
        <v>96.572605760000002</v>
      </c>
      <c r="S1505" s="69">
        <v>96.572605760000002</v>
      </c>
      <c r="T1505" s="69">
        <v>96.572605760000002</v>
      </c>
      <c r="U1505" s="69">
        <v>96.572605760000002</v>
      </c>
      <c r="V1505" s="69">
        <v>96.572605760000002</v>
      </c>
      <c r="W1505" s="69">
        <v>96.572605760000002</v>
      </c>
      <c r="X1505" s="69">
        <v>96.572605760000002</v>
      </c>
      <c r="Y1505" s="69">
        <v>96.572605760000002</v>
      </c>
      <c r="Z1505" s="69">
        <v>96.572605760000002</v>
      </c>
      <c r="AA1505" s="69">
        <v>96.572605760000002</v>
      </c>
      <c r="AB1505" s="69">
        <v>96.572605760000002</v>
      </c>
      <c r="AC1505" s="69">
        <v>96.572605760000002</v>
      </c>
      <c r="AD1505" s="69">
        <v>96.572605760000002</v>
      </c>
      <c r="AE1505" s="69">
        <v>96.572605760000002</v>
      </c>
      <c r="AF1505" s="69">
        <v>96.572605760000002</v>
      </c>
      <c r="AG1505" s="69">
        <v>96.572605760000002</v>
      </c>
    </row>
    <row r="1506" spans="1:33" ht="12.75" customHeight="1">
      <c r="A1506" s="237" t="s">
        <v>2379</v>
      </c>
      <c r="B1506" s="69" t="s">
        <v>2214</v>
      </c>
      <c r="C1506" s="69" t="s">
        <v>185</v>
      </c>
      <c r="G1506" s="69" t="s">
        <v>192</v>
      </c>
      <c r="H1506" s="69" t="s">
        <v>804</v>
      </c>
      <c r="I1506" s="69">
        <v>1</v>
      </c>
      <c r="J1506" s="238">
        <v>0.29349999999999998</v>
      </c>
      <c r="K1506" s="238">
        <v>0.58000000000000007</v>
      </c>
      <c r="L1506" s="69">
        <v>126.92235887143826</v>
      </c>
      <c r="M1506" s="69">
        <v>0</v>
      </c>
      <c r="N1506" s="69">
        <v>2.7069999999999999</v>
      </c>
      <c r="O1506" s="69">
        <v>4.176768</v>
      </c>
      <c r="P1506" s="69">
        <v>4.176768</v>
      </c>
      <c r="Q1506" s="69">
        <v>4.176768</v>
      </c>
      <c r="R1506" s="69">
        <v>4.176768</v>
      </c>
      <c r="S1506" s="69">
        <v>4.176768</v>
      </c>
      <c r="T1506" s="69">
        <v>4.176768</v>
      </c>
      <c r="U1506" s="69">
        <v>4.176768</v>
      </c>
      <c r="V1506" s="69">
        <v>4.176768</v>
      </c>
      <c r="W1506" s="69">
        <v>4.176768</v>
      </c>
      <c r="X1506" s="69">
        <v>4.176768</v>
      </c>
      <c r="Y1506" s="69">
        <v>4.176768</v>
      </c>
      <c r="Z1506" s="69">
        <v>4.176768</v>
      </c>
      <c r="AA1506" s="69">
        <v>4.176768</v>
      </c>
      <c r="AB1506" s="69">
        <v>4.176768</v>
      </c>
      <c r="AC1506" s="69">
        <v>4.176768</v>
      </c>
      <c r="AD1506" s="69">
        <v>4.176768</v>
      </c>
      <c r="AE1506" s="69">
        <v>4.176768</v>
      </c>
      <c r="AF1506" s="69">
        <v>4.176768</v>
      </c>
      <c r="AG1506" s="69">
        <v>4.176768</v>
      </c>
    </row>
    <row r="1507" spans="1:33" ht="12.75" customHeight="1">
      <c r="A1507" s="237" t="s">
        <v>2379</v>
      </c>
      <c r="B1507" s="69" t="s">
        <v>2215</v>
      </c>
      <c r="C1507" s="69" t="s">
        <v>137</v>
      </c>
      <c r="G1507" s="69" t="s">
        <v>192</v>
      </c>
      <c r="H1507" s="69" t="s">
        <v>804</v>
      </c>
      <c r="I1507" s="69">
        <v>1</v>
      </c>
      <c r="J1507" s="238">
        <v>0.318</v>
      </c>
      <c r="K1507" s="238">
        <v>0.16166723631218391</v>
      </c>
      <c r="L1507" s="69">
        <v>90.55598633008816</v>
      </c>
      <c r="M1507" s="69">
        <v>0</v>
      </c>
      <c r="N1507" s="69">
        <v>0</v>
      </c>
      <c r="O1507" s="69">
        <v>0</v>
      </c>
      <c r="P1507" s="69">
        <v>0</v>
      </c>
      <c r="Q1507" s="69">
        <v>0</v>
      </c>
      <c r="R1507" s="69">
        <v>0</v>
      </c>
      <c r="S1507" s="69">
        <v>0</v>
      </c>
      <c r="T1507" s="69">
        <v>0</v>
      </c>
      <c r="U1507" s="69">
        <v>0</v>
      </c>
      <c r="V1507" s="69">
        <v>0</v>
      </c>
      <c r="W1507" s="69">
        <v>0</v>
      </c>
      <c r="X1507" s="69">
        <v>0</v>
      </c>
      <c r="Y1507" s="69">
        <v>0</v>
      </c>
      <c r="Z1507" s="69">
        <v>0</v>
      </c>
      <c r="AA1507" s="69">
        <v>0</v>
      </c>
      <c r="AB1507" s="69">
        <v>0</v>
      </c>
      <c r="AC1507" s="69">
        <v>0</v>
      </c>
      <c r="AD1507" s="69">
        <v>0</v>
      </c>
      <c r="AE1507" s="69">
        <v>0</v>
      </c>
      <c r="AF1507" s="69">
        <v>0</v>
      </c>
      <c r="AG1507" s="69">
        <v>0</v>
      </c>
    </row>
    <row r="1508" spans="1:33" ht="12.75" customHeight="1">
      <c r="A1508" s="237" t="s">
        <v>2379</v>
      </c>
      <c r="B1508" s="69" t="s">
        <v>2200</v>
      </c>
      <c r="C1508" s="69" t="s">
        <v>136</v>
      </c>
      <c r="G1508" s="237" t="s">
        <v>2234</v>
      </c>
      <c r="H1508" s="69" t="s">
        <v>2417</v>
      </c>
      <c r="I1508" s="69">
        <v>1</v>
      </c>
      <c r="J1508" s="238">
        <v>0.85</v>
      </c>
      <c r="K1508" s="238">
        <v>0.72</v>
      </c>
      <c r="L1508" s="69">
        <v>102.38230922334316</v>
      </c>
      <c r="M1508" s="69">
        <v>0</v>
      </c>
      <c r="N1508" s="69">
        <v>0</v>
      </c>
      <c r="O1508" s="69">
        <v>0</v>
      </c>
      <c r="P1508" s="69">
        <v>87.294583329999995</v>
      </c>
      <c r="Q1508" s="69">
        <v>209.50700000000001</v>
      </c>
      <c r="R1508" s="69">
        <v>209.50700000000001</v>
      </c>
      <c r="S1508" s="69">
        <v>209.50700000000001</v>
      </c>
      <c r="T1508" s="69">
        <v>209.50700000000001</v>
      </c>
      <c r="U1508" s="69">
        <v>209.50700000000001</v>
      </c>
      <c r="V1508" s="69">
        <v>209.50700000000001</v>
      </c>
      <c r="W1508" s="69">
        <v>209.50700000000001</v>
      </c>
      <c r="X1508" s="69">
        <v>209.50700000000001</v>
      </c>
      <c r="Y1508" s="69">
        <v>209.50700000000001</v>
      </c>
      <c r="Z1508" s="69">
        <v>209.50700000000001</v>
      </c>
      <c r="AA1508" s="69">
        <v>209.50700000000001</v>
      </c>
      <c r="AB1508" s="69">
        <v>209.50700000000001</v>
      </c>
      <c r="AC1508" s="69">
        <v>209.50700000000001</v>
      </c>
      <c r="AD1508" s="69">
        <v>209.50700000000001</v>
      </c>
      <c r="AE1508" s="69">
        <v>209.50700000000001</v>
      </c>
      <c r="AF1508" s="69">
        <v>209.50700000000001</v>
      </c>
      <c r="AG1508" s="69">
        <v>209.50700000000001</v>
      </c>
    </row>
    <row r="1509" spans="1:33" ht="12.75" customHeight="1">
      <c r="A1509" s="237" t="s">
        <v>2379</v>
      </c>
      <c r="B1509" s="69" t="s">
        <v>2216</v>
      </c>
      <c r="C1509" s="69" t="s">
        <v>18</v>
      </c>
      <c r="G1509" s="69" t="s">
        <v>192</v>
      </c>
      <c r="H1509" s="69" t="s">
        <v>805</v>
      </c>
      <c r="I1509" s="69">
        <v>1</v>
      </c>
      <c r="J1509" s="238">
        <v>0.61299999999999999</v>
      </c>
      <c r="K1509" s="238">
        <v>0.65</v>
      </c>
      <c r="L1509" s="69">
        <v>128.30776532949341</v>
      </c>
      <c r="M1509" s="69">
        <v>0</v>
      </c>
      <c r="N1509" s="69">
        <v>87.940700000000007</v>
      </c>
      <c r="O1509" s="69">
        <v>89.559080000000009</v>
      </c>
      <c r="P1509" s="69">
        <v>89.558480000000003</v>
      </c>
      <c r="Q1509" s="69">
        <v>89.557479999999998</v>
      </c>
      <c r="R1509" s="69">
        <v>89.557479999999998</v>
      </c>
      <c r="S1509" s="69">
        <v>89.558480000000003</v>
      </c>
      <c r="T1509" s="69">
        <v>89.557479999999998</v>
      </c>
      <c r="U1509" s="69">
        <v>89.557479999999998</v>
      </c>
      <c r="V1509" s="69">
        <v>89.557479999999998</v>
      </c>
      <c r="W1509" s="69">
        <v>89.558480000000003</v>
      </c>
      <c r="X1509" s="69">
        <v>89.558480000000003</v>
      </c>
      <c r="Y1509" s="69">
        <v>89.558480000000003</v>
      </c>
      <c r="Z1509" s="69">
        <v>89.558480000000003</v>
      </c>
      <c r="AA1509" s="69">
        <v>89.558480000000003</v>
      </c>
      <c r="AB1509" s="69">
        <v>89.558480000000003</v>
      </c>
      <c r="AC1509" s="69">
        <v>89.558480000000003</v>
      </c>
      <c r="AD1509" s="69">
        <v>89.558480000000003</v>
      </c>
      <c r="AE1509" s="69">
        <v>89.558480000000003</v>
      </c>
      <c r="AF1509" s="69">
        <v>89.558480000000003</v>
      </c>
      <c r="AG1509" s="69">
        <v>89.558480000000003</v>
      </c>
    </row>
    <row r="1510" spans="1:33" ht="12.75" customHeight="1">
      <c r="A1510" s="237" t="s">
        <v>2379</v>
      </c>
      <c r="B1510" s="69" t="s">
        <v>2217</v>
      </c>
      <c r="C1510" s="69" t="s">
        <v>137</v>
      </c>
      <c r="G1510" s="69" t="s">
        <v>192</v>
      </c>
      <c r="H1510" s="69" t="s">
        <v>805</v>
      </c>
      <c r="I1510" s="69">
        <v>1</v>
      </c>
      <c r="J1510" s="238">
        <v>0.32200000000000001</v>
      </c>
      <c r="K1510" s="238">
        <v>0.16166723631218391</v>
      </c>
      <c r="L1510" s="69">
        <v>89.431067245242346</v>
      </c>
      <c r="M1510" s="69">
        <v>0</v>
      </c>
      <c r="N1510" s="69">
        <v>1309.8790692</v>
      </c>
      <c r="O1510" s="69">
        <v>1863.0941809000001</v>
      </c>
      <c r="P1510" s="69">
        <v>2258.5771808999998</v>
      </c>
      <c r="Q1510" s="69">
        <v>2258.5771808999998</v>
      </c>
      <c r="R1510" s="69">
        <v>2258.5771808999998</v>
      </c>
      <c r="S1510" s="69">
        <v>2258.5771808999998</v>
      </c>
      <c r="T1510" s="69">
        <v>2258.5771808999998</v>
      </c>
      <c r="U1510" s="69">
        <v>2854.1834248999999</v>
      </c>
      <c r="V1510" s="69">
        <v>3619.4528719</v>
      </c>
      <c r="W1510" s="69">
        <v>4310.8727869000004</v>
      </c>
      <c r="X1510" s="69">
        <v>4310.8727869000004</v>
      </c>
      <c r="Y1510" s="69">
        <v>4310.8727869000004</v>
      </c>
      <c r="Z1510" s="69">
        <v>4310.8727869000004</v>
      </c>
      <c r="AA1510" s="69">
        <v>4310.8727869000004</v>
      </c>
      <c r="AB1510" s="69">
        <v>4310.8727869000004</v>
      </c>
      <c r="AC1510" s="69">
        <v>4310.8727869000004</v>
      </c>
      <c r="AD1510" s="69">
        <v>4310.8727869000004</v>
      </c>
      <c r="AE1510" s="69">
        <v>4310.8727869000004</v>
      </c>
      <c r="AF1510" s="69">
        <v>4310.8727869000004</v>
      </c>
      <c r="AG1510" s="69">
        <v>4310.8727869000004</v>
      </c>
    </row>
    <row r="1511" spans="1:33" ht="12.75" customHeight="1">
      <c r="A1511" s="237" t="s">
        <v>2379</v>
      </c>
      <c r="B1511" s="69" t="s">
        <v>2218</v>
      </c>
      <c r="C1511" s="69" t="s">
        <v>137</v>
      </c>
      <c r="G1511" s="69" t="s">
        <v>199</v>
      </c>
      <c r="H1511" s="69" t="s">
        <v>2417</v>
      </c>
      <c r="I1511" s="69">
        <v>1</v>
      </c>
      <c r="J1511" s="238">
        <v>0.29199999999999998</v>
      </c>
      <c r="K1511" s="238">
        <v>0.2</v>
      </c>
      <c r="L1511" s="69">
        <v>98.619190592356304</v>
      </c>
      <c r="M1511" s="69">
        <v>0</v>
      </c>
      <c r="N1511" s="69">
        <v>1636.389764</v>
      </c>
      <c r="O1511" s="69">
        <v>988.73976430000005</v>
      </c>
      <c r="P1511" s="69">
        <v>988.73976430000005</v>
      </c>
      <c r="Q1511" s="69">
        <v>988.73976430000005</v>
      </c>
      <c r="R1511" s="69">
        <v>988.73976430000005</v>
      </c>
      <c r="S1511" s="69">
        <v>988.73976430000005</v>
      </c>
      <c r="T1511" s="69">
        <v>988.73976430000005</v>
      </c>
      <c r="U1511" s="69">
        <v>988.73976430000005</v>
      </c>
      <c r="V1511" s="69">
        <v>749.72434529999998</v>
      </c>
      <c r="W1511" s="69">
        <v>749.72434529999998</v>
      </c>
      <c r="X1511" s="69">
        <v>749.72434529999998</v>
      </c>
      <c r="Y1511" s="69">
        <v>749.72434529999998</v>
      </c>
      <c r="Z1511" s="69">
        <v>749.72434529999998</v>
      </c>
      <c r="AA1511" s="69">
        <v>749.72434529999998</v>
      </c>
      <c r="AB1511" s="69">
        <v>749.72434529999998</v>
      </c>
      <c r="AC1511" s="69">
        <v>749.72434529999998</v>
      </c>
      <c r="AD1511" s="69">
        <v>749.72434529999998</v>
      </c>
      <c r="AE1511" s="69">
        <v>749.72434529999998</v>
      </c>
      <c r="AF1511" s="69">
        <v>749.72434529999998</v>
      </c>
      <c r="AG1511" s="69">
        <v>749.72434529999998</v>
      </c>
    </row>
    <row r="1512" spans="1:33" ht="12.75" customHeight="1">
      <c r="A1512" s="237" t="s">
        <v>2379</v>
      </c>
      <c r="B1512" s="69" t="s">
        <v>2236</v>
      </c>
      <c r="C1512" s="69" t="s">
        <v>137</v>
      </c>
      <c r="G1512" s="69" t="s">
        <v>214</v>
      </c>
      <c r="H1512" s="69" t="s">
        <v>2417</v>
      </c>
      <c r="I1512" s="69">
        <v>1</v>
      </c>
      <c r="J1512" s="238">
        <v>0.312</v>
      </c>
      <c r="K1512" s="238">
        <v>0</v>
      </c>
      <c r="L1512" s="69">
        <v>92.297447605666775</v>
      </c>
      <c r="M1512" s="69">
        <v>0</v>
      </c>
      <c r="N1512" s="69">
        <v>117</v>
      </c>
      <c r="O1512" s="69">
        <v>117</v>
      </c>
      <c r="P1512" s="69">
        <v>117</v>
      </c>
      <c r="Q1512" s="69">
        <v>117</v>
      </c>
      <c r="R1512" s="69">
        <v>0</v>
      </c>
      <c r="S1512" s="69">
        <v>0</v>
      </c>
      <c r="T1512" s="69">
        <v>0</v>
      </c>
      <c r="U1512" s="69">
        <v>0</v>
      </c>
      <c r="V1512" s="69">
        <v>0</v>
      </c>
      <c r="W1512" s="69">
        <v>0</v>
      </c>
      <c r="X1512" s="69">
        <v>0</v>
      </c>
      <c r="Y1512" s="69">
        <v>0</v>
      </c>
      <c r="Z1512" s="69">
        <v>0</v>
      </c>
      <c r="AA1512" s="69">
        <v>0</v>
      </c>
      <c r="AB1512" s="69">
        <v>0</v>
      </c>
      <c r="AC1512" s="69">
        <v>0</v>
      </c>
      <c r="AD1512" s="69">
        <v>0</v>
      </c>
      <c r="AE1512" s="69">
        <v>0</v>
      </c>
      <c r="AF1512" s="69">
        <v>0</v>
      </c>
      <c r="AG1512" s="69">
        <v>0</v>
      </c>
    </row>
    <row r="1513" spans="1:33" ht="12.75" customHeight="1">
      <c r="A1513" s="237" t="s">
        <v>2379</v>
      </c>
      <c r="B1513" s="69" t="s">
        <v>2235</v>
      </c>
      <c r="C1513" s="69" t="s">
        <v>185</v>
      </c>
      <c r="G1513" s="69" t="s">
        <v>201</v>
      </c>
      <c r="H1513" s="69" t="s">
        <v>2417</v>
      </c>
      <c r="I1513" s="69">
        <v>1</v>
      </c>
      <c r="J1513" s="238">
        <v>0.28999999999999998</v>
      </c>
      <c r="K1513" s="238">
        <v>0</v>
      </c>
      <c r="L1513" s="69">
        <v>128.45418044402459</v>
      </c>
      <c r="M1513" s="69">
        <v>0</v>
      </c>
      <c r="N1513" s="69">
        <v>0</v>
      </c>
      <c r="O1513" s="69">
        <v>0</v>
      </c>
      <c r="P1513" s="69">
        <v>0</v>
      </c>
      <c r="Q1513" s="69">
        <v>0</v>
      </c>
      <c r="R1513" s="69">
        <v>0</v>
      </c>
      <c r="S1513" s="69">
        <v>0</v>
      </c>
      <c r="T1513" s="69">
        <v>0</v>
      </c>
      <c r="U1513" s="69">
        <v>0</v>
      </c>
      <c r="V1513" s="69">
        <v>0</v>
      </c>
      <c r="W1513" s="69">
        <v>0</v>
      </c>
      <c r="X1513" s="69">
        <v>0</v>
      </c>
      <c r="Y1513" s="69">
        <v>0</v>
      </c>
      <c r="Z1513" s="69">
        <v>0</v>
      </c>
      <c r="AA1513" s="69">
        <v>0</v>
      </c>
      <c r="AB1513" s="69">
        <v>0</v>
      </c>
      <c r="AC1513" s="69">
        <v>0</v>
      </c>
      <c r="AD1513" s="69">
        <v>0</v>
      </c>
      <c r="AE1513" s="69">
        <v>0</v>
      </c>
      <c r="AF1513" s="69">
        <v>0</v>
      </c>
      <c r="AG1513" s="69">
        <v>0</v>
      </c>
    </row>
    <row r="1514" spans="1:33" ht="12.75" customHeight="1">
      <c r="A1514" s="237" t="s">
        <v>2379</v>
      </c>
      <c r="B1514" s="69" t="s">
        <v>2237</v>
      </c>
      <c r="C1514" s="69" t="s">
        <v>187</v>
      </c>
      <c r="G1514" s="69" t="s">
        <v>201</v>
      </c>
      <c r="H1514" s="69" t="s">
        <v>2417</v>
      </c>
      <c r="I1514" s="69">
        <v>1</v>
      </c>
      <c r="J1514" s="238">
        <v>0.26679999999999998</v>
      </c>
      <c r="K1514" s="238">
        <v>0</v>
      </c>
      <c r="L1514" s="69">
        <v>182.37028745901023</v>
      </c>
      <c r="M1514" s="69">
        <v>0</v>
      </c>
      <c r="N1514" s="69">
        <v>0</v>
      </c>
      <c r="O1514" s="69">
        <v>0</v>
      </c>
      <c r="P1514" s="69">
        <v>0</v>
      </c>
      <c r="Q1514" s="69">
        <v>0</v>
      </c>
      <c r="R1514" s="69">
        <v>0</v>
      </c>
      <c r="S1514" s="69">
        <v>0</v>
      </c>
      <c r="T1514" s="69">
        <v>0</v>
      </c>
      <c r="U1514" s="69">
        <v>0</v>
      </c>
      <c r="V1514" s="69">
        <v>0</v>
      </c>
      <c r="W1514" s="69">
        <v>0</v>
      </c>
      <c r="X1514" s="69">
        <v>0</v>
      </c>
      <c r="Y1514" s="69">
        <v>0</v>
      </c>
      <c r="Z1514" s="69">
        <v>0</v>
      </c>
      <c r="AA1514" s="69">
        <v>0</v>
      </c>
      <c r="AB1514" s="69">
        <v>0</v>
      </c>
      <c r="AC1514" s="69">
        <v>0</v>
      </c>
      <c r="AD1514" s="69">
        <v>0</v>
      </c>
      <c r="AE1514" s="69">
        <v>0</v>
      </c>
      <c r="AF1514" s="69">
        <v>0</v>
      </c>
      <c r="AG1514" s="69">
        <v>0</v>
      </c>
    </row>
    <row r="1515" spans="1:33" ht="12.75" customHeight="1">
      <c r="A1515" s="237" t="s">
        <v>2379</v>
      </c>
      <c r="B1515" s="69" t="s">
        <v>2238</v>
      </c>
      <c r="C1515" s="69" t="s">
        <v>137</v>
      </c>
      <c r="G1515" s="69" t="s">
        <v>201</v>
      </c>
      <c r="H1515" s="69" t="s">
        <v>2417</v>
      </c>
      <c r="I1515" s="69">
        <v>1</v>
      </c>
      <c r="J1515" s="238">
        <v>0.28100000000000003</v>
      </c>
      <c r="K1515" s="238">
        <v>0.2</v>
      </c>
      <c r="L1515" s="69">
        <v>102.47972830237737</v>
      </c>
      <c r="M1515" s="69">
        <v>0</v>
      </c>
      <c r="N1515" s="69">
        <v>0</v>
      </c>
      <c r="O1515" s="69">
        <v>0</v>
      </c>
      <c r="P1515" s="69">
        <v>0</v>
      </c>
      <c r="Q1515" s="69">
        <v>0</v>
      </c>
      <c r="R1515" s="69">
        <v>0</v>
      </c>
      <c r="S1515" s="69">
        <v>0</v>
      </c>
      <c r="T1515" s="69">
        <v>0</v>
      </c>
      <c r="U1515" s="69">
        <v>0</v>
      </c>
      <c r="V1515" s="69">
        <v>0</v>
      </c>
      <c r="W1515" s="69">
        <v>0</v>
      </c>
      <c r="X1515" s="69">
        <v>0</v>
      </c>
      <c r="Y1515" s="69">
        <v>0</v>
      </c>
      <c r="Z1515" s="69">
        <v>0</v>
      </c>
      <c r="AA1515" s="69">
        <v>0</v>
      </c>
      <c r="AB1515" s="69">
        <v>0</v>
      </c>
      <c r="AC1515" s="69">
        <v>0</v>
      </c>
      <c r="AD1515" s="69">
        <v>0</v>
      </c>
      <c r="AE1515" s="69">
        <v>0</v>
      </c>
      <c r="AF1515" s="69">
        <v>0</v>
      </c>
      <c r="AG1515" s="69">
        <v>0</v>
      </c>
    </row>
    <row r="1516" spans="1:33" ht="12.75" customHeight="1">
      <c r="A1516" s="237" t="s">
        <v>2379</v>
      </c>
      <c r="B1516" s="69" t="s">
        <v>2239</v>
      </c>
      <c r="C1516" s="69" t="s">
        <v>185</v>
      </c>
      <c r="G1516" s="69" t="s">
        <v>192</v>
      </c>
      <c r="H1516" s="69" t="s">
        <v>804</v>
      </c>
      <c r="I1516" s="69">
        <v>1</v>
      </c>
      <c r="J1516" s="238">
        <v>0.23499999999999999</v>
      </c>
      <c r="K1516" s="238">
        <v>0.51</v>
      </c>
      <c r="L1516" s="69">
        <v>158.51792480326438</v>
      </c>
      <c r="M1516" s="69">
        <v>0</v>
      </c>
      <c r="N1516" s="69">
        <v>0</v>
      </c>
      <c r="O1516" s="69">
        <v>0</v>
      </c>
      <c r="P1516" s="69">
        <v>12</v>
      </c>
      <c r="Q1516" s="69">
        <v>146</v>
      </c>
      <c r="R1516" s="69">
        <v>303</v>
      </c>
      <c r="S1516" s="69">
        <v>303</v>
      </c>
      <c r="T1516" s="69">
        <v>303</v>
      </c>
      <c r="U1516" s="69">
        <v>303</v>
      </c>
      <c r="V1516" s="69">
        <v>303</v>
      </c>
      <c r="W1516" s="69">
        <v>303</v>
      </c>
      <c r="X1516" s="69">
        <v>303</v>
      </c>
      <c r="Y1516" s="69">
        <v>303</v>
      </c>
      <c r="Z1516" s="69">
        <v>303</v>
      </c>
      <c r="AA1516" s="69">
        <v>303</v>
      </c>
      <c r="AB1516" s="69">
        <v>303</v>
      </c>
      <c r="AC1516" s="69">
        <v>303</v>
      </c>
      <c r="AD1516" s="69">
        <v>303</v>
      </c>
      <c r="AE1516" s="69">
        <v>303</v>
      </c>
      <c r="AF1516" s="69">
        <v>303</v>
      </c>
      <c r="AG1516" s="69">
        <v>303</v>
      </c>
    </row>
    <row r="1517" spans="1:33" ht="12.75" customHeight="1">
      <c r="A1517" s="237" t="s">
        <v>2379</v>
      </c>
      <c r="B1517" s="69" t="s">
        <v>2240</v>
      </c>
      <c r="C1517" s="69" t="s">
        <v>137</v>
      </c>
      <c r="G1517" s="69" t="s">
        <v>313</v>
      </c>
      <c r="H1517" s="69" t="s">
        <v>2417</v>
      </c>
      <c r="I1517" s="69">
        <v>1</v>
      </c>
      <c r="J1517" s="238">
        <v>0.31759999999999999</v>
      </c>
      <c r="K1517" s="238">
        <v>0.2</v>
      </c>
      <c r="L1517" s="69">
        <v>90.670036690705416</v>
      </c>
      <c r="M1517" s="69">
        <v>0</v>
      </c>
      <c r="N1517" s="69">
        <v>0</v>
      </c>
      <c r="O1517" s="69">
        <v>0</v>
      </c>
      <c r="P1517" s="69">
        <v>0</v>
      </c>
      <c r="Q1517" s="69">
        <v>0</v>
      </c>
      <c r="R1517" s="69">
        <v>0</v>
      </c>
      <c r="S1517" s="69">
        <v>0</v>
      </c>
      <c r="T1517" s="69">
        <v>0</v>
      </c>
      <c r="U1517" s="69">
        <v>0</v>
      </c>
      <c r="V1517" s="69">
        <v>0</v>
      </c>
      <c r="W1517" s="69">
        <v>0</v>
      </c>
      <c r="X1517" s="69">
        <v>0</v>
      </c>
      <c r="Y1517" s="69">
        <v>0</v>
      </c>
      <c r="Z1517" s="69">
        <v>0</v>
      </c>
      <c r="AA1517" s="69">
        <v>0</v>
      </c>
      <c r="AB1517" s="69">
        <v>0</v>
      </c>
      <c r="AC1517" s="69">
        <v>0</v>
      </c>
      <c r="AD1517" s="69">
        <v>0</v>
      </c>
      <c r="AE1517" s="69">
        <v>0</v>
      </c>
      <c r="AF1517" s="69">
        <v>0</v>
      </c>
      <c r="AG1517" s="69">
        <v>0</v>
      </c>
    </row>
    <row r="1518" spans="1:33" ht="12.75" customHeight="1">
      <c r="A1518" s="237" t="s">
        <v>2379</v>
      </c>
      <c r="B1518" s="69" t="s">
        <v>2241</v>
      </c>
      <c r="C1518" s="69" t="s">
        <v>185</v>
      </c>
      <c r="G1518" s="69" t="s">
        <v>192</v>
      </c>
      <c r="H1518" s="69" t="s">
        <v>804</v>
      </c>
      <c r="I1518" s="69">
        <v>1</v>
      </c>
      <c r="J1518" s="238">
        <v>0.28999999999999998</v>
      </c>
      <c r="K1518" s="238">
        <v>0.55854882869120503</v>
      </c>
      <c r="L1518" s="69">
        <v>128.45418044402459</v>
      </c>
      <c r="M1518" s="69">
        <v>0</v>
      </c>
      <c r="N1518" s="69">
        <v>2</v>
      </c>
      <c r="O1518" s="69">
        <v>2</v>
      </c>
      <c r="P1518" s="69">
        <v>2</v>
      </c>
      <c r="Q1518" s="69">
        <v>2</v>
      </c>
      <c r="R1518" s="69">
        <v>2</v>
      </c>
      <c r="S1518" s="69">
        <v>2</v>
      </c>
      <c r="T1518" s="69">
        <v>2</v>
      </c>
      <c r="U1518" s="69">
        <v>2</v>
      </c>
      <c r="V1518" s="69">
        <v>2</v>
      </c>
      <c r="W1518" s="69">
        <v>2</v>
      </c>
      <c r="X1518" s="69">
        <v>2</v>
      </c>
      <c r="Y1518" s="69">
        <v>2</v>
      </c>
      <c r="Z1518" s="69">
        <v>2</v>
      </c>
      <c r="AA1518" s="69">
        <v>2</v>
      </c>
      <c r="AB1518" s="69">
        <v>2</v>
      </c>
      <c r="AC1518" s="69">
        <v>2</v>
      </c>
      <c r="AD1518" s="69">
        <v>2</v>
      </c>
      <c r="AE1518" s="69">
        <v>2</v>
      </c>
      <c r="AF1518" s="69">
        <v>2</v>
      </c>
      <c r="AG1518" s="69">
        <v>2</v>
      </c>
    </row>
    <row r="1519" spans="1:33" ht="12.75" customHeight="1">
      <c r="A1519" s="237" t="s">
        <v>2379</v>
      </c>
      <c r="B1519" s="69" t="s">
        <v>2242</v>
      </c>
      <c r="C1519" s="69" t="s">
        <v>185</v>
      </c>
      <c r="G1519" s="69" t="s">
        <v>192</v>
      </c>
      <c r="H1519" s="237" t="s">
        <v>148</v>
      </c>
      <c r="I1519" s="69">
        <v>1</v>
      </c>
      <c r="J1519" s="238">
        <v>0.28999999999999998</v>
      </c>
      <c r="K1519" s="238">
        <v>0.65</v>
      </c>
      <c r="L1519" s="69">
        <v>128.45418044402459</v>
      </c>
      <c r="M1519" s="69">
        <v>0</v>
      </c>
      <c r="N1519" s="69">
        <v>0</v>
      </c>
      <c r="O1519" s="69">
        <v>22</v>
      </c>
      <c r="P1519" s="69">
        <v>170</v>
      </c>
      <c r="Q1519" s="69">
        <v>319</v>
      </c>
      <c r="R1519" s="69">
        <v>341</v>
      </c>
      <c r="S1519" s="69">
        <v>339</v>
      </c>
      <c r="T1519" s="69">
        <v>336</v>
      </c>
      <c r="U1519" s="69">
        <v>333</v>
      </c>
      <c r="V1519" s="69">
        <v>330</v>
      </c>
      <c r="W1519" s="69">
        <v>329</v>
      </c>
      <c r="X1519" s="69">
        <v>329</v>
      </c>
      <c r="Y1519" s="69">
        <v>329</v>
      </c>
      <c r="Z1519" s="69">
        <v>329</v>
      </c>
      <c r="AA1519" s="69">
        <v>329</v>
      </c>
      <c r="AB1519" s="69">
        <v>329</v>
      </c>
      <c r="AC1519" s="69">
        <v>329</v>
      </c>
      <c r="AD1519" s="69">
        <v>329</v>
      </c>
      <c r="AE1519" s="69">
        <v>329</v>
      </c>
      <c r="AF1519" s="69">
        <v>329</v>
      </c>
      <c r="AG1519" s="69">
        <v>329</v>
      </c>
    </row>
    <row r="1520" spans="1:33" ht="12.75" customHeight="1">
      <c r="A1520" s="237" t="s">
        <v>2379</v>
      </c>
      <c r="B1520" s="69" t="s">
        <v>2243</v>
      </c>
      <c r="C1520" s="69" t="s">
        <v>187</v>
      </c>
      <c r="G1520" s="69" t="s">
        <v>192</v>
      </c>
      <c r="H1520" s="237" t="s">
        <v>148</v>
      </c>
      <c r="I1520" s="69">
        <v>1</v>
      </c>
      <c r="J1520" s="238">
        <v>0.26679999999999998</v>
      </c>
      <c r="K1520" s="238">
        <v>0.70771942044407454</v>
      </c>
      <c r="L1520" s="69">
        <v>182.37028745901023</v>
      </c>
      <c r="M1520" s="69">
        <v>0</v>
      </c>
      <c r="N1520" s="69">
        <v>0</v>
      </c>
      <c r="O1520" s="69">
        <v>0</v>
      </c>
      <c r="P1520" s="69">
        <v>0</v>
      </c>
      <c r="Q1520" s="69">
        <v>309</v>
      </c>
      <c r="R1520" s="69">
        <v>661</v>
      </c>
      <c r="S1520" s="69">
        <v>663</v>
      </c>
      <c r="T1520" s="69">
        <v>663</v>
      </c>
      <c r="U1520" s="69">
        <v>663</v>
      </c>
      <c r="V1520" s="69">
        <v>663</v>
      </c>
      <c r="W1520" s="69">
        <v>664</v>
      </c>
      <c r="X1520" s="69">
        <v>664</v>
      </c>
      <c r="Y1520" s="69">
        <v>664</v>
      </c>
      <c r="Z1520" s="69">
        <v>664</v>
      </c>
      <c r="AA1520" s="69">
        <v>664</v>
      </c>
      <c r="AB1520" s="69">
        <v>664</v>
      </c>
      <c r="AC1520" s="69">
        <v>664</v>
      </c>
      <c r="AD1520" s="69">
        <v>664</v>
      </c>
      <c r="AE1520" s="69">
        <v>664</v>
      </c>
      <c r="AF1520" s="69">
        <v>664</v>
      </c>
      <c r="AG1520" s="69">
        <v>664</v>
      </c>
    </row>
    <row r="1521" spans="1:33" ht="12.75" customHeight="1">
      <c r="A1521" s="237" t="s">
        <v>2379</v>
      </c>
      <c r="B1521" s="69" t="s">
        <v>2244</v>
      </c>
      <c r="C1521" s="69" t="s">
        <v>137</v>
      </c>
      <c r="G1521" s="69" t="s">
        <v>192</v>
      </c>
      <c r="H1521" s="237" t="s">
        <v>148</v>
      </c>
      <c r="I1521" s="69">
        <v>1</v>
      </c>
      <c r="J1521" s="238">
        <v>0.32200000000000001</v>
      </c>
      <c r="K1521" s="238">
        <v>0.16166723631218391</v>
      </c>
      <c r="L1521" s="69">
        <v>89.431067245242346</v>
      </c>
      <c r="M1521" s="69">
        <v>0</v>
      </c>
      <c r="N1521" s="69">
        <v>0</v>
      </c>
      <c r="O1521" s="69">
        <v>0</v>
      </c>
      <c r="P1521" s="69">
        <v>0</v>
      </c>
      <c r="Q1521" s="69">
        <v>0</v>
      </c>
      <c r="R1521" s="69">
        <v>0</v>
      </c>
      <c r="S1521" s="69">
        <v>0</v>
      </c>
      <c r="T1521" s="69">
        <v>0</v>
      </c>
      <c r="U1521" s="69">
        <v>0</v>
      </c>
      <c r="V1521" s="69">
        <v>0</v>
      </c>
      <c r="W1521" s="69">
        <v>0</v>
      </c>
      <c r="X1521" s="69">
        <v>0</v>
      </c>
      <c r="Y1521" s="69">
        <v>0</v>
      </c>
      <c r="Z1521" s="69">
        <v>0</v>
      </c>
      <c r="AA1521" s="69">
        <v>0</v>
      </c>
      <c r="AB1521" s="69">
        <v>0</v>
      </c>
      <c r="AC1521" s="69">
        <v>0</v>
      </c>
      <c r="AD1521" s="69">
        <v>0</v>
      </c>
      <c r="AE1521" s="69">
        <v>0</v>
      </c>
      <c r="AF1521" s="69">
        <v>0</v>
      </c>
      <c r="AG1521" s="69">
        <v>0</v>
      </c>
    </row>
    <row r="1522" spans="1:33" ht="12.75" customHeight="1">
      <c r="A1522" s="237" t="s">
        <v>2379</v>
      </c>
      <c r="B1522" s="69" t="s">
        <v>2245</v>
      </c>
      <c r="C1522" s="69" t="s">
        <v>185</v>
      </c>
      <c r="G1522" s="69" t="s">
        <v>192</v>
      </c>
      <c r="H1522" s="69" t="s">
        <v>804</v>
      </c>
      <c r="I1522" s="69">
        <v>1</v>
      </c>
      <c r="J1522" s="238">
        <v>0.23499999999999999</v>
      </c>
      <c r="K1522" s="238">
        <v>0.51</v>
      </c>
      <c r="L1522" s="69">
        <v>158.51792480326438</v>
      </c>
      <c r="M1522" s="69">
        <v>0</v>
      </c>
      <c r="N1522" s="69">
        <v>5</v>
      </c>
      <c r="O1522" s="69">
        <v>5</v>
      </c>
      <c r="P1522" s="69">
        <v>73</v>
      </c>
      <c r="Q1522" s="69">
        <v>365</v>
      </c>
      <c r="R1522" s="69">
        <v>408</v>
      </c>
      <c r="S1522" s="69">
        <v>499</v>
      </c>
      <c r="T1522" s="69">
        <v>1343</v>
      </c>
      <c r="U1522" s="69">
        <v>1343</v>
      </c>
      <c r="V1522" s="69">
        <v>1343</v>
      </c>
      <c r="W1522" s="69">
        <v>1343</v>
      </c>
      <c r="X1522" s="69">
        <v>1343</v>
      </c>
      <c r="Y1522" s="69">
        <v>1343</v>
      </c>
      <c r="Z1522" s="69">
        <v>1343</v>
      </c>
      <c r="AA1522" s="69">
        <v>1343</v>
      </c>
      <c r="AB1522" s="69">
        <v>1343</v>
      </c>
      <c r="AC1522" s="69">
        <v>1343</v>
      </c>
      <c r="AD1522" s="69">
        <v>1343</v>
      </c>
      <c r="AE1522" s="69">
        <v>1343</v>
      </c>
      <c r="AF1522" s="69">
        <v>1343</v>
      </c>
      <c r="AG1522" s="69">
        <v>1343</v>
      </c>
    </row>
    <row r="1523" spans="1:33" ht="12.75" customHeight="1">
      <c r="A1523" s="237" t="s">
        <v>2379</v>
      </c>
      <c r="B1523" s="69" t="s">
        <v>2246</v>
      </c>
      <c r="C1523" s="69" t="s">
        <v>187</v>
      </c>
      <c r="G1523" s="69" t="s">
        <v>192</v>
      </c>
      <c r="H1523" s="69" t="s">
        <v>804</v>
      </c>
      <c r="I1523" s="69">
        <v>1</v>
      </c>
      <c r="J1523" s="238">
        <v>0.26679999999999998</v>
      </c>
      <c r="K1523" s="238">
        <v>0.81072645613133609</v>
      </c>
      <c r="L1523" s="69">
        <v>182.37028745901023</v>
      </c>
      <c r="M1523" s="69">
        <v>0</v>
      </c>
      <c r="N1523" s="69">
        <v>9</v>
      </c>
      <c r="O1523" s="69">
        <v>9</v>
      </c>
      <c r="P1523" s="69">
        <v>9</v>
      </c>
      <c r="Q1523" s="69">
        <v>154</v>
      </c>
      <c r="R1523" s="69">
        <v>340</v>
      </c>
      <c r="S1523" s="69">
        <v>340</v>
      </c>
      <c r="T1523" s="69">
        <v>340</v>
      </c>
      <c r="U1523" s="69">
        <v>340</v>
      </c>
      <c r="V1523" s="69">
        <v>340</v>
      </c>
      <c r="W1523" s="69">
        <v>340</v>
      </c>
      <c r="X1523" s="69">
        <v>340</v>
      </c>
      <c r="Y1523" s="69">
        <v>340</v>
      </c>
      <c r="Z1523" s="69">
        <v>340</v>
      </c>
      <c r="AA1523" s="69">
        <v>340</v>
      </c>
      <c r="AB1523" s="69">
        <v>340</v>
      </c>
      <c r="AC1523" s="69">
        <v>340</v>
      </c>
      <c r="AD1523" s="69">
        <v>340</v>
      </c>
      <c r="AE1523" s="69">
        <v>340</v>
      </c>
      <c r="AF1523" s="69">
        <v>340</v>
      </c>
      <c r="AG1523" s="69">
        <v>340</v>
      </c>
    </row>
    <row r="1524" spans="1:33" ht="12.75" customHeight="1">
      <c r="A1524" s="237" t="s">
        <v>2379</v>
      </c>
      <c r="B1524" s="69" t="s">
        <v>2247</v>
      </c>
      <c r="C1524" s="69" t="s">
        <v>137</v>
      </c>
      <c r="G1524" s="69" t="s">
        <v>306</v>
      </c>
      <c r="H1524" s="69" t="s">
        <v>2417</v>
      </c>
      <c r="I1524" s="69">
        <v>1</v>
      </c>
      <c r="J1524" s="238">
        <v>0.378</v>
      </c>
      <c r="K1524" s="238">
        <v>0.2</v>
      </c>
      <c r="L1524" s="69">
        <v>76.182020245947186</v>
      </c>
      <c r="M1524" s="69">
        <v>0</v>
      </c>
      <c r="N1524" s="69">
        <v>0</v>
      </c>
      <c r="O1524" s="69">
        <v>0</v>
      </c>
      <c r="P1524" s="69">
        <v>0</v>
      </c>
      <c r="Q1524" s="69">
        <v>0</v>
      </c>
      <c r="R1524" s="69">
        <v>0</v>
      </c>
      <c r="S1524" s="69">
        <v>0</v>
      </c>
      <c r="T1524" s="69">
        <v>0</v>
      </c>
      <c r="U1524" s="69">
        <v>0</v>
      </c>
      <c r="V1524" s="69">
        <v>0</v>
      </c>
      <c r="W1524" s="69">
        <v>0</v>
      </c>
      <c r="X1524" s="69">
        <v>0</v>
      </c>
      <c r="Y1524" s="69">
        <v>0</v>
      </c>
      <c r="Z1524" s="69">
        <v>0</v>
      </c>
      <c r="AA1524" s="69">
        <v>0</v>
      </c>
      <c r="AB1524" s="69">
        <v>0</v>
      </c>
      <c r="AC1524" s="69">
        <v>0</v>
      </c>
      <c r="AD1524" s="69">
        <v>0</v>
      </c>
      <c r="AE1524" s="69">
        <v>0</v>
      </c>
      <c r="AF1524" s="69">
        <v>0</v>
      </c>
      <c r="AG1524" s="69">
        <v>0</v>
      </c>
    </row>
    <row r="1525" spans="1:33" ht="12.75" customHeight="1">
      <c r="A1525" s="237" t="s">
        <v>2379</v>
      </c>
      <c r="B1525" s="69" t="s">
        <v>2248</v>
      </c>
      <c r="C1525" s="69" t="s">
        <v>185</v>
      </c>
      <c r="G1525" s="69" t="s">
        <v>192</v>
      </c>
      <c r="H1525" s="69" t="s">
        <v>805</v>
      </c>
      <c r="I1525" s="69">
        <v>1</v>
      </c>
      <c r="J1525" s="238">
        <v>0.28999999999999998</v>
      </c>
      <c r="K1525" s="238">
        <v>0.51</v>
      </c>
      <c r="L1525" s="69">
        <v>128.45418044402459</v>
      </c>
      <c r="M1525" s="69">
        <v>0</v>
      </c>
      <c r="N1525" s="69">
        <v>0</v>
      </c>
      <c r="O1525" s="69">
        <v>0</v>
      </c>
      <c r="P1525" s="69">
        <v>15</v>
      </c>
      <c r="Q1525" s="69">
        <v>155</v>
      </c>
      <c r="R1525" s="69">
        <v>315</v>
      </c>
      <c r="S1525" s="69">
        <v>405</v>
      </c>
      <c r="T1525" s="69">
        <v>598</v>
      </c>
      <c r="U1525" s="69">
        <v>765</v>
      </c>
      <c r="V1525" s="69">
        <v>765</v>
      </c>
      <c r="W1525" s="69">
        <v>765</v>
      </c>
      <c r="X1525" s="69">
        <v>765</v>
      </c>
      <c r="Y1525" s="69">
        <v>765</v>
      </c>
      <c r="Z1525" s="69">
        <v>765</v>
      </c>
      <c r="AA1525" s="69">
        <v>765</v>
      </c>
      <c r="AB1525" s="69">
        <v>765</v>
      </c>
      <c r="AC1525" s="69">
        <v>765</v>
      </c>
      <c r="AD1525" s="69">
        <v>765</v>
      </c>
      <c r="AE1525" s="69">
        <v>765</v>
      </c>
      <c r="AF1525" s="69">
        <v>765</v>
      </c>
      <c r="AG1525" s="69">
        <v>765</v>
      </c>
    </row>
    <row r="1526" spans="1:33" ht="12.75" customHeight="1">
      <c r="A1526" s="237" t="s">
        <v>2379</v>
      </c>
      <c r="B1526" s="69" t="s">
        <v>2249</v>
      </c>
      <c r="C1526" s="69" t="s">
        <v>187</v>
      </c>
      <c r="G1526" s="69" t="s">
        <v>192</v>
      </c>
      <c r="H1526" s="69" t="s">
        <v>805</v>
      </c>
      <c r="I1526" s="69">
        <v>1</v>
      </c>
      <c r="J1526" s="238">
        <v>0.26679999999999998</v>
      </c>
      <c r="K1526" s="238">
        <v>0.72310146512785223</v>
      </c>
      <c r="L1526" s="69">
        <v>182.37028745901023</v>
      </c>
      <c r="M1526" s="69">
        <v>0</v>
      </c>
      <c r="N1526" s="69">
        <v>0</v>
      </c>
      <c r="O1526" s="69">
        <v>0</v>
      </c>
      <c r="P1526" s="69">
        <v>99</v>
      </c>
      <c r="Q1526" s="69">
        <v>201</v>
      </c>
      <c r="R1526" s="69">
        <v>201</v>
      </c>
      <c r="S1526" s="69">
        <v>202</v>
      </c>
      <c r="T1526" s="69">
        <v>202</v>
      </c>
      <c r="U1526" s="69">
        <v>202</v>
      </c>
      <c r="V1526" s="69">
        <v>202</v>
      </c>
      <c r="W1526" s="69">
        <v>202</v>
      </c>
      <c r="X1526" s="69">
        <v>202</v>
      </c>
      <c r="Y1526" s="69">
        <v>202</v>
      </c>
      <c r="Z1526" s="69">
        <v>202</v>
      </c>
      <c r="AA1526" s="69">
        <v>202</v>
      </c>
      <c r="AB1526" s="69">
        <v>202</v>
      </c>
      <c r="AC1526" s="69">
        <v>202</v>
      </c>
      <c r="AD1526" s="69">
        <v>202</v>
      </c>
      <c r="AE1526" s="69">
        <v>202</v>
      </c>
      <c r="AF1526" s="69">
        <v>202</v>
      </c>
      <c r="AG1526" s="69">
        <v>202</v>
      </c>
    </row>
    <row r="1527" spans="1:33" ht="12.75" customHeight="1">
      <c r="A1527" s="237" t="s">
        <v>2379</v>
      </c>
      <c r="B1527" s="69" t="s">
        <v>2250</v>
      </c>
      <c r="C1527" s="69" t="s">
        <v>137</v>
      </c>
      <c r="G1527" s="69" t="s">
        <v>192</v>
      </c>
      <c r="H1527" s="69" t="s">
        <v>805</v>
      </c>
      <c r="I1527" s="69">
        <v>1</v>
      </c>
      <c r="J1527" s="238">
        <v>0.29299999999999998</v>
      </c>
      <c r="K1527" s="238">
        <v>0.16166723631218391</v>
      </c>
      <c r="L1527" s="69">
        <v>98.282606324122995</v>
      </c>
      <c r="M1527" s="69">
        <v>0</v>
      </c>
      <c r="N1527" s="69">
        <v>0</v>
      </c>
      <c r="O1527" s="69">
        <v>0</v>
      </c>
      <c r="P1527" s="69">
        <v>0</v>
      </c>
      <c r="Q1527" s="69">
        <v>0</v>
      </c>
      <c r="R1527" s="69">
        <v>0</v>
      </c>
      <c r="S1527" s="69">
        <v>0</v>
      </c>
      <c r="T1527" s="69">
        <v>0</v>
      </c>
      <c r="U1527" s="69">
        <v>0</v>
      </c>
      <c r="V1527" s="69">
        <v>0</v>
      </c>
      <c r="W1527" s="69">
        <v>0</v>
      </c>
      <c r="X1527" s="69">
        <v>0</v>
      </c>
      <c r="Y1527" s="69">
        <v>0</v>
      </c>
      <c r="Z1527" s="69">
        <v>0</v>
      </c>
      <c r="AA1527" s="69">
        <v>0</v>
      </c>
      <c r="AB1527" s="69">
        <v>0</v>
      </c>
      <c r="AC1527" s="69">
        <v>0</v>
      </c>
      <c r="AD1527" s="69">
        <v>0</v>
      </c>
      <c r="AE1527" s="69">
        <v>0</v>
      </c>
      <c r="AF1527" s="69">
        <v>0</v>
      </c>
      <c r="AG1527" s="69">
        <v>0</v>
      </c>
    </row>
    <row r="1528" spans="1:33" ht="12.75" customHeight="1">
      <c r="A1528" s="237" t="s">
        <v>2379</v>
      </c>
      <c r="B1528" s="69" t="s">
        <v>2251</v>
      </c>
      <c r="C1528" s="69" t="s">
        <v>137</v>
      </c>
      <c r="G1528" s="69" t="s">
        <v>236</v>
      </c>
      <c r="H1528" s="69" t="s">
        <v>2417</v>
      </c>
      <c r="I1528" s="69">
        <v>1</v>
      </c>
      <c r="J1528" s="238">
        <v>0.32300000000000001</v>
      </c>
      <c r="K1528" s="238">
        <v>0.2</v>
      </c>
      <c r="L1528" s="69">
        <v>89.154190876062032</v>
      </c>
      <c r="M1528" s="69">
        <v>0</v>
      </c>
      <c r="N1528" s="69">
        <v>0</v>
      </c>
      <c r="O1528" s="69">
        <v>0</v>
      </c>
      <c r="P1528" s="69">
        <v>0</v>
      </c>
      <c r="Q1528" s="69">
        <v>0</v>
      </c>
      <c r="R1528" s="69">
        <v>0</v>
      </c>
      <c r="S1528" s="69">
        <v>0</v>
      </c>
      <c r="T1528" s="69">
        <v>0</v>
      </c>
      <c r="U1528" s="69">
        <v>0</v>
      </c>
      <c r="V1528" s="69">
        <v>0</v>
      </c>
      <c r="W1528" s="69">
        <v>0</v>
      </c>
      <c r="X1528" s="69">
        <v>0</v>
      </c>
      <c r="Y1528" s="69">
        <v>0</v>
      </c>
      <c r="Z1528" s="69">
        <v>0</v>
      </c>
      <c r="AA1528" s="69">
        <v>0</v>
      </c>
      <c r="AB1528" s="69">
        <v>0</v>
      </c>
      <c r="AC1528" s="69">
        <v>0</v>
      </c>
      <c r="AD1528" s="69">
        <v>0</v>
      </c>
      <c r="AE1528" s="69">
        <v>0</v>
      </c>
      <c r="AF1528" s="69">
        <v>0</v>
      </c>
      <c r="AG1528" s="69">
        <v>0</v>
      </c>
    </row>
    <row r="1529" spans="1:33" ht="12.75" customHeight="1">
      <c r="A1529" s="237" t="s">
        <v>2379</v>
      </c>
      <c r="B1529" s="69" t="s">
        <v>2252</v>
      </c>
      <c r="C1529" s="69" t="s">
        <v>185</v>
      </c>
      <c r="G1529" s="69" t="s">
        <v>192</v>
      </c>
      <c r="H1529" s="69" t="s">
        <v>804</v>
      </c>
      <c r="I1529" s="69">
        <v>1</v>
      </c>
      <c r="J1529" s="238">
        <v>0.26650000000000001</v>
      </c>
      <c r="K1529" s="238">
        <v>0.2</v>
      </c>
      <c r="L1529" s="69">
        <v>139.78128453571153</v>
      </c>
      <c r="M1529" s="69">
        <v>0</v>
      </c>
      <c r="N1529" s="69">
        <v>0</v>
      </c>
      <c r="O1529" s="69">
        <v>0</v>
      </c>
      <c r="P1529" s="69">
        <v>0</v>
      </c>
      <c r="Q1529" s="69">
        <v>0</v>
      </c>
      <c r="R1529" s="69">
        <v>0</v>
      </c>
      <c r="S1529" s="69">
        <v>0</v>
      </c>
      <c r="T1529" s="69">
        <v>0</v>
      </c>
      <c r="U1529" s="69">
        <v>0</v>
      </c>
      <c r="V1529" s="69">
        <v>0</v>
      </c>
      <c r="W1529" s="69">
        <v>0</v>
      </c>
      <c r="X1529" s="69">
        <v>0</v>
      </c>
      <c r="Y1529" s="69">
        <v>0</v>
      </c>
      <c r="Z1529" s="69">
        <v>0</v>
      </c>
      <c r="AA1529" s="69">
        <v>0</v>
      </c>
      <c r="AB1529" s="69">
        <v>0</v>
      </c>
      <c r="AC1529" s="69">
        <v>0</v>
      </c>
      <c r="AD1529" s="69">
        <v>0</v>
      </c>
      <c r="AE1529" s="69">
        <v>0</v>
      </c>
      <c r="AF1529" s="69">
        <v>0</v>
      </c>
      <c r="AG1529" s="69">
        <v>0</v>
      </c>
    </row>
    <row r="1530" spans="1:33" ht="12.75" customHeight="1">
      <c r="A1530" s="237" t="s">
        <v>2379</v>
      </c>
      <c r="B1530" s="69" t="s">
        <v>2253</v>
      </c>
      <c r="C1530" s="69" t="s">
        <v>187</v>
      </c>
      <c r="G1530" s="69" t="s">
        <v>192</v>
      </c>
      <c r="H1530" s="69" t="s">
        <v>804</v>
      </c>
      <c r="I1530" s="69">
        <v>1</v>
      </c>
      <c r="J1530" s="238">
        <v>0.36</v>
      </c>
      <c r="K1530" s="238">
        <v>0.60919310280354821</v>
      </c>
      <c r="L1530" s="69">
        <v>135.15664637239979</v>
      </c>
      <c r="M1530" s="69">
        <v>0</v>
      </c>
      <c r="N1530" s="69">
        <v>758</v>
      </c>
      <c r="O1530" s="69">
        <v>758</v>
      </c>
      <c r="P1530" s="69">
        <v>757</v>
      </c>
      <c r="Q1530" s="69">
        <v>757</v>
      </c>
      <c r="R1530" s="69">
        <v>757</v>
      </c>
      <c r="S1530" s="69">
        <v>754</v>
      </c>
      <c r="T1530" s="69">
        <v>739</v>
      </c>
      <c r="U1530" s="69">
        <v>732</v>
      </c>
      <c r="V1530" s="69">
        <v>717</v>
      </c>
      <c r="W1530" s="69">
        <v>705</v>
      </c>
      <c r="X1530" s="69">
        <v>705</v>
      </c>
      <c r="Y1530" s="69">
        <v>705</v>
      </c>
      <c r="Z1530" s="69">
        <v>705</v>
      </c>
      <c r="AA1530" s="69">
        <v>705</v>
      </c>
      <c r="AB1530" s="69">
        <v>705</v>
      </c>
      <c r="AC1530" s="69">
        <v>705</v>
      </c>
      <c r="AD1530" s="69">
        <v>705</v>
      </c>
      <c r="AE1530" s="69">
        <v>705</v>
      </c>
      <c r="AF1530" s="69">
        <v>705</v>
      </c>
      <c r="AG1530" s="69">
        <v>705</v>
      </c>
    </row>
    <row r="1531" spans="1:33" ht="12.75" customHeight="1">
      <c r="A1531" s="237" t="s">
        <v>2379</v>
      </c>
      <c r="B1531" s="69" t="s">
        <v>2254</v>
      </c>
      <c r="C1531" s="69" t="s">
        <v>137</v>
      </c>
      <c r="G1531" s="69" t="s">
        <v>192</v>
      </c>
      <c r="H1531" s="69" t="s">
        <v>804</v>
      </c>
      <c r="I1531" s="69">
        <v>1</v>
      </c>
      <c r="J1531" s="238">
        <v>0.34100000000000003</v>
      </c>
      <c r="K1531" s="238">
        <v>0.2</v>
      </c>
      <c r="L1531" s="69">
        <v>84.448104554158462</v>
      </c>
      <c r="M1531" s="69">
        <v>0</v>
      </c>
      <c r="N1531" s="69">
        <v>0</v>
      </c>
      <c r="O1531" s="69">
        <v>0</v>
      </c>
      <c r="P1531" s="69">
        <v>0</v>
      </c>
      <c r="Q1531" s="69">
        <v>0</v>
      </c>
      <c r="R1531" s="69">
        <v>57</v>
      </c>
      <c r="S1531" s="69">
        <v>58</v>
      </c>
      <c r="T1531" s="69">
        <v>58</v>
      </c>
      <c r="U1531" s="69">
        <v>58</v>
      </c>
      <c r="V1531" s="69">
        <v>58</v>
      </c>
      <c r="W1531" s="69">
        <v>58</v>
      </c>
      <c r="X1531" s="69">
        <v>58</v>
      </c>
      <c r="Y1531" s="69">
        <v>58</v>
      </c>
      <c r="Z1531" s="69">
        <v>58</v>
      </c>
      <c r="AA1531" s="69">
        <v>58</v>
      </c>
      <c r="AB1531" s="69">
        <v>58</v>
      </c>
      <c r="AC1531" s="69">
        <v>58</v>
      </c>
      <c r="AD1531" s="69">
        <v>58</v>
      </c>
      <c r="AE1531" s="69">
        <v>58</v>
      </c>
      <c r="AF1531" s="69">
        <v>58</v>
      </c>
      <c r="AG1531" s="69">
        <v>58</v>
      </c>
    </row>
    <row r="1532" spans="1:33" ht="12.75" customHeight="1">
      <c r="A1532" s="237" t="s">
        <v>2379</v>
      </c>
      <c r="B1532" s="69" t="s">
        <v>2255</v>
      </c>
      <c r="C1532" s="69" t="s">
        <v>137</v>
      </c>
      <c r="G1532" s="69" t="s">
        <v>199</v>
      </c>
      <c r="H1532" s="69" t="s">
        <v>2417</v>
      </c>
      <c r="I1532" s="69">
        <v>1</v>
      </c>
      <c r="J1532" s="238">
        <v>0.29199999999999998</v>
      </c>
      <c r="K1532" s="238">
        <v>0.2</v>
      </c>
      <c r="L1532" s="69">
        <v>98.619190592356304</v>
      </c>
      <c r="M1532" s="69">
        <v>0</v>
      </c>
      <c r="N1532" s="69">
        <v>329</v>
      </c>
      <c r="O1532" s="69">
        <v>329</v>
      </c>
      <c r="P1532" s="69">
        <v>0</v>
      </c>
      <c r="Q1532" s="69">
        <v>0</v>
      </c>
      <c r="R1532" s="69">
        <v>0</v>
      </c>
      <c r="S1532" s="69">
        <v>0</v>
      </c>
      <c r="T1532" s="69">
        <v>0</v>
      </c>
      <c r="U1532" s="69">
        <v>0</v>
      </c>
      <c r="V1532" s="69">
        <v>0</v>
      </c>
      <c r="W1532" s="69">
        <v>0</v>
      </c>
      <c r="X1532" s="69">
        <v>0</v>
      </c>
      <c r="Y1532" s="69">
        <v>0</v>
      </c>
      <c r="Z1532" s="69">
        <v>0</v>
      </c>
      <c r="AA1532" s="69">
        <v>0</v>
      </c>
      <c r="AB1532" s="69">
        <v>0</v>
      </c>
      <c r="AC1532" s="69">
        <v>0</v>
      </c>
      <c r="AD1532" s="69">
        <v>0</v>
      </c>
      <c r="AE1532" s="69">
        <v>0</v>
      </c>
      <c r="AF1532" s="69">
        <v>0</v>
      </c>
      <c r="AG1532" s="69">
        <v>0</v>
      </c>
    </row>
    <row r="1533" spans="1:33" ht="12.75" customHeight="1">
      <c r="A1533" s="237" t="s">
        <v>2379</v>
      </c>
      <c r="B1533" s="69" t="s">
        <v>2256</v>
      </c>
      <c r="C1533" s="69" t="s">
        <v>137</v>
      </c>
      <c r="G1533" s="69" t="s">
        <v>199</v>
      </c>
      <c r="H1533" s="69" t="s">
        <v>2417</v>
      </c>
      <c r="I1533" s="69">
        <v>1</v>
      </c>
      <c r="J1533" s="238">
        <v>0.29199999999999998</v>
      </c>
      <c r="K1533" s="238">
        <v>0.2</v>
      </c>
      <c r="L1533" s="69">
        <v>98.619190592356304</v>
      </c>
      <c r="M1533" s="69">
        <v>0</v>
      </c>
      <c r="N1533" s="69">
        <v>753</v>
      </c>
      <c r="O1533" s="69">
        <v>807</v>
      </c>
      <c r="P1533" s="69">
        <v>1449</v>
      </c>
      <c r="Q1533" s="69">
        <v>1449</v>
      </c>
      <c r="R1533" s="69">
        <v>1449</v>
      </c>
      <c r="S1533" s="69">
        <v>1452</v>
      </c>
      <c r="T1533" s="69">
        <v>1452</v>
      </c>
      <c r="U1533" s="69">
        <v>1452</v>
      </c>
      <c r="V1533" s="69">
        <v>1452</v>
      </c>
      <c r="W1533" s="69">
        <v>1455</v>
      </c>
      <c r="X1533" s="69">
        <v>1455</v>
      </c>
      <c r="Y1533" s="69">
        <v>1455</v>
      </c>
      <c r="Z1533" s="69">
        <v>1455</v>
      </c>
      <c r="AA1533" s="69">
        <v>1455</v>
      </c>
      <c r="AB1533" s="69">
        <v>1455</v>
      </c>
      <c r="AC1533" s="69">
        <v>1455</v>
      </c>
      <c r="AD1533" s="69">
        <v>1455</v>
      </c>
      <c r="AE1533" s="69">
        <v>1455</v>
      </c>
      <c r="AF1533" s="69">
        <v>1455</v>
      </c>
      <c r="AG1533" s="69">
        <v>1455</v>
      </c>
    </row>
    <row r="1534" spans="1:33" ht="12.75" customHeight="1">
      <c r="A1534" s="237" t="s">
        <v>2379</v>
      </c>
      <c r="B1534" s="69" t="s">
        <v>2257</v>
      </c>
      <c r="C1534" s="69" t="s">
        <v>137</v>
      </c>
      <c r="G1534" s="69" t="s">
        <v>199</v>
      </c>
      <c r="H1534" s="69" t="s">
        <v>2417</v>
      </c>
      <c r="I1534" s="69">
        <v>1</v>
      </c>
      <c r="J1534" s="238">
        <v>0.29199999999999998</v>
      </c>
      <c r="K1534" s="238">
        <v>0.2</v>
      </c>
      <c r="L1534" s="69">
        <v>98.619190592356304</v>
      </c>
      <c r="M1534" s="69">
        <v>0</v>
      </c>
      <c r="N1534" s="69">
        <v>384</v>
      </c>
      <c r="O1534" s="69">
        <v>384</v>
      </c>
      <c r="P1534" s="69">
        <v>384</v>
      </c>
      <c r="Q1534" s="69">
        <v>384</v>
      </c>
      <c r="R1534" s="69">
        <v>384</v>
      </c>
      <c r="S1534" s="69">
        <v>0</v>
      </c>
      <c r="T1534" s="69">
        <v>0</v>
      </c>
      <c r="U1534" s="69">
        <v>0</v>
      </c>
      <c r="V1534" s="69">
        <v>0</v>
      </c>
      <c r="W1534" s="69">
        <v>0</v>
      </c>
      <c r="X1534" s="69">
        <v>0</v>
      </c>
      <c r="Y1534" s="69">
        <v>0</v>
      </c>
      <c r="Z1534" s="69">
        <v>0</v>
      </c>
      <c r="AA1534" s="69">
        <v>0</v>
      </c>
      <c r="AB1534" s="69">
        <v>0</v>
      </c>
      <c r="AC1534" s="69">
        <v>0</v>
      </c>
      <c r="AD1534" s="69">
        <v>0</v>
      </c>
      <c r="AE1534" s="69">
        <v>0</v>
      </c>
      <c r="AF1534" s="69">
        <v>0</v>
      </c>
      <c r="AG1534" s="69">
        <v>0</v>
      </c>
    </row>
    <row r="1535" spans="1:33" ht="12.75" customHeight="1">
      <c r="A1535" s="237" t="s">
        <v>2379</v>
      </c>
      <c r="B1535" s="69" t="s">
        <v>2258</v>
      </c>
      <c r="C1535" s="69" t="s">
        <v>137</v>
      </c>
      <c r="G1535" s="69" t="s">
        <v>192</v>
      </c>
      <c r="H1535" s="69" t="s">
        <v>804</v>
      </c>
      <c r="I1535" s="69">
        <v>1</v>
      </c>
      <c r="J1535" s="238">
        <v>0.35599999999999998</v>
      </c>
      <c r="K1535" s="238">
        <v>0.16166723631218391</v>
      </c>
      <c r="L1535" s="69">
        <v>80.889897901595617</v>
      </c>
      <c r="M1535" s="69">
        <v>0</v>
      </c>
      <c r="N1535" s="69">
        <v>962</v>
      </c>
      <c r="O1535" s="69">
        <v>962</v>
      </c>
      <c r="P1535" s="69">
        <v>988</v>
      </c>
      <c r="Q1535" s="69">
        <v>988</v>
      </c>
      <c r="R1535" s="69">
        <v>982</v>
      </c>
      <c r="S1535" s="69">
        <v>972</v>
      </c>
      <c r="T1535" s="69">
        <v>970</v>
      </c>
      <c r="U1535" s="69">
        <v>970</v>
      </c>
      <c r="V1535" s="69">
        <v>964</v>
      </c>
      <c r="W1535" s="69">
        <v>966</v>
      </c>
      <c r="X1535" s="69">
        <v>966</v>
      </c>
      <c r="Y1535" s="69">
        <v>966</v>
      </c>
      <c r="Z1535" s="69">
        <v>966</v>
      </c>
      <c r="AA1535" s="69">
        <v>966</v>
      </c>
      <c r="AB1535" s="69">
        <v>966</v>
      </c>
      <c r="AC1535" s="69">
        <v>966</v>
      </c>
      <c r="AD1535" s="69">
        <v>966</v>
      </c>
      <c r="AE1535" s="69">
        <v>966</v>
      </c>
      <c r="AF1535" s="69">
        <v>966</v>
      </c>
      <c r="AG1535" s="69">
        <v>966</v>
      </c>
    </row>
    <row r="1536" spans="1:33" ht="12.75" customHeight="1">
      <c r="A1536" s="237" t="s">
        <v>2379</v>
      </c>
      <c r="B1536" s="69" t="s">
        <v>2259</v>
      </c>
      <c r="C1536" s="69" t="s">
        <v>185</v>
      </c>
      <c r="G1536" s="69" t="s">
        <v>192</v>
      </c>
      <c r="H1536" s="69" t="s">
        <v>804</v>
      </c>
      <c r="I1536" s="69">
        <v>1</v>
      </c>
      <c r="J1536" s="238">
        <v>0.29749999999999999</v>
      </c>
      <c r="K1536" s="238">
        <v>0.65</v>
      </c>
      <c r="L1536" s="69">
        <v>125.21583976056178</v>
      </c>
      <c r="M1536" s="69">
        <v>0</v>
      </c>
      <c r="N1536" s="69">
        <v>0</v>
      </c>
      <c r="O1536" s="69">
        <v>0</v>
      </c>
      <c r="P1536" s="69">
        <v>0</v>
      </c>
      <c r="Q1536" s="69">
        <v>8</v>
      </c>
      <c r="R1536" s="69">
        <v>12</v>
      </c>
      <c r="S1536" s="69">
        <v>12</v>
      </c>
      <c r="T1536" s="69">
        <v>12</v>
      </c>
      <c r="U1536" s="69">
        <v>12</v>
      </c>
      <c r="V1536" s="69">
        <v>12</v>
      </c>
      <c r="W1536" s="69">
        <v>12</v>
      </c>
      <c r="X1536" s="69">
        <v>12</v>
      </c>
      <c r="Y1536" s="69">
        <v>12</v>
      </c>
      <c r="Z1536" s="69">
        <v>12</v>
      </c>
      <c r="AA1536" s="69">
        <v>12</v>
      </c>
      <c r="AB1536" s="69">
        <v>12</v>
      </c>
      <c r="AC1536" s="69">
        <v>12</v>
      </c>
      <c r="AD1536" s="69">
        <v>12</v>
      </c>
      <c r="AE1536" s="69">
        <v>12</v>
      </c>
      <c r="AF1536" s="69">
        <v>12</v>
      </c>
      <c r="AG1536" s="69">
        <v>12</v>
      </c>
    </row>
    <row r="1537" spans="1:33" ht="12.75" customHeight="1">
      <c r="A1537" s="237" t="s">
        <v>2379</v>
      </c>
      <c r="B1537" s="69" t="s">
        <v>2260</v>
      </c>
      <c r="C1537" s="69" t="s">
        <v>187</v>
      </c>
      <c r="G1537" s="69" t="s">
        <v>192</v>
      </c>
      <c r="H1537" s="69" t="s">
        <v>804</v>
      </c>
      <c r="I1537" s="69">
        <v>1</v>
      </c>
      <c r="J1537" s="238">
        <v>0.26679999999999998</v>
      </c>
      <c r="K1537" s="238">
        <v>0.72596864170729802</v>
      </c>
      <c r="L1537" s="69">
        <v>182.37028745901023</v>
      </c>
      <c r="M1537" s="69">
        <v>0</v>
      </c>
      <c r="N1537" s="69">
        <v>0</v>
      </c>
      <c r="O1537" s="69">
        <v>0</v>
      </c>
      <c r="P1537" s="69">
        <v>0</v>
      </c>
      <c r="Q1537" s="69">
        <v>0</v>
      </c>
      <c r="R1537" s="69">
        <v>0</v>
      </c>
      <c r="S1537" s="69">
        <v>0</v>
      </c>
      <c r="T1537" s="69">
        <v>2062</v>
      </c>
      <c r="U1537" s="69">
        <v>2062</v>
      </c>
      <c r="V1537" s="69">
        <v>2062</v>
      </c>
      <c r="W1537" s="69">
        <v>2062</v>
      </c>
      <c r="X1537" s="69">
        <v>2062</v>
      </c>
      <c r="Y1537" s="69">
        <v>2062</v>
      </c>
      <c r="Z1537" s="69">
        <v>2062</v>
      </c>
      <c r="AA1537" s="69">
        <v>2062</v>
      </c>
      <c r="AB1537" s="69">
        <v>2062</v>
      </c>
      <c r="AC1537" s="69">
        <v>2062</v>
      </c>
      <c r="AD1537" s="69">
        <v>2062</v>
      </c>
      <c r="AE1537" s="69">
        <v>2062</v>
      </c>
      <c r="AF1537" s="69">
        <v>2062</v>
      </c>
      <c r="AG1537" s="69">
        <v>2062</v>
      </c>
    </row>
    <row r="1538" spans="1:33" ht="12.75" customHeight="1">
      <c r="A1538" s="237" t="s">
        <v>2379</v>
      </c>
      <c r="B1538" s="69" t="s">
        <v>2261</v>
      </c>
      <c r="C1538" s="69" t="s">
        <v>185</v>
      </c>
      <c r="G1538" s="69" t="s">
        <v>192</v>
      </c>
      <c r="H1538" s="69" t="s">
        <v>804</v>
      </c>
      <c r="I1538" s="69">
        <v>1</v>
      </c>
      <c r="J1538" s="238">
        <v>0.26629999999999998</v>
      </c>
      <c r="K1538" s="238">
        <v>0.51</v>
      </c>
      <c r="L1538" s="69">
        <v>139.88626484704142</v>
      </c>
      <c r="M1538" s="69">
        <v>0</v>
      </c>
      <c r="N1538" s="69">
        <v>51</v>
      </c>
      <c r="O1538" s="69">
        <v>51</v>
      </c>
      <c r="P1538" s="69">
        <v>53</v>
      </c>
      <c r="Q1538" s="69">
        <v>57</v>
      </c>
      <c r="R1538" s="69">
        <v>57</v>
      </c>
      <c r="S1538" s="69">
        <v>57</v>
      </c>
      <c r="T1538" s="69">
        <v>57</v>
      </c>
      <c r="U1538" s="69">
        <v>57</v>
      </c>
      <c r="V1538" s="69">
        <v>57</v>
      </c>
      <c r="W1538" s="69">
        <v>57</v>
      </c>
      <c r="X1538" s="69">
        <v>57</v>
      </c>
      <c r="Y1538" s="69">
        <v>57</v>
      </c>
      <c r="Z1538" s="69">
        <v>57</v>
      </c>
      <c r="AA1538" s="69">
        <v>57</v>
      </c>
      <c r="AB1538" s="69">
        <v>57</v>
      </c>
      <c r="AC1538" s="69">
        <v>57</v>
      </c>
      <c r="AD1538" s="69">
        <v>57</v>
      </c>
      <c r="AE1538" s="69">
        <v>57</v>
      </c>
      <c r="AF1538" s="69">
        <v>57</v>
      </c>
      <c r="AG1538" s="69">
        <v>57</v>
      </c>
    </row>
    <row r="1539" spans="1:33" ht="12.75" customHeight="1">
      <c r="A1539" s="237" t="s">
        <v>2379</v>
      </c>
      <c r="B1539" s="69" t="s">
        <v>2262</v>
      </c>
      <c r="C1539" s="69" t="s">
        <v>187</v>
      </c>
      <c r="G1539" s="69" t="s">
        <v>192</v>
      </c>
      <c r="H1539" s="69" t="s">
        <v>804</v>
      </c>
      <c r="I1539" s="69">
        <v>1</v>
      </c>
      <c r="J1539" s="238">
        <v>0.26679999999999998</v>
      </c>
      <c r="K1539" s="238">
        <v>0.70583469870443993</v>
      </c>
      <c r="L1539" s="69">
        <v>182.37028745901023</v>
      </c>
      <c r="M1539" s="69">
        <v>0</v>
      </c>
      <c r="N1539" s="69">
        <v>0</v>
      </c>
      <c r="O1539" s="69">
        <v>0</v>
      </c>
      <c r="P1539" s="69">
        <v>0</v>
      </c>
      <c r="Q1539" s="69">
        <v>0</v>
      </c>
      <c r="R1539" s="69">
        <v>0</v>
      </c>
      <c r="S1539" s="69">
        <v>0</v>
      </c>
      <c r="T1539" s="69">
        <v>0</v>
      </c>
      <c r="U1539" s="69">
        <v>0</v>
      </c>
      <c r="V1539" s="69">
        <v>0</v>
      </c>
      <c r="W1539" s="69">
        <v>0</v>
      </c>
      <c r="X1539" s="69">
        <v>0</v>
      </c>
      <c r="Y1539" s="69">
        <v>0</v>
      </c>
      <c r="Z1539" s="69">
        <v>0</v>
      </c>
      <c r="AA1539" s="69">
        <v>0</v>
      </c>
      <c r="AB1539" s="69">
        <v>0</v>
      </c>
      <c r="AC1539" s="69">
        <v>0</v>
      </c>
      <c r="AD1539" s="69">
        <v>0</v>
      </c>
      <c r="AE1539" s="69">
        <v>0</v>
      </c>
      <c r="AF1539" s="69">
        <v>0</v>
      </c>
      <c r="AG1539" s="69">
        <v>0</v>
      </c>
    </row>
    <row r="1540" spans="1:33" ht="12.75" customHeight="1">
      <c r="A1540" s="237" t="s">
        <v>2379</v>
      </c>
      <c r="B1540" s="69" t="s">
        <v>2263</v>
      </c>
      <c r="C1540" s="69" t="s">
        <v>185</v>
      </c>
      <c r="G1540" s="69" t="s">
        <v>192</v>
      </c>
      <c r="H1540" s="69" t="s">
        <v>804</v>
      </c>
      <c r="I1540" s="69">
        <v>1</v>
      </c>
      <c r="J1540" s="238">
        <v>0.29349999999999998</v>
      </c>
      <c r="K1540" s="238">
        <v>0.58000000000000007</v>
      </c>
      <c r="L1540" s="69">
        <v>126.92235887143826</v>
      </c>
      <c r="M1540" s="69">
        <v>0</v>
      </c>
      <c r="N1540" s="69">
        <v>58</v>
      </c>
      <c r="O1540" s="69">
        <v>63</v>
      </c>
      <c r="P1540" s="69">
        <v>65</v>
      </c>
      <c r="Q1540" s="69">
        <v>109</v>
      </c>
      <c r="R1540" s="69">
        <v>113</v>
      </c>
      <c r="S1540" s="69">
        <v>113</v>
      </c>
      <c r="T1540" s="69">
        <v>113</v>
      </c>
      <c r="U1540" s="69">
        <v>112</v>
      </c>
      <c r="V1540" s="69">
        <v>112</v>
      </c>
      <c r="W1540" s="69">
        <v>112</v>
      </c>
      <c r="X1540" s="69">
        <v>112</v>
      </c>
      <c r="Y1540" s="69">
        <v>112</v>
      </c>
      <c r="Z1540" s="69">
        <v>112</v>
      </c>
      <c r="AA1540" s="69">
        <v>112</v>
      </c>
      <c r="AB1540" s="69">
        <v>112</v>
      </c>
      <c r="AC1540" s="69">
        <v>112</v>
      </c>
      <c r="AD1540" s="69">
        <v>112</v>
      </c>
      <c r="AE1540" s="69">
        <v>112</v>
      </c>
      <c r="AF1540" s="69">
        <v>112</v>
      </c>
      <c r="AG1540" s="69">
        <v>112</v>
      </c>
    </row>
    <row r="1541" spans="1:33" ht="12.75" customHeight="1">
      <c r="A1541" s="237" t="s">
        <v>2379</v>
      </c>
      <c r="B1541" s="69" t="s">
        <v>2264</v>
      </c>
      <c r="C1541" s="69" t="s">
        <v>137</v>
      </c>
      <c r="G1541" s="69" t="s">
        <v>192</v>
      </c>
      <c r="H1541" s="69" t="s">
        <v>804</v>
      </c>
      <c r="I1541" s="69">
        <v>1</v>
      </c>
      <c r="J1541" s="238">
        <v>0.32200000000000001</v>
      </c>
      <c r="K1541" s="238">
        <v>0.16166723631218391</v>
      </c>
      <c r="L1541" s="69">
        <v>89.431067245242346</v>
      </c>
      <c r="M1541" s="69">
        <v>0</v>
      </c>
      <c r="N1541" s="69">
        <v>266</v>
      </c>
      <c r="O1541" s="69">
        <v>266</v>
      </c>
      <c r="P1541" s="69">
        <v>266</v>
      </c>
      <c r="Q1541" s="69">
        <v>266</v>
      </c>
      <c r="R1541" s="69">
        <v>266</v>
      </c>
      <c r="S1541" s="69">
        <v>266</v>
      </c>
      <c r="T1541" s="69">
        <v>266</v>
      </c>
      <c r="U1541" s="69">
        <v>266</v>
      </c>
      <c r="V1541" s="69">
        <v>266</v>
      </c>
      <c r="W1541" s="69">
        <v>266</v>
      </c>
      <c r="X1541" s="69">
        <v>266</v>
      </c>
      <c r="Y1541" s="69">
        <v>266</v>
      </c>
      <c r="Z1541" s="69">
        <v>266</v>
      </c>
      <c r="AA1541" s="69">
        <v>266</v>
      </c>
      <c r="AB1541" s="69">
        <v>266</v>
      </c>
      <c r="AC1541" s="69">
        <v>266</v>
      </c>
      <c r="AD1541" s="69">
        <v>266</v>
      </c>
      <c r="AE1541" s="69">
        <v>266</v>
      </c>
      <c r="AF1541" s="69">
        <v>266</v>
      </c>
      <c r="AG1541" s="69">
        <v>266</v>
      </c>
    </row>
    <row r="1542" spans="1:33" ht="12.75" customHeight="1">
      <c r="A1542" s="237" t="s">
        <v>2379</v>
      </c>
      <c r="B1542" s="69" t="s">
        <v>2265</v>
      </c>
      <c r="C1542" s="69" t="s">
        <v>137</v>
      </c>
      <c r="G1542" s="69" t="s">
        <v>192</v>
      </c>
      <c r="H1542" s="69" t="s">
        <v>2130</v>
      </c>
      <c r="I1542" s="69">
        <v>1</v>
      </c>
      <c r="J1542" s="238">
        <v>0.32200000000000001</v>
      </c>
      <c r="K1542" s="238">
        <v>0.16166723631218391</v>
      </c>
      <c r="L1542" s="69">
        <v>89.431067245242346</v>
      </c>
      <c r="M1542" s="69">
        <v>0</v>
      </c>
      <c r="N1542" s="69">
        <v>0</v>
      </c>
      <c r="O1542" s="69">
        <v>0</v>
      </c>
      <c r="P1542" s="69">
        <v>0</v>
      </c>
      <c r="Q1542" s="69">
        <v>0</v>
      </c>
      <c r="R1542" s="69">
        <v>0</v>
      </c>
      <c r="S1542" s="69">
        <v>0</v>
      </c>
      <c r="T1542" s="69">
        <v>0</v>
      </c>
      <c r="U1542" s="69">
        <v>0</v>
      </c>
      <c r="V1542" s="69">
        <v>0</v>
      </c>
      <c r="W1542" s="69">
        <v>0</v>
      </c>
      <c r="X1542" s="69">
        <v>0</v>
      </c>
      <c r="Y1542" s="69">
        <v>0</v>
      </c>
      <c r="Z1542" s="69">
        <v>0</v>
      </c>
      <c r="AA1542" s="69">
        <v>0</v>
      </c>
      <c r="AB1542" s="69">
        <v>0</v>
      </c>
      <c r="AC1542" s="69">
        <v>0</v>
      </c>
      <c r="AD1542" s="69">
        <v>0</v>
      </c>
      <c r="AE1542" s="69">
        <v>0</v>
      </c>
      <c r="AF1542" s="69">
        <v>0</v>
      </c>
      <c r="AG1542" s="69">
        <v>0</v>
      </c>
    </row>
    <row r="1543" spans="1:33" ht="12.75" customHeight="1">
      <c r="A1543" s="237" t="s">
        <v>2379</v>
      </c>
      <c r="B1543" s="69" t="s">
        <v>2266</v>
      </c>
      <c r="C1543" s="69" t="s">
        <v>137</v>
      </c>
      <c r="G1543" s="69" t="s">
        <v>192</v>
      </c>
      <c r="H1543" s="69" t="s">
        <v>805</v>
      </c>
      <c r="I1543" s="69">
        <v>1</v>
      </c>
      <c r="J1543" s="238">
        <v>0.32200000000000001</v>
      </c>
      <c r="K1543" s="238">
        <v>0.16166723631218391</v>
      </c>
      <c r="L1543" s="69">
        <v>89.431067245242346</v>
      </c>
      <c r="M1543" s="69">
        <v>0</v>
      </c>
      <c r="N1543" s="69">
        <v>0</v>
      </c>
      <c r="O1543" s="69">
        <v>0</v>
      </c>
      <c r="P1543" s="69">
        <v>0</v>
      </c>
      <c r="Q1543" s="69">
        <v>0</v>
      </c>
      <c r="R1543" s="69">
        <v>0</v>
      </c>
      <c r="S1543" s="69">
        <v>0</v>
      </c>
      <c r="T1543" s="69">
        <v>0</v>
      </c>
      <c r="U1543" s="69">
        <v>0</v>
      </c>
      <c r="V1543" s="69">
        <v>0</v>
      </c>
      <c r="W1543" s="69">
        <v>0</v>
      </c>
      <c r="X1543" s="69">
        <v>0</v>
      </c>
      <c r="Y1543" s="69">
        <v>0</v>
      </c>
      <c r="Z1543" s="69">
        <v>0</v>
      </c>
      <c r="AA1543" s="69">
        <v>0</v>
      </c>
      <c r="AB1543" s="69">
        <v>0</v>
      </c>
      <c r="AC1543" s="69">
        <v>0</v>
      </c>
      <c r="AD1543" s="69">
        <v>0</v>
      </c>
      <c r="AE1543" s="69">
        <v>0</v>
      </c>
      <c r="AF1543" s="69">
        <v>0</v>
      </c>
      <c r="AG1543" s="69">
        <v>0</v>
      </c>
    </row>
    <row r="1544" spans="1:33" ht="12.75" customHeight="1">
      <c r="A1544" s="237" t="s">
        <v>2379</v>
      </c>
      <c r="B1544" s="69" t="s">
        <v>2267</v>
      </c>
      <c r="C1544" s="69" t="s">
        <v>185</v>
      </c>
      <c r="G1544" s="69" t="s">
        <v>192</v>
      </c>
      <c r="H1544" s="69" t="s">
        <v>804</v>
      </c>
      <c r="I1544" s="69">
        <v>1</v>
      </c>
      <c r="J1544" s="238">
        <v>0.23499999999999999</v>
      </c>
      <c r="K1544" s="238">
        <v>0.51</v>
      </c>
      <c r="L1544" s="69">
        <v>158.51792480326438</v>
      </c>
      <c r="M1544" s="69">
        <v>0</v>
      </c>
      <c r="N1544" s="69">
        <v>1</v>
      </c>
      <c r="O1544" s="69">
        <v>1</v>
      </c>
      <c r="P1544" s="69">
        <v>10</v>
      </c>
      <c r="Q1544" s="69">
        <v>38</v>
      </c>
      <c r="R1544" s="69">
        <v>38</v>
      </c>
      <c r="S1544" s="69">
        <v>38</v>
      </c>
      <c r="T1544" s="69">
        <v>38</v>
      </c>
      <c r="U1544" s="69">
        <v>38</v>
      </c>
      <c r="V1544" s="69">
        <v>38</v>
      </c>
      <c r="W1544" s="69">
        <v>38</v>
      </c>
      <c r="X1544" s="69">
        <v>38</v>
      </c>
      <c r="Y1544" s="69">
        <v>38</v>
      </c>
      <c r="Z1544" s="69">
        <v>38</v>
      </c>
      <c r="AA1544" s="69">
        <v>38</v>
      </c>
      <c r="AB1544" s="69">
        <v>38</v>
      </c>
      <c r="AC1544" s="69">
        <v>38</v>
      </c>
      <c r="AD1544" s="69">
        <v>38</v>
      </c>
      <c r="AE1544" s="69">
        <v>38</v>
      </c>
      <c r="AF1544" s="69">
        <v>38</v>
      </c>
      <c r="AG1544" s="69">
        <v>38</v>
      </c>
    </row>
    <row r="1545" spans="1:33" ht="12.75" customHeight="1">
      <c r="A1545" s="237" t="s">
        <v>2379</v>
      </c>
      <c r="B1545" s="69" t="s">
        <v>2268</v>
      </c>
      <c r="C1545" s="69" t="s">
        <v>187</v>
      </c>
      <c r="G1545" s="69" t="s">
        <v>192</v>
      </c>
      <c r="H1545" s="69" t="s">
        <v>804</v>
      </c>
      <c r="I1545" s="69">
        <v>1</v>
      </c>
      <c r="J1545" s="238">
        <v>0.26679999999999998</v>
      </c>
      <c r="K1545" s="238">
        <v>0.83345289519666743</v>
      </c>
      <c r="L1545" s="69">
        <v>182.37028745901023</v>
      </c>
      <c r="M1545" s="69">
        <v>0</v>
      </c>
      <c r="N1545" s="69">
        <v>0</v>
      </c>
      <c r="O1545" s="69">
        <v>0</v>
      </c>
      <c r="P1545" s="69">
        <v>0</v>
      </c>
      <c r="Q1545" s="69">
        <v>132</v>
      </c>
      <c r="R1545" s="69">
        <v>132</v>
      </c>
      <c r="S1545" s="69">
        <v>133</v>
      </c>
      <c r="T1545" s="69">
        <v>133</v>
      </c>
      <c r="U1545" s="69">
        <v>133</v>
      </c>
      <c r="V1545" s="69">
        <v>133</v>
      </c>
      <c r="W1545" s="69">
        <v>133</v>
      </c>
      <c r="X1545" s="69">
        <v>133</v>
      </c>
      <c r="Y1545" s="69">
        <v>133</v>
      </c>
      <c r="Z1545" s="69">
        <v>133</v>
      </c>
      <c r="AA1545" s="69">
        <v>133</v>
      </c>
      <c r="AB1545" s="69">
        <v>133</v>
      </c>
      <c r="AC1545" s="69">
        <v>133</v>
      </c>
      <c r="AD1545" s="69">
        <v>133</v>
      </c>
      <c r="AE1545" s="69">
        <v>133</v>
      </c>
      <c r="AF1545" s="69">
        <v>133</v>
      </c>
      <c r="AG1545" s="69">
        <v>133</v>
      </c>
    </row>
    <row r="1546" spans="1:33" ht="12.75" customHeight="1">
      <c r="A1546" s="237" t="s">
        <v>2379</v>
      </c>
      <c r="B1546" s="69" t="s">
        <v>2269</v>
      </c>
      <c r="C1546" s="69" t="s">
        <v>137</v>
      </c>
      <c r="G1546" s="69" t="s">
        <v>192</v>
      </c>
      <c r="H1546" s="69" t="s">
        <v>804</v>
      </c>
      <c r="I1546" s="69">
        <v>1</v>
      </c>
      <c r="J1546" s="238">
        <v>0.32200000000000001</v>
      </c>
      <c r="K1546" s="238">
        <v>0.16166723631218391</v>
      </c>
      <c r="L1546" s="69">
        <v>89.431067245242346</v>
      </c>
      <c r="M1546" s="69">
        <v>0</v>
      </c>
      <c r="N1546" s="69">
        <v>3661</v>
      </c>
      <c r="O1546" s="69">
        <v>3799</v>
      </c>
      <c r="P1546" s="69">
        <v>4371</v>
      </c>
      <c r="Q1546" s="69">
        <v>4946</v>
      </c>
      <c r="R1546" s="69">
        <v>5282</v>
      </c>
      <c r="S1546" s="69">
        <v>5282</v>
      </c>
      <c r="T1546" s="69">
        <v>5258</v>
      </c>
      <c r="U1546" s="69">
        <v>5257</v>
      </c>
      <c r="V1546" s="69">
        <v>5248</v>
      </c>
      <c r="W1546" s="69">
        <v>5238</v>
      </c>
      <c r="X1546" s="69">
        <v>5238</v>
      </c>
      <c r="Y1546" s="69">
        <v>5238</v>
      </c>
      <c r="Z1546" s="69">
        <v>5238</v>
      </c>
      <c r="AA1546" s="69">
        <v>5238</v>
      </c>
      <c r="AB1546" s="69">
        <v>5238</v>
      </c>
      <c r="AC1546" s="69">
        <v>5238</v>
      </c>
      <c r="AD1546" s="69">
        <v>5238</v>
      </c>
      <c r="AE1546" s="69">
        <v>5238</v>
      </c>
      <c r="AF1546" s="69">
        <v>5238</v>
      </c>
      <c r="AG1546" s="69">
        <v>5238</v>
      </c>
    </row>
    <row r="1547" spans="1:33" ht="12.75" customHeight="1">
      <c r="A1547" s="237" t="s">
        <v>2379</v>
      </c>
      <c r="B1547" s="69" t="s">
        <v>2270</v>
      </c>
      <c r="C1547" s="69" t="s">
        <v>137</v>
      </c>
      <c r="G1547" s="69" t="s">
        <v>294</v>
      </c>
      <c r="H1547" s="69" t="s">
        <v>2417</v>
      </c>
      <c r="I1547" s="69">
        <v>1</v>
      </c>
      <c r="J1547" s="238">
        <v>0.28999999999999998</v>
      </c>
      <c r="K1547" s="238">
        <v>0.2</v>
      </c>
      <c r="L1547" s="69">
        <v>99.299322941269111</v>
      </c>
      <c r="M1547" s="69">
        <v>0</v>
      </c>
      <c r="N1547" s="69">
        <v>0</v>
      </c>
      <c r="O1547" s="69">
        <v>0</v>
      </c>
      <c r="P1547" s="69">
        <v>0</v>
      </c>
      <c r="Q1547" s="69">
        <v>0</v>
      </c>
      <c r="R1547" s="69">
        <v>0</v>
      </c>
      <c r="S1547" s="69">
        <v>0</v>
      </c>
      <c r="T1547" s="69">
        <v>0</v>
      </c>
      <c r="U1547" s="69">
        <v>0</v>
      </c>
      <c r="V1547" s="69">
        <v>0</v>
      </c>
      <c r="W1547" s="69">
        <v>0</v>
      </c>
      <c r="X1547" s="69">
        <v>0</v>
      </c>
      <c r="Y1547" s="69">
        <v>0</v>
      </c>
      <c r="Z1547" s="69">
        <v>0</v>
      </c>
      <c r="AA1547" s="69">
        <v>0</v>
      </c>
      <c r="AB1547" s="69">
        <v>0</v>
      </c>
      <c r="AC1547" s="69">
        <v>0</v>
      </c>
      <c r="AD1547" s="69">
        <v>0</v>
      </c>
      <c r="AE1547" s="69">
        <v>0</v>
      </c>
      <c r="AF1547" s="69">
        <v>0</v>
      </c>
      <c r="AG1547" s="69">
        <v>0</v>
      </c>
    </row>
    <row r="1548" spans="1:33" ht="12.75" customHeight="1">
      <c r="A1548" s="237" t="s">
        <v>2379</v>
      </c>
      <c r="B1548" s="69" t="s">
        <v>2271</v>
      </c>
      <c r="C1548" s="69" t="s">
        <v>137</v>
      </c>
      <c r="G1548" s="69" t="s">
        <v>329</v>
      </c>
      <c r="H1548" s="69" t="s">
        <v>2417</v>
      </c>
      <c r="I1548" s="69">
        <v>1</v>
      </c>
      <c r="J1548" s="238">
        <v>0.37659999999999999</v>
      </c>
      <c r="K1548" s="238">
        <v>0.2</v>
      </c>
      <c r="L1548" s="69">
        <v>76.465224782177472</v>
      </c>
      <c r="M1548" s="69">
        <v>0</v>
      </c>
      <c r="N1548" s="69">
        <v>373</v>
      </c>
      <c r="O1548" s="69">
        <v>373</v>
      </c>
      <c r="P1548" s="69">
        <v>372</v>
      </c>
      <c r="Q1548" s="69">
        <v>372</v>
      </c>
      <c r="R1548" s="69">
        <v>372</v>
      </c>
      <c r="S1548" s="69">
        <v>373</v>
      </c>
      <c r="T1548" s="69">
        <v>372</v>
      </c>
      <c r="U1548" s="69">
        <v>372</v>
      </c>
      <c r="V1548" s="69">
        <v>372</v>
      </c>
      <c r="W1548" s="69">
        <v>373</v>
      </c>
      <c r="X1548" s="69">
        <v>373</v>
      </c>
      <c r="Y1548" s="69">
        <v>373</v>
      </c>
      <c r="Z1548" s="69">
        <v>373</v>
      </c>
      <c r="AA1548" s="69">
        <v>373</v>
      </c>
      <c r="AB1548" s="69">
        <v>373</v>
      </c>
      <c r="AC1548" s="69">
        <v>373</v>
      </c>
      <c r="AD1548" s="69">
        <v>373</v>
      </c>
      <c r="AE1548" s="69">
        <v>373</v>
      </c>
      <c r="AF1548" s="69">
        <v>373</v>
      </c>
      <c r="AG1548" s="69">
        <v>373</v>
      </c>
    </row>
    <row r="1549" spans="1:33" ht="12.75" customHeight="1">
      <c r="A1549" s="237" t="s">
        <v>2379</v>
      </c>
      <c r="B1549" s="69" t="s">
        <v>2272</v>
      </c>
      <c r="C1549" s="69" t="s">
        <v>18</v>
      </c>
      <c r="G1549" s="69" t="s">
        <v>192</v>
      </c>
      <c r="H1549" s="69" t="s">
        <v>805</v>
      </c>
      <c r="I1549" s="69">
        <v>1</v>
      </c>
      <c r="J1549" s="238">
        <v>0.61299999999999999</v>
      </c>
      <c r="K1549" s="238">
        <v>0.65</v>
      </c>
      <c r="L1549" s="69">
        <v>128.30776532949341</v>
      </c>
      <c r="M1549" s="69">
        <v>0</v>
      </c>
      <c r="N1549" s="69">
        <v>0</v>
      </c>
      <c r="O1549" s="69">
        <v>0</v>
      </c>
      <c r="P1549" s="69">
        <v>0</v>
      </c>
      <c r="Q1549" s="69">
        <v>0</v>
      </c>
      <c r="R1549" s="69">
        <v>0</v>
      </c>
      <c r="S1549" s="69">
        <v>0</v>
      </c>
      <c r="T1549" s="69">
        <v>0</v>
      </c>
      <c r="U1549" s="69">
        <v>0</v>
      </c>
      <c r="V1549" s="69">
        <v>0</v>
      </c>
      <c r="W1549" s="69">
        <v>0</v>
      </c>
      <c r="X1549" s="69">
        <v>0</v>
      </c>
      <c r="Y1549" s="69">
        <v>0</v>
      </c>
      <c r="Z1549" s="69">
        <v>0</v>
      </c>
      <c r="AA1549" s="69">
        <v>0</v>
      </c>
      <c r="AB1549" s="69">
        <v>0</v>
      </c>
      <c r="AC1549" s="69">
        <v>0</v>
      </c>
      <c r="AD1549" s="69">
        <v>0</v>
      </c>
      <c r="AE1549" s="69">
        <v>0</v>
      </c>
      <c r="AF1549" s="69">
        <v>0</v>
      </c>
      <c r="AG1549" s="69">
        <v>0</v>
      </c>
    </row>
    <row r="1550" spans="1:33" ht="12.75" customHeight="1">
      <c r="A1550" s="237" t="s">
        <v>2379</v>
      </c>
      <c r="B1550" s="69" t="s">
        <v>2273</v>
      </c>
      <c r="C1550" s="69" t="s">
        <v>18</v>
      </c>
      <c r="G1550" s="69" t="s">
        <v>306</v>
      </c>
      <c r="H1550" s="69" t="s">
        <v>2417</v>
      </c>
      <c r="I1550" s="69">
        <v>1</v>
      </c>
      <c r="J1550" s="238">
        <v>0.61499999999999999</v>
      </c>
      <c r="K1550" s="238">
        <v>0.65</v>
      </c>
      <c r="L1550" s="69">
        <v>128.00538616321813</v>
      </c>
      <c r="M1550" s="69">
        <v>0</v>
      </c>
      <c r="N1550" s="69">
        <v>0</v>
      </c>
      <c r="O1550" s="69">
        <v>0</v>
      </c>
      <c r="P1550" s="69">
        <v>0</v>
      </c>
      <c r="Q1550" s="69">
        <v>0</v>
      </c>
      <c r="R1550" s="69">
        <v>0</v>
      </c>
      <c r="S1550" s="69">
        <v>0</v>
      </c>
      <c r="T1550" s="69">
        <v>0</v>
      </c>
      <c r="U1550" s="69">
        <v>0</v>
      </c>
      <c r="V1550" s="69">
        <v>0</v>
      </c>
      <c r="W1550" s="69">
        <v>0</v>
      </c>
      <c r="X1550" s="69">
        <v>0</v>
      </c>
      <c r="Y1550" s="69">
        <v>0</v>
      </c>
      <c r="Z1550" s="69">
        <v>0</v>
      </c>
      <c r="AA1550" s="69">
        <v>0</v>
      </c>
      <c r="AB1550" s="69">
        <v>0</v>
      </c>
      <c r="AC1550" s="69">
        <v>0</v>
      </c>
      <c r="AD1550" s="69">
        <v>0</v>
      </c>
      <c r="AE1550" s="69">
        <v>0</v>
      </c>
      <c r="AF1550" s="69">
        <v>0</v>
      </c>
      <c r="AG1550" s="69">
        <v>0</v>
      </c>
    </row>
    <row r="1551" spans="1:33" ht="12.75" customHeight="1">
      <c r="A1551" s="237" t="s">
        <v>2379</v>
      </c>
      <c r="B1551" s="69" t="s">
        <v>2274</v>
      </c>
      <c r="C1551" s="69" t="s">
        <v>18</v>
      </c>
      <c r="G1551" s="69" t="s">
        <v>192</v>
      </c>
      <c r="H1551" s="69" t="s">
        <v>804</v>
      </c>
      <c r="I1551" s="69">
        <v>1</v>
      </c>
      <c r="J1551" s="238">
        <v>0.57099999999999995</v>
      </c>
      <c r="K1551" s="238">
        <v>0.65</v>
      </c>
      <c r="L1551" s="69">
        <v>135.14704191871482</v>
      </c>
      <c r="M1551" s="69">
        <v>0</v>
      </c>
      <c r="N1551" s="69">
        <v>833</v>
      </c>
      <c r="O1551" s="69">
        <v>833</v>
      </c>
      <c r="P1551" s="69">
        <v>833</v>
      </c>
      <c r="Q1551" s="69">
        <v>833</v>
      </c>
      <c r="R1551" s="69">
        <v>833</v>
      </c>
      <c r="S1551" s="69">
        <v>833</v>
      </c>
      <c r="T1551" s="69">
        <v>833</v>
      </c>
      <c r="U1551" s="69">
        <v>833</v>
      </c>
      <c r="V1551" s="69">
        <v>833</v>
      </c>
      <c r="W1551" s="69">
        <v>833</v>
      </c>
      <c r="X1551" s="69">
        <v>833</v>
      </c>
      <c r="Y1551" s="69">
        <v>833</v>
      </c>
      <c r="Z1551" s="69">
        <v>833</v>
      </c>
      <c r="AA1551" s="69">
        <v>833</v>
      </c>
      <c r="AB1551" s="69">
        <v>833</v>
      </c>
      <c r="AC1551" s="69">
        <v>833</v>
      </c>
      <c r="AD1551" s="69">
        <v>833</v>
      </c>
      <c r="AE1551" s="69">
        <v>833</v>
      </c>
      <c r="AF1551" s="69">
        <v>833</v>
      </c>
      <c r="AG1551" s="69">
        <v>833</v>
      </c>
    </row>
    <row r="1552" spans="1:33" ht="12.75" customHeight="1">
      <c r="A1552" s="237" t="s">
        <v>2379</v>
      </c>
      <c r="B1552" s="69" t="s">
        <v>2275</v>
      </c>
      <c r="C1552" s="69" t="s">
        <v>18</v>
      </c>
      <c r="G1552" s="69" t="s">
        <v>329</v>
      </c>
      <c r="H1552" s="69" t="s">
        <v>2417</v>
      </c>
      <c r="I1552" s="69">
        <v>1</v>
      </c>
      <c r="J1552" s="238">
        <v>0.61499999999999999</v>
      </c>
      <c r="K1552" s="238">
        <v>0.65</v>
      </c>
      <c r="L1552" s="69">
        <v>128.00538616321813</v>
      </c>
      <c r="M1552" s="69">
        <v>0</v>
      </c>
      <c r="N1552" s="69">
        <v>0</v>
      </c>
      <c r="O1552" s="69">
        <v>0</v>
      </c>
      <c r="P1552" s="69">
        <v>0</v>
      </c>
      <c r="Q1552" s="69">
        <v>0</v>
      </c>
      <c r="R1552" s="69">
        <v>0</v>
      </c>
      <c r="S1552" s="69">
        <v>0</v>
      </c>
      <c r="T1552" s="69">
        <v>0</v>
      </c>
      <c r="U1552" s="69">
        <v>0</v>
      </c>
      <c r="V1552" s="69">
        <v>0</v>
      </c>
      <c r="W1552" s="69">
        <v>0</v>
      </c>
      <c r="X1552" s="69">
        <v>0</v>
      </c>
      <c r="Y1552" s="69">
        <v>0</v>
      </c>
      <c r="Z1552" s="69">
        <v>0</v>
      </c>
      <c r="AA1552" s="69">
        <v>0</v>
      </c>
      <c r="AB1552" s="69">
        <v>0</v>
      </c>
      <c r="AC1552" s="69">
        <v>0</v>
      </c>
      <c r="AD1552" s="69">
        <v>0</v>
      </c>
      <c r="AE1552" s="69">
        <v>0</v>
      </c>
      <c r="AF1552" s="69">
        <v>0</v>
      </c>
      <c r="AG1552" s="69">
        <v>0</v>
      </c>
    </row>
    <row r="1553" spans="1:33" ht="12.75" customHeight="1">
      <c r="A1553" s="237" t="s">
        <v>2379</v>
      </c>
      <c r="B1553" s="69" t="s">
        <v>2276</v>
      </c>
      <c r="C1553" s="69" t="s">
        <v>139</v>
      </c>
      <c r="G1553" s="69" t="s">
        <v>192</v>
      </c>
      <c r="H1553" s="69" t="s">
        <v>804</v>
      </c>
      <c r="I1553" s="69">
        <v>1</v>
      </c>
      <c r="J1553" s="238">
        <v>0.85</v>
      </c>
      <c r="K1553" s="238">
        <v>0.66</v>
      </c>
      <c r="L1553" s="69">
        <v>113.68346667349664</v>
      </c>
      <c r="M1553" s="69">
        <v>0</v>
      </c>
      <c r="N1553" s="69">
        <v>1020</v>
      </c>
      <c r="O1553" s="69">
        <v>1035</v>
      </c>
      <c r="P1553" s="69">
        <v>1184</v>
      </c>
      <c r="Q1553" s="69">
        <v>1211</v>
      </c>
      <c r="R1553" s="69">
        <v>1211</v>
      </c>
      <c r="S1553" s="69">
        <v>1214</v>
      </c>
      <c r="T1553" s="69">
        <v>1171</v>
      </c>
      <c r="U1553" s="69">
        <v>1171</v>
      </c>
      <c r="V1553" s="69">
        <v>1171</v>
      </c>
      <c r="W1553" s="69">
        <v>1173</v>
      </c>
      <c r="X1553" s="69">
        <v>1173</v>
      </c>
      <c r="Y1553" s="69">
        <v>1173</v>
      </c>
      <c r="Z1553" s="69">
        <v>1173</v>
      </c>
      <c r="AA1553" s="69">
        <v>1173</v>
      </c>
      <c r="AB1553" s="69">
        <v>1173</v>
      </c>
      <c r="AC1553" s="69">
        <v>1173</v>
      </c>
      <c r="AD1553" s="69">
        <v>1173</v>
      </c>
      <c r="AE1553" s="69">
        <v>1173</v>
      </c>
      <c r="AF1553" s="69">
        <v>1173</v>
      </c>
      <c r="AG1553" s="69">
        <v>1173</v>
      </c>
    </row>
    <row r="1554" spans="1:33" ht="12.75" customHeight="1">
      <c r="A1554" s="237" t="s">
        <v>2379</v>
      </c>
      <c r="B1554" s="69" t="s">
        <v>2277</v>
      </c>
      <c r="C1554" s="69" t="s">
        <v>136</v>
      </c>
      <c r="G1554" s="69" t="s">
        <v>192</v>
      </c>
      <c r="H1554" s="69" t="s">
        <v>148</v>
      </c>
      <c r="I1554" s="69">
        <v>1</v>
      </c>
      <c r="J1554" s="238">
        <v>0.85</v>
      </c>
      <c r="K1554" s="238">
        <v>0.72</v>
      </c>
      <c r="L1554" s="69">
        <v>102.38230922334316</v>
      </c>
      <c r="M1554" s="69">
        <v>0</v>
      </c>
      <c r="N1554" s="69">
        <v>3561</v>
      </c>
      <c r="O1554" s="69">
        <v>3628</v>
      </c>
      <c r="P1554" s="69">
        <v>3741</v>
      </c>
      <c r="Q1554" s="69">
        <v>3942</v>
      </c>
      <c r="R1554" s="69">
        <v>4014</v>
      </c>
      <c r="S1554" s="69">
        <v>3969</v>
      </c>
      <c r="T1554" s="69">
        <v>4196</v>
      </c>
      <c r="U1554" s="69">
        <v>4403</v>
      </c>
      <c r="V1554" s="69">
        <v>4281</v>
      </c>
      <c r="W1554" s="69">
        <v>4277</v>
      </c>
      <c r="X1554" s="69">
        <v>4277</v>
      </c>
      <c r="Y1554" s="69">
        <v>4277</v>
      </c>
      <c r="Z1554" s="69">
        <v>4277</v>
      </c>
      <c r="AA1554" s="69">
        <v>4277</v>
      </c>
      <c r="AB1554" s="69">
        <v>4277</v>
      </c>
      <c r="AC1554" s="69">
        <v>4277</v>
      </c>
      <c r="AD1554" s="69">
        <v>4277</v>
      </c>
      <c r="AE1554" s="69">
        <v>4277</v>
      </c>
      <c r="AF1554" s="69">
        <v>4277</v>
      </c>
      <c r="AG1554" s="69">
        <v>4277</v>
      </c>
    </row>
    <row r="1555" spans="1:33" ht="12.75" customHeight="1">
      <c r="A1555" s="237" t="s">
        <v>2379</v>
      </c>
      <c r="B1555" s="69" t="s">
        <v>2278</v>
      </c>
      <c r="C1555" s="69" t="s">
        <v>186</v>
      </c>
      <c r="G1555" s="69" t="s">
        <v>192</v>
      </c>
      <c r="H1555" s="69" t="s">
        <v>804</v>
      </c>
      <c r="I1555" s="69">
        <v>1</v>
      </c>
      <c r="J1555" s="238">
        <v>0.2117</v>
      </c>
      <c r="K1555" s="238">
        <v>0</v>
      </c>
      <c r="L1555" s="69">
        <v>196.85175239364744</v>
      </c>
      <c r="M1555" s="69">
        <v>0</v>
      </c>
      <c r="N1555" s="69">
        <v>52</v>
      </c>
      <c r="O1555" s="69">
        <v>61</v>
      </c>
      <c r="P1555" s="69">
        <v>96</v>
      </c>
      <c r="Q1555" s="69">
        <v>148</v>
      </c>
      <c r="R1555" s="69">
        <v>202</v>
      </c>
      <c r="S1555" s="69">
        <v>202</v>
      </c>
      <c r="T1555" s="69">
        <v>202</v>
      </c>
      <c r="U1555" s="69">
        <v>202</v>
      </c>
      <c r="V1555" s="69">
        <v>202</v>
      </c>
      <c r="W1555" s="69">
        <v>202</v>
      </c>
      <c r="X1555" s="69">
        <v>202</v>
      </c>
      <c r="Y1555" s="69">
        <v>202</v>
      </c>
      <c r="Z1555" s="69">
        <v>202</v>
      </c>
      <c r="AA1555" s="69">
        <v>202</v>
      </c>
      <c r="AB1555" s="69">
        <v>202</v>
      </c>
      <c r="AC1555" s="69">
        <v>202</v>
      </c>
      <c r="AD1555" s="69">
        <v>202</v>
      </c>
      <c r="AE1555" s="69">
        <v>202</v>
      </c>
      <c r="AF1555" s="69">
        <v>202</v>
      </c>
      <c r="AG1555" s="69">
        <v>202</v>
      </c>
    </row>
    <row r="1556" spans="1:33" ht="12.75" customHeight="1">
      <c r="A1556" s="237" t="s">
        <v>2379</v>
      </c>
      <c r="B1556" s="69" t="s">
        <v>2279</v>
      </c>
      <c r="C1556" s="69" t="s">
        <v>136</v>
      </c>
      <c r="G1556" s="69" t="s">
        <v>192</v>
      </c>
      <c r="H1556" s="69" t="s">
        <v>804</v>
      </c>
      <c r="I1556" s="69">
        <v>1</v>
      </c>
      <c r="J1556" s="238">
        <v>0.85</v>
      </c>
      <c r="K1556" s="238">
        <v>0.72</v>
      </c>
      <c r="L1556" s="69">
        <v>102.38230922334316</v>
      </c>
      <c r="M1556" s="69">
        <v>0</v>
      </c>
      <c r="N1556" s="69">
        <v>0</v>
      </c>
      <c r="O1556" s="69">
        <v>0</v>
      </c>
      <c r="P1556" s="69">
        <v>0</v>
      </c>
      <c r="Q1556" s="69">
        <v>0</v>
      </c>
      <c r="R1556" s="69">
        <v>0</v>
      </c>
      <c r="S1556" s="69">
        <v>0</v>
      </c>
      <c r="T1556" s="69">
        <v>0</v>
      </c>
      <c r="U1556" s="69">
        <v>194</v>
      </c>
      <c r="V1556" s="69">
        <v>394</v>
      </c>
      <c r="W1556" s="69">
        <v>395</v>
      </c>
      <c r="X1556" s="69">
        <v>395</v>
      </c>
      <c r="Y1556" s="69">
        <v>395</v>
      </c>
      <c r="Z1556" s="69">
        <v>395</v>
      </c>
      <c r="AA1556" s="69">
        <v>395</v>
      </c>
      <c r="AB1556" s="69">
        <v>395</v>
      </c>
      <c r="AC1556" s="69">
        <v>395</v>
      </c>
      <c r="AD1556" s="69">
        <v>395</v>
      </c>
      <c r="AE1556" s="69">
        <v>395</v>
      </c>
      <c r="AF1556" s="69">
        <v>395</v>
      </c>
      <c r="AG1556" s="69">
        <v>395</v>
      </c>
    </row>
    <row r="1557" spans="1:33" ht="12.75" customHeight="1">
      <c r="A1557" s="237" t="s">
        <v>2379</v>
      </c>
      <c r="B1557" s="69" t="s">
        <v>2280</v>
      </c>
      <c r="C1557" s="69" t="s">
        <v>136</v>
      </c>
      <c r="G1557" s="69" t="s">
        <v>192</v>
      </c>
      <c r="H1557" s="69" t="s">
        <v>804</v>
      </c>
      <c r="I1557" s="69">
        <v>1</v>
      </c>
      <c r="J1557" s="238">
        <v>0.85</v>
      </c>
      <c r="K1557" s="238">
        <v>0.72</v>
      </c>
      <c r="L1557" s="69">
        <v>102.38230922334316</v>
      </c>
      <c r="M1557" s="69">
        <v>0</v>
      </c>
      <c r="N1557" s="69">
        <v>1757</v>
      </c>
      <c r="O1557" s="69">
        <v>1822</v>
      </c>
      <c r="P1557" s="69">
        <v>1817</v>
      </c>
      <c r="Q1557" s="69">
        <v>1817</v>
      </c>
      <c r="R1557" s="69">
        <v>2253</v>
      </c>
      <c r="S1557" s="69">
        <v>2259</v>
      </c>
      <c r="T1557" s="69">
        <v>2253</v>
      </c>
      <c r="U1557" s="69">
        <v>2253</v>
      </c>
      <c r="V1557" s="69">
        <v>2447</v>
      </c>
      <c r="W1557" s="69">
        <v>2498</v>
      </c>
      <c r="X1557" s="69">
        <v>2498</v>
      </c>
      <c r="Y1557" s="69">
        <v>2498</v>
      </c>
      <c r="Z1557" s="69">
        <v>2498</v>
      </c>
      <c r="AA1557" s="69">
        <v>2498</v>
      </c>
      <c r="AB1557" s="69">
        <v>2498</v>
      </c>
      <c r="AC1557" s="69">
        <v>2498</v>
      </c>
      <c r="AD1557" s="69">
        <v>2498</v>
      </c>
      <c r="AE1557" s="69">
        <v>2498</v>
      </c>
      <c r="AF1557" s="69">
        <v>2498</v>
      </c>
      <c r="AG1557" s="69">
        <v>2498</v>
      </c>
    </row>
    <row r="1558" spans="1:33" ht="12.75" customHeight="1">
      <c r="A1558" s="237" t="s">
        <v>2379</v>
      </c>
      <c r="B1558" s="69" t="s">
        <v>2281</v>
      </c>
      <c r="C1558" s="69" t="s">
        <v>136</v>
      </c>
      <c r="G1558" s="69" t="s">
        <v>192</v>
      </c>
      <c r="H1558" s="69" t="s">
        <v>2417</v>
      </c>
      <c r="I1558" s="69">
        <v>1</v>
      </c>
      <c r="J1558" s="238">
        <v>0.85</v>
      </c>
      <c r="K1558" s="238">
        <v>0.72</v>
      </c>
      <c r="L1558" s="69">
        <v>102.38230922334316</v>
      </c>
      <c r="M1558" s="69">
        <v>0</v>
      </c>
      <c r="N1558" s="69">
        <v>466</v>
      </c>
      <c r="O1558" s="69">
        <v>467</v>
      </c>
      <c r="P1558" s="69">
        <v>466</v>
      </c>
      <c r="Q1558" s="69">
        <v>466</v>
      </c>
      <c r="R1558" s="69">
        <v>466</v>
      </c>
      <c r="S1558" s="69">
        <v>467</v>
      </c>
      <c r="T1558" s="69">
        <v>466</v>
      </c>
      <c r="U1558" s="69">
        <v>234</v>
      </c>
      <c r="V1558" s="69">
        <v>0</v>
      </c>
      <c r="W1558" s="69">
        <v>0</v>
      </c>
      <c r="X1558" s="69">
        <v>0</v>
      </c>
      <c r="Y1558" s="69">
        <v>0</v>
      </c>
      <c r="Z1558" s="69">
        <v>0</v>
      </c>
      <c r="AA1558" s="69">
        <v>0</v>
      </c>
      <c r="AB1558" s="69">
        <v>0</v>
      </c>
      <c r="AC1558" s="69">
        <v>0</v>
      </c>
      <c r="AD1558" s="69">
        <v>0</v>
      </c>
      <c r="AE1558" s="69">
        <v>0</v>
      </c>
      <c r="AF1558" s="69">
        <v>0</v>
      </c>
      <c r="AG1558" s="69">
        <v>0</v>
      </c>
    </row>
    <row r="1559" spans="1:33" ht="12.75" customHeight="1">
      <c r="A1559" s="237" t="s">
        <v>2379</v>
      </c>
      <c r="B1559" s="69" t="s">
        <v>2282</v>
      </c>
      <c r="C1559" s="69" t="s">
        <v>136</v>
      </c>
      <c r="G1559" s="69" t="s">
        <v>192</v>
      </c>
      <c r="H1559" s="69" t="s">
        <v>805</v>
      </c>
      <c r="I1559" s="69">
        <v>1</v>
      </c>
      <c r="J1559" s="238">
        <v>0.85</v>
      </c>
      <c r="K1559" s="238">
        <v>0.72</v>
      </c>
      <c r="L1559" s="69">
        <v>102.38230922334316</v>
      </c>
      <c r="M1559" s="69">
        <v>0</v>
      </c>
      <c r="N1559" s="69">
        <v>1976</v>
      </c>
      <c r="O1559" s="69">
        <v>1976</v>
      </c>
      <c r="P1559" s="69">
        <v>1971</v>
      </c>
      <c r="Q1559" s="69">
        <v>1971</v>
      </c>
      <c r="R1559" s="69">
        <v>1971</v>
      </c>
      <c r="S1559" s="69">
        <v>1976</v>
      </c>
      <c r="T1559" s="69">
        <v>1855</v>
      </c>
      <c r="U1559" s="69">
        <v>1774</v>
      </c>
      <c r="V1559" s="69">
        <v>1774</v>
      </c>
      <c r="W1559" s="69">
        <v>1779</v>
      </c>
      <c r="X1559" s="69">
        <v>1779</v>
      </c>
      <c r="Y1559" s="69">
        <v>1779</v>
      </c>
      <c r="Z1559" s="69">
        <v>1779</v>
      </c>
      <c r="AA1559" s="69">
        <v>1779</v>
      </c>
      <c r="AB1559" s="69">
        <v>1779</v>
      </c>
      <c r="AC1559" s="69">
        <v>1779</v>
      </c>
      <c r="AD1559" s="69">
        <v>1779</v>
      </c>
      <c r="AE1559" s="69">
        <v>1779</v>
      </c>
      <c r="AF1559" s="69">
        <v>1779</v>
      </c>
      <c r="AG1559" s="69">
        <v>1779</v>
      </c>
    </row>
    <row r="1560" spans="1:33" ht="12.75" customHeight="1">
      <c r="A1560" s="237" t="s">
        <v>2379</v>
      </c>
      <c r="B1560" s="69" t="s">
        <v>2219</v>
      </c>
      <c r="C1560" s="69" t="s">
        <v>137</v>
      </c>
      <c r="G1560" s="69" t="s">
        <v>192</v>
      </c>
      <c r="H1560" s="69" t="s">
        <v>805</v>
      </c>
      <c r="I1560" s="69">
        <v>1</v>
      </c>
      <c r="J1560" s="238">
        <v>0.36899999999999999</v>
      </c>
      <c r="K1560" s="238">
        <v>0.16166723631218391</v>
      </c>
      <c r="L1560" s="69">
        <v>78.040118300726391</v>
      </c>
      <c r="M1560" s="69">
        <v>0</v>
      </c>
      <c r="N1560" s="69">
        <v>419</v>
      </c>
      <c r="O1560" s="69">
        <v>437</v>
      </c>
      <c r="P1560" s="69">
        <v>471</v>
      </c>
      <c r="Q1560" s="69">
        <v>491</v>
      </c>
      <c r="R1560" s="69">
        <v>511</v>
      </c>
      <c r="S1560" s="69">
        <v>533</v>
      </c>
      <c r="T1560" s="69">
        <v>555</v>
      </c>
      <c r="U1560" s="69">
        <v>578</v>
      </c>
      <c r="V1560" s="69">
        <v>602</v>
      </c>
      <c r="W1560" s="69">
        <v>626</v>
      </c>
      <c r="X1560" s="69">
        <v>626</v>
      </c>
      <c r="Y1560" s="69">
        <v>626</v>
      </c>
      <c r="Z1560" s="69">
        <v>626</v>
      </c>
      <c r="AA1560" s="69">
        <v>626</v>
      </c>
      <c r="AB1560" s="69">
        <v>626</v>
      </c>
      <c r="AC1560" s="69">
        <v>626</v>
      </c>
      <c r="AD1560" s="69">
        <v>626</v>
      </c>
      <c r="AE1560" s="69">
        <v>626</v>
      </c>
      <c r="AF1560" s="69">
        <v>626</v>
      </c>
      <c r="AG1560" s="69">
        <v>626</v>
      </c>
    </row>
    <row r="1561" spans="1:33" ht="12.75" customHeight="1">
      <c r="A1561" s="237" t="s">
        <v>2379</v>
      </c>
      <c r="B1561" s="69" t="s">
        <v>2220</v>
      </c>
      <c r="C1561" s="69" t="s">
        <v>137</v>
      </c>
      <c r="G1561" s="69" t="s">
        <v>192</v>
      </c>
      <c r="H1561" s="69" t="s">
        <v>804</v>
      </c>
      <c r="I1561" s="69">
        <v>1</v>
      </c>
      <c r="J1561" s="238">
        <v>0.32200000000000001</v>
      </c>
      <c r="K1561" s="238">
        <v>0.16166723631218391</v>
      </c>
      <c r="L1561" s="69">
        <v>89.431067245242346</v>
      </c>
      <c r="M1561" s="69">
        <v>0</v>
      </c>
      <c r="N1561" s="69">
        <v>419</v>
      </c>
      <c r="O1561" s="69">
        <v>437</v>
      </c>
      <c r="P1561" s="69">
        <v>471</v>
      </c>
      <c r="Q1561" s="69">
        <v>491</v>
      </c>
      <c r="R1561" s="69">
        <v>511</v>
      </c>
      <c r="S1561" s="69">
        <v>533</v>
      </c>
      <c r="T1561" s="69">
        <v>555</v>
      </c>
      <c r="U1561" s="69">
        <v>578</v>
      </c>
      <c r="V1561" s="69">
        <v>602</v>
      </c>
      <c r="W1561" s="69">
        <v>626</v>
      </c>
      <c r="X1561" s="69">
        <v>626</v>
      </c>
      <c r="Y1561" s="69">
        <v>626</v>
      </c>
      <c r="Z1561" s="69">
        <v>626</v>
      </c>
      <c r="AA1561" s="69">
        <v>626</v>
      </c>
      <c r="AB1561" s="69">
        <v>626</v>
      </c>
      <c r="AC1561" s="69">
        <v>626</v>
      </c>
      <c r="AD1561" s="69">
        <v>626</v>
      </c>
      <c r="AE1561" s="69">
        <v>626</v>
      </c>
      <c r="AF1561" s="69">
        <v>626</v>
      </c>
      <c r="AG1561" s="69">
        <v>626</v>
      </c>
    </row>
    <row r="1562" spans="1:33" ht="12.75" customHeight="1">
      <c r="A1562" s="237" t="s">
        <v>2379</v>
      </c>
      <c r="B1562" s="69" t="s">
        <v>2296</v>
      </c>
      <c r="C1562" s="69" t="s">
        <v>137</v>
      </c>
      <c r="G1562" s="69" t="s">
        <v>192</v>
      </c>
      <c r="H1562" s="69" t="s">
        <v>2417</v>
      </c>
      <c r="I1562" s="69">
        <v>1</v>
      </c>
      <c r="J1562" s="238">
        <v>0.378</v>
      </c>
      <c r="K1562" s="238">
        <v>0.2</v>
      </c>
      <c r="L1562" s="69">
        <v>76.182020245947186</v>
      </c>
      <c r="M1562" s="69">
        <v>0</v>
      </c>
      <c r="N1562" s="69">
        <v>419</v>
      </c>
      <c r="O1562" s="69">
        <v>437</v>
      </c>
      <c r="P1562" s="69">
        <v>471</v>
      </c>
      <c r="Q1562" s="69">
        <v>491</v>
      </c>
      <c r="R1562" s="69">
        <v>511</v>
      </c>
      <c r="S1562" s="69">
        <v>533</v>
      </c>
      <c r="T1562" s="69">
        <v>555</v>
      </c>
      <c r="U1562" s="69">
        <v>578</v>
      </c>
      <c r="V1562" s="69">
        <v>602</v>
      </c>
      <c r="W1562" s="69">
        <v>626</v>
      </c>
      <c r="X1562" s="69">
        <v>626</v>
      </c>
      <c r="Y1562" s="69">
        <v>626</v>
      </c>
      <c r="Z1562" s="69">
        <v>626</v>
      </c>
      <c r="AA1562" s="69">
        <v>626</v>
      </c>
      <c r="AB1562" s="69">
        <v>626</v>
      </c>
      <c r="AC1562" s="69">
        <v>626</v>
      </c>
      <c r="AD1562" s="69">
        <v>626</v>
      </c>
      <c r="AE1562" s="69">
        <v>626</v>
      </c>
      <c r="AF1562" s="69">
        <v>626</v>
      </c>
      <c r="AG1562" s="69">
        <v>626</v>
      </c>
    </row>
    <row r="1563" spans="1:33" ht="12.75" customHeight="1">
      <c r="A1563" s="237" t="s">
        <v>2379</v>
      </c>
      <c r="B1563" s="69" t="s">
        <v>2416</v>
      </c>
      <c r="C1563" s="69" t="s">
        <v>185</v>
      </c>
      <c r="G1563" s="69" t="s">
        <v>192</v>
      </c>
      <c r="H1563" s="237" t="s">
        <v>148</v>
      </c>
      <c r="I1563" s="69">
        <v>1</v>
      </c>
      <c r="J1563" s="238">
        <v>0.28999999999999998</v>
      </c>
      <c r="K1563" s="238">
        <v>0.65</v>
      </c>
      <c r="L1563" s="69">
        <v>128.45418044402459</v>
      </c>
      <c r="M1563" s="69">
        <v>0</v>
      </c>
      <c r="N1563" s="69">
        <v>316</v>
      </c>
      <c r="O1563" s="69">
        <v>328</v>
      </c>
      <c r="P1563" s="69">
        <v>354</v>
      </c>
      <c r="Q1563" s="69">
        <v>369</v>
      </c>
      <c r="R1563" s="69">
        <v>384</v>
      </c>
      <c r="S1563" s="69">
        <v>400</v>
      </c>
      <c r="T1563" s="69">
        <v>416</v>
      </c>
      <c r="U1563" s="69">
        <v>434</v>
      </c>
      <c r="V1563" s="69">
        <v>452</v>
      </c>
      <c r="W1563" s="69">
        <v>469</v>
      </c>
      <c r="X1563" s="69">
        <v>469</v>
      </c>
      <c r="Y1563" s="69">
        <v>469</v>
      </c>
      <c r="Z1563" s="69">
        <v>469</v>
      </c>
      <c r="AA1563" s="69">
        <v>469</v>
      </c>
      <c r="AB1563" s="69">
        <v>469</v>
      </c>
      <c r="AC1563" s="69">
        <v>469</v>
      </c>
      <c r="AD1563" s="69">
        <v>469</v>
      </c>
      <c r="AE1563" s="69">
        <v>469</v>
      </c>
      <c r="AF1563" s="69">
        <v>469</v>
      </c>
      <c r="AG1563" s="69">
        <v>469</v>
      </c>
    </row>
    <row r="1564" spans="1:33" ht="12.75" customHeight="1">
      <c r="A1564" s="237" t="s">
        <v>2379</v>
      </c>
      <c r="B1564" s="69" t="s">
        <v>2294</v>
      </c>
      <c r="C1564" s="69" t="s">
        <v>185</v>
      </c>
      <c r="G1564" s="69" t="s">
        <v>192</v>
      </c>
      <c r="H1564" s="69" t="s">
        <v>804</v>
      </c>
      <c r="I1564" s="69">
        <v>1</v>
      </c>
      <c r="J1564" s="238">
        <v>0.29349999999999998</v>
      </c>
      <c r="K1564" s="238">
        <v>0.58000000000000007</v>
      </c>
      <c r="L1564" s="69">
        <v>126.92235887143826</v>
      </c>
      <c r="M1564" s="69">
        <v>0</v>
      </c>
      <c r="N1564" s="69">
        <v>314</v>
      </c>
      <c r="O1564" s="69">
        <v>327</v>
      </c>
      <c r="P1564" s="69">
        <v>353</v>
      </c>
      <c r="Q1564" s="69">
        <v>368</v>
      </c>
      <c r="R1564" s="69">
        <v>383</v>
      </c>
      <c r="S1564" s="69">
        <v>399</v>
      </c>
      <c r="T1564" s="69">
        <v>415</v>
      </c>
      <c r="U1564" s="69">
        <v>434</v>
      </c>
      <c r="V1564" s="69">
        <v>451</v>
      </c>
      <c r="W1564" s="69">
        <v>469</v>
      </c>
      <c r="X1564" s="69">
        <v>469</v>
      </c>
      <c r="Y1564" s="69">
        <v>469</v>
      </c>
      <c r="Z1564" s="69">
        <v>469</v>
      </c>
      <c r="AA1564" s="69">
        <v>469</v>
      </c>
      <c r="AB1564" s="69">
        <v>469</v>
      </c>
      <c r="AC1564" s="69">
        <v>469</v>
      </c>
      <c r="AD1564" s="69">
        <v>469</v>
      </c>
      <c r="AE1564" s="69">
        <v>469</v>
      </c>
      <c r="AF1564" s="69">
        <v>469</v>
      </c>
      <c r="AG1564" s="69">
        <v>469</v>
      </c>
    </row>
    <row r="1565" spans="1:33" ht="12.75" customHeight="1">
      <c r="A1565" s="237" t="s">
        <v>2379</v>
      </c>
      <c r="B1565" s="69" t="s">
        <v>2295</v>
      </c>
      <c r="C1565" s="69" t="s">
        <v>187</v>
      </c>
      <c r="G1565" s="69" t="s">
        <v>192</v>
      </c>
      <c r="H1565" s="69" t="s">
        <v>804</v>
      </c>
      <c r="I1565" s="69">
        <v>1</v>
      </c>
      <c r="J1565" s="238">
        <v>0.26679999999999998</v>
      </c>
      <c r="K1565" s="238">
        <v>0.72596864170729802</v>
      </c>
      <c r="L1565" s="69">
        <v>182.37028745901023</v>
      </c>
      <c r="M1565" s="69">
        <v>0</v>
      </c>
      <c r="N1565" s="69">
        <v>534</v>
      </c>
      <c r="O1565" s="69">
        <v>655</v>
      </c>
      <c r="P1565" s="69">
        <v>706</v>
      </c>
      <c r="Q1565" s="69">
        <v>736</v>
      </c>
      <c r="R1565" s="69">
        <v>766</v>
      </c>
      <c r="S1565" s="69">
        <v>799</v>
      </c>
      <c r="T1565" s="69">
        <v>832</v>
      </c>
      <c r="U1565" s="69">
        <v>867</v>
      </c>
      <c r="V1565" s="69">
        <v>902</v>
      </c>
      <c r="W1565" s="69">
        <v>939</v>
      </c>
      <c r="X1565" s="69">
        <v>939</v>
      </c>
      <c r="Y1565" s="69">
        <v>939</v>
      </c>
      <c r="Z1565" s="69">
        <v>939</v>
      </c>
      <c r="AA1565" s="69">
        <v>939</v>
      </c>
      <c r="AB1565" s="69">
        <v>939</v>
      </c>
      <c r="AC1565" s="69">
        <v>939</v>
      </c>
      <c r="AD1565" s="69">
        <v>939</v>
      </c>
      <c r="AE1565" s="69">
        <v>939</v>
      </c>
      <c r="AF1565" s="69">
        <v>939</v>
      </c>
      <c r="AG1565" s="69">
        <v>939</v>
      </c>
    </row>
    <row r="1566" spans="1:33" ht="12.75" customHeight="1">
      <c r="A1566" s="237" t="s">
        <v>2379</v>
      </c>
      <c r="B1566" s="69" t="s">
        <v>2221</v>
      </c>
      <c r="C1566" s="69" t="s">
        <v>136</v>
      </c>
      <c r="G1566" s="69" t="s">
        <v>192</v>
      </c>
      <c r="H1566" s="69" t="s">
        <v>148</v>
      </c>
      <c r="I1566" s="69">
        <v>1</v>
      </c>
      <c r="J1566" s="238">
        <v>0.85</v>
      </c>
      <c r="K1566" s="238">
        <v>0.72</v>
      </c>
      <c r="L1566" s="69">
        <v>102.38230922334316</v>
      </c>
      <c r="M1566" s="69">
        <v>0</v>
      </c>
      <c r="N1566" s="69">
        <v>70</v>
      </c>
      <c r="O1566" s="69">
        <v>73</v>
      </c>
      <c r="P1566" s="69">
        <v>79</v>
      </c>
      <c r="Q1566" s="69">
        <v>82</v>
      </c>
      <c r="R1566" s="69">
        <v>85</v>
      </c>
      <c r="S1566" s="69">
        <v>89</v>
      </c>
      <c r="T1566" s="69">
        <v>93</v>
      </c>
      <c r="U1566" s="69">
        <v>97</v>
      </c>
      <c r="V1566" s="69">
        <v>100</v>
      </c>
      <c r="W1566" s="69">
        <v>104</v>
      </c>
      <c r="X1566" s="69">
        <v>104</v>
      </c>
      <c r="Y1566" s="69">
        <v>104</v>
      </c>
      <c r="Z1566" s="69">
        <v>104</v>
      </c>
      <c r="AA1566" s="69">
        <v>104</v>
      </c>
      <c r="AB1566" s="69">
        <v>104</v>
      </c>
      <c r="AC1566" s="69">
        <v>104</v>
      </c>
      <c r="AD1566" s="69">
        <v>104</v>
      </c>
      <c r="AE1566" s="69">
        <v>104</v>
      </c>
      <c r="AF1566" s="69">
        <v>104</v>
      </c>
      <c r="AG1566" s="69">
        <v>104</v>
      </c>
    </row>
    <row r="1567" spans="1:33" ht="12.75" customHeight="1">
      <c r="A1567" s="237" t="s">
        <v>2379</v>
      </c>
      <c r="B1567" s="69" t="s">
        <v>2222</v>
      </c>
      <c r="C1567" s="69" t="s">
        <v>136</v>
      </c>
      <c r="G1567" s="69" t="s">
        <v>192</v>
      </c>
      <c r="H1567" s="69" t="s">
        <v>148</v>
      </c>
      <c r="I1567" s="69">
        <v>1</v>
      </c>
      <c r="J1567" s="238">
        <v>0.85</v>
      </c>
      <c r="K1567" s="238">
        <v>0.72</v>
      </c>
      <c r="L1567" s="69">
        <v>102.38230922334316</v>
      </c>
      <c r="M1567" s="69">
        <v>0</v>
      </c>
      <c r="N1567" s="69">
        <v>70</v>
      </c>
      <c r="O1567" s="69">
        <v>73</v>
      </c>
      <c r="P1567" s="69">
        <v>79</v>
      </c>
      <c r="Q1567" s="69">
        <v>82</v>
      </c>
      <c r="R1567" s="69">
        <v>85</v>
      </c>
      <c r="S1567" s="69">
        <v>89</v>
      </c>
      <c r="T1567" s="69">
        <v>93</v>
      </c>
      <c r="U1567" s="69">
        <v>97</v>
      </c>
      <c r="V1567" s="69">
        <v>100</v>
      </c>
      <c r="W1567" s="69">
        <v>104</v>
      </c>
      <c r="X1567" s="69">
        <v>104</v>
      </c>
      <c r="Y1567" s="69">
        <v>104</v>
      </c>
      <c r="Z1567" s="69">
        <v>104</v>
      </c>
      <c r="AA1567" s="69">
        <v>104</v>
      </c>
      <c r="AB1567" s="69">
        <v>104</v>
      </c>
      <c r="AC1567" s="69">
        <v>104</v>
      </c>
      <c r="AD1567" s="69">
        <v>104</v>
      </c>
      <c r="AE1567" s="69">
        <v>104</v>
      </c>
      <c r="AF1567" s="69">
        <v>104</v>
      </c>
      <c r="AG1567" s="69">
        <v>104</v>
      </c>
    </row>
    <row r="1568" spans="1:33" ht="12.75" customHeight="1">
      <c r="A1568" s="237" t="s">
        <v>2379</v>
      </c>
      <c r="B1568" s="69" t="s">
        <v>2223</v>
      </c>
      <c r="C1568" s="69" t="s">
        <v>139</v>
      </c>
      <c r="G1568" s="69" t="s">
        <v>192</v>
      </c>
      <c r="H1568" s="69" t="s">
        <v>805</v>
      </c>
      <c r="I1568" s="69">
        <v>1</v>
      </c>
      <c r="J1568" s="238">
        <v>0.85</v>
      </c>
      <c r="K1568" s="238">
        <v>0.66</v>
      </c>
      <c r="L1568" s="69">
        <v>113.68346667349664</v>
      </c>
      <c r="M1568" s="69">
        <v>0</v>
      </c>
      <c r="N1568" s="69">
        <v>70</v>
      </c>
      <c r="O1568" s="69">
        <v>73</v>
      </c>
      <c r="P1568" s="69">
        <v>79</v>
      </c>
      <c r="Q1568" s="69">
        <v>82</v>
      </c>
      <c r="R1568" s="69">
        <v>85</v>
      </c>
      <c r="S1568" s="69">
        <v>89</v>
      </c>
      <c r="T1568" s="69">
        <v>93</v>
      </c>
      <c r="U1568" s="69">
        <v>97</v>
      </c>
      <c r="V1568" s="69">
        <v>100</v>
      </c>
      <c r="W1568" s="69">
        <v>104</v>
      </c>
      <c r="X1568" s="69">
        <v>104</v>
      </c>
      <c r="Y1568" s="69">
        <v>104</v>
      </c>
      <c r="Z1568" s="69">
        <v>104</v>
      </c>
      <c r="AA1568" s="69">
        <v>104</v>
      </c>
      <c r="AB1568" s="69">
        <v>104</v>
      </c>
      <c r="AC1568" s="69">
        <v>104</v>
      </c>
      <c r="AD1568" s="69">
        <v>104</v>
      </c>
      <c r="AE1568" s="69">
        <v>104</v>
      </c>
      <c r="AF1568" s="69">
        <v>104</v>
      </c>
      <c r="AG1568" s="69">
        <v>104</v>
      </c>
    </row>
    <row r="1569" spans="1:33" ht="12.75" customHeight="1">
      <c r="A1569" s="237" t="s">
        <v>2379</v>
      </c>
      <c r="B1569" s="69" t="s">
        <v>2224</v>
      </c>
      <c r="C1569" s="69" t="s">
        <v>139</v>
      </c>
      <c r="G1569" s="69" t="s">
        <v>192</v>
      </c>
      <c r="H1569" s="69" t="s">
        <v>148</v>
      </c>
      <c r="I1569" s="69">
        <v>1</v>
      </c>
      <c r="J1569" s="238">
        <v>0.85</v>
      </c>
      <c r="K1569" s="238">
        <v>0.66</v>
      </c>
      <c r="L1569" s="69">
        <v>113.68346667349664</v>
      </c>
      <c r="M1569" s="69">
        <v>0</v>
      </c>
      <c r="N1569" s="69">
        <v>70</v>
      </c>
      <c r="O1569" s="69">
        <v>73</v>
      </c>
      <c r="P1569" s="69">
        <v>79</v>
      </c>
      <c r="Q1569" s="69">
        <v>82</v>
      </c>
      <c r="R1569" s="69">
        <v>85</v>
      </c>
      <c r="S1569" s="69">
        <v>89</v>
      </c>
      <c r="T1569" s="69">
        <v>93</v>
      </c>
      <c r="U1569" s="69">
        <v>97</v>
      </c>
      <c r="V1569" s="69">
        <v>100</v>
      </c>
      <c r="W1569" s="69">
        <v>104</v>
      </c>
      <c r="X1569" s="69">
        <v>104</v>
      </c>
      <c r="Y1569" s="69">
        <v>104</v>
      </c>
      <c r="Z1569" s="69">
        <v>104</v>
      </c>
      <c r="AA1569" s="69">
        <v>104</v>
      </c>
      <c r="AB1569" s="69">
        <v>104</v>
      </c>
      <c r="AC1569" s="69">
        <v>104</v>
      </c>
      <c r="AD1569" s="69">
        <v>104</v>
      </c>
      <c r="AE1569" s="69">
        <v>104</v>
      </c>
      <c r="AF1569" s="69">
        <v>104</v>
      </c>
      <c r="AG1569" s="69">
        <v>104</v>
      </c>
    </row>
    <row r="1570" spans="1:33" ht="12.75" customHeight="1">
      <c r="A1570" s="237" t="s">
        <v>2379</v>
      </c>
      <c r="B1570" s="69" t="s">
        <v>2283</v>
      </c>
      <c r="C1570" s="69" t="s">
        <v>137</v>
      </c>
      <c r="G1570" s="69" t="s">
        <v>306</v>
      </c>
      <c r="H1570" s="69" t="s">
        <v>2417</v>
      </c>
      <c r="I1570" s="69">
        <v>1</v>
      </c>
      <c r="J1570" s="238">
        <v>0.378</v>
      </c>
      <c r="K1570" s="238">
        <v>0.2</v>
      </c>
      <c r="L1570" s="69">
        <v>76.182020245947186</v>
      </c>
      <c r="M1570" s="69">
        <v>0</v>
      </c>
      <c r="N1570" s="69">
        <v>656.36553800000002</v>
      </c>
      <c r="O1570" s="69">
        <v>740.32473800000002</v>
      </c>
      <c r="P1570" s="69">
        <v>1022.8780980000001</v>
      </c>
      <c r="Q1570" s="69">
        <v>1022.4880479999999</v>
      </c>
      <c r="R1570" s="69">
        <v>1022.1421780000001</v>
      </c>
      <c r="S1570" s="69">
        <v>1022.535838</v>
      </c>
      <c r="T1570" s="69">
        <v>1022.5603180000001</v>
      </c>
      <c r="U1570" s="69">
        <v>1022.706688</v>
      </c>
      <c r="V1570" s="69">
        <v>1022.053688</v>
      </c>
      <c r="W1570" s="69">
        <v>1022.5927980000001</v>
      </c>
      <c r="X1570" s="69">
        <v>1022.5927980000001</v>
      </c>
      <c r="Y1570" s="69">
        <v>1022.5927980000001</v>
      </c>
      <c r="Z1570" s="69">
        <v>1022.5927980000001</v>
      </c>
      <c r="AA1570" s="69">
        <v>1022.5927980000001</v>
      </c>
      <c r="AB1570" s="69">
        <v>1022.5927980000001</v>
      </c>
      <c r="AC1570" s="69">
        <v>1022.5927980000001</v>
      </c>
      <c r="AD1570" s="69">
        <v>1022.5927980000001</v>
      </c>
      <c r="AE1570" s="69">
        <v>1022.5927980000001</v>
      </c>
      <c r="AF1570" s="69">
        <v>1022.5927980000001</v>
      </c>
      <c r="AG1570" s="69">
        <v>1022.5927980000001</v>
      </c>
    </row>
    <row r="1571" spans="1:33" ht="12.75" customHeight="1">
      <c r="A1571" s="237" t="s">
        <v>2379</v>
      </c>
      <c r="B1571" s="69" t="s">
        <v>2284</v>
      </c>
      <c r="C1571" s="69" t="s">
        <v>137</v>
      </c>
      <c r="G1571" s="69" t="s">
        <v>192</v>
      </c>
      <c r="H1571" s="69" t="s">
        <v>804</v>
      </c>
      <c r="I1571" s="69">
        <v>1</v>
      </c>
      <c r="J1571" s="238">
        <v>0.32200000000000001</v>
      </c>
      <c r="K1571" s="238">
        <v>0.16166723631218391</v>
      </c>
      <c r="L1571" s="69">
        <v>89.431067245242346</v>
      </c>
      <c r="M1571" s="69">
        <v>0</v>
      </c>
      <c r="N1571" s="69">
        <v>379.06</v>
      </c>
      <c r="O1571" s="69">
        <v>487.08359999999999</v>
      </c>
      <c r="P1571" s="69">
        <v>499.08460000000002</v>
      </c>
      <c r="Q1571" s="69">
        <v>501.39459999999997</v>
      </c>
      <c r="R1571" s="69">
        <v>501.39459999999997</v>
      </c>
      <c r="S1571" s="69">
        <v>502.08460000000002</v>
      </c>
      <c r="T1571" s="69">
        <v>427.84460000000001</v>
      </c>
      <c r="U1571" s="69">
        <v>427.84460000000001</v>
      </c>
      <c r="V1571" s="69">
        <v>427.84460000000001</v>
      </c>
      <c r="W1571" s="69">
        <v>502.08460000000002</v>
      </c>
      <c r="X1571" s="69">
        <v>502.08460000000002</v>
      </c>
      <c r="Y1571" s="69">
        <v>502.08460000000002</v>
      </c>
      <c r="Z1571" s="69">
        <v>502.08460000000002</v>
      </c>
      <c r="AA1571" s="69">
        <v>502.08460000000002</v>
      </c>
      <c r="AB1571" s="69">
        <v>502.08460000000002</v>
      </c>
      <c r="AC1571" s="69">
        <v>502.08460000000002</v>
      </c>
      <c r="AD1571" s="69">
        <v>502.08460000000002</v>
      </c>
      <c r="AE1571" s="69">
        <v>502.08460000000002</v>
      </c>
      <c r="AF1571" s="69">
        <v>502.08460000000002</v>
      </c>
      <c r="AG1571" s="69">
        <v>502.08460000000002</v>
      </c>
    </row>
    <row r="1572" spans="1:33" ht="12.75" customHeight="1">
      <c r="A1572" s="237" t="s">
        <v>2379</v>
      </c>
      <c r="B1572" s="69" t="s">
        <v>2285</v>
      </c>
      <c r="C1572" s="69" t="s">
        <v>137</v>
      </c>
      <c r="G1572" s="69" t="s">
        <v>192</v>
      </c>
      <c r="H1572" s="69" t="s">
        <v>804</v>
      </c>
      <c r="I1572" s="69">
        <v>1</v>
      </c>
      <c r="J1572" s="238">
        <v>0.33</v>
      </c>
      <c r="K1572" s="238">
        <v>0.16166723631218391</v>
      </c>
      <c r="L1572" s="69">
        <v>87.263041372630425</v>
      </c>
      <c r="M1572" s="69">
        <v>0</v>
      </c>
      <c r="N1572" s="69">
        <v>161.88</v>
      </c>
      <c r="O1572" s="69">
        <v>162.32999999999998</v>
      </c>
      <c r="P1572" s="69">
        <v>161.88</v>
      </c>
      <c r="Q1572" s="69">
        <v>161.88</v>
      </c>
      <c r="R1572" s="69">
        <v>161.88</v>
      </c>
      <c r="S1572" s="69">
        <v>162.32999999999998</v>
      </c>
      <c r="T1572" s="69">
        <v>161.88</v>
      </c>
      <c r="U1572" s="69">
        <v>161.88</v>
      </c>
      <c r="V1572" s="69">
        <v>161.88</v>
      </c>
      <c r="W1572" s="69">
        <v>162.32999999999998</v>
      </c>
      <c r="X1572" s="69">
        <v>162.32999999999998</v>
      </c>
      <c r="Y1572" s="69">
        <v>162.32999999999998</v>
      </c>
      <c r="Z1572" s="69">
        <v>162.32999999999998</v>
      </c>
      <c r="AA1572" s="69">
        <v>162.32999999999998</v>
      </c>
      <c r="AB1572" s="69">
        <v>162.32999999999998</v>
      </c>
      <c r="AC1572" s="69">
        <v>162.32999999999998</v>
      </c>
      <c r="AD1572" s="69">
        <v>162.32999999999998</v>
      </c>
      <c r="AE1572" s="69">
        <v>162.32999999999998</v>
      </c>
      <c r="AF1572" s="69">
        <v>162.32999999999998</v>
      </c>
      <c r="AG1572" s="69">
        <v>162.32999999999998</v>
      </c>
    </row>
    <row r="1573" spans="1:33" ht="12.75" customHeight="1">
      <c r="A1573" s="237" t="s">
        <v>2379</v>
      </c>
      <c r="B1573" s="69" t="s">
        <v>2286</v>
      </c>
      <c r="C1573" s="69" t="s">
        <v>137</v>
      </c>
      <c r="G1573" s="69" t="s">
        <v>192</v>
      </c>
      <c r="H1573" s="237" t="s">
        <v>148</v>
      </c>
      <c r="I1573" s="69">
        <v>1</v>
      </c>
      <c r="J1573" s="238">
        <v>0.32200000000000001</v>
      </c>
      <c r="K1573" s="238">
        <v>0.16166723631218391</v>
      </c>
      <c r="L1573" s="69">
        <v>89.431067245242346</v>
      </c>
      <c r="M1573" s="69">
        <v>0</v>
      </c>
      <c r="N1573" s="69">
        <v>137.30000000000001</v>
      </c>
      <c r="O1573" s="69">
        <v>180.89800000000002</v>
      </c>
      <c r="P1573" s="69">
        <v>910.33400000000006</v>
      </c>
      <c r="Q1573" s="69">
        <v>1180.1828</v>
      </c>
      <c r="R1573" s="69">
        <v>1354.9315999999999</v>
      </c>
      <c r="S1573" s="69">
        <v>1356.5796</v>
      </c>
      <c r="T1573" s="69">
        <v>1354.9315999999999</v>
      </c>
      <c r="U1573" s="69">
        <v>1354.9315999999999</v>
      </c>
      <c r="V1573" s="69">
        <v>1354.9315999999999</v>
      </c>
      <c r="W1573" s="69">
        <v>1356.5796</v>
      </c>
      <c r="X1573" s="69">
        <v>1356.5796</v>
      </c>
      <c r="Y1573" s="69">
        <v>1356.5796</v>
      </c>
      <c r="Z1573" s="69">
        <v>1356.5796</v>
      </c>
      <c r="AA1573" s="69">
        <v>1356.5796</v>
      </c>
      <c r="AB1573" s="69">
        <v>1356.5796</v>
      </c>
      <c r="AC1573" s="69">
        <v>1356.5796</v>
      </c>
      <c r="AD1573" s="69">
        <v>1356.5796</v>
      </c>
      <c r="AE1573" s="69">
        <v>1356.5796</v>
      </c>
      <c r="AF1573" s="69">
        <v>1356.5796</v>
      </c>
      <c r="AG1573" s="69">
        <v>1356.5796</v>
      </c>
    </row>
    <row r="1574" spans="1:33" ht="12.75" customHeight="1">
      <c r="A1574" s="237" t="s">
        <v>2379</v>
      </c>
      <c r="B1574" s="69" t="s">
        <v>2287</v>
      </c>
      <c r="C1574" s="69" t="s">
        <v>18</v>
      </c>
      <c r="G1574" s="69" t="s">
        <v>192</v>
      </c>
      <c r="H1574" s="69" t="s">
        <v>2130</v>
      </c>
      <c r="I1574" s="69">
        <v>1</v>
      </c>
      <c r="J1574" s="238">
        <v>0.57099999999999995</v>
      </c>
      <c r="K1574" s="238">
        <v>0.65</v>
      </c>
      <c r="L1574" s="69">
        <v>135.14704191871482</v>
      </c>
      <c r="M1574" s="69">
        <v>0</v>
      </c>
      <c r="N1574" s="69">
        <v>34</v>
      </c>
      <c r="O1574" s="69">
        <v>34.07</v>
      </c>
      <c r="P1574" s="69">
        <v>34.51</v>
      </c>
      <c r="Q1574" s="69">
        <v>34</v>
      </c>
      <c r="R1574" s="69">
        <v>33.99</v>
      </c>
      <c r="S1574" s="69">
        <v>34.07</v>
      </c>
      <c r="T1574" s="69">
        <v>34</v>
      </c>
      <c r="U1574" s="69">
        <v>34</v>
      </c>
      <c r="V1574" s="69">
        <v>34.19</v>
      </c>
      <c r="W1574" s="69">
        <v>34.07</v>
      </c>
      <c r="X1574" s="69">
        <v>34.07</v>
      </c>
      <c r="Y1574" s="69">
        <v>34.07</v>
      </c>
      <c r="Z1574" s="69">
        <v>34.07</v>
      </c>
      <c r="AA1574" s="69">
        <v>34.07</v>
      </c>
      <c r="AB1574" s="69">
        <v>34.07</v>
      </c>
      <c r="AC1574" s="69">
        <v>34.07</v>
      </c>
      <c r="AD1574" s="69">
        <v>34.07</v>
      </c>
      <c r="AE1574" s="69">
        <v>34.07</v>
      </c>
      <c r="AF1574" s="69">
        <v>34.07</v>
      </c>
      <c r="AG1574" s="69">
        <v>34.07</v>
      </c>
    </row>
    <row r="1575" spans="1:33" ht="12.75" customHeight="1">
      <c r="A1575" s="237" t="s">
        <v>2379</v>
      </c>
      <c r="B1575" s="69" t="s">
        <v>2288</v>
      </c>
      <c r="C1575" s="69" t="s">
        <v>137</v>
      </c>
      <c r="G1575" s="69" t="s">
        <v>192</v>
      </c>
      <c r="H1575" s="69" t="s">
        <v>804</v>
      </c>
      <c r="I1575" s="69">
        <v>1</v>
      </c>
      <c r="J1575" s="238">
        <v>0.32200000000000001</v>
      </c>
      <c r="K1575" s="238">
        <v>0.16166723631218391</v>
      </c>
      <c r="L1575" s="69">
        <v>89.431067245242346</v>
      </c>
      <c r="M1575" s="69">
        <v>0</v>
      </c>
      <c r="N1575" s="69">
        <v>20.239999999999998</v>
      </c>
      <c r="O1575" s="69">
        <v>96.664000000000001</v>
      </c>
      <c r="P1575" s="69">
        <v>246.87800000000001</v>
      </c>
      <c r="Q1575" s="69">
        <v>246.87800000000001</v>
      </c>
      <c r="R1575" s="69">
        <v>246.87800000000001</v>
      </c>
      <c r="S1575" s="69">
        <v>247.55200000000002</v>
      </c>
      <c r="T1575" s="69">
        <v>246.87800000000001</v>
      </c>
      <c r="U1575" s="69">
        <v>246.87800000000001</v>
      </c>
      <c r="V1575" s="69">
        <v>246.87800000000001</v>
      </c>
      <c r="W1575" s="69">
        <v>247.55200000000002</v>
      </c>
      <c r="X1575" s="69">
        <v>247.55200000000002</v>
      </c>
      <c r="Y1575" s="69">
        <v>247.55200000000002</v>
      </c>
      <c r="Z1575" s="69">
        <v>247.55200000000002</v>
      </c>
      <c r="AA1575" s="69">
        <v>247.55200000000002</v>
      </c>
      <c r="AB1575" s="69">
        <v>247.55200000000002</v>
      </c>
      <c r="AC1575" s="69">
        <v>247.55200000000002</v>
      </c>
      <c r="AD1575" s="69">
        <v>247.55200000000002</v>
      </c>
      <c r="AE1575" s="69">
        <v>247.55200000000002</v>
      </c>
      <c r="AF1575" s="69">
        <v>247.55200000000002</v>
      </c>
      <c r="AG1575" s="69">
        <v>247.55200000000002</v>
      </c>
    </row>
    <row r="1576" spans="1:33" ht="12.75" customHeight="1">
      <c r="A1576" s="237" t="s">
        <v>2379</v>
      </c>
      <c r="B1576" s="69" t="s">
        <v>2289</v>
      </c>
      <c r="C1576" s="69" t="s">
        <v>139</v>
      </c>
      <c r="G1576" s="69" t="s">
        <v>192</v>
      </c>
      <c r="H1576" s="69" t="s">
        <v>805</v>
      </c>
      <c r="I1576" s="69">
        <v>1</v>
      </c>
      <c r="J1576" s="238">
        <v>0.85</v>
      </c>
      <c r="K1576" s="238">
        <v>0.66</v>
      </c>
      <c r="L1576" s="69">
        <v>113.68346667349664</v>
      </c>
      <c r="M1576" s="69">
        <v>0</v>
      </c>
      <c r="N1576" s="69">
        <v>400.32</v>
      </c>
      <c r="O1576" s="69">
        <v>457.1</v>
      </c>
      <c r="P1576" s="69">
        <v>457.08</v>
      </c>
      <c r="Q1576" s="69">
        <v>455.88</v>
      </c>
      <c r="R1576" s="69">
        <v>455.89</v>
      </c>
      <c r="S1576" s="69">
        <v>457.05</v>
      </c>
      <c r="T1576" s="69">
        <v>455.88</v>
      </c>
      <c r="U1576" s="69">
        <v>455.88</v>
      </c>
      <c r="V1576" s="69">
        <v>455.88</v>
      </c>
      <c r="W1576" s="69">
        <v>457.05</v>
      </c>
      <c r="X1576" s="69">
        <v>457.05</v>
      </c>
      <c r="Y1576" s="69">
        <v>457.05</v>
      </c>
      <c r="Z1576" s="69">
        <v>457.05</v>
      </c>
      <c r="AA1576" s="69">
        <v>457.05</v>
      </c>
      <c r="AB1576" s="69">
        <v>457.05</v>
      </c>
      <c r="AC1576" s="69">
        <v>457.05</v>
      </c>
      <c r="AD1576" s="69">
        <v>457.05</v>
      </c>
      <c r="AE1576" s="69">
        <v>457.05</v>
      </c>
      <c r="AF1576" s="69">
        <v>457.05</v>
      </c>
      <c r="AG1576" s="69">
        <v>457.05</v>
      </c>
    </row>
    <row r="1577" spans="1:33" ht="12.75" customHeight="1">
      <c r="A1577" s="237" t="s">
        <v>2379</v>
      </c>
      <c r="B1577" s="69" t="s">
        <v>2290</v>
      </c>
      <c r="C1577" s="69" t="s">
        <v>139</v>
      </c>
      <c r="G1577" s="69" t="s">
        <v>192</v>
      </c>
      <c r="H1577" s="69" t="s">
        <v>2130</v>
      </c>
      <c r="I1577" s="69">
        <v>1</v>
      </c>
      <c r="J1577" s="238">
        <v>0.85</v>
      </c>
      <c r="K1577" s="238">
        <v>0.66</v>
      </c>
      <c r="L1577" s="69">
        <v>113.68346667349664</v>
      </c>
      <c r="M1577" s="69">
        <v>0</v>
      </c>
      <c r="N1577" s="69">
        <v>234.74</v>
      </c>
      <c r="O1577" s="69">
        <v>234.74</v>
      </c>
      <c r="P1577" s="69">
        <v>234.74</v>
      </c>
      <c r="Q1577" s="69">
        <v>234.74</v>
      </c>
      <c r="R1577" s="69">
        <v>258.76</v>
      </c>
      <c r="S1577" s="69">
        <v>259.14</v>
      </c>
      <c r="T1577" s="69">
        <v>258.75</v>
      </c>
      <c r="U1577" s="69">
        <v>264.94</v>
      </c>
      <c r="V1577" s="69">
        <v>282.71000000000004</v>
      </c>
      <c r="W1577" s="69">
        <v>282.81</v>
      </c>
      <c r="X1577" s="69">
        <v>282.81</v>
      </c>
      <c r="Y1577" s="69">
        <v>282.81</v>
      </c>
      <c r="Z1577" s="69">
        <v>282.81</v>
      </c>
      <c r="AA1577" s="69">
        <v>282.81</v>
      </c>
      <c r="AB1577" s="69">
        <v>282.81</v>
      </c>
      <c r="AC1577" s="69">
        <v>282.81</v>
      </c>
      <c r="AD1577" s="69">
        <v>282.81</v>
      </c>
      <c r="AE1577" s="69">
        <v>282.81</v>
      </c>
      <c r="AF1577" s="69">
        <v>282.81</v>
      </c>
      <c r="AG1577" s="69">
        <v>282.81</v>
      </c>
    </row>
    <row r="1578" spans="1:33" ht="12.75" customHeight="1">
      <c r="A1578" s="237" t="s">
        <v>2379</v>
      </c>
      <c r="B1578" s="69" t="s">
        <v>2291</v>
      </c>
      <c r="C1578" s="69" t="s">
        <v>136</v>
      </c>
      <c r="G1578" s="69" t="s">
        <v>192</v>
      </c>
      <c r="H1578" s="69" t="s">
        <v>805</v>
      </c>
      <c r="I1578" s="69">
        <v>1</v>
      </c>
      <c r="J1578" s="238">
        <v>0.85</v>
      </c>
      <c r="K1578" s="238">
        <v>0.72</v>
      </c>
      <c r="L1578" s="69">
        <v>102.38230922334316</v>
      </c>
      <c r="M1578" s="69">
        <v>0</v>
      </c>
      <c r="N1578" s="69">
        <v>211.18</v>
      </c>
      <c r="O1578" s="69">
        <v>211.75</v>
      </c>
      <c r="P1578" s="69">
        <v>211.38</v>
      </c>
      <c r="Q1578" s="69">
        <v>210.65</v>
      </c>
      <c r="R1578" s="69">
        <v>210.65</v>
      </c>
      <c r="S1578" s="69">
        <v>210.65</v>
      </c>
      <c r="T1578" s="69">
        <v>210.65</v>
      </c>
      <c r="U1578" s="69">
        <v>210.65</v>
      </c>
      <c r="V1578" s="69">
        <v>210.65</v>
      </c>
      <c r="W1578" s="69">
        <v>210.65</v>
      </c>
      <c r="X1578" s="69">
        <v>210.65</v>
      </c>
      <c r="Y1578" s="69">
        <v>210.65</v>
      </c>
      <c r="Z1578" s="69">
        <v>210.65</v>
      </c>
      <c r="AA1578" s="69">
        <v>210.65</v>
      </c>
      <c r="AB1578" s="69">
        <v>210.65</v>
      </c>
      <c r="AC1578" s="69">
        <v>210.65</v>
      </c>
      <c r="AD1578" s="69">
        <v>210.65</v>
      </c>
      <c r="AE1578" s="69">
        <v>210.65</v>
      </c>
      <c r="AF1578" s="69">
        <v>210.65</v>
      </c>
      <c r="AG1578" s="69">
        <v>210.65</v>
      </c>
    </row>
    <row r="1579" spans="1:33" ht="12.75" customHeight="1">
      <c r="A1579" s="237" t="s">
        <v>2379</v>
      </c>
      <c r="B1579" s="69" t="s">
        <v>2292</v>
      </c>
      <c r="C1579" s="69" t="s">
        <v>185</v>
      </c>
      <c r="G1579" s="69" t="s">
        <v>192</v>
      </c>
      <c r="H1579" s="237" t="s">
        <v>148</v>
      </c>
      <c r="I1579" s="69">
        <v>1</v>
      </c>
      <c r="J1579" s="238">
        <v>0.28999999999999998</v>
      </c>
      <c r="K1579" s="238">
        <v>0.65</v>
      </c>
      <c r="L1579" s="69">
        <v>128.45418044402459</v>
      </c>
      <c r="M1579" s="69">
        <v>0</v>
      </c>
      <c r="N1579" s="69">
        <v>0</v>
      </c>
      <c r="O1579" s="69">
        <v>0</v>
      </c>
      <c r="P1579" s="69">
        <v>66.180000000000007</v>
      </c>
      <c r="Q1579" s="69">
        <v>741.92759999999998</v>
      </c>
      <c r="R1579" s="69">
        <v>924.98580000000004</v>
      </c>
      <c r="S1579" s="69">
        <v>1047.8496</v>
      </c>
      <c r="T1579" s="69">
        <v>1046.9856</v>
      </c>
      <c r="U1579" s="69">
        <v>1046.9856</v>
      </c>
      <c r="V1579" s="69">
        <v>1046.9856</v>
      </c>
      <c r="W1579" s="69">
        <v>1047.8496</v>
      </c>
      <c r="X1579" s="69">
        <v>1047.8496</v>
      </c>
      <c r="Y1579" s="69">
        <v>1047.8496</v>
      </c>
      <c r="Z1579" s="69">
        <v>1047.8496</v>
      </c>
      <c r="AA1579" s="69">
        <v>1047.8496</v>
      </c>
      <c r="AB1579" s="69">
        <v>1047.8496</v>
      </c>
      <c r="AC1579" s="69">
        <v>1047.8496</v>
      </c>
      <c r="AD1579" s="69">
        <v>1047.8496</v>
      </c>
      <c r="AE1579" s="69">
        <v>1047.8496</v>
      </c>
      <c r="AF1579" s="69">
        <v>1047.8496</v>
      </c>
      <c r="AG1579" s="69">
        <v>1047.8496</v>
      </c>
    </row>
    <row r="1580" spans="1:33" ht="12.75" customHeight="1">
      <c r="A1580" s="237" t="s">
        <v>2379</v>
      </c>
      <c r="B1580" s="69" t="s">
        <v>2293</v>
      </c>
      <c r="C1580" s="69" t="s">
        <v>185</v>
      </c>
      <c r="G1580" s="69" t="s">
        <v>192</v>
      </c>
      <c r="H1580" s="69" t="s">
        <v>2130</v>
      </c>
      <c r="I1580" s="69">
        <v>1</v>
      </c>
      <c r="J1580" s="238">
        <v>0.28999999999999998</v>
      </c>
      <c r="K1580" s="238">
        <v>0.65</v>
      </c>
      <c r="L1580" s="69">
        <v>128.45418044402459</v>
      </c>
      <c r="M1580" s="69">
        <v>0</v>
      </c>
      <c r="N1580" s="69">
        <v>0</v>
      </c>
      <c r="O1580" s="69">
        <v>36.101999999999997</v>
      </c>
      <c r="P1580" s="69">
        <v>82.197999999999993</v>
      </c>
      <c r="Q1580" s="69">
        <v>209.18799999999999</v>
      </c>
      <c r="R1580" s="69">
        <v>299.238</v>
      </c>
      <c r="S1580" s="69">
        <v>387.87200000000001</v>
      </c>
      <c r="T1580" s="69">
        <v>428.53800000000001</v>
      </c>
      <c r="U1580" s="69">
        <v>428.53800000000001</v>
      </c>
      <c r="V1580" s="69">
        <v>428.53800000000001</v>
      </c>
      <c r="W1580" s="69">
        <v>429.52199999999999</v>
      </c>
      <c r="X1580" s="69">
        <v>429.52199999999999</v>
      </c>
      <c r="Y1580" s="69">
        <v>429.52199999999999</v>
      </c>
      <c r="Z1580" s="69">
        <v>429.52199999999999</v>
      </c>
      <c r="AA1580" s="69">
        <v>429.52199999999999</v>
      </c>
      <c r="AB1580" s="69">
        <v>429.52199999999999</v>
      </c>
      <c r="AC1580" s="69">
        <v>429.52199999999999</v>
      </c>
      <c r="AD1580" s="69">
        <v>429.52199999999999</v>
      </c>
      <c r="AE1580" s="69">
        <v>429.52199999999999</v>
      </c>
      <c r="AF1580" s="69">
        <v>429.52199999999999</v>
      </c>
      <c r="AG1580" s="69">
        <v>429.52199999999999</v>
      </c>
    </row>
    <row r="1581" spans="1:33" ht="12.75" customHeight="1">
      <c r="A1581" s="237" t="s">
        <v>2379</v>
      </c>
      <c r="B1581" s="69" t="s">
        <v>2219</v>
      </c>
      <c r="C1581" s="69" t="s">
        <v>137</v>
      </c>
      <c r="G1581" s="69" t="s">
        <v>192</v>
      </c>
      <c r="H1581" s="69" t="s">
        <v>805</v>
      </c>
      <c r="I1581" s="69">
        <v>1</v>
      </c>
      <c r="J1581" s="238">
        <v>0.36899999999999999</v>
      </c>
      <c r="K1581" s="238">
        <v>0.16166723631218391</v>
      </c>
      <c r="L1581" s="69">
        <v>78.040118300726391</v>
      </c>
      <c r="M1581" s="69">
        <v>0</v>
      </c>
      <c r="N1581" s="69">
        <v>126</v>
      </c>
      <c r="O1581" s="69">
        <v>126</v>
      </c>
      <c r="P1581" s="69">
        <v>131</v>
      </c>
      <c r="Q1581" s="69">
        <v>136</v>
      </c>
      <c r="R1581" s="69">
        <v>141</v>
      </c>
      <c r="S1581" s="69">
        <v>145</v>
      </c>
      <c r="T1581" s="69">
        <v>149</v>
      </c>
      <c r="U1581" s="69">
        <v>153</v>
      </c>
      <c r="V1581" s="69">
        <v>158</v>
      </c>
      <c r="W1581" s="69">
        <v>162</v>
      </c>
      <c r="X1581" s="69">
        <v>162</v>
      </c>
      <c r="Y1581" s="69">
        <v>162</v>
      </c>
      <c r="Z1581" s="69">
        <v>162</v>
      </c>
      <c r="AA1581" s="69">
        <v>162</v>
      </c>
      <c r="AB1581" s="69">
        <v>162</v>
      </c>
      <c r="AC1581" s="69">
        <v>162</v>
      </c>
      <c r="AD1581" s="69">
        <v>162</v>
      </c>
      <c r="AE1581" s="69">
        <v>162</v>
      </c>
      <c r="AF1581" s="69">
        <v>162</v>
      </c>
      <c r="AG1581" s="69">
        <v>162</v>
      </c>
    </row>
    <row r="1582" spans="1:33" ht="12.75" customHeight="1">
      <c r="A1582" s="237" t="s">
        <v>2379</v>
      </c>
      <c r="B1582" s="69" t="s">
        <v>2220</v>
      </c>
      <c r="C1582" s="69" t="s">
        <v>137</v>
      </c>
      <c r="G1582" s="69" t="s">
        <v>192</v>
      </c>
      <c r="H1582" s="69" t="s">
        <v>804</v>
      </c>
      <c r="I1582" s="69">
        <v>1</v>
      </c>
      <c r="J1582" s="238">
        <v>0.32200000000000001</v>
      </c>
      <c r="K1582" s="238">
        <v>0.16166723631218391</v>
      </c>
      <c r="L1582" s="69">
        <v>89.431067245242346</v>
      </c>
      <c r="M1582" s="69">
        <v>0</v>
      </c>
      <c r="N1582" s="69">
        <v>126</v>
      </c>
      <c r="O1582" s="69">
        <v>126</v>
      </c>
      <c r="P1582" s="69">
        <v>131</v>
      </c>
      <c r="Q1582" s="69">
        <v>136</v>
      </c>
      <c r="R1582" s="69">
        <v>141</v>
      </c>
      <c r="S1582" s="69">
        <v>145</v>
      </c>
      <c r="T1582" s="69">
        <v>149</v>
      </c>
      <c r="U1582" s="69">
        <v>153</v>
      </c>
      <c r="V1582" s="69">
        <v>158</v>
      </c>
      <c r="W1582" s="69">
        <v>162</v>
      </c>
      <c r="X1582" s="69">
        <v>162</v>
      </c>
      <c r="Y1582" s="69">
        <v>162</v>
      </c>
      <c r="Z1582" s="69">
        <v>162</v>
      </c>
      <c r="AA1582" s="69">
        <v>162</v>
      </c>
      <c r="AB1582" s="69">
        <v>162</v>
      </c>
      <c r="AC1582" s="69">
        <v>162</v>
      </c>
      <c r="AD1582" s="69">
        <v>162</v>
      </c>
      <c r="AE1582" s="69">
        <v>162</v>
      </c>
      <c r="AF1582" s="69">
        <v>162</v>
      </c>
      <c r="AG1582" s="69">
        <v>162</v>
      </c>
    </row>
    <row r="1583" spans="1:33" ht="12.75" customHeight="1">
      <c r="A1583" s="237" t="s">
        <v>2379</v>
      </c>
      <c r="B1583" s="69" t="s">
        <v>2296</v>
      </c>
      <c r="C1583" s="69" t="s">
        <v>137</v>
      </c>
      <c r="G1583" s="69" t="s">
        <v>192</v>
      </c>
      <c r="H1583" s="69" t="s">
        <v>2417</v>
      </c>
      <c r="I1583" s="69">
        <v>1</v>
      </c>
      <c r="J1583" s="238">
        <v>0.378</v>
      </c>
      <c r="K1583" s="238">
        <v>0.2</v>
      </c>
      <c r="L1583" s="69">
        <v>76.182020245947186</v>
      </c>
      <c r="M1583" s="69">
        <v>0</v>
      </c>
      <c r="N1583" s="69">
        <v>126</v>
      </c>
      <c r="O1583" s="69">
        <v>126</v>
      </c>
      <c r="P1583" s="69">
        <v>131</v>
      </c>
      <c r="Q1583" s="69">
        <v>136</v>
      </c>
      <c r="R1583" s="69">
        <v>141</v>
      </c>
      <c r="S1583" s="69">
        <v>145</v>
      </c>
      <c r="T1583" s="69">
        <v>149</v>
      </c>
      <c r="U1583" s="69">
        <v>153</v>
      </c>
      <c r="V1583" s="69">
        <v>158</v>
      </c>
      <c r="W1583" s="69">
        <v>162</v>
      </c>
      <c r="X1583" s="69">
        <v>162</v>
      </c>
      <c r="Y1583" s="69">
        <v>162</v>
      </c>
      <c r="Z1583" s="69">
        <v>162</v>
      </c>
      <c r="AA1583" s="69">
        <v>162</v>
      </c>
      <c r="AB1583" s="69">
        <v>162</v>
      </c>
      <c r="AC1583" s="69">
        <v>162</v>
      </c>
      <c r="AD1583" s="69">
        <v>162</v>
      </c>
      <c r="AE1583" s="69">
        <v>162</v>
      </c>
      <c r="AF1583" s="69">
        <v>162</v>
      </c>
      <c r="AG1583" s="69">
        <v>162</v>
      </c>
    </row>
    <row r="1584" spans="1:33" ht="12.75" customHeight="1">
      <c r="A1584" s="237" t="s">
        <v>2379</v>
      </c>
      <c r="B1584" s="69" t="s">
        <v>2416</v>
      </c>
      <c r="C1584" s="69" t="s">
        <v>185</v>
      </c>
      <c r="G1584" s="69" t="s">
        <v>192</v>
      </c>
      <c r="H1584" s="237" t="s">
        <v>148</v>
      </c>
      <c r="I1584" s="69">
        <v>1</v>
      </c>
      <c r="J1584" s="238">
        <v>0.28999999999999998</v>
      </c>
      <c r="K1584" s="238">
        <v>0.65</v>
      </c>
      <c r="L1584" s="69">
        <v>128.45418044402459</v>
      </c>
      <c r="M1584" s="69">
        <v>0</v>
      </c>
      <c r="N1584" s="69">
        <v>94</v>
      </c>
      <c r="O1584" s="69">
        <v>94</v>
      </c>
      <c r="P1584" s="69">
        <v>99</v>
      </c>
      <c r="Q1584" s="69">
        <v>102</v>
      </c>
      <c r="R1584" s="69">
        <v>106</v>
      </c>
      <c r="S1584" s="69">
        <v>109</v>
      </c>
      <c r="T1584" s="69">
        <v>112</v>
      </c>
      <c r="U1584" s="69">
        <v>115</v>
      </c>
      <c r="V1584" s="69">
        <v>118</v>
      </c>
      <c r="W1584" s="69">
        <v>122</v>
      </c>
      <c r="X1584" s="69">
        <v>122</v>
      </c>
      <c r="Y1584" s="69">
        <v>122</v>
      </c>
      <c r="Z1584" s="69">
        <v>122</v>
      </c>
      <c r="AA1584" s="69">
        <v>122</v>
      </c>
      <c r="AB1584" s="69">
        <v>122</v>
      </c>
      <c r="AC1584" s="69">
        <v>122</v>
      </c>
      <c r="AD1584" s="69">
        <v>122</v>
      </c>
      <c r="AE1584" s="69">
        <v>122</v>
      </c>
      <c r="AF1584" s="69">
        <v>122</v>
      </c>
      <c r="AG1584" s="69">
        <v>122</v>
      </c>
    </row>
    <row r="1585" spans="1:33" ht="12.75" customHeight="1">
      <c r="A1585" s="237" t="s">
        <v>2379</v>
      </c>
      <c r="B1585" s="69" t="s">
        <v>2294</v>
      </c>
      <c r="C1585" s="69" t="s">
        <v>185</v>
      </c>
      <c r="G1585" s="69" t="s">
        <v>192</v>
      </c>
      <c r="H1585" s="69" t="s">
        <v>804</v>
      </c>
      <c r="I1585" s="69">
        <v>1</v>
      </c>
      <c r="J1585" s="238">
        <v>0.29349999999999998</v>
      </c>
      <c r="K1585" s="238">
        <v>0.58000000000000007</v>
      </c>
      <c r="L1585" s="69">
        <v>126.92235887143826</v>
      </c>
      <c r="M1585" s="69">
        <v>0</v>
      </c>
      <c r="N1585" s="69">
        <v>94</v>
      </c>
      <c r="O1585" s="69">
        <v>94</v>
      </c>
      <c r="P1585" s="69">
        <v>99</v>
      </c>
      <c r="Q1585" s="69">
        <v>102</v>
      </c>
      <c r="R1585" s="69">
        <v>106</v>
      </c>
      <c r="S1585" s="69">
        <v>109</v>
      </c>
      <c r="T1585" s="69">
        <v>112</v>
      </c>
      <c r="U1585" s="69">
        <v>115</v>
      </c>
      <c r="V1585" s="69">
        <v>118</v>
      </c>
      <c r="W1585" s="69">
        <v>122</v>
      </c>
      <c r="X1585" s="69">
        <v>122</v>
      </c>
      <c r="Y1585" s="69">
        <v>122</v>
      </c>
      <c r="Z1585" s="69">
        <v>122</v>
      </c>
      <c r="AA1585" s="69">
        <v>122</v>
      </c>
      <c r="AB1585" s="69">
        <v>122</v>
      </c>
      <c r="AC1585" s="69">
        <v>122</v>
      </c>
      <c r="AD1585" s="69">
        <v>122</v>
      </c>
      <c r="AE1585" s="69">
        <v>122</v>
      </c>
      <c r="AF1585" s="69">
        <v>122</v>
      </c>
      <c r="AG1585" s="69">
        <v>122</v>
      </c>
    </row>
    <row r="1586" spans="1:33" ht="12.75" customHeight="1">
      <c r="A1586" s="237" t="s">
        <v>2379</v>
      </c>
      <c r="B1586" s="69" t="s">
        <v>2295</v>
      </c>
      <c r="C1586" s="69" t="s">
        <v>187</v>
      </c>
      <c r="G1586" s="69" t="s">
        <v>192</v>
      </c>
      <c r="H1586" s="69" t="s">
        <v>804</v>
      </c>
      <c r="I1586" s="69">
        <v>1</v>
      </c>
      <c r="J1586" s="238">
        <v>0.26679999999999998</v>
      </c>
      <c r="K1586" s="238">
        <v>0.72596864170729802</v>
      </c>
      <c r="L1586" s="69">
        <v>182.37028745901023</v>
      </c>
      <c r="M1586" s="69">
        <v>0</v>
      </c>
      <c r="N1586" s="69">
        <v>189</v>
      </c>
      <c r="O1586" s="69">
        <v>189</v>
      </c>
      <c r="P1586" s="69">
        <v>197</v>
      </c>
      <c r="Q1586" s="69">
        <v>204</v>
      </c>
      <c r="R1586" s="69">
        <v>211</v>
      </c>
      <c r="S1586" s="69">
        <v>218</v>
      </c>
      <c r="T1586" s="69">
        <v>224</v>
      </c>
      <c r="U1586" s="69">
        <v>230</v>
      </c>
      <c r="V1586" s="69">
        <v>236</v>
      </c>
      <c r="W1586" s="69">
        <v>243</v>
      </c>
      <c r="X1586" s="69">
        <v>243</v>
      </c>
      <c r="Y1586" s="69">
        <v>243</v>
      </c>
      <c r="Z1586" s="69">
        <v>243</v>
      </c>
      <c r="AA1586" s="69">
        <v>243</v>
      </c>
      <c r="AB1586" s="69">
        <v>243</v>
      </c>
      <c r="AC1586" s="69">
        <v>243</v>
      </c>
      <c r="AD1586" s="69">
        <v>243</v>
      </c>
      <c r="AE1586" s="69">
        <v>243</v>
      </c>
      <c r="AF1586" s="69">
        <v>243</v>
      </c>
      <c r="AG1586" s="69">
        <v>243</v>
      </c>
    </row>
    <row r="1587" spans="1:33" ht="12.75" customHeight="1">
      <c r="A1587" s="237" t="s">
        <v>2379</v>
      </c>
      <c r="B1587" s="69" t="s">
        <v>2221</v>
      </c>
      <c r="C1587" s="69" t="s">
        <v>136</v>
      </c>
      <c r="G1587" s="69" t="s">
        <v>192</v>
      </c>
      <c r="H1587" s="69" t="s">
        <v>148</v>
      </c>
      <c r="I1587" s="69">
        <v>1</v>
      </c>
      <c r="J1587" s="238">
        <v>0.85</v>
      </c>
      <c r="K1587" s="238">
        <v>0.72</v>
      </c>
      <c r="L1587" s="69">
        <v>102.38230922334316</v>
      </c>
      <c r="M1587" s="69">
        <v>0</v>
      </c>
      <c r="N1587" s="69">
        <v>21</v>
      </c>
      <c r="O1587" s="69">
        <v>21</v>
      </c>
      <c r="P1587" s="69">
        <v>22</v>
      </c>
      <c r="Q1587" s="69">
        <v>23</v>
      </c>
      <c r="R1587" s="69">
        <v>23</v>
      </c>
      <c r="S1587" s="69">
        <v>24</v>
      </c>
      <c r="T1587" s="69">
        <v>25</v>
      </c>
      <c r="U1587" s="69">
        <v>26</v>
      </c>
      <c r="V1587" s="69">
        <v>26</v>
      </c>
      <c r="W1587" s="69">
        <v>27</v>
      </c>
      <c r="X1587" s="69">
        <v>27</v>
      </c>
      <c r="Y1587" s="69">
        <v>27</v>
      </c>
      <c r="Z1587" s="69">
        <v>27</v>
      </c>
      <c r="AA1587" s="69">
        <v>27</v>
      </c>
      <c r="AB1587" s="69">
        <v>27</v>
      </c>
      <c r="AC1587" s="69">
        <v>27</v>
      </c>
      <c r="AD1587" s="69">
        <v>27</v>
      </c>
      <c r="AE1587" s="69">
        <v>27</v>
      </c>
      <c r="AF1587" s="69">
        <v>27</v>
      </c>
      <c r="AG1587" s="69">
        <v>27</v>
      </c>
    </row>
    <row r="1588" spans="1:33" ht="12.75" customHeight="1">
      <c r="A1588" s="237" t="s">
        <v>2379</v>
      </c>
      <c r="B1588" s="69" t="s">
        <v>2222</v>
      </c>
      <c r="C1588" s="69" t="s">
        <v>136</v>
      </c>
      <c r="G1588" s="69" t="s">
        <v>192</v>
      </c>
      <c r="H1588" s="69" t="s">
        <v>148</v>
      </c>
      <c r="I1588" s="69">
        <v>1</v>
      </c>
      <c r="J1588" s="238">
        <v>0.85</v>
      </c>
      <c r="K1588" s="238">
        <v>0.72</v>
      </c>
      <c r="L1588" s="69">
        <v>102.38230922334316</v>
      </c>
      <c r="M1588" s="69">
        <v>0</v>
      </c>
      <c r="N1588" s="69">
        <v>21</v>
      </c>
      <c r="O1588" s="69">
        <v>21</v>
      </c>
      <c r="P1588" s="69">
        <v>22</v>
      </c>
      <c r="Q1588" s="69">
        <v>23</v>
      </c>
      <c r="R1588" s="69">
        <v>23</v>
      </c>
      <c r="S1588" s="69">
        <v>24</v>
      </c>
      <c r="T1588" s="69">
        <v>25</v>
      </c>
      <c r="U1588" s="69">
        <v>26</v>
      </c>
      <c r="V1588" s="69">
        <v>26</v>
      </c>
      <c r="W1588" s="69">
        <v>27</v>
      </c>
      <c r="X1588" s="69">
        <v>27</v>
      </c>
      <c r="Y1588" s="69">
        <v>27</v>
      </c>
      <c r="Z1588" s="69">
        <v>27</v>
      </c>
      <c r="AA1588" s="69">
        <v>27</v>
      </c>
      <c r="AB1588" s="69">
        <v>27</v>
      </c>
      <c r="AC1588" s="69">
        <v>27</v>
      </c>
      <c r="AD1588" s="69">
        <v>27</v>
      </c>
      <c r="AE1588" s="69">
        <v>27</v>
      </c>
      <c r="AF1588" s="69">
        <v>27</v>
      </c>
      <c r="AG1588" s="69">
        <v>27</v>
      </c>
    </row>
    <row r="1589" spans="1:33" ht="12.75" customHeight="1">
      <c r="A1589" s="237" t="s">
        <v>2379</v>
      </c>
      <c r="B1589" s="69" t="s">
        <v>2223</v>
      </c>
      <c r="C1589" s="69" t="s">
        <v>139</v>
      </c>
      <c r="G1589" s="69" t="s">
        <v>192</v>
      </c>
      <c r="H1589" s="69" t="s">
        <v>805</v>
      </c>
      <c r="I1589" s="69">
        <v>1</v>
      </c>
      <c r="J1589" s="238">
        <v>0.85</v>
      </c>
      <c r="K1589" s="238">
        <v>0.66</v>
      </c>
      <c r="L1589" s="69">
        <v>113.68346667349664</v>
      </c>
      <c r="M1589" s="69">
        <v>0</v>
      </c>
      <c r="N1589" s="69">
        <v>21</v>
      </c>
      <c r="O1589" s="69">
        <v>21</v>
      </c>
      <c r="P1589" s="69">
        <v>22</v>
      </c>
      <c r="Q1589" s="69">
        <v>23</v>
      </c>
      <c r="R1589" s="69">
        <v>23</v>
      </c>
      <c r="S1589" s="69">
        <v>24</v>
      </c>
      <c r="T1589" s="69">
        <v>25</v>
      </c>
      <c r="U1589" s="69">
        <v>26</v>
      </c>
      <c r="V1589" s="69">
        <v>26</v>
      </c>
      <c r="W1589" s="69">
        <v>27</v>
      </c>
      <c r="X1589" s="69">
        <v>27</v>
      </c>
      <c r="Y1589" s="69">
        <v>27</v>
      </c>
      <c r="Z1589" s="69">
        <v>27</v>
      </c>
      <c r="AA1589" s="69">
        <v>27</v>
      </c>
      <c r="AB1589" s="69">
        <v>27</v>
      </c>
      <c r="AC1589" s="69">
        <v>27</v>
      </c>
      <c r="AD1589" s="69">
        <v>27</v>
      </c>
      <c r="AE1589" s="69">
        <v>27</v>
      </c>
      <c r="AF1589" s="69">
        <v>27</v>
      </c>
      <c r="AG1589" s="69">
        <v>27</v>
      </c>
    </row>
    <row r="1590" spans="1:33" ht="12.75" customHeight="1">
      <c r="A1590" s="237" t="s">
        <v>2379</v>
      </c>
      <c r="B1590" s="69" t="s">
        <v>2224</v>
      </c>
      <c r="C1590" s="69" t="s">
        <v>139</v>
      </c>
      <c r="G1590" s="69" t="s">
        <v>192</v>
      </c>
      <c r="H1590" s="69" t="s">
        <v>148</v>
      </c>
      <c r="I1590" s="69">
        <v>1</v>
      </c>
      <c r="J1590" s="238">
        <v>0.85</v>
      </c>
      <c r="K1590" s="238">
        <v>0.66</v>
      </c>
      <c r="L1590" s="69">
        <v>113.68346667349664</v>
      </c>
      <c r="M1590" s="69">
        <v>0</v>
      </c>
      <c r="N1590" s="69">
        <v>21</v>
      </c>
      <c r="O1590" s="69">
        <v>21</v>
      </c>
      <c r="P1590" s="69">
        <v>22</v>
      </c>
      <c r="Q1590" s="69">
        <v>23</v>
      </c>
      <c r="R1590" s="69">
        <v>23</v>
      </c>
      <c r="S1590" s="69">
        <v>24</v>
      </c>
      <c r="T1590" s="69">
        <v>25</v>
      </c>
      <c r="U1590" s="69">
        <v>26</v>
      </c>
      <c r="V1590" s="69">
        <v>26</v>
      </c>
      <c r="W1590" s="69">
        <v>27</v>
      </c>
      <c r="X1590" s="69">
        <v>27</v>
      </c>
      <c r="Y1590" s="69">
        <v>27</v>
      </c>
      <c r="Z1590" s="69">
        <v>27</v>
      </c>
      <c r="AA1590" s="69">
        <v>27</v>
      </c>
      <c r="AB1590" s="69">
        <v>27</v>
      </c>
      <c r="AC1590" s="69">
        <v>27</v>
      </c>
      <c r="AD1590" s="69">
        <v>27</v>
      </c>
      <c r="AE1590" s="69">
        <v>27</v>
      </c>
      <c r="AF1590" s="69">
        <v>27</v>
      </c>
      <c r="AG1590" s="69">
        <v>27</v>
      </c>
    </row>
    <row r="1591" spans="1:33" ht="12.75" customHeight="1">
      <c r="A1591" s="237" t="s">
        <v>2379</v>
      </c>
      <c r="B1591" s="69" t="s">
        <v>2394</v>
      </c>
      <c r="C1591" s="69" t="s">
        <v>137</v>
      </c>
      <c r="G1591" s="69" t="s">
        <v>329</v>
      </c>
      <c r="H1591" s="69" t="s">
        <v>2417</v>
      </c>
      <c r="I1591" s="69">
        <v>4</v>
      </c>
      <c r="J1591" s="238">
        <v>0.35399999999999998</v>
      </c>
      <c r="K1591" s="238">
        <v>0.2</v>
      </c>
      <c r="L1591" s="69">
        <v>81.346902974485985</v>
      </c>
      <c r="M1591" s="69">
        <v>0</v>
      </c>
      <c r="O1591" s="69">
        <v>198.73577920711028</v>
      </c>
      <c r="P1591" s="69">
        <v>198.73577920711028</v>
      </c>
      <c r="Q1591" s="69">
        <v>198.73577920711028</v>
      </c>
      <c r="R1591" s="69">
        <v>198.73577920711028</v>
      </c>
      <c r="S1591" s="69">
        <v>198.73577920711028</v>
      </c>
      <c r="T1591" s="69">
        <v>198.73577920711028</v>
      </c>
      <c r="U1591" s="69">
        <v>198.73577920711028</v>
      </c>
      <c r="V1591" s="69">
        <v>198.73577920711028</v>
      </c>
      <c r="W1591" s="69">
        <v>198.73577920711028</v>
      </c>
      <c r="X1591" s="69">
        <v>198.73577920711028</v>
      </c>
      <c r="Y1591" s="69">
        <v>198.73577920711028</v>
      </c>
      <c r="Z1591" s="69">
        <v>198.73577920711028</v>
      </c>
      <c r="AA1591" s="69">
        <v>198.73577920711028</v>
      </c>
      <c r="AB1591" s="69">
        <v>198.73577920711028</v>
      </c>
      <c r="AC1591" s="69">
        <v>198.73577920711028</v>
      </c>
      <c r="AD1591" s="69">
        <v>198.73577920711028</v>
      </c>
      <c r="AE1591" s="69">
        <v>198.73577920711028</v>
      </c>
      <c r="AF1591" s="69">
        <v>198.73577920711028</v>
      </c>
      <c r="AG1591" s="69">
        <v>198.73577920711028</v>
      </c>
    </row>
    <row r="1592" spans="1:33" ht="12.75" customHeight="1">
      <c r="A1592" s="237" t="s">
        <v>2379</v>
      </c>
      <c r="B1592" s="69" t="s">
        <v>2395</v>
      </c>
      <c r="C1592" s="69" t="s">
        <v>137</v>
      </c>
      <c r="G1592" s="69" t="s">
        <v>192</v>
      </c>
      <c r="H1592" s="69" t="s">
        <v>148</v>
      </c>
      <c r="I1592" s="69">
        <v>4</v>
      </c>
      <c r="J1592" s="238">
        <v>0.32200000000000001</v>
      </c>
      <c r="K1592" s="238">
        <v>0.16166723631218391</v>
      </c>
      <c r="L1592" s="69">
        <v>89.431067245242346</v>
      </c>
      <c r="M1592" s="69">
        <v>0</v>
      </c>
      <c r="O1592" s="69">
        <v>379.39087825985263</v>
      </c>
      <c r="P1592" s="69">
        <v>405.89087825985263</v>
      </c>
      <c r="Q1592" s="69">
        <v>432.39087825985263</v>
      </c>
      <c r="R1592" s="69">
        <v>458.89087825985263</v>
      </c>
      <c r="S1592" s="69">
        <v>485.39087825985263</v>
      </c>
      <c r="T1592" s="69">
        <v>511.89087825985263</v>
      </c>
      <c r="U1592" s="69">
        <v>538.39087825985257</v>
      </c>
      <c r="V1592" s="69">
        <v>564.89087825985257</v>
      </c>
      <c r="W1592" s="69">
        <v>591.39087825985257</v>
      </c>
      <c r="X1592" s="69">
        <v>591.39087825985257</v>
      </c>
      <c r="Y1592" s="69">
        <v>591.39087825985257</v>
      </c>
      <c r="Z1592" s="69">
        <v>591.39087825985257</v>
      </c>
      <c r="AA1592" s="69">
        <v>591.39087825985257</v>
      </c>
      <c r="AB1592" s="69">
        <v>591.39087825985257</v>
      </c>
      <c r="AC1592" s="69">
        <v>591.39087825985257</v>
      </c>
      <c r="AD1592" s="69">
        <v>591.39087825985257</v>
      </c>
      <c r="AE1592" s="69">
        <v>591.39087825985257</v>
      </c>
      <c r="AF1592" s="69">
        <v>591.39087825985257</v>
      </c>
      <c r="AG1592" s="69">
        <v>591.39087825985257</v>
      </c>
    </row>
    <row r="1593" spans="1:33" ht="12.75" customHeight="1">
      <c r="A1593" s="237" t="s">
        <v>2379</v>
      </c>
      <c r="B1593" s="69" t="s">
        <v>2396</v>
      </c>
      <c r="C1593" s="69" t="s">
        <v>137</v>
      </c>
      <c r="G1593" s="69" t="s">
        <v>199</v>
      </c>
      <c r="H1593" s="69" t="s">
        <v>2417</v>
      </c>
      <c r="I1593" s="69">
        <v>4</v>
      </c>
      <c r="J1593" s="238">
        <v>0.29199999999999998</v>
      </c>
      <c r="K1593" s="238">
        <v>0.2</v>
      </c>
      <c r="L1593" s="69">
        <v>98.619190592356304</v>
      </c>
      <c r="M1593" s="69">
        <v>0</v>
      </c>
      <c r="O1593" s="69">
        <v>550.41182645304639</v>
      </c>
      <c r="P1593" s="69">
        <v>655.53182645304651</v>
      </c>
      <c r="Q1593" s="69">
        <v>760.6518264530464</v>
      </c>
      <c r="R1593" s="69">
        <v>865.77182645304651</v>
      </c>
      <c r="S1593" s="69">
        <v>865.77182645304651</v>
      </c>
      <c r="T1593" s="69">
        <v>865.77182645304651</v>
      </c>
      <c r="U1593" s="69">
        <v>865.77182645304651</v>
      </c>
      <c r="V1593" s="69">
        <v>865.77182645304651</v>
      </c>
      <c r="W1593" s="69">
        <v>865.77182645304651</v>
      </c>
      <c r="X1593" s="69">
        <v>865.77182645304651</v>
      </c>
      <c r="Y1593" s="69">
        <v>865.77182645304651</v>
      </c>
      <c r="Z1593" s="69">
        <v>865.77182645304651</v>
      </c>
      <c r="AA1593" s="69">
        <v>865.77182645304651</v>
      </c>
      <c r="AB1593" s="69">
        <v>865.77182645304651</v>
      </c>
      <c r="AC1593" s="69">
        <v>865.77182645304651</v>
      </c>
      <c r="AD1593" s="69">
        <v>865.77182645304651</v>
      </c>
      <c r="AE1593" s="69">
        <v>865.77182645304651</v>
      </c>
      <c r="AF1593" s="69">
        <v>865.77182645304651</v>
      </c>
      <c r="AG1593" s="69">
        <v>865.77182645304651</v>
      </c>
    </row>
    <row r="1594" spans="1:33" ht="12.75" customHeight="1">
      <c r="A1594" s="237" t="s">
        <v>2379</v>
      </c>
      <c r="B1594" s="69" t="s">
        <v>2397</v>
      </c>
      <c r="C1594" s="69" t="s">
        <v>137</v>
      </c>
      <c r="G1594" s="69" t="s">
        <v>294</v>
      </c>
      <c r="H1594" s="69" t="s">
        <v>2417</v>
      </c>
      <c r="I1594" s="69">
        <v>4</v>
      </c>
      <c r="J1594" s="238">
        <v>0.28999999999999998</v>
      </c>
      <c r="K1594" s="238">
        <v>0.2</v>
      </c>
      <c r="L1594" s="69">
        <v>99.299322941269111</v>
      </c>
      <c r="M1594" s="69">
        <v>0</v>
      </c>
      <c r="O1594" s="69">
        <v>447.27638872646475</v>
      </c>
      <c r="P1594" s="69">
        <v>447.27638872646475</v>
      </c>
      <c r="Q1594" s="69">
        <v>447.27638872646475</v>
      </c>
      <c r="R1594" s="69">
        <v>447.27638872646475</v>
      </c>
      <c r="S1594" s="69">
        <v>552.39638872646469</v>
      </c>
      <c r="T1594" s="69">
        <v>657.51638872646481</v>
      </c>
      <c r="U1594" s="69">
        <v>762.6363887264647</v>
      </c>
      <c r="V1594" s="69">
        <v>867.75638872646482</v>
      </c>
      <c r="W1594" s="69">
        <v>972.87638872646471</v>
      </c>
      <c r="X1594" s="69">
        <v>972.87638872646471</v>
      </c>
      <c r="Y1594" s="69">
        <v>972.87638872646471</v>
      </c>
      <c r="Z1594" s="69">
        <v>972.87638872646471</v>
      </c>
      <c r="AA1594" s="69">
        <v>972.87638872646471</v>
      </c>
      <c r="AB1594" s="69">
        <v>972.87638872646471</v>
      </c>
      <c r="AC1594" s="69">
        <v>972.87638872646471</v>
      </c>
      <c r="AD1594" s="69">
        <v>972.87638872646471</v>
      </c>
      <c r="AE1594" s="69">
        <v>972.87638872646471</v>
      </c>
      <c r="AF1594" s="69">
        <v>972.87638872646471</v>
      </c>
      <c r="AG1594" s="69">
        <v>972.87638872646471</v>
      </c>
    </row>
    <row r="1595" spans="1:33" ht="12.75" customHeight="1">
      <c r="A1595" s="237" t="s">
        <v>2379</v>
      </c>
      <c r="B1595" s="69" t="s">
        <v>2398</v>
      </c>
      <c r="C1595" s="69" t="s">
        <v>137</v>
      </c>
      <c r="G1595" s="69" t="s">
        <v>199</v>
      </c>
      <c r="H1595" s="69" t="s">
        <v>2417</v>
      </c>
      <c r="I1595" s="69">
        <v>4</v>
      </c>
      <c r="J1595" s="238">
        <v>0.29199999999999998</v>
      </c>
      <c r="K1595" s="238">
        <v>0.2</v>
      </c>
      <c r="L1595" s="69">
        <v>98.619190592356304</v>
      </c>
      <c r="M1595" s="69">
        <v>0</v>
      </c>
      <c r="O1595" s="69">
        <v>754.80912735352581</v>
      </c>
      <c r="P1595" s="69">
        <v>754.80912735352581</v>
      </c>
      <c r="Q1595" s="69">
        <v>754.80912735352581</v>
      </c>
      <c r="R1595" s="69">
        <v>754.80912735352581</v>
      </c>
      <c r="S1595" s="69">
        <v>754.80912735352581</v>
      </c>
      <c r="T1595" s="69">
        <v>754.80912735352581</v>
      </c>
      <c r="U1595" s="69">
        <v>754.80912735352581</v>
      </c>
      <c r="V1595" s="69">
        <v>754.80912735352581</v>
      </c>
      <c r="W1595" s="69">
        <v>754.80912735352581</v>
      </c>
      <c r="X1595" s="69">
        <v>754.80912735352581</v>
      </c>
      <c r="Y1595" s="69">
        <v>754.80912735352581</v>
      </c>
      <c r="Z1595" s="69">
        <v>754.80912735352581</v>
      </c>
      <c r="AA1595" s="69">
        <v>754.80912735352581</v>
      </c>
      <c r="AB1595" s="69">
        <v>754.80912735352581</v>
      </c>
      <c r="AC1595" s="69">
        <v>754.80912735352581</v>
      </c>
      <c r="AD1595" s="69">
        <v>754.80912735352581</v>
      </c>
      <c r="AE1595" s="69">
        <v>754.80912735352581</v>
      </c>
      <c r="AF1595" s="69">
        <v>754.80912735352581</v>
      </c>
      <c r="AG1595" s="69">
        <v>754.80912735352581</v>
      </c>
    </row>
    <row r="1596" spans="1:33" ht="12.75" customHeight="1">
      <c r="A1596" s="237" t="s">
        <v>2379</v>
      </c>
      <c r="B1596" s="69" t="s">
        <v>2399</v>
      </c>
      <c r="C1596" s="69" t="s">
        <v>139</v>
      </c>
      <c r="G1596" s="69" t="s">
        <v>192</v>
      </c>
      <c r="H1596" s="69" t="s">
        <v>148</v>
      </c>
      <c r="I1596" s="69">
        <v>4</v>
      </c>
      <c r="J1596" s="238">
        <v>0.85</v>
      </c>
      <c r="K1596" s="238">
        <v>0.66</v>
      </c>
      <c r="L1596" s="69">
        <v>113.68346667349664</v>
      </c>
      <c r="M1596" s="69">
        <v>0</v>
      </c>
      <c r="O1596" s="69">
        <v>1033.692</v>
      </c>
      <c r="P1596" s="69">
        <v>1033.692</v>
      </c>
      <c r="Q1596" s="69">
        <v>1033.692</v>
      </c>
      <c r="R1596" s="69">
        <v>1108.692</v>
      </c>
      <c r="S1596" s="69">
        <v>1108.692</v>
      </c>
      <c r="T1596" s="69">
        <v>1183.692</v>
      </c>
      <c r="U1596" s="69">
        <v>1183.692</v>
      </c>
      <c r="V1596" s="69">
        <v>1258.692</v>
      </c>
      <c r="W1596" s="69">
        <v>1258.692</v>
      </c>
      <c r="X1596" s="69">
        <v>1258.692</v>
      </c>
      <c r="Y1596" s="69">
        <v>1258.692</v>
      </c>
      <c r="Z1596" s="69">
        <v>1258.692</v>
      </c>
      <c r="AA1596" s="69">
        <v>1258.692</v>
      </c>
      <c r="AB1596" s="69">
        <v>1258.692</v>
      </c>
      <c r="AC1596" s="69">
        <v>1258.692</v>
      </c>
      <c r="AD1596" s="69">
        <v>1258.692</v>
      </c>
      <c r="AE1596" s="69">
        <v>1258.692</v>
      </c>
      <c r="AF1596" s="69">
        <v>1258.692</v>
      </c>
      <c r="AG1596" s="69">
        <v>1258.692</v>
      </c>
    </row>
    <row r="1597" spans="1:33" ht="12.75" customHeight="1">
      <c r="A1597" s="237" t="s">
        <v>2379</v>
      </c>
      <c r="B1597" s="69" t="s">
        <v>2400</v>
      </c>
      <c r="C1597" s="69" t="s">
        <v>18</v>
      </c>
      <c r="G1597" s="69" t="s">
        <v>192</v>
      </c>
      <c r="H1597" s="69" t="s">
        <v>148</v>
      </c>
      <c r="I1597" s="69">
        <v>4</v>
      </c>
      <c r="J1597" s="238">
        <v>0.57099999999999995</v>
      </c>
      <c r="K1597" s="238">
        <v>0.65</v>
      </c>
      <c r="L1597" s="69">
        <v>135.14704191871482</v>
      </c>
      <c r="M1597" s="69">
        <v>0</v>
      </c>
      <c r="O1597" s="69">
        <v>1315.6080000000002</v>
      </c>
      <c r="P1597" s="69">
        <v>1315.6080000000002</v>
      </c>
      <c r="Q1597" s="69">
        <v>1315.6080000000002</v>
      </c>
      <c r="R1597" s="69">
        <v>1315.6080000000002</v>
      </c>
      <c r="S1597" s="69">
        <v>1315.6080000000002</v>
      </c>
      <c r="T1597" s="69">
        <v>1315.6080000000002</v>
      </c>
      <c r="U1597" s="69">
        <v>1315.6080000000002</v>
      </c>
      <c r="V1597" s="69">
        <v>1315.6080000000002</v>
      </c>
      <c r="W1597" s="69">
        <v>1315.6080000000002</v>
      </c>
      <c r="X1597" s="69">
        <v>1315.6080000000002</v>
      </c>
      <c r="Y1597" s="69">
        <v>1315.6080000000002</v>
      </c>
      <c r="Z1597" s="69">
        <v>1315.6080000000002</v>
      </c>
      <c r="AA1597" s="69">
        <v>1315.6080000000002</v>
      </c>
      <c r="AB1597" s="69">
        <v>1315.6080000000002</v>
      </c>
      <c r="AC1597" s="69">
        <v>1315.6080000000002</v>
      </c>
      <c r="AD1597" s="69">
        <v>1315.6080000000002</v>
      </c>
      <c r="AE1597" s="69">
        <v>1315.6080000000002</v>
      </c>
      <c r="AF1597" s="69">
        <v>1315.6080000000002</v>
      </c>
      <c r="AG1597" s="69">
        <v>1315.6080000000002</v>
      </c>
    </row>
    <row r="1598" spans="1:33" ht="12.75" customHeight="1">
      <c r="A1598" s="237" t="s">
        <v>2379</v>
      </c>
      <c r="B1598" s="69" t="s">
        <v>2401</v>
      </c>
      <c r="C1598" s="69" t="s">
        <v>185</v>
      </c>
      <c r="G1598" s="69" t="s">
        <v>192</v>
      </c>
      <c r="H1598" s="69" t="s">
        <v>804</v>
      </c>
      <c r="I1598" s="69">
        <v>4</v>
      </c>
      <c r="J1598" s="238">
        <v>0.26629999999999998</v>
      </c>
      <c r="K1598" s="238">
        <v>0.51</v>
      </c>
      <c r="L1598" s="69">
        <v>139.88626484704142</v>
      </c>
      <c r="M1598" s="69">
        <v>0</v>
      </c>
      <c r="O1598" s="69">
        <v>0.23663376309427883</v>
      </c>
      <c r="P1598" s="69">
        <v>0.23663376309427883</v>
      </c>
      <c r="Q1598" s="69">
        <v>0.23663376309427883</v>
      </c>
      <c r="R1598" s="69">
        <v>0.23663376309427883</v>
      </c>
      <c r="S1598" s="69">
        <v>0.23663376309427883</v>
      </c>
      <c r="T1598" s="69">
        <v>0.23663376309427883</v>
      </c>
      <c r="U1598" s="69">
        <v>0.23663376309427883</v>
      </c>
      <c r="V1598" s="69">
        <v>0.23663376309427883</v>
      </c>
      <c r="W1598" s="69">
        <v>0.23663376309427883</v>
      </c>
      <c r="X1598" s="69">
        <v>0.23663376309427883</v>
      </c>
      <c r="Y1598" s="69">
        <v>0.23663376309427883</v>
      </c>
      <c r="Z1598" s="69">
        <v>0.23663376309427883</v>
      </c>
      <c r="AA1598" s="69">
        <v>0.23663376309427883</v>
      </c>
      <c r="AB1598" s="69">
        <v>0.23663376309427883</v>
      </c>
      <c r="AC1598" s="69">
        <v>0.23663376309427883</v>
      </c>
      <c r="AD1598" s="69">
        <v>0.23663376309427883</v>
      </c>
      <c r="AE1598" s="69">
        <v>0.23663376309427883</v>
      </c>
      <c r="AF1598" s="69">
        <v>0.23663376309427883</v>
      </c>
      <c r="AG1598" s="69">
        <v>0.23663376309427883</v>
      </c>
    </row>
    <row r="1599" spans="1:33" ht="12.75" customHeight="1">
      <c r="A1599" s="237" t="s">
        <v>2379</v>
      </c>
      <c r="B1599" s="69" t="s">
        <v>2402</v>
      </c>
      <c r="C1599" s="69" t="s">
        <v>186</v>
      </c>
      <c r="G1599" s="69" t="s">
        <v>192</v>
      </c>
      <c r="H1599" s="69" t="s">
        <v>148</v>
      </c>
      <c r="I1599" s="69">
        <v>4</v>
      </c>
      <c r="J1599" s="238">
        <v>0.2117</v>
      </c>
      <c r="K1599" s="238">
        <v>0</v>
      </c>
      <c r="L1599" s="69">
        <v>196.85175239364744</v>
      </c>
      <c r="M1599" s="69">
        <v>0</v>
      </c>
      <c r="O1599" s="69">
        <v>4.1552888799355356</v>
      </c>
      <c r="P1599" s="69">
        <v>4.1552888799355356</v>
      </c>
      <c r="Q1599" s="69">
        <v>4.1552888799355356</v>
      </c>
      <c r="R1599" s="69">
        <v>4.1552888799355356</v>
      </c>
      <c r="S1599" s="69">
        <v>4.1552888799355356</v>
      </c>
      <c r="T1599" s="69">
        <v>4.1552888799355356</v>
      </c>
      <c r="U1599" s="69">
        <v>4.1552888799355356</v>
      </c>
      <c r="V1599" s="69">
        <v>4.1552888799355356</v>
      </c>
      <c r="W1599" s="69">
        <v>4.1552888799355356</v>
      </c>
      <c r="X1599" s="69">
        <v>4.1552888799355356</v>
      </c>
      <c r="Y1599" s="69">
        <v>4.1552888799355356</v>
      </c>
      <c r="Z1599" s="69">
        <v>4.1552888799355356</v>
      </c>
      <c r="AA1599" s="69">
        <v>4.1552888799355356</v>
      </c>
      <c r="AB1599" s="69">
        <v>4.1552888799355356</v>
      </c>
      <c r="AC1599" s="69">
        <v>4.1552888799355356</v>
      </c>
      <c r="AD1599" s="69">
        <v>4.1552888799355356</v>
      </c>
      <c r="AE1599" s="69">
        <v>4.1552888799355356</v>
      </c>
      <c r="AF1599" s="69">
        <v>4.1552888799355356</v>
      </c>
      <c r="AG1599" s="69">
        <v>4.1552888799355356</v>
      </c>
    </row>
    <row r="1600" spans="1:33" ht="12.75" customHeight="1">
      <c r="A1600" s="237" t="s">
        <v>2379</v>
      </c>
      <c r="B1600" s="69" t="s">
        <v>2403</v>
      </c>
      <c r="C1600" s="69" t="s">
        <v>186</v>
      </c>
      <c r="G1600" s="69" t="s">
        <v>192</v>
      </c>
      <c r="H1600" s="69" t="s">
        <v>148</v>
      </c>
      <c r="I1600" s="69">
        <v>4</v>
      </c>
      <c r="J1600" s="238">
        <v>0.21</v>
      </c>
      <c r="K1600" s="238">
        <v>0</v>
      </c>
      <c r="L1600" s="69">
        <v>198.44531419873886</v>
      </c>
      <c r="M1600" s="69">
        <v>0</v>
      </c>
      <c r="O1600" s="69">
        <v>42.594077356970189</v>
      </c>
      <c r="P1600" s="69">
        <v>42.594077356970189</v>
      </c>
      <c r="Q1600" s="69">
        <v>42.594077356970189</v>
      </c>
      <c r="R1600" s="69">
        <v>42.594077356970189</v>
      </c>
      <c r="S1600" s="69">
        <v>42.594077356970189</v>
      </c>
      <c r="T1600" s="69">
        <v>42.594077356970189</v>
      </c>
      <c r="U1600" s="69">
        <v>42.594077356970189</v>
      </c>
      <c r="V1600" s="69">
        <v>42.594077356970189</v>
      </c>
      <c r="W1600" s="69">
        <v>42.594077356970189</v>
      </c>
      <c r="X1600" s="69">
        <v>42.594077356970189</v>
      </c>
      <c r="Y1600" s="69">
        <v>42.594077356970189</v>
      </c>
      <c r="Z1600" s="69">
        <v>42.594077356970189</v>
      </c>
      <c r="AA1600" s="69">
        <v>42.594077356970189</v>
      </c>
      <c r="AB1600" s="69">
        <v>42.594077356970189</v>
      </c>
      <c r="AC1600" s="69">
        <v>42.594077356970189</v>
      </c>
      <c r="AD1600" s="69">
        <v>42.594077356970189</v>
      </c>
      <c r="AE1600" s="69">
        <v>42.594077356970189</v>
      </c>
      <c r="AF1600" s="69">
        <v>42.594077356970189</v>
      </c>
      <c r="AG1600" s="69">
        <v>42.594077356970189</v>
      </c>
    </row>
    <row r="1601" spans="1:33" ht="12.75" customHeight="1">
      <c r="A1601" s="237" t="s">
        <v>2379</v>
      </c>
      <c r="B1601" s="69" t="s">
        <v>2404</v>
      </c>
      <c r="C1601" s="69" t="s">
        <v>136</v>
      </c>
      <c r="G1601" s="69" t="s">
        <v>192</v>
      </c>
      <c r="H1601" s="69" t="s">
        <v>148</v>
      </c>
      <c r="I1601" s="69">
        <v>4</v>
      </c>
      <c r="J1601" s="238">
        <v>0.85</v>
      </c>
      <c r="K1601" s="238">
        <v>0.72</v>
      </c>
      <c r="L1601" s="69">
        <v>102.38230922334316</v>
      </c>
      <c r="M1601" s="69">
        <v>0</v>
      </c>
      <c r="O1601" s="69">
        <v>234.93000000000004</v>
      </c>
      <c r="P1601" s="69">
        <v>234.93000000000004</v>
      </c>
      <c r="Q1601" s="69">
        <v>609.93000000000006</v>
      </c>
      <c r="R1601" s="69">
        <v>609.93000000000006</v>
      </c>
      <c r="S1601" s="69">
        <v>609.93000000000006</v>
      </c>
      <c r="T1601" s="69">
        <v>609.93000000000006</v>
      </c>
      <c r="U1601" s="69">
        <v>609.93000000000006</v>
      </c>
      <c r="V1601" s="69">
        <v>609.93000000000006</v>
      </c>
      <c r="W1601" s="69">
        <v>609.93000000000006</v>
      </c>
      <c r="X1601" s="69">
        <v>609.93000000000006</v>
      </c>
      <c r="Y1601" s="69">
        <v>609.93000000000006</v>
      </c>
      <c r="Z1601" s="69">
        <v>609.93000000000006</v>
      </c>
      <c r="AA1601" s="69">
        <v>609.93000000000006</v>
      </c>
      <c r="AB1601" s="69">
        <v>609.93000000000006</v>
      </c>
      <c r="AC1601" s="69">
        <v>609.93000000000006</v>
      </c>
      <c r="AD1601" s="69">
        <v>609.93000000000006</v>
      </c>
      <c r="AE1601" s="69">
        <v>609.93000000000006</v>
      </c>
      <c r="AF1601" s="69">
        <v>609.93000000000006</v>
      </c>
      <c r="AG1601" s="69">
        <v>609.93000000000006</v>
      </c>
    </row>
    <row r="1602" spans="1:33" ht="12.75" customHeight="1">
      <c r="A1602" s="237" t="s">
        <v>2379</v>
      </c>
      <c r="B1602" s="69" t="s">
        <v>2405</v>
      </c>
      <c r="C1602" s="69" t="s">
        <v>185</v>
      </c>
      <c r="G1602" s="69" t="s">
        <v>192</v>
      </c>
      <c r="H1602" s="69" t="s">
        <v>804</v>
      </c>
      <c r="I1602" s="69">
        <v>4</v>
      </c>
      <c r="J1602" s="238">
        <v>0.28999999999999998</v>
      </c>
      <c r="K1602" s="238">
        <v>0.55854882869120503</v>
      </c>
      <c r="L1602" s="69">
        <v>128.45418044402459</v>
      </c>
      <c r="M1602" s="69">
        <v>0</v>
      </c>
      <c r="O1602" s="69">
        <v>372.4</v>
      </c>
      <c r="P1602" s="69">
        <v>558.59999999999991</v>
      </c>
      <c r="Q1602" s="69">
        <v>744.8</v>
      </c>
      <c r="R1602" s="69">
        <v>931</v>
      </c>
      <c r="S1602" s="69">
        <v>1117.2</v>
      </c>
      <c r="T1602" s="69">
        <v>1303.4000000000001</v>
      </c>
      <c r="U1602" s="69">
        <v>1489.6000000000001</v>
      </c>
      <c r="V1602" s="69">
        <v>1675.8000000000002</v>
      </c>
      <c r="W1602" s="69">
        <v>1862.0000000000002</v>
      </c>
      <c r="X1602" s="69">
        <v>1862.0000000000002</v>
      </c>
      <c r="Y1602" s="69">
        <v>1862.0000000000002</v>
      </c>
      <c r="Z1602" s="69">
        <v>1862.0000000000002</v>
      </c>
      <c r="AA1602" s="69">
        <v>1862.0000000000002</v>
      </c>
      <c r="AB1602" s="69">
        <v>1862.0000000000002</v>
      </c>
      <c r="AC1602" s="69">
        <v>1862.0000000000002</v>
      </c>
      <c r="AD1602" s="69">
        <v>1862.0000000000002</v>
      </c>
      <c r="AE1602" s="69">
        <v>1862.0000000000002</v>
      </c>
      <c r="AF1602" s="69">
        <v>1862.0000000000002</v>
      </c>
      <c r="AG1602" s="69">
        <v>1862.0000000000002</v>
      </c>
    </row>
    <row r="1603" spans="1:33" ht="12.75" customHeight="1">
      <c r="A1603" s="237" t="s">
        <v>2379</v>
      </c>
      <c r="B1603" s="69" t="s">
        <v>2406</v>
      </c>
      <c r="C1603" s="69" t="s">
        <v>186</v>
      </c>
      <c r="G1603" s="69" t="s">
        <v>192</v>
      </c>
      <c r="H1603" s="69" t="s">
        <v>804</v>
      </c>
      <c r="I1603" s="69">
        <v>4</v>
      </c>
      <c r="J1603" s="238">
        <v>0.21</v>
      </c>
      <c r="K1603" s="238">
        <v>0</v>
      </c>
      <c r="L1603" s="69">
        <v>198.44531419873886</v>
      </c>
      <c r="M1603" s="69">
        <v>0</v>
      </c>
      <c r="O1603" s="69">
        <v>44</v>
      </c>
      <c r="P1603" s="69">
        <v>66</v>
      </c>
      <c r="Q1603" s="69">
        <v>88</v>
      </c>
      <c r="R1603" s="69">
        <v>110</v>
      </c>
      <c r="S1603" s="69">
        <v>132</v>
      </c>
      <c r="T1603" s="69">
        <v>154</v>
      </c>
      <c r="U1603" s="69">
        <v>176</v>
      </c>
      <c r="V1603" s="69">
        <v>198</v>
      </c>
      <c r="W1603" s="69">
        <v>220</v>
      </c>
      <c r="X1603" s="69">
        <v>220</v>
      </c>
      <c r="Y1603" s="69">
        <v>220</v>
      </c>
      <c r="Z1603" s="69">
        <v>220</v>
      </c>
      <c r="AA1603" s="69">
        <v>220</v>
      </c>
      <c r="AB1603" s="69">
        <v>220</v>
      </c>
      <c r="AC1603" s="69">
        <v>220</v>
      </c>
      <c r="AD1603" s="69">
        <v>220</v>
      </c>
      <c r="AE1603" s="69">
        <v>220</v>
      </c>
      <c r="AF1603" s="69">
        <v>220</v>
      </c>
      <c r="AG1603" s="69">
        <v>220</v>
      </c>
    </row>
    <row r="1604" spans="1:33" ht="12.75" customHeight="1">
      <c r="A1604" s="237" t="s">
        <v>2379</v>
      </c>
      <c r="B1604" s="69" t="s">
        <v>2407</v>
      </c>
      <c r="C1604" s="69" t="s">
        <v>187</v>
      </c>
      <c r="G1604" s="69" t="s">
        <v>192</v>
      </c>
      <c r="H1604" s="237" t="s">
        <v>148</v>
      </c>
      <c r="I1604" s="69">
        <v>4</v>
      </c>
      <c r="J1604" s="238">
        <v>0.26679999999999998</v>
      </c>
      <c r="K1604" s="238">
        <v>0.70771942044407454</v>
      </c>
      <c r="L1604" s="69">
        <v>182.37028745901023</v>
      </c>
      <c r="M1604" s="69">
        <v>0</v>
      </c>
      <c r="O1604" s="69">
        <v>130</v>
      </c>
      <c r="P1604" s="69">
        <v>165.04</v>
      </c>
      <c r="Q1604" s="69">
        <v>165.04</v>
      </c>
      <c r="R1604" s="69">
        <v>165.04</v>
      </c>
      <c r="S1604" s="69">
        <v>165.04</v>
      </c>
      <c r="T1604" s="69">
        <v>165.04</v>
      </c>
      <c r="U1604" s="69">
        <v>217.60000000000002</v>
      </c>
      <c r="V1604" s="69">
        <v>305.20000000000005</v>
      </c>
      <c r="W1604" s="69">
        <v>480.40000000000003</v>
      </c>
      <c r="X1604" s="69">
        <v>480.40000000000003</v>
      </c>
      <c r="Y1604" s="69">
        <v>480.40000000000003</v>
      </c>
      <c r="Z1604" s="69">
        <v>480.40000000000003</v>
      </c>
      <c r="AA1604" s="69">
        <v>480.40000000000003</v>
      </c>
      <c r="AB1604" s="69">
        <v>480.40000000000003</v>
      </c>
      <c r="AC1604" s="69">
        <v>480.40000000000003</v>
      </c>
      <c r="AD1604" s="69">
        <v>480.40000000000003</v>
      </c>
      <c r="AE1604" s="69">
        <v>480.40000000000003</v>
      </c>
      <c r="AF1604" s="69">
        <v>480.40000000000003</v>
      </c>
      <c r="AG1604" s="69">
        <v>480.40000000000003</v>
      </c>
    </row>
    <row r="1605" spans="1:33" ht="12.75" customHeight="1">
      <c r="A1605" s="237" t="s">
        <v>2379</v>
      </c>
      <c r="B1605" s="69" t="s">
        <v>2408</v>
      </c>
      <c r="C1605" s="69" t="s">
        <v>137</v>
      </c>
      <c r="G1605" s="69" t="s">
        <v>192</v>
      </c>
      <c r="H1605" s="237" t="s">
        <v>148</v>
      </c>
      <c r="I1605" s="69">
        <v>4</v>
      </c>
      <c r="J1605" s="238">
        <v>0.32200000000000001</v>
      </c>
      <c r="K1605" s="238">
        <v>0.16166723631218391</v>
      </c>
      <c r="L1605" s="69">
        <v>89.431067245242346</v>
      </c>
      <c r="M1605" s="69">
        <v>0</v>
      </c>
      <c r="O1605" s="69">
        <v>40</v>
      </c>
      <c r="P1605" s="69">
        <v>40</v>
      </c>
      <c r="Q1605" s="69">
        <v>40</v>
      </c>
      <c r="R1605" s="69">
        <v>40</v>
      </c>
      <c r="S1605" s="69">
        <v>40</v>
      </c>
      <c r="T1605" s="69">
        <v>40</v>
      </c>
      <c r="U1605" s="69">
        <v>171.4</v>
      </c>
      <c r="V1605" s="69">
        <v>302.8</v>
      </c>
      <c r="W1605" s="69">
        <v>565.6</v>
      </c>
      <c r="X1605" s="69">
        <v>565.6</v>
      </c>
      <c r="Y1605" s="69">
        <v>565.6</v>
      </c>
      <c r="Z1605" s="69">
        <v>565.6</v>
      </c>
      <c r="AA1605" s="69">
        <v>565.6</v>
      </c>
      <c r="AB1605" s="69">
        <v>565.6</v>
      </c>
      <c r="AC1605" s="69">
        <v>565.6</v>
      </c>
      <c r="AD1605" s="69">
        <v>565.6</v>
      </c>
      <c r="AE1605" s="69">
        <v>565.6</v>
      </c>
      <c r="AF1605" s="69">
        <v>565.6</v>
      </c>
      <c r="AG1605" s="69">
        <v>565.6</v>
      </c>
    </row>
    <row r="1606" spans="1:33" ht="12.75" customHeight="1">
      <c r="A1606" s="237" t="s">
        <v>2379</v>
      </c>
      <c r="B1606" s="69" t="s">
        <v>2409</v>
      </c>
      <c r="C1606" s="69" t="s">
        <v>136</v>
      </c>
      <c r="G1606" s="69" t="s">
        <v>192</v>
      </c>
      <c r="H1606" s="69" t="s">
        <v>148</v>
      </c>
      <c r="I1606" s="69">
        <v>4</v>
      </c>
      <c r="J1606" s="238">
        <v>0.85</v>
      </c>
      <c r="K1606" s="238">
        <v>0.72</v>
      </c>
      <c r="L1606" s="69">
        <v>102.38230922334316</v>
      </c>
      <c r="M1606" s="69">
        <v>0</v>
      </c>
      <c r="O1606" s="69">
        <v>170</v>
      </c>
      <c r="P1606" s="69">
        <v>564.20000000000005</v>
      </c>
      <c r="Q1606" s="69">
        <v>698.22799999999995</v>
      </c>
      <c r="R1606" s="69">
        <v>698.22799999999995</v>
      </c>
      <c r="S1606" s="69">
        <v>698.22799999999995</v>
      </c>
      <c r="T1606" s="69">
        <v>698.22799999999995</v>
      </c>
      <c r="U1606" s="69">
        <v>698.22799999999995</v>
      </c>
      <c r="V1606" s="69">
        <v>698.22799999999995</v>
      </c>
      <c r="W1606" s="69">
        <v>698.22799999999995</v>
      </c>
      <c r="X1606" s="69">
        <v>698.22799999999995</v>
      </c>
      <c r="Y1606" s="69">
        <v>698.22799999999995</v>
      </c>
      <c r="Z1606" s="69">
        <v>698.22799999999995</v>
      </c>
      <c r="AA1606" s="69">
        <v>698.22799999999995</v>
      </c>
      <c r="AB1606" s="69">
        <v>698.22799999999995</v>
      </c>
      <c r="AC1606" s="69">
        <v>698.22799999999995</v>
      </c>
      <c r="AD1606" s="69">
        <v>698.22799999999995</v>
      </c>
      <c r="AE1606" s="69">
        <v>698.22799999999995</v>
      </c>
      <c r="AF1606" s="69">
        <v>698.22799999999995</v>
      </c>
      <c r="AG1606" s="69">
        <v>698.22799999999995</v>
      </c>
    </row>
    <row r="1607" spans="1:33" ht="12.75" customHeight="1">
      <c r="A1607" s="237" t="s">
        <v>2379</v>
      </c>
      <c r="B1607" s="69" t="s">
        <v>2410</v>
      </c>
      <c r="C1607" s="69" t="s">
        <v>139</v>
      </c>
      <c r="G1607" s="69" t="s">
        <v>192</v>
      </c>
      <c r="H1607" s="69" t="s">
        <v>148</v>
      </c>
      <c r="I1607" s="69">
        <v>4</v>
      </c>
      <c r="J1607" s="238">
        <v>0.85</v>
      </c>
      <c r="K1607" s="238">
        <v>0.66</v>
      </c>
      <c r="L1607" s="69">
        <v>113.68346667349664</v>
      </c>
      <c r="M1607" s="69">
        <v>0</v>
      </c>
      <c r="O1607" s="69">
        <v>235.12</v>
      </c>
      <c r="P1607" s="69">
        <v>235.12</v>
      </c>
      <c r="Q1607" s="69">
        <v>235.12</v>
      </c>
      <c r="R1607" s="69">
        <v>235.12</v>
      </c>
      <c r="S1607" s="69">
        <v>235.12</v>
      </c>
      <c r="T1607" s="69">
        <v>235.12</v>
      </c>
      <c r="U1607" s="69">
        <v>235.12</v>
      </c>
      <c r="V1607" s="69">
        <v>235.12</v>
      </c>
      <c r="W1607" s="69">
        <v>235.12</v>
      </c>
      <c r="X1607" s="69">
        <v>235.12</v>
      </c>
      <c r="Y1607" s="69">
        <v>235.12</v>
      </c>
      <c r="Z1607" s="69">
        <v>235.12</v>
      </c>
      <c r="AA1607" s="69">
        <v>235.12</v>
      </c>
      <c r="AB1607" s="69">
        <v>235.12</v>
      </c>
      <c r="AC1607" s="69">
        <v>235.12</v>
      </c>
      <c r="AD1607" s="69">
        <v>235.12</v>
      </c>
      <c r="AE1607" s="69">
        <v>235.12</v>
      </c>
      <c r="AF1607" s="69">
        <v>235.12</v>
      </c>
      <c r="AG1607" s="69">
        <v>235.12</v>
      </c>
    </row>
    <row r="1608" spans="1:33" ht="12.75" customHeight="1">
      <c r="A1608" s="237" t="s">
        <v>2379</v>
      </c>
      <c r="B1608" s="69" t="s">
        <v>2411</v>
      </c>
      <c r="C1608" s="69" t="s">
        <v>137</v>
      </c>
      <c r="G1608" s="69" t="s">
        <v>192</v>
      </c>
      <c r="H1608" s="69" t="s">
        <v>805</v>
      </c>
      <c r="I1608" s="69">
        <v>4</v>
      </c>
      <c r="J1608" s="238">
        <v>0.32200000000000001</v>
      </c>
      <c r="K1608" s="238">
        <v>0.16166723631218391</v>
      </c>
      <c r="L1608" s="69">
        <v>89.431067245242346</v>
      </c>
      <c r="M1608" s="69">
        <v>0</v>
      </c>
      <c r="O1608" s="69">
        <v>713.61000000001161</v>
      </c>
      <c r="P1608" s="69">
        <v>845.45999999998833</v>
      </c>
      <c r="Q1608" s="69">
        <v>977.30999999996504</v>
      </c>
      <c r="R1608" s="69">
        <v>1109.1599999999999</v>
      </c>
      <c r="S1608" s="69">
        <v>1241.0099999999766</v>
      </c>
      <c r="T1608" s="69">
        <v>1372.8600000000115</v>
      </c>
      <c r="U1608" s="69">
        <v>1162.0614</v>
      </c>
      <c r="V1608" s="69">
        <v>1182.5643</v>
      </c>
      <c r="W1608" s="69">
        <v>1203.9763500000004</v>
      </c>
      <c r="X1608" s="69">
        <v>1203.9763500000004</v>
      </c>
      <c r="Y1608" s="69">
        <v>1203.9763500000004</v>
      </c>
      <c r="Z1608" s="69">
        <v>1203.9763500000004</v>
      </c>
      <c r="AA1608" s="69">
        <v>1203.9763500000004</v>
      </c>
      <c r="AB1608" s="69">
        <v>1203.9763500000004</v>
      </c>
      <c r="AC1608" s="69">
        <v>1203.9763500000004</v>
      </c>
      <c r="AD1608" s="69">
        <v>1203.9763500000004</v>
      </c>
      <c r="AE1608" s="69">
        <v>1203.9763500000004</v>
      </c>
      <c r="AF1608" s="69">
        <v>1203.9763500000004</v>
      </c>
      <c r="AG1608" s="69">
        <v>1203.9763500000004</v>
      </c>
    </row>
    <row r="1609" spans="1:33" ht="12.75" customHeight="1">
      <c r="A1609" s="237" t="s">
        <v>2379</v>
      </c>
      <c r="B1609" s="69" t="s">
        <v>2412</v>
      </c>
      <c r="C1609" s="69" t="s">
        <v>186</v>
      </c>
      <c r="G1609" s="69" t="s">
        <v>192</v>
      </c>
      <c r="H1609" s="69" t="s">
        <v>148</v>
      </c>
      <c r="I1609" s="69">
        <v>4</v>
      </c>
      <c r="J1609" s="238">
        <v>0.2356</v>
      </c>
      <c r="K1609" s="238">
        <v>0</v>
      </c>
      <c r="L1609" s="69">
        <v>176.88249567799306</v>
      </c>
      <c r="M1609" s="69">
        <v>0</v>
      </c>
      <c r="O1609" s="69">
        <v>169.41000000001165</v>
      </c>
      <c r="P1609" s="69">
        <v>301.25999999998834</v>
      </c>
      <c r="Q1609" s="69">
        <v>433.10999999996505</v>
      </c>
      <c r="R1609" s="69">
        <v>564.96</v>
      </c>
      <c r="S1609" s="69">
        <v>696.80999999997675</v>
      </c>
      <c r="T1609" s="69">
        <v>828.66000000001168</v>
      </c>
      <c r="U1609" s="69">
        <v>617.8614</v>
      </c>
      <c r="V1609" s="69">
        <v>638.36430000000018</v>
      </c>
      <c r="W1609" s="69">
        <v>659.77635000000032</v>
      </c>
      <c r="X1609" s="69">
        <v>659.77635000000032</v>
      </c>
      <c r="Y1609" s="69">
        <v>659.77635000000032</v>
      </c>
      <c r="Z1609" s="69">
        <v>659.77635000000032</v>
      </c>
      <c r="AA1609" s="69">
        <v>659.77635000000032</v>
      </c>
      <c r="AB1609" s="69">
        <v>659.77635000000032</v>
      </c>
      <c r="AC1609" s="69">
        <v>659.77635000000032</v>
      </c>
      <c r="AD1609" s="69">
        <v>659.77635000000032</v>
      </c>
      <c r="AE1609" s="69">
        <v>659.77635000000032</v>
      </c>
      <c r="AF1609" s="69">
        <v>659.77635000000032</v>
      </c>
      <c r="AG1609" s="69">
        <v>659.77635000000032</v>
      </c>
    </row>
    <row r="1610" spans="1:33" ht="12.75" customHeight="1">
      <c r="A1610" s="237" t="s">
        <v>2379</v>
      </c>
      <c r="B1610" s="69" t="s">
        <v>2413</v>
      </c>
      <c r="C1610" s="69" t="s">
        <v>139</v>
      </c>
      <c r="G1610" s="69" t="s">
        <v>192</v>
      </c>
      <c r="H1610" s="69" t="s">
        <v>148</v>
      </c>
      <c r="I1610" s="69">
        <v>4</v>
      </c>
      <c r="J1610" s="238">
        <v>0.85</v>
      </c>
      <c r="K1610" s="238">
        <v>0.66</v>
      </c>
      <c r="L1610" s="69">
        <v>113.68346667349664</v>
      </c>
      <c r="M1610" s="69">
        <v>0</v>
      </c>
      <c r="O1610" s="69">
        <v>571.41</v>
      </c>
      <c r="P1610" s="69">
        <v>571.41</v>
      </c>
      <c r="Q1610" s="69">
        <v>571.41</v>
      </c>
      <c r="R1610" s="69">
        <v>571.41</v>
      </c>
      <c r="S1610" s="69">
        <v>571.41</v>
      </c>
      <c r="T1610" s="69">
        <v>571.41</v>
      </c>
      <c r="U1610" s="69">
        <v>571.41</v>
      </c>
      <c r="V1610" s="69">
        <v>571.41</v>
      </c>
      <c r="W1610" s="69">
        <v>571.41</v>
      </c>
      <c r="X1610" s="69">
        <v>571.41</v>
      </c>
      <c r="Y1610" s="69">
        <v>571.41</v>
      </c>
      <c r="Z1610" s="69">
        <v>571.41</v>
      </c>
      <c r="AA1610" s="69">
        <v>571.41</v>
      </c>
      <c r="AB1610" s="69">
        <v>571.41</v>
      </c>
      <c r="AC1610" s="69">
        <v>571.41</v>
      </c>
      <c r="AD1610" s="69">
        <v>571.41</v>
      </c>
      <c r="AE1610" s="69">
        <v>571.41</v>
      </c>
      <c r="AF1610" s="69">
        <v>571.41</v>
      </c>
      <c r="AG1610" s="69">
        <v>571.41</v>
      </c>
    </row>
    <row r="1611" spans="1:33" ht="12.75" customHeight="1">
      <c r="A1611" s="237" t="s">
        <v>2379</v>
      </c>
      <c r="B1611" s="69" t="s">
        <v>2414</v>
      </c>
      <c r="C1611" s="69" t="s">
        <v>136</v>
      </c>
      <c r="G1611" s="69" t="s">
        <v>192</v>
      </c>
      <c r="H1611" s="69" t="s">
        <v>805</v>
      </c>
      <c r="I1611" s="69">
        <v>4</v>
      </c>
      <c r="J1611" s="238">
        <v>0.85</v>
      </c>
      <c r="K1611" s="238">
        <v>0.72</v>
      </c>
      <c r="L1611" s="69">
        <v>102.38230922334316</v>
      </c>
      <c r="M1611" s="69">
        <v>0</v>
      </c>
      <c r="O1611" s="69">
        <v>816.3</v>
      </c>
      <c r="P1611" s="69">
        <v>816.3</v>
      </c>
      <c r="Q1611" s="69">
        <v>816.3</v>
      </c>
      <c r="R1611" s="69">
        <v>816.3</v>
      </c>
      <c r="S1611" s="69">
        <v>816.3</v>
      </c>
      <c r="T1611" s="69">
        <v>816.3</v>
      </c>
      <c r="U1611" s="69">
        <v>816.3</v>
      </c>
      <c r="V1611" s="69">
        <v>816.3</v>
      </c>
      <c r="W1611" s="69">
        <v>816.3</v>
      </c>
      <c r="X1611" s="69">
        <v>816.3</v>
      </c>
      <c r="Y1611" s="69">
        <v>816.3</v>
      </c>
      <c r="Z1611" s="69">
        <v>816.3</v>
      </c>
      <c r="AA1611" s="69">
        <v>816.3</v>
      </c>
      <c r="AB1611" s="69">
        <v>816.3</v>
      </c>
      <c r="AC1611" s="69">
        <v>816.3</v>
      </c>
      <c r="AD1611" s="69">
        <v>816.3</v>
      </c>
      <c r="AE1611" s="69">
        <v>816.3</v>
      </c>
      <c r="AF1611" s="69">
        <v>816.3</v>
      </c>
      <c r="AG1611" s="69">
        <v>816.3</v>
      </c>
    </row>
    <row r="1612" spans="1:33" ht="12.75" customHeight="1">
      <c r="A1612" s="237" t="s">
        <v>2379</v>
      </c>
      <c r="B1612" s="69" t="s">
        <v>2415</v>
      </c>
      <c r="C1612" s="69" t="s">
        <v>18</v>
      </c>
      <c r="G1612" s="69" t="s">
        <v>192</v>
      </c>
      <c r="H1612" s="69" t="s">
        <v>148</v>
      </c>
      <c r="I1612" s="69">
        <v>4</v>
      </c>
      <c r="J1612" s="238">
        <v>0.57099999999999995</v>
      </c>
      <c r="K1612" s="238">
        <v>0.65</v>
      </c>
      <c r="L1612" s="69">
        <v>135.14704191871482</v>
      </c>
      <c r="M1612" s="69">
        <v>0</v>
      </c>
      <c r="O1612" s="69">
        <v>734.67000000000007</v>
      </c>
      <c r="P1612" s="69">
        <v>734.67000000000007</v>
      </c>
      <c r="Q1612" s="69">
        <v>734.67000000000007</v>
      </c>
      <c r="R1612" s="69">
        <v>734.67000000000007</v>
      </c>
      <c r="S1612" s="69">
        <v>734.67000000000007</v>
      </c>
      <c r="T1612" s="69">
        <v>734.67000000000007</v>
      </c>
      <c r="U1612" s="69">
        <v>734.67000000000007</v>
      </c>
      <c r="V1612" s="69">
        <v>734.67000000000007</v>
      </c>
      <c r="W1612" s="69">
        <v>734.67000000000007</v>
      </c>
      <c r="X1612" s="69">
        <v>734.67000000000007</v>
      </c>
      <c r="Y1612" s="69">
        <v>734.67000000000007</v>
      </c>
      <c r="Z1612" s="69">
        <v>734.67000000000007</v>
      </c>
      <c r="AA1612" s="69">
        <v>734.67000000000007</v>
      </c>
      <c r="AB1612" s="69">
        <v>734.67000000000007</v>
      </c>
      <c r="AC1612" s="69">
        <v>734.67000000000007</v>
      </c>
      <c r="AD1612" s="69">
        <v>734.67000000000007</v>
      </c>
      <c r="AE1612" s="69">
        <v>734.67000000000007</v>
      </c>
      <c r="AF1612" s="69">
        <v>734.67000000000007</v>
      </c>
      <c r="AG1612" s="69">
        <v>734.67000000000007</v>
      </c>
    </row>
    <row r="1613" spans="1:33" ht="12.75" customHeight="1">
      <c r="A1613" s="237" t="s">
        <v>2379</v>
      </c>
      <c r="B1613" s="69" t="s">
        <v>2191</v>
      </c>
      <c r="C1613" s="69" t="s">
        <v>185</v>
      </c>
      <c r="G1613" s="69" t="s">
        <v>192</v>
      </c>
      <c r="H1613" s="69" t="s">
        <v>805</v>
      </c>
      <c r="I1613" s="69">
        <v>4</v>
      </c>
      <c r="J1613" s="238">
        <v>0.26650000000000001</v>
      </c>
      <c r="K1613" s="238">
        <v>0.57242353861999196</v>
      </c>
      <c r="L1613" s="69">
        <v>139.78128453571153</v>
      </c>
      <c r="M1613" s="69">
        <v>0</v>
      </c>
      <c r="O1613" s="69">
        <v>0</v>
      </c>
      <c r="P1613" s="69">
        <v>0</v>
      </c>
      <c r="Q1613" s="69">
        <v>0</v>
      </c>
      <c r="R1613" s="69">
        <v>0</v>
      </c>
      <c r="S1613" s="69">
        <v>0</v>
      </c>
      <c r="T1613" s="69">
        <v>61.640339420969894</v>
      </c>
      <c r="U1613" s="69">
        <v>94.153728878549146</v>
      </c>
      <c r="V1613" s="69">
        <v>119.08189517902224</v>
      </c>
      <c r="W1613" s="69">
        <v>144.45447956297312</v>
      </c>
      <c r="X1613" s="69">
        <v>144.45447956297312</v>
      </c>
      <c r="Y1613" s="69">
        <v>144.45447956297312</v>
      </c>
      <c r="Z1613" s="69">
        <v>144.45447956297312</v>
      </c>
      <c r="AA1613" s="69">
        <v>144.45447956297312</v>
      </c>
      <c r="AB1613" s="69">
        <v>144.45447956297312</v>
      </c>
      <c r="AC1613" s="69">
        <v>144.45447956297312</v>
      </c>
      <c r="AD1613" s="69">
        <v>144.45447956297312</v>
      </c>
      <c r="AE1613" s="69">
        <v>144.45447956297312</v>
      </c>
      <c r="AF1613" s="69">
        <v>144.45447956297312</v>
      </c>
      <c r="AG1613" s="69">
        <v>144.45447956297312</v>
      </c>
    </row>
    <row r="1614" spans="1:33" ht="12.75" customHeight="1">
      <c r="A1614" s="237" t="s">
        <v>2379</v>
      </c>
      <c r="B1614" s="69" t="s">
        <v>2192</v>
      </c>
      <c r="C1614" s="69" t="s">
        <v>185</v>
      </c>
      <c r="G1614" s="69" t="s">
        <v>192</v>
      </c>
      <c r="H1614" s="69" t="s">
        <v>804</v>
      </c>
      <c r="I1614" s="69">
        <v>4</v>
      </c>
      <c r="J1614" s="238">
        <v>0.28999999999999998</v>
      </c>
      <c r="K1614" s="238">
        <v>0.55854882869120503</v>
      </c>
      <c r="L1614" s="69">
        <v>128.45418044402459</v>
      </c>
      <c r="M1614" s="69">
        <v>0</v>
      </c>
      <c r="O1614" s="69">
        <v>0</v>
      </c>
      <c r="P1614" s="69">
        <v>0</v>
      </c>
      <c r="Q1614" s="69">
        <v>0</v>
      </c>
      <c r="R1614" s="69">
        <v>0</v>
      </c>
      <c r="S1614" s="69">
        <v>0</v>
      </c>
      <c r="T1614" s="69">
        <v>31.297544408134286</v>
      </c>
      <c r="U1614" s="69">
        <v>47.806039153672714</v>
      </c>
      <c r="V1614" s="69">
        <v>60.463178885663979</v>
      </c>
      <c r="W1614" s="69">
        <v>73.345969859395154</v>
      </c>
      <c r="X1614" s="69">
        <v>73.345969859395154</v>
      </c>
      <c r="Y1614" s="69">
        <v>73.345969859395154</v>
      </c>
      <c r="Z1614" s="69">
        <v>73.345969859395154</v>
      </c>
      <c r="AA1614" s="69">
        <v>73.345969859395154</v>
      </c>
      <c r="AB1614" s="69">
        <v>73.345969859395154</v>
      </c>
      <c r="AC1614" s="69">
        <v>73.345969859395154</v>
      </c>
      <c r="AD1614" s="69">
        <v>73.345969859395154</v>
      </c>
      <c r="AE1614" s="69">
        <v>73.345969859395154</v>
      </c>
      <c r="AF1614" s="69">
        <v>73.345969859395154</v>
      </c>
      <c r="AG1614" s="69">
        <v>73.345969859395154</v>
      </c>
    </row>
    <row r="1615" spans="1:33" ht="12.75" customHeight="1">
      <c r="A1615" s="237" t="s">
        <v>2379</v>
      </c>
      <c r="B1615" s="69" t="s">
        <v>2197</v>
      </c>
      <c r="C1615" s="69" t="s">
        <v>137</v>
      </c>
      <c r="G1615" s="69" t="s">
        <v>199</v>
      </c>
      <c r="H1615" s="69" t="s">
        <v>2417</v>
      </c>
      <c r="I1615" s="69">
        <v>4</v>
      </c>
      <c r="J1615" s="238">
        <v>0.29199999999999998</v>
      </c>
      <c r="K1615" s="238">
        <v>0.2</v>
      </c>
      <c r="L1615" s="69">
        <v>98.619190592356304</v>
      </c>
      <c r="M1615" s="69">
        <v>0</v>
      </c>
      <c r="O1615" s="69">
        <v>0</v>
      </c>
      <c r="P1615" s="69">
        <v>0</v>
      </c>
      <c r="Q1615" s="69">
        <v>0</v>
      </c>
      <c r="R1615" s="69">
        <v>0</v>
      </c>
      <c r="S1615" s="69">
        <v>0</v>
      </c>
      <c r="T1615" s="69">
        <v>40.774009044604696</v>
      </c>
      <c r="U1615" s="69">
        <v>62.281048268087602</v>
      </c>
      <c r="V1615" s="69">
        <v>78.770595206530743</v>
      </c>
      <c r="W1615" s="69">
        <v>95.554117533276212</v>
      </c>
      <c r="X1615" s="69">
        <v>95.554117533276212</v>
      </c>
      <c r="Y1615" s="69">
        <v>95.554117533276212</v>
      </c>
      <c r="Z1615" s="69">
        <v>95.554117533276212</v>
      </c>
      <c r="AA1615" s="69">
        <v>95.554117533276212</v>
      </c>
      <c r="AB1615" s="69">
        <v>95.554117533276212</v>
      </c>
      <c r="AC1615" s="69">
        <v>95.554117533276212</v>
      </c>
      <c r="AD1615" s="69">
        <v>95.554117533276212</v>
      </c>
      <c r="AE1615" s="69">
        <v>95.554117533276212</v>
      </c>
      <c r="AF1615" s="69">
        <v>95.554117533276212</v>
      </c>
      <c r="AG1615" s="69">
        <v>95.554117533276212</v>
      </c>
    </row>
    <row r="1616" spans="1:33" ht="12.75" customHeight="1">
      <c r="A1616" s="237" t="s">
        <v>2379</v>
      </c>
      <c r="B1616" s="69" t="s">
        <v>2195</v>
      </c>
      <c r="C1616" s="69" t="s">
        <v>139</v>
      </c>
      <c r="G1616" s="69" t="s">
        <v>192</v>
      </c>
      <c r="H1616" s="69" t="s">
        <v>148</v>
      </c>
      <c r="I1616" s="69">
        <v>4</v>
      </c>
      <c r="J1616" s="238">
        <v>0.85</v>
      </c>
      <c r="K1616" s="238">
        <v>0.66</v>
      </c>
      <c r="L1616" s="69">
        <v>113.68346667349664</v>
      </c>
      <c r="M1616" s="69">
        <v>0</v>
      </c>
      <c r="O1616" s="69">
        <v>0</v>
      </c>
      <c r="P1616" s="69">
        <v>0</v>
      </c>
      <c r="Q1616" s="69">
        <v>0</v>
      </c>
      <c r="R1616" s="69">
        <v>0</v>
      </c>
      <c r="S1616" s="69">
        <v>0</v>
      </c>
      <c r="T1616" s="69">
        <v>2.0082806780474129</v>
      </c>
      <c r="U1616" s="69">
        <v>3.0675872569590865</v>
      </c>
      <c r="V1616" s="69">
        <v>3.8797625432616769</v>
      </c>
      <c r="W1616" s="69">
        <v>4.706417271770988</v>
      </c>
      <c r="X1616" s="69">
        <v>4.706417271770988</v>
      </c>
      <c r="Y1616" s="69">
        <v>4.706417271770988</v>
      </c>
      <c r="Z1616" s="69">
        <v>4.706417271770988</v>
      </c>
      <c r="AA1616" s="69">
        <v>4.706417271770988</v>
      </c>
      <c r="AB1616" s="69">
        <v>4.706417271770988</v>
      </c>
      <c r="AC1616" s="69">
        <v>4.706417271770988</v>
      </c>
      <c r="AD1616" s="69">
        <v>4.706417271770988</v>
      </c>
      <c r="AE1616" s="69">
        <v>4.706417271770988</v>
      </c>
      <c r="AF1616" s="69">
        <v>4.706417271770988</v>
      </c>
      <c r="AG1616" s="69">
        <v>4.706417271770988</v>
      </c>
    </row>
    <row r="1617" spans="1:33" ht="12.75" customHeight="1">
      <c r="A1617" s="237" t="s">
        <v>2379</v>
      </c>
      <c r="B1617" s="69" t="s">
        <v>2200</v>
      </c>
      <c r="C1617" s="69" t="s">
        <v>136</v>
      </c>
      <c r="G1617" s="69" t="s">
        <v>192</v>
      </c>
      <c r="H1617" s="69" t="s">
        <v>2417</v>
      </c>
      <c r="I1617" s="69">
        <v>4</v>
      </c>
      <c r="J1617" s="238">
        <v>0.85</v>
      </c>
      <c r="K1617" s="238">
        <v>0.72</v>
      </c>
      <c r="L1617" s="69">
        <v>102.38230922334316</v>
      </c>
      <c r="M1617" s="69">
        <v>0</v>
      </c>
      <c r="O1617" s="69">
        <v>1406.9902312699605</v>
      </c>
      <c r="P1617" s="69">
        <v>1406.9902313291777</v>
      </c>
      <c r="Q1617" s="69">
        <v>1406.9902315068271</v>
      </c>
      <c r="R1617" s="69">
        <v>1406.9902315068271</v>
      </c>
      <c r="S1617" s="69">
        <v>1406.9902315068271</v>
      </c>
      <c r="T1617" s="69">
        <v>1433.3750043723026</v>
      </c>
      <c r="U1617" s="69">
        <v>1444.1285239840445</v>
      </c>
      <c r="V1617" s="69">
        <v>1452.3732974032664</v>
      </c>
      <c r="W1617" s="69">
        <v>1460.7650586166383</v>
      </c>
      <c r="X1617" s="69">
        <v>1460.7650586166383</v>
      </c>
      <c r="Y1617" s="69">
        <v>1460.7650586166383</v>
      </c>
      <c r="Z1617" s="69">
        <v>1460.7650586166383</v>
      </c>
      <c r="AA1617" s="69">
        <v>1460.7650586166383</v>
      </c>
      <c r="AB1617" s="69">
        <v>1460.7650586166383</v>
      </c>
      <c r="AC1617" s="69">
        <v>1460.7650586166383</v>
      </c>
      <c r="AD1617" s="69">
        <v>1460.7650586166383</v>
      </c>
      <c r="AE1617" s="69">
        <v>1460.7650586166383</v>
      </c>
      <c r="AF1617" s="69">
        <v>1460.7650586166383</v>
      </c>
      <c r="AG1617" s="69">
        <v>1460.7650586166383</v>
      </c>
    </row>
    <row r="1618" spans="1:33" ht="12.75" customHeight="1">
      <c r="A1618" s="237" t="s">
        <v>2379</v>
      </c>
      <c r="B1618" s="69" t="s">
        <v>2195</v>
      </c>
      <c r="C1618" s="69" t="s">
        <v>139</v>
      </c>
      <c r="G1618" s="69" t="s">
        <v>192</v>
      </c>
      <c r="H1618" s="69" t="s">
        <v>148</v>
      </c>
      <c r="I1618" s="69">
        <v>4</v>
      </c>
      <c r="J1618" s="238">
        <v>0.85</v>
      </c>
      <c r="K1618" s="238">
        <v>0.66</v>
      </c>
      <c r="L1618" s="69">
        <v>113.68346667349664</v>
      </c>
      <c r="M1618" s="69">
        <v>0</v>
      </c>
      <c r="O1618" s="69">
        <v>0</v>
      </c>
      <c r="P1618" s="69">
        <v>0</v>
      </c>
      <c r="Q1618" s="69">
        <v>0</v>
      </c>
      <c r="R1618" s="69">
        <v>0</v>
      </c>
      <c r="S1618" s="69">
        <v>0</v>
      </c>
      <c r="T1618" s="69">
        <v>18.378723632359197</v>
      </c>
      <c r="U1618" s="69">
        <v>28.072936645188747</v>
      </c>
      <c r="V1618" s="69">
        <v>35.505534858107694</v>
      </c>
      <c r="W1618" s="69">
        <v>43.070641232971411</v>
      </c>
      <c r="X1618" s="69">
        <v>43.070641232971411</v>
      </c>
      <c r="Y1618" s="69">
        <v>43.070641232971411</v>
      </c>
      <c r="Z1618" s="69">
        <v>43.070641232971411</v>
      </c>
      <c r="AA1618" s="69">
        <v>43.070641232971411</v>
      </c>
      <c r="AB1618" s="69">
        <v>43.070641232971411</v>
      </c>
      <c r="AC1618" s="69">
        <v>43.070641232971411</v>
      </c>
      <c r="AD1618" s="69">
        <v>43.070641232971411</v>
      </c>
      <c r="AE1618" s="69">
        <v>43.070641232971411</v>
      </c>
      <c r="AF1618" s="69">
        <v>43.070641232971411</v>
      </c>
      <c r="AG1618" s="69">
        <v>43.070641232971411</v>
      </c>
    </row>
    <row r="1619" spans="1:33" ht="12.75" customHeight="1">
      <c r="A1619" s="237" t="s">
        <v>2379</v>
      </c>
      <c r="B1619" s="69" t="s">
        <v>2203</v>
      </c>
      <c r="C1619" s="69" t="s">
        <v>18</v>
      </c>
      <c r="G1619" s="69" t="s">
        <v>192</v>
      </c>
      <c r="H1619" s="69" t="s">
        <v>805</v>
      </c>
      <c r="I1619" s="69">
        <v>4</v>
      </c>
      <c r="J1619" s="238">
        <v>0.57099999999999995</v>
      </c>
      <c r="K1619" s="238">
        <v>0.65</v>
      </c>
      <c r="L1619" s="69">
        <v>135.14704191871482</v>
      </c>
      <c r="M1619" s="69">
        <v>0</v>
      </c>
      <c r="O1619" s="69">
        <v>14.716799997709124</v>
      </c>
      <c r="P1619" s="69">
        <v>14.716799997709124</v>
      </c>
      <c r="Q1619" s="69">
        <v>14.716799997709124</v>
      </c>
      <c r="R1619" s="69">
        <v>14.716799997709124</v>
      </c>
      <c r="S1619" s="69">
        <v>14.716799997709124</v>
      </c>
      <c r="T1619" s="69">
        <v>14.716799997709124</v>
      </c>
      <c r="U1619" s="69">
        <v>14.716799997709124</v>
      </c>
      <c r="V1619" s="69">
        <v>14.716799997709124</v>
      </c>
      <c r="W1619" s="69">
        <v>14.716799997709124</v>
      </c>
      <c r="X1619" s="69">
        <v>14.716799997709124</v>
      </c>
      <c r="Y1619" s="69">
        <v>14.716799997709124</v>
      </c>
      <c r="Z1619" s="69">
        <v>14.716799997709124</v>
      </c>
      <c r="AA1619" s="69">
        <v>14.716799997709124</v>
      </c>
      <c r="AB1619" s="69">
        <v>14.716799997709124</v>
      </c>
      <c r="AC1619" s="69">
        <v>14.716799997709124</v>
      </c>
      <c r="AD1619" s="69">
        <v>14.716799997709124</v>
      </c>
      <c r="AE1619" s="69">
        <v>14.716799997709124</v>
      </c>
      <c r="AF1619" s="69">
        <v>14.716799997709124</v>
      </c>
      <c r="AG1619" s="69">
        <v>14.716799997709124</v>
      </c>
    </row>
    <row r="1620" spans="1:33" ht="12.75" customHeight="1">
      <c r="A1620" s="237" t="s">
        <v>2379</v>
      </c>
      <c r="B1620" s="69" t="s">
        <v>2204</v>
      </c>
      <c r="C1620" s="69" t="s">
        <v>185</v>
      </c>
      <c r="G1620" s="69" t="s">
        <v>192</v>
      </c>
      <c r="H1620" s="69" t="s">
        <v>805</v>
      </c>
      <c r="I1620" s="69">
        <v>4</v>
      </c>
      <c r="J1620" s="238">
        <v>0.2356</v>
      </c>
      <c r="K1620" s="238">
        <v>0</v>
      </c>
      <c r="L1620" s="69">
        <v>158.11422889969069</v>
      </c>
      <c r="M1620" s="69">
        <v>0</v>
      </c>
      <c r="O1620" s="69">
        <v>0</v>
      </c>
      <c r="P1620" s="69">
        <v>0</v>
      </c>
      <c r="Q1620" s="69">
        <v>0</v>
      </c>
      <c r="R1620" s="69">
        <v>0</v>
      </c>
      <c r="S1620" s="69">
        <v>0</v>
      </c>
      <c r="T1620" s="69">
        <v>0.29009460992487845</v>
      </c>
      <c r="U1620" s="69">
        <v>0.44311062069902363</v>
      </c>
      <c r="V1620" s="69">
        <v>0.56042870631336328</v>
      </c>
      <c r="W1620" s="69">
        <v>0.67983834122986586</v>
      </c>
      <c r="X1620" s="69">
        <v>0.67983834122986586</v>
      </c>
      <c r="Y1620" s="69">
        <v>0.67983834122986586</v>
      </c>
      <c r="Z1620" s="69">
        <v>0.67983834122986586</v>
      </c>
      <c r="AA1620" s="69">
        <v>0.67983834122986586</v>
      </c>
      <c r="AB1620" s="69">
        <v>0.67983834122986586</v>
      </c>
      <c r="AC1620" s="69">
        <v>0.67983834122986586</v>
      </c>
      <c r="AD1620" s="69">
        <v>0.67983834122986586</v>
      </c>
      <c r="AE1620" s="69">
        <v>0.67983834122986586</v>
      </c>
      <c r="AF1620" s="69">
        <v>0.67983834122986586</v>
      </c>
      <c r="AG1620" s="69">
        <v>0.67983834122986586</v>
      </c>
    </row>
    <row r="1621" spans="1:33" ht="12.75" customHeight="1">
      <c r="A1621" s="237" t="s">
        <v>2379</v>
      </c>
      <c r="B1621" s="69" t="s">
        <v>2206</v>
      </c>
      <c r="C1621" s="69" t="s">
        <v>18</v>
      </c>
      <c r="G1621" s="69" t="s">
        <v>192</v>
      </c>
      <c r="H1621" s="69" t="s">
        <v>805</v>
      </c>
      <c r="I1621" s="69">
        <v>4</v>
      </c>
      <c r="J1621" s="238">
        <v>0.57099999999999995</v>
      </c>
      <c r="K1621" s="238">
        <v>0.65</v>
      </c>
      <c r="L1621" s="69">
        <v>135.14704191871482</v>
      </c>
      <c r="M1621" s="69">
        <v>0</v>
      </c>
      <c r="O1621" s="69">
        <v>74.424959717670845</v>
      </c>
      <c r="P1621" s="69">
        <v>74.424959717670845</v>
      </c>
      <c r="Q1621" s="69">
        <v>74.424959717670845</v>
      </c>
      <c r="R1621" s="69">
        <v>74.424959717670845</v>
      </c>
      <c r="S1621" s="69">
        <v>74.424959717670845</v>
      </c>
      <c r="T1621" s="69">
        <v>74.424959717670845</v>
      </c>
      <c r="U1621" s="69">
        <v>74.424959717670845</v>
      </c>
      <c r="V1621" s="69">
        <v>74.424959717670845</v>
      </c>
      <c r="W1621" s="69">
        <v>74.424959717670845</v>
      </c>
      <c r="X1621" s="69">
        <v>74.424959717670845</v>
      </c>
      <c r="Y1621" s="69">
        <v>74.424959717670845</v>
      </c>
      <c r="Z1621" s="69">
        <v>74.424959717670845</v>
      </c>
      <c r="AA1621" s="69">
        <v>74.424959717670845</v>
      </c>
      <c r="AB1621" s="69">
        <v>74.424959717670845</v>
      </c>
      <c r="AC1621" s="69">
        <v>74.424959717670845</v>
      </c>
      <c r="AD1621" s="69">
        <v>74.424959717670845</v>
      </c>
      <c r="AE1621" s="69">
        <v>74.424959717670845</v>
      </c>
      <c r="AF1621" s="69">
        <v>74.424959717670845</v>
      </c>
      <c r="AG1621" s="69">
        <v>74.424959717670845</v>
      </c>
    </row>
    <row r="1622" spans="1:33" ht="12.75" customHeight="1">
      <c r="A1622" s="237" t="s">
        <v>2379</v>
      </c>
      <c r="B1622" s="69" t="s">
        <v>2207</v>
      </c>
      <c r="C1622" s="69" t="s">
        <v>185</v>
      </c>
      <c r="G1622" s="69" t="s">
        <v>192</v>
      </c>
      <c r="H1622" s="69" t="s">
        <v>805</v>
      </c>
      <c r="I1622" s="69">
        <v>4</v>
      </c>
      <c r="J1622" s="238">
        <v>0.21</v>
      </c>
      <c r="K1622" s="238">
        <v>0.57286144710521369</v>
      </c>
      <c r="L1622" s="69">
        <v>177.38910632746251</v>
      </c>
      <c r="M1622" s="69">
        <v>0</v>
      </c>
      <c r="O1622" s="69">
        <v>0</v>
      </c>
      <c r="P1622" s="69">
        <v>0</v>
      </c>
      <c r="Q1622" s="69">
        <v>0</v>
      </c>
      <c r="R1622" s="69">
        <v>0</v>
      </c>
      <c r="S1622" s="69">
        <v>0</v>
      </c>
      <c r="T1622" s="69">
        <v>69.542796604782325</v>
      </c>
      <c r="U1622" s="69">
        <v>106.22448846974771</v>
      </c>
      <c r="V1622" s="69">
        <v>134.34851261074118</v>
      </c>
      <c r="W1622" s="69">
        <v>162.97393067411076</v>
      </c>
      <c r="X1622" s="69">
        <v>162.97393067411076</v>
      </c>
      <c r="Y1622" s="69">
        <v>162.97393067411076</v>
      </c>
      <c r="Z1622" s="69">
        <v>162.97393067411076</v>
      </c>
      <c r="AA1622" s="69">
        <v>162.97393067411076</v>
      </c>
      <c r="AB1622" s="69">
        <v>162.97393067411076</v>
      </c>
      <c r="AC1622" s="69">
        <v>162.97393067411076</v>
      </c>
      <c r="AD1622" s="69">
        <v>162.97393067411076</v>
      </c>
      <c r="AE1622" s="69">
        <v>162.97393067411076</v>
      </c>
      <c r="AF1622" s="69">
        <v>162.97393067411076</v>
      </c>
      <c r="AG1622" s="69">
        <v>162.97393067411076</v>
      </c>
    </row>
    <row r="1623" spans="1:33" ht="12.75" customHeight="1">
      <c r="A1623" s="237" t="s">
        <v>2379</v>
      </c>
      <c r="B1623" s="69" t="s">
        <v>2209</v>
      </c>
      <c r="C1623" s="69" t="s">
        <v>185</v>
      </c>
      <c r="G1623" s="69" t="s">
        <v>192</v>
      </c>
      <c r="H1623" s="69" t="s">
        <v>804</v>
      </c>
      <c r="I1623" s="69">
        <v>4</v>
      </c>
      <c r="J1623" s="238">
        <v>0.2742</v>
      </c>
      <c r="K1623" s="238">
        <v>0.54732693206919336</v>
      </c>
      <c r="L1623" s="69">
        <v>135.8559895286912</v>
      </c>
      <c r="M1623" s="69">
        <v>0</v>
      </c>
      <c r="O1623" s="69">
        <v>0</v>
      </c>
      <c r="P1623" s="69">
        <v>0</v>
      </c>
      <c r="Q1623" s="69">
        <v>0</v>
      </c>
      <c r="R1623" s="69">
        <v>0</v>
      </c>
      <c r="S1623" s="69">
        <v>0</v>
      </c>
      <c r="T1623" s="69">
        <v>20.712265545513446</v>
      </c>
      <c r="U1623" s="69">
        <v>31.637350383329476</v>
      </c>
      <c r="V1623" s="69">
        <v>40.013663670251162</v>
      </c>
      <c r="W1623" s="69">
        <v>48.539309811636713</v>
      </c>
      <c r="X1623" s="69">
        <v>48.539309811636713</v>
      </c>
      <c r="Y1623" s="69">
        <v>48.539309811636713</v>
      </c>
      <c r="Z1623" s="69">
        <v>48.539309811636713</v>
      </c>
      <c r="AA1623" s="69">
        <v>48.539309811636713</v>
      </c>
      <c r="AB1623" s="69">
        <v>48.539309811636713</v>
      </c>
      <c r="AC1623" s="69">
        <v>48.539309811636713</v>
      </c>
      <c r="AD1623" s="69">
        <v>48.539309811636713</v>
      </c>
      <c r="AE1623" s="69">
        <v>48.539309811636713</v>
      </c>
      <c r="AF1623" s="69">
        <v>48.539309811636713</v>
      </c>
      <c r="AG1623" s="69">
        <v>48.539309811636713</v>
      </c>
    </row>
    <row r="1624" spans="1:33" ht="12.75" customHeight="1">
      <c r="A1624" s="237" t="s">
        <v>2379</v>
      </c>
      <c r="B1624" s="69" t="s">
        <v>2217</v>
      </c>
      <c r="C1624" s="69" t="s">
        <v>137</v>
      </c>
      <c r="G1624" s="69" t="s">
        <v>192</v>
      </c>
      <c r="H1624" s="69" t="s">
        <v>805</v>
      </c>
      <c r="I1624" s="69">
        <v>4</v>
      </c>
      <c r="J1624" s="238">
        <v>0.32200000000000001</v>
      </c>
      <c r="K1624" s="238">
        <v>0.16166723631218391</v>
      </c>
      <c r="L1624" s="69">
        <v>89.431067245242346</v>
      </c>
      <c r="M1624" s="69">
        <v>0</v>
      </c>
      <c r="O1624" s="69">
        <v>0</v>
      </c>
      <c r="P1624" s="69">
        <v>0</v>
      </c>
      <c r="Q1624" s="69">
        <v>0</v>
      </c>
      <c r="R1624" s="69">
        <v>0</v>
      </c>
      <c r="S1624" s="69">
        <v>0</v>
      </c>
      <c r="T1624" s="69">
        <v>142.70903174839987</v>
      </c>
      <c r="U1624" s="69">
        <v>217.98366913058953</v>
      </c>
      <c r="V1624" s="69">
        <v>275.69708366514033</v>
      </c>
      <c r="W1624" s="69">
        <v>334.43941165874912</v>
      </c>
      <c r="X1624" s="69">
        <v>334.43941165874912</v>
      </c>
      <c r="Y1624" s="69">
        <v>334.43941165874912</v>
      </c>
      <c r="Z1624" s="69">
        <v>334.43941165874912</v>
      </c>
      <c r="AA1624" s="69">
        <v>334.43941165874912</v>
      </c>
      <c r="AB1624" s="69">
        <v>334.43941165874912</v>
      </c>
      <c r="AC1624" s="69">
        <v>334.43941165874912</v>
      </c>
      <c r="AD1624" s="69">
        <v>334.43941165874912</v>
      </c>
      <c r="AE1624" s="69">
        <v>334.43941165874912</v>
      </c>
      <c r="AF1624" s="69">
        <v>334.43941165874912</v>
      </c>
      <c r="AG1624" s="69">
        <v>334.43941165874912</v>
      </c>
    </row>
    <row r="1625" spans="1:33" ht="12.75" customHeight="1">
      <c r="A1625" s="237" t="s">
        <v>2379</v>
      </c>
      <c r="B1625" s="69" t="s">
        <v>2219</v>
      </c>
      <c r="C1625" s="69" t="s">
        <v>137</v>
      </c>
      <c r="G1625" s="69" t="s">
        <v>192</v>
      </c>
      <c r="H1625" s="69" t="s">
        <v>805</v>
      </c>
      <c r="I1625" s="69">
        <v>4</v>
      </c>
      <c r="J1625" s="238">
        <v>0.36899999999999999</v>
      </c>
      <c r="K1625" s="238">
        <v>0.16166723631218391</v>
      </c>
      <c r="L1625" s="69">
        <v>78.040118300726391</v>
      </c>
      <c r="M1625" s="69">
        <v>0</v>
      </c>
      <c r="O1625" s="69">
        <v>0</v>
      </c>
      <c r="P1625" s="69">
        <v>0</v>
      </c>
      <c r="Q1625" s="69">
        <v>585.03125873719364</v>
      </c>
      <c r="R1625" s="69">
        <v>619.03684020769902</v>
      </c>
      <c r="S1625" s="69">
        <v>655.36876440329411</v>
      </c>
      <c r="T1625" s="69">
        <v>693.65624436752614</v>
      </c>
      <c r="U1625" s="69">
        <v>732.11893148160834</v>
      </c>
      <c r="V1625" s="69">
        <v>770.22742116193717</v>
      </c>
      <c r="W1625" s="69">
        <v>811.7996417595657</v>
      </c>
      <c r="X1625" s="69">
        <v>811.7996417595657</v>
      </c>
      <c r="Y1625" s="69">
        <v>811.7996417595657</v>
      </c>
      <c r="Z1625" s="69">
        <v>811.7996417595657</v>
      </c>
      <c r="AA1625" s="69">
        <v>811.7996417595657</v>
      </c>
      <c r="AB1625" s="69">
        <v>811.7996417595657</v>
      </c>
      <c r="AC1625" s="69">
        <v>811.7996417595657</v>
      </c>
      <c r="AD1625" s="69">
        <v>811.7996417595657</v>
      </c>
      <c r="AE1625" s="69">
        <v>811.7996417595657</v>
      </c>
      <c r="AF1625" s="69">
        <v>811.7996417595657</v>
      </c>
      <c r="AG1625" s="69">
        <v>811.7996417595657</v>
      </c>
    </row>
    <row r="1626" spans="1:33" ht="12.75" customHeight="1">
      <c r="A1626" s="237" t="s">
        <v>2379</v>
      </c>
      <c r="B1626" s="69" t="s">
        <v>2220</v>
      </c>
      <c r="C1626" s="69" t="s">
        <v>137</v>
      </c>
      <c r="G1626" s="69" t="s">
        <v>192</v>
      </c>
      <c r="H1626" s="69" t="s">
        <v>804</v>
      </c>
      <c r="I1626" s="69">
        <v>4</v>
      </c>
      <c r="J1626" s="238">
        <v>0.32200000000000001</v>
      </c>
      <c r="K1626" s="238">
        <v>0.16166723631218391</v>
      </c>
      <c r="L1626" s="69">
        <v>89.431067245242346</v>
      </c>
      <c r="M1626" s="69">
        <v>0</v>
      </c>
      <c r="O1626" s="69">
        <v>0</v>
      </c>
      <c r="P1626" s="69">
        <v>0</v>
      </c>
      <c r="Q1626" s="69">
        <v>585.03125873719364</v>
      </c>
      <c r="R1626" s="69">
        <v>619.03684020769902</v>
      </c>
      <c r="S1626" s="69">
        <v>655.36876440329411</v>
      </c>
      <c r="T1626" s="69">
        <v>693.65624436752614</v>
      </c>
      <c r="U1626" s="69">
        <v>732.11893148160834</v>
      </c>
      <c r="V1626" s="69">
        <v>770.22742116193717</v>
      </c>
      <c r="W1626" s="69">
        <v>811.7996417595657</v>
      </c>
      <c r="X1626" s="69">
        <v>811.7996417595657</v>
      </c>
      <c r="Y1626" s="69">
        <v>811.7996417595657</v>
      </c>
      <c r="Z1626" s="69">
        <v>811.7996417595657</v>
      </c>
      <c r="AA1626" s="69">
        <v>811.7996417595657</v>
      </c>
      <c r="AB1626" s="69">
        <v>811.7996417595657</v>
      </c>
      <c r="AC1626" s="69">
        <v>811.7996417595657</v>
      </c>
      <c r="AD1626" s="69">
        <v>811.7996417595657</v>
      </c>
      <c r="AE1626" s="69">
        <v>811.7996417595657</v>
      </c>
      <c r="AF1626" s="69">
        <v>811.7996417595657</v>
      </c>
      <c r="AG1626" s="69">
        <v>811.7996417595657</v>
      </c>
    </row>
    <row r="1627" spans="1:33" ht="12.75" customHeight="1">
      <c r="A1627" s="237" t="s">
        <v>2379</v>
      </c>
      <c r="B1627" s="69" t="s">
        <v>2296</v>
      </c>
      <c r="C1627" s="69" t="s">
        <v>137</v>
      </c>
      <c r="G1627" s="69" t="s">
        <v>192</v>
      </c>
      <c r="H1627" s="69" t="s">
        <v>2417</v>
      </c>
      <c r="I1627" s="69">
        <v>4</v>
      </c>
      <c r="J1627" s="238">
        <v>0.378</v>
      </c>
      <c r="K1627" s="238">
        <v>0.2</v>
      </c>
      <c r="L1627" s="69">
        <v>76.182020245947186</v>
      </c>
      <c r="M1627" s="69">
        <v>0</v>
      </c>
      <c r="O1627" s="69">
        <v>0</v>
      </c>
      <c r="P1627" s="69">
        <v>0</v>
      </c>
      <c r="Q1627" s="69">
        <v>585.03125873719364</v>
      </c>
      <c r="R1627" s="69">
        <v>619.03684020769902</v>
      </c>
      <c r="S1627" s="69">
        <v>655.36876440329411</v>
      </c>
      <c r="T1627" s="69">
        <v>693.65624436752614</v>
      </c>
      <c r="U1627" s="69">
        <v>732.11893148160834</v>
      </c>
      <c r="V1627" s="69">
        <v>770.22742116193717</v>
      </c>
      <c r="W1627" s="69">
        <v>811.7996417595657</v>
      </c>
      <c r="X1627" s="69">
        <v>811.7996417595657</v>
      </c>
      <c r="Y1627" s="69">
        <v>811.7996417595657</v>
      </c>
      <c r="Z1627" s="69">
        <v>811.7996417595657</v>
      </c>
      <c r="AA1627" s="69">
        <v>811.7996417595657</v>
      </c>
      <c r="AB1627" s="69">
        <v>811.7996417595657</v>
      </c>
      <c r="AC1627" s="69">
        <v>811.7996417595657</v>
      </c>
      <c r="AD1627" s="69">
        <v>811.7996417595657</v>
      </c>
      <c r="AE1627" s="69">
        <v>811.7996417595657</v>
      </c>
      <c r="AF1627" s="69">
        <v>811.7996417595657</v>
      </c>
      <c r="AG1627" s="69">
        <v>811.7996417595657</v>
      </c>
    </row>
    <row r="1628" spans="1:33" ht="12.75" customHeight="1">
      <c r="A1628" s="237" t="s">
        <v>2379</v>
      </c>
      <c r="B1628" s="69" t="s">
        <v>2294</v>
      </c>
      <c r="C1628" s="69" t="s">
        <v>185</v>
      </c>
      <c r="G1628" s="69" t="s">
        <v>192</v>
      </c>
      <c r="H1628" s="237" t="s">
        <v>148</v>
      </c>
      <c r="I1628" s="69">
        <v>4</v>
      </c>
      <c r="J1628" s="238">
        <v>0.28999999999999998</v>
      </c>
      <c r="K1628" s="238">
        <v>0.65</v>
      </c>
      <c r="L1628" s="69">
        <v>128.45418044402459</v>
      </c>
      <c r="M1628" s="69">
        <v>0</v>
      </c>
      <c r="O1628" s="69">
        <v>0</v>
      </c>
      <c r="P1628" s="69">
        <v>0</v>
      </c>
      <c r="Q1628" s="69">
        <v>438.02344405289534</v>
      </c>
      <c r="R1628" s="69">
        <v>463.27763015577443</v>
      </c>
      <c r="S1628" s="69">
        <v>491.02657330247052</v>
      </c>
      <c r="T1628" s="69">
        <v>520.24218327564472</v>
      </c>
      <c r="U1628" s="69">
        <v>548.33919861120626</v>
      </c>
      <c r="V1628" s="69">
        <v>577.67056587145294</v>
      </c>
      <c r="W1628" s="69">
        <v>608.84973131967445</v>
      </c>
      <c r="X1628" s="69">
        <v>608.84973131967445</v>
      </c>
      <c r="Y1628" s="69">
        <v>608.84973131967445</v>
      </c>
      <c r="Z1628" s="69">
        <v>608.84973131967445</v>
      </c>
      <c r="AA1628" s="69">
        <v>608.84973131967445</v>
      </c>
      <c r="AB1628" s="69">
        <v>608.84973131967445</v>
      </c>
      <c r="AC1628" s="69">
        <v>608.84973131967445</v>
      </c>
      <c r="AD1628" s="69">
        <v>608.84973131967445</v>
      </c>
      <c r="AE1628" s="69">
        <v>608.84973131967445</v>
      </c>
      <c r="AF1628" s="69">
        <v>608.84973131967445</v>
      </c>
      <c r="AG1628" s="69">
        <v>608.84973131967445</v>
      </c>
    </row>
    <row r="1629" spans="1:33" ht="12.75" customHeight="1">
      <c r="A1629" s="237" t="s">
        <v>2379</v>
      </c>
      <c r="B1629" s="69" t="s">
        <v>2294</v>
      </c>
      <c r="C1629" s="69" t="s">
        <v>185</v>
      </c>
      <c r="G1629" s="69" t="s">
        <v>192</v>
      </c>
      <c r="H1629" s="69" t="s">
        <v>804</v>
      </c>
      <c r="I1629" s="69">
        <v>4</v>
      </c>
      <c r="J1629" s="238">
        <v>0.29349999999999998</v>
      </c>
      <c r="K1629" s="238">
        <v>0.58000000000000007</v>
      </c>
      <c r="L1629" s="69">
        <v>126.92235887143826</v>
      </c>
      <c r="M1629" s="69">
        <v>0</v>
      </c>
      <c r="O1629" s="69">
        <v>0</v>
      </c>
      <c r="P1629" s="69">
        <v>0</v>
      </c>
      <c r="Q1629" s="69">
        <v>439.02344405289534</v>
      </c>
      <c r="R1629" s="69">
        <v>464.27763015577443</v>
      </c>
      <c r="S1629" s="69">
        <v>492.02657330247052</v>
      </c>
      <c r="T1629" s="69">
        <v>521.24218327564472</v>
      </c>
      <c r="U1629" s="69">
        <v>548.33919861120626</v>
      </c>
      <c r="V1629" s="69">
        <v>578.67056587145294</v>
      </c>
      <c r="W1629" s="69">
        <v>608.84973131967445</v>
      </c>
      <c r="X1629" s="69">
        <v>608.84973131967445</v>
      </c>
      <c r="Y1629" s="69">
        <v>608.84973131967445</v>
      </c>
      <c r="Z1629" s="69">
        <v>608.84973131967445</v>
      </c>
      <c r="AA1629" s="69">
        <v>608.84973131967445</v>
      </c>
      <c r="AB1629" s="69">
        <v>608.84973131967445</v>
      </c>
      <c r="AC1629" s="69">
        <v>608.84973131967445</v>
      </c>
      <c r="AD1629" s="69">
        <v>608.84973131967445</v>
      </c>
      <c r="AE1629" s="69">
        <v>608.84973131967445</v>
      </c>
      <c r="AF1629" s="69">
        <v>608.84973131967445</v>
      </c>
      <c r="AG1629" s="69">
        <v>608.84973131967445</v>
      </c>
    </row>
    <row r="1630" spans="1:33" ht="12.75" customHeight="1">
      <c r="A1630" s="237" t="s">
        <v>2379</v>
      </c>
      <c r="B1630" s="69" t="s">
        <v>2295</v>
      </c>
      <c r="C1630" s="69" t="s">
        <v>187</v>
      </c>
      <c r="G1630" s="69" t="s">
        <v>192</v>
      </c>
      <c r="H1630" s="69" t="s">
        <v>804</v>
      </c>
      <c r="I1630" s="69">
        <v>4</v>
      </c>
      <c r="J1630" s="238">
        <v>0.26679999999999998</v>
      </c>
      <c r="K1630" s="238">
        <v>0.72596864170729802</v>
      </c>
      <c r="L1630" s="69">
        <v>182.37028745901023</v>
      </c>
      <c r="M1630" s="69">
        <v>0</v>
      </c>
      <c r="O1630" s="69">
        <v>0</v>
      </c>
      <c r="P1630" s="69">
        <v>0</v>
      </c>
      <c r="Q1630" s="69">
        <v>878.04688810579069</v>
      </c>
      <c r="R1630" s="69">
        <v>929.55526031154886</v>
      </c>
      <c r="S1630" s="69">
        <v>983.05314660494105</v>
      </c>
      <c r="T1630" s="69">
        <v>1040.4843665512894</v>
      </c>
      <c r="U1630" s="69">
        <v>1097.6783972224125</v>
      </c>
      <c r="V1630" s="69">
        <v>1157.3411317429059</v>
      </c>
      <c r="W1630" s="69">
        <v>1217.6994626393489</v>
      </c>
      <c r="X1630" s="69">
        <v>1217.6994626393489</v>
      </c>
      <c r="Y1630" s="69">
        <v>1217.6994626393489</v>
      </c>
      <c r="Z1630" s="69">
        <v>1217.6994626393489</v>
      </c>
      <c r="AA1630" s="69">
        <v>1217.6994626393489</v>
      </c>
      <c r="AB1630" s="69">
        <v>1217.6994626393489</v>
      </c>
      <c r="AC1630" s="69">
        <v>1217.6994626393489</v>
      </c>
      <c r="AD1630" s="69">
        <v>1217.6994626393489</v>
      </c>
      <c r="AE1630" s="69">
        <v>1217.6994626393489</v>
      </c>
      <c r="AF1630" s="69">
        <v>1217.6994626393489</v>
      </c>
      <c r="AG1630" s="69">
        <v>1217.6994626393489</v>
      </c>
    </row>
    <row r="1631" spans="1:33" ht="12.75" customHeight="1">
      <c r="A1631" s="237" t="s">
        <v>2379</v>
      </c>
      <c r="B1631" s="69" t="s">
        <v>2221</v>
      </c>
      <c r="C1631" s="69" t="s">
        <v>136</v>
      </c>
      <c r="G1631" s="69" t="s">
        <v>192</v>
      </c>
      <c r="H1631" s="69" t="s">
        <v>148</v>
      </c>
      <c r="I1631" s="69">
        <v>4</v>
      </c>
      <c r="J1631" s="238">
        <v>0.85</v>
      </c>
      <c r="K1631" s="238">
        <v>0.72</v>
      </c>
      <c r="L1631" s="69">
        <v>102.38230922334316</v>
      </c>
      <c r="M1631" s="69">
        <v>0</v>
      </c>
      <c r="O1631" s="69">
        <v>0</v>
      </c>
      <c r="P1631" s="69">
        <v>0</v>
      </c>
      <c r="Q1631" s="69">
        <v>97.005209789532302</v>
      </c>
      <c r="R1631" s="69">
        <v>103.83947336794986</v>
      </c>
      <c r="S1631" s="69">
        <v>109.22812740054903</v>
      </c>
      <c r="T1631" s="69">
        <v>114.94270739458773</v>
      </c>
      <c r="U1631" s="69">
        <v>120.85315524693476</v>
      </c>
      <c r="V1631" s="69">
        <v>129.03790352698954</v>
      </c>
      <c r="W1631" s="69">
        <v>135.6332736265943</v>
      </c>
      <c r="X1631" s="69">
        <v>135.6332736265943</v>
      </c>
      <c r="Y1631" s="69">
        <v>135.6332736265943</v>
      </c>
      <c r="Z1631" s="69">
        <v>135.6332736265943</v>
      </c>
      <c r="AA1631" s="69">
        <v>135.6332736265943</v>
      </c>
      <c r="AB1631" s="69">
        <v>135.6332736265943</v>
      </c>
      <c r="AC1631" s="69">
        <v>135.6332736265943</v>
      </c>
      <c r="AD1631" s="69">
        <v>135.6332736265943</v>
      </c>
      <c r="AE1631" s="69">
        <v>135.6332736265943</v>
      </c>
      <c r="AF1631" s="69">
        <v>135.6332736265943</v>
      </c>
      <c r="AG1631" s="69">
        <v>135.6332736265943</v>
      </c>
    </row>
    <row r="1632" spans="1:33" ht="12.75" customHeight="1">
      <c r="A1632" s="237" t="s">
        <v>2379</v>
      </c>
      <c r="B1632" s="69" t="s">
        <v>2222</v>
      </c>
      <c r="C1632" s="69" t="s">
        <v>136</v>
      </c>
      <c r="G1632" s="69" t="s">
        <v>192</v>
      </c>
      <c r="H1632" s="69" t="s">
        <v>148</v>
      </c>
      <c r="I1632" s="69">
        <v>4</v>
      </c>
      <c r="J1632" s="238">
        <v>0.85</v>
      </c>
      <c r="K1632" s="238">
        <v>0.72</v>
      </c>
      <c r="L1632" s="69">
        <v>102.38230922334316</v>
      </c>
      <c r="M1632" s="69">
        <v>0</v>
      </c>
      <c r="O1632" s="69">
        <v>0</v>
      </c>
      <c r="P1632" s="69">
        <v>0</v>
      </c>
      <c r="Q1632" s="69">
        <v>97.005209789532302</v>
      </c>
      <c r="R1632" s="69">
        <v>103.83947336794986</v>
      </c>
      <c r="S1632" s="69">
        <v>109.22812740054903</v>
      </c>
      <c r="T1632" s="69">
        <v>114.94270739458773</v>
      </c>
      <c r="U1632" s="69">
        <v>120.85315524693476</v>
      </c>
      <c r="V1632" s="69">
        <v>129.03790352698954</v>
      </c>
      <c r="W1632" s="69">
        <v>135.6332736265943</v>
      </c>
      <c r="X1632" s="69">
        <v>135.6332736265943</v>
      </c>
      <c r="Y1632" s="69">
        <v>135.6332736265943</v>
      </c>
      <c r="Z1632" s="69">
        <v>135.6332736265943</v>
      </c>
      <c r="AA1632" s="69">
        <v>135.6332736265943</v>
      </c>
      <c r="AB1632" s="69">
        <v>135.6332736265943</v>
      </c>
      <c r="AC1632" s="69">
        <v>135.6332736265943</v>
      </c>
      <c r="AD1632" s="69">
        <v>135.6332736265943</v>
      </c>
      <c r="AE1632" s="69">
        <v>135.6332736265943</v>
      </c>
      <c r="AF1632" s="69">
        <v>135.6332736265943</v>
      </c>
      <c r="AG1632" s="69">
        <v>135.6332736265943</v>
      </c>
    </row>
    <row r="1633" spans="1:33" ht="12.75" customHeight="1">
      <c r="A1633" s="237" t="s">
        <v>2379</v>
      </c>
      <c r="B1633" s="69" t="s">
        <v>2223</v>
      </c>
      <c r="C1633" s="69" t="s">
        <v>139</v>
      </c>
      <c r="G1633" s="69" t="s">
        <v>192</v>
      </c>
      <c r="H1633" s="69" t="s">
        <v>805</v>
      </c>
      <c r="I1633" s="69">
        <v>4</v>
      </c>
      <c r="J1633" s="238">
        <v>0.85</v>
      </c>
      <c r="K1633" s="238">
        <v>0.66</v>
      </c>
      <c r="L1633" s="69">
        <v>113.68346667349664</v>
      </c>
      <c r="M1633" s="69">
        <v>0</v>
      </c>
      <c r="O1633" s="69">
        <v>0</v>
      </c>
      <c r="P1633" s="69">
        <v>0</v>
      </c>
      <c r="Q1633" s="69">
        <v>97.005209789532302</v>
      </c>
      <c r="R1633" s="69">
        <v>103.83947336794986</v>
      </c>
      <c r="S1633" s="69">
        <v>109.22812740054903</v>
      </c>
      <c r="T1633" s="69">
        <v>114.94270739458773</v>
      </c>
      <c r="U1633" s="69">
        <v>120.85315524693476</v>
      </c>
      <c r="V1633" s="69">
        <v>129.03790352698954</v>
      </c>
      <c r="W1633" s="69">
        <v>135.6332736265943</v>
      </c>
      <c r="X1633" s="69">
        <v>135.6332736265943</v>
      </c>
      <c r="Y1633" s="69">
        <v>135.6332736265943</v>
      </c>
      <c r="Z1633" s="69">
        <v>135.6332736265943</v>
      </c>
      <c r="AA1633" s="69">
        <v>135.6332736265943</v>
      </c>
      <c r="AB1633" s="69">
        <v>135.6332736265943</v>
      </c>
      <c r="AC1633" s="69">
        <v>135.6332736265943</v>
      </c>
      <c r="AD1633" s="69">
        <v>135.6332736265943</v>
      </c>
      <c r="AE1633" s="69">
        <v>135.6332736265943</v>
      </c>
      <c r="AF1633" s="69">
        <v>135.6332736265943</v>
      </c>
      <c r="AG1633" s="69">
        <v>135.6332736265943</v>
      </c>
    </row>
    <row r="1634" spans="1:33" ht="12.75" customHeight="1">
      <c r="A1634" s="237" t="s">
        <v>2379</v>
      </c>
      <c r="B1634" s="69" t="s">
        <v>2224</v>
      </c>
      <c r="C1634" s="69" t="s">
        <v>139</v>
      </c>
      <c r="G1634" s="69" t="s">
        <v>192</v>
      </c>
      <c r="H1634" s="69" t="s">
        <v>148</v>
      </c>
      <c r="I1634" s="69">
        <v>4</v>
      </c>
      <c r="J1634" s="238">
        <v>0.85</v>
      </c>
      <c r="K1634" s="238">
        <v>0.66</v>
      </c>
      <c r="L1634" s="69">
        <v>113.68346667349664</v>
      </c>
      <c r="M1634" s="69">
        <v>0</v>
      </c>
      <c r="O1634" s="69">
        <v>0</v>
      </c>
      <c r="P1634" s="69">
        <v>0</v>
      </c>
      <c r="Q1634" s="69">
        <v>97.005209789532302</v>
      </c>
      <c r="R1634" s="69">
        <v>103.83947336794986</v>
      </c>
      <c r="S1634" s="69">
        <v>109.22812740054903</v>
      </c>
      <c r="T1634" s="69">
        <v>114.94270739458773</v>
      </c>
      <c r="U1634" s="69">
        <v>120.85315524693476</v>
      </c>
      <c r="V1634" s="69">
        <v>129.03790352698954</v>
      </c>
      <c r="W1634" s="69">
        <v>135.6332736265943</v>
      </c>
      <c r="X1634" s="69">
        <v>135.6332736265943</v>
      </c>
      <c r="Y1634" s="69">
        <v>135.6332736265943</v>
      </c>
      <c r="Z1634" s="69">
        <v>135.6332736265943</v>
      </c>
      <c r="AA1634" s="69">
        <v>135.6332736265943</v>
      </c>
      <c r="AB1634" s="69">
        <v>135.6332736265943</v>
      </c>
      <c r="AC1634" s="69">
        <v>135.6332736265943</v>
      </c>
      <c r="AD1634" s="69">
        <v>135.6332736265943</v>
      </c>
      <c r="AE1634" s="69">
        <v>135.6332736265943</v>
      </c>
      <c r="AF1634" s="69">
        <v>135.6332736265943</v>
      </c>
      <c r="AG1634" s="69">
        <v>135.6332736265943</v>
      </c>
    </row>
  </sheetData>
  <autoFilter ref="A10:AG163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>
    <tabColor theme="7" tint="0.39997558519241921"/>
  </sheetPr>
  <dimension ref="A7:AA123"/>
  <sheetViews>
    <sheetView zoomScale="85" zoomScaleNormal="85" workbookViewId="0">
      <selection activeCell="H129" sqref="H129"/>
    </sheetView>
  </sheetViews>
  <sheetFormatPr defaultRowHeight="12.75"/>
  <cols>
    <col min="1" max="3" width="9.140625" style="228"/>
    <col min="4" max="4" width="18" style="228" bestFit="1" customWidth="1"/>
    <col min="5" max="5" width="15.42578125" style="228" bestFit="1" customWidth="1"/>
    <col min="6" max="6" width="9.140625" style="228"/>
    <col min="7" max="7" width="17.28515625" style="228" bestFit="1" customWidth="1"/>
    <col min="8" max="16384" width="9.140625" style="228"/>
  </cols>
  <sheetData>
    <row r="7" spans="1:27">
      <c r="A7" s="228" t="s">
        <v>2084</v>
      </c>
      <c r="B7" s="228" t="s">
        <v>113</v>
      </c>
      <c r="C7" s="228" t="s">
        <v>2142</v>
      </c>
      <c r="D7" s="228" t="s">
        <v>2349</v>
      </c>
      <c r="E7" s="228" t="s">
        <v>2350</v>
      </c>
      <c r="F7" s="228" t="s">
        <v>2108</v>
      </c>
      <c r="G7" s="228" t="s">
        <v>2107</v>
      </c>
      <c r="H7" s="228">
        <v>2011</v>
      </c>
      <c r="I7" s="228">
        <v>2012</v>
      </c>
      <c r="J7" s="228">
        <v>2013</v>
      </c>
      <c r="K7" s="228">
        <v>2014</v>
      </c>
      <c r="L7" s="228">
        <v>2015</v>
      </c>
      <c r="M7" s="228">
        <v>2016</v>
      </c>
      <c r="N7" s="228">
        <v>2017</v>
      </c>
      <c r="O7" s="228">
        <v>2018</v>
      </c>
      <c r="P7" s="228">
        <v>2019</v>
      </c>
      <c r="Q7" s="228">
        <v>2020</v>
      </c>
      <c r="R7" s="228">
        <v>2021</v>
      </c>
      <c r="S7" s="228">
        <v>2022</v>
      </c>
      <c r="T7" s="228">
        <v>2023</v>
      </c>
      <c r="U7" s="228">
        <v>2024</v>
      </c>
      <c r="V7" s="228">
        <v>2025</v>
      </c>
      <c r="W7" s="228">
        <v>2026</v>
      </c>
      <c r="X7" s="228">
        <v>2027</v>
      </c>
      <c r="Y7" s="228">
        <v>2028</v>
      </c>
      <c r="Z7" s="228">
        <v>2029</v>
      </c>
      <c r="AA7" s="228">
        <v>2030</v>
      </c>
    </row>
    <row r="8" spans="1:27" hidden="1">
      <c r="A8" s="228" t="s">
        <v>2351</v>
      </c>
      <c r="B8" s="228" t="s">
        <v>805</v>
      </c>
      <c r="C8" s="228" t="s">
        <v>2352</v>
      </c>
      <c r="D8" s="228" t="s">
        <v>2353</v>
      </c>
      <c r="E8" s="228" t="s">
        <v>2306</v>
      </c>
      <c r="F8" s="228" t="s">
        <v>2109</v>
      </c>
      <c r="G8" s="228" t="str">
        <f>E8&amp;"_"&amp;A8</f>
        <v>PGE_SALES_1L</v>
      </c>
      <c r="H8" s="228">
        <v>86682.04</v>
      </c>
      <c r="I8" s="228">
        <v>87881.75</v>
      </c>
      <c r="J8" s="228">
        <v>89267.82</v>
      </c>
      <c r="K8" s="228">
        <v>90265.03</v>
      </c>
      <c r="L8" s="228">
        <v>91252.55</v>
      </c>
      <c r="M8" s="228">
        <v>92276.58</v>
      </c>
      <c r="N8" s="228">
        <v>93389.92</v>
      </c>
      <c r="O8" s="228">
        <v>94445.52</v>
      </c>
      <c r="P8" s="228">
        <v>95500.63</v>
      </c>
      <c r="Q8" s="228">
        <v>96612.25</v>
      </c>
    </row>
    <row r="9" spans="1:27" hidden="1">
      <c r="A9" s="228" t="s">
        <v>2351</v>
      </c>
      <c r="B9" s="228" t="s">
        <v>804</v>
      </c>
      <c r="C9" s="228" t="s">
        <v>2352</v>
      </c>
      <c r="D9" s="228" t="s">
        <v>2353</v>
      </c>
      <c r="E9" s="228" t="s">
        <v>2307</v>
      </c>
      <c r="F9" s="228" t="s">
        <v>2109</v>
      </c>
      <c r="G9" s="228" t="str">
        <f t="shared" ref="G9:G36" si="0">E9&amp;"_"&amp;A9</f>
        <v>SCE_SALES_1L</v>
      </c>
      <c r="H9" s="228">
        <v>87319.679999999993</v>
      </c>
      <c r="I9" s="228">
        <v>88485.11</v>
      </c>
      <c r="J9" s="228">
        <v>89912.49</v>
      </c>
      <c r="K9" s="228">
        <v>90992.4</v>
      </c>
      <c r="L9" s="228">
        <v>92120.62</v>
      </c>
      <c r="M9" s="228">
        <v>93274.17</v>
      </c>
      <c r="N9" s="228">
        <v>94467.66</v>
      </c>
      <c r="O9" s="228">
        <v>95616.28</v>
      </c>
      <c r="P9" s="228">
        <v>96783.039999999994</v>
      </c>
      <c r="Q9" s="228">
        <v>97995.33</v>
      </c>
    </row>
    <row r="10" spans="1:27" hidden="1">
      <c r="A10" s="228" t="s">
        <v>2351</v>
      </c>
      <c r="B10" s="228" t="s">
        <v>2130</v>
      </c>
      <c r="C10" s="228" t="s">
        <v>2352</v>
      </c>
      <c r="D10" s="228" t="s">
        <v>2353</v>
      </c>
      <c r="E10" s="228" t="s">
        <v>2308</v>
      </c>
      <c r="F10" s="228" t="s">
        <v>2109</v>
      </c>
      <c r="G10" s="228" t="str">
        <f t="shared" si="0"/>
        <v>SDGE_SALES_1L</v>
      </c>
      <c r="H10" s="228">
        <v>20488.075419128018</v>
      </c>
      <c r="I10" s="228">
        <v>20808.685761089291</v>
      </c>
      <c r="J10" s="228">
        <v>21178.894164285219</v>
      </c>
      <c r="K10" s="228">
        <v>21456.995890429269</v>
      </c>
      <c r="L10" s="228">
        <v>21741.612687431767</v>
      </c>
      <c r="M10" s="228">
        <v>21996.665118608398</v>
      </c>
      <c r="N10" s="228">
        <v>22265.957192738253</v>
      </c>
      <c r="O10" s="228">
        <v>22532.320846751725</v>
      </c>
      <c r="P10" s="228">
        <v>22816.401974887325</v>
      </c>
      <c r="Q10" s="228">
        <v>23102.300508587083</v>
      </c>
    </row>
    <row r="11" spans="1:27">
      <c r="A11" s="228" t="s">
        <v>2351</v>
      </c>
      <c r="B11" s="228" t="s">
        <v>2131</v>
      </c>
      <c r="C11" s="228" t="s">
        <v>2352</v>
      </c>
      <c r="D11" s="228" t="s">
        <v>2353</v>
      </c>
      <c r="E11" s="228" t="s">
        <v>2310</v>
      </c>
      <c r="F11" s="228" t="s">
        <v>2109</v>
      </c>
      <c r="G11" s="228" t="str">
        <f t="shared" si="0"/>
        <v>CAISO_SALES_1L</v>
      </c>
      <c r="H11" s="228">
        <v>209660.82427382804</v>
      </c>
      <c r="I11" s="228">
        <v>212590.6440043363</v>
      </c>
      <c r="J11" s="228">
        <v>216000.92088996465</v>
      </c>
      <c r="K11" s="228">
        <v>218509.48028336553</v>
      </c>
      <c r="L11" s="228">
        <v>221071.0940242974</v>
      </c>
      <c r="M11" s="228">
        <v>223670.17276884269</v>
      </c>
      <c r="N11" s="228">
        <v>226417.96061947488</v>
      </c>
      <c r="O11" s="228">
        <v>229045.61960775565</v>
      </c>
      <c r="P11" s="228">
        <v>231707.93572350134</v>
      </c>
      <c r="Q11" s="228">
        <v>234479.12899468723</v>
      </c>
    </row>
    <row r="12" spans="1:27" hidden="1">
      <c r="A12" s="228" t="s">
        <v>2351</v>
      </c>
      <c r="B12" s="228" t="s">
        <v>805</v>
      </c>
      <c r="C12" s="228" t="s">
        <v>2352</v>
      </c>
      <c r="D12" s="228" t="s">
        <v>2354</v>
      </c>
      <c r="E12" s="228" t="s">
        <v>2331</v>
      </c>
      <c r="F12" s="228" t="s">
        <v>2064</v>
      </c>
      <c r="G12" s="228" t="str">
        <f t="shared" si="0"/>
        <v>PGE_PEAK_1L</v>
      </c>
      <c r="H12" s="228">
        <v>20193.04</v>
      </c>
      <c r="I12" s="228">
        <v>20510.330000000002</v>
      </c>
      <c r="J12" s="228">
        <v>20828.990000000002</v>
      </c>
      <c r="K12" s="228">
        <v>21071.47</v>
      </c>
      <c r="L12" s="228">
        <v>21318.160000000003</v>
      </c>
      <c r="M12" s="228">
        <v>21572.009999999995</v>
      </c>
      <c r="N12" s="228">
        <v>21851.200000000004</v>
      </c>
      <c r="O12" s="228">
        <v>22117.29</v>
      </c>
      <c r="P12" s="228">
        <v>22382.9</v>
      </c>
      <c r="Q12" s="228">
        <v>22683.42</v>
      </c>
    </row>
    <row r="13" spans="1:27" hidden="1">
      <c r="A13" s="228" t="s">
        <v>2351</v>
      </c>
      <c r="B13" s="228" t="s">
        <v>804</v>
      </c>
      <c r="C13" s="228" t="s">
        <v>2352</v>
      </c>
      <c r="D13" s="228" t="s">
        <v>2354</v>
      </c>
      <c r="E13" s="228" t="s">
        <v>2332</v>
      </c>
      <c r="F13" s="228" t="s">
        <v>2064</v>
      </c>
      <c r="G13" s="228" t="str">
        <f t="shared" si="0"/>
        <v>SCE_PEAK_1L</v>
      </c>
      <c r="H13" s="228">
        <v>21304.68</v>
      </c>
      <c r="I13" s="228">
        <v>21634.29</v>
      </c>
      <c r="J13" s="228">
        <v>21980.859999999997</v>
      </c>
      <c r="K13" s="228">
        <v>22262.240000000002</v>
      </c>
      <c r="L13" s="228">
        <v>22560.980000000003</v>
      </c>
      <c r="M13" s="228">
        <v>22867.190000000002</v>
      </c>
      <c r="N13" s="228">
        <v>23188.98</v>
      </c>
      <c r="O13" s="228">
        <v>23497.3</v>
      </c>
      <c r="P13" s="228">
        <v>23809.66</v>
      </c>
      <c r="Q13" s="228">
        <v>24145.919999999998</v>
      </c>
    </row>
    <row r="14" spans="1:27" hidden="1">
      <c r="A14" s="228" t="s">
        <v>2351</v>
      </c>
      <c r="B14" s="228" t="s">
        <v>2130</v>
      </c>
      <c r="C14" s="228" t="s">
        <v>2352</v>
      </c>
      <c r="D14" s="228" t="s">
        <v>2354</v>
      </c>
      <c r="E14" s="228" t="s">
        <v>2333</v>
      </c>
      <c r="F14" s="228" t="s">
        <v>2064</v>
      </c>
      <c r="G14" s="228" t="str">
        <f t="shared" si="0"/>
        <v>SDGE_PEAK_1L</v>
      </c>
      <c r="H14" s="228">
        <v>4577.8518029818706</v>
      </c>
      <c r="I14" s="228">
        <v>4658.160884992295</v>
      </c>
      <c r="J14" s="228">
        <v>4738.2793859617796</v>
      </c>
      <c r="K14" s="228">
        <v>4797.0323924099712</v>
      </c>
      <c r="L14" s="228">
        <v>4855.5745940273855</v>
      </c>
      <c r="M14" s="228">
        <v>4910.7257147806076</v>
      </c>
      <c r="N14" s="228">
        <v>4972.9216747097398</v>
      </c>
      <c r="O14" s="228">
        <v>5031.7743098064821</v>
      </c>
      <c r="P14" s="228">
        <v>5094.0197077610856</v>
      </c>
      <c r="Q14" s="228">
        <v>5157.0227966590292</v>
      </c>
    </row>
    <row r="15" spans="1:27" hidden="1">
      <c r="A15" s="228" t="s">
        <v>2351</v>
      </c>
      <c r="B15" s="228" t="s">
        <v>2131</v>
      </c>
      <c r="C15" s="228" t="s">
        <v>2352</v>
      </c>
      <c r="D15" s="228" t="s">
        <v>2354</v>
      </c>
      <c r="E15" s="228" t="s">
        <v>2336</v>
      </c>
      <c r="F15" s="228" t="s">
        <v>2064</v>
      </c>
      <c r="G15" s="228" t="str">
        <f t="shared" si="0"/>
        <v>CAISO_PEAK_1L</v>
      </c>
      <c r="H15" s="228">
        <v>49142.542093565775</v>
      </c>
      <c r="I15" s="228">
        <v>49901.636376232265</v>
      </c>
      <c r="J15" s="228">
        <v>50678.094414789019</v>
      </c>
      <c r="K15" s="228">
        <v>51283.45558650911</v>
      </c>
      <c r="L15" s="228">
        <v>51913.100161488626</v>
      </c>
      <c r="M15" s="228">
        <v>52554.564363406695</v>
      </c>
      <c r="N15" s="228">
        <v>53246.484063441087</v>
      </c>
      <c r="O15" s="228">
        <v>53905.276426870507</v>
      </c>
      <c r="P15" s="228">
        <v>54571.080528764942</v>
      </c>
      <c r="Q15" s="228">
        <v>55298.19607255498</v>
      </c>
    </row>
    <row r="16" spans="1:27" hidden="1">
      <c r="A16" s="228" t="s">
        <v>2351</v>
      </c>
      <c r="B16" s="228" t="s">
        <v>805</v>
      </c>
      <c r="C16" s="228" t="s">
        <v>4</v>
      </c>
      <c r="D16" s="228" t="s">
        <v>2355</v>
      </c>
      <c r="E16" s="228" t="s">
        <v>2356</v>
      </c>
      <c r="F16" s="228" t="s">
        <v>2064</v>
      </c>
      <c r="G16" s="228" t="str">
        <f t="shared" si="0"/>
        <v>PGE_DCHP_INST_1L</v>
      </c>
      <c r="H16" s="228">
        <v>37.276357238372086</v>
      </c>
      <c r="I16" s="228">
        <v>74.552714476744171</v>
      </c>
      <c r="J16" s="228">
        <v>111.82907171511626</v>
      </c>
      <c r="K16" s="228">
        <v>149.10542895348834</v>
      </c>
      <c r="L16" s="228">
        <v>186.38178619186044</v>
      </c>
      <c r="M16" s="228">
        <v>223.65814343023254</v>
      </c>
      <c r="N16" s="228">
        <v>260.93450066860464</v>
      </c>
      <c r="O16" s="228">
        <v>298.21085790697674</v>
      </c>
      <c r="P16" s="228">
        <v>335.48721514534884</v>
      </c>
      <c r="Q16" s="228">
        <v>372.76357238372094</v>
      </c>
    </row>
    <row r="17" spans="1:17" hidden="1">
      <c r="A17" s="228" t="s">
        <v>2351</v>
      </c>
      <c r="B17" s="228" t="s">
        <v>804</v>
      </c>
      <c r="C17" s="228" t="s">
        <v>4</v>
      </c>
      <c r="D17" s="228" t="s">
        <v>2355</v>
      </c>
      <c r="E17" s="228" t="s">
        <v>2357</v>
      </c>
      <c r="F17" s="228" t="s">
        <v>2064</v>
      </c>
      <c r="G17" s="228" t="str">
        <f t="shared" si="0"/>
        <v>SCE_DCHP_INST_1L</v>
      </c>
      <c r="H17" s="228">
        <v>33.385112354651163</v>
      </c>
      <c r="I17" s="228">
        <v>66.770224709302326</v>
      </c>
      <c r="J17" s="228">
        <v>100.15533706395348</v>
      </c>
      <c r="K17" s="228">
        <v>133.54044941860465</v>
      </c>
      <c r="L17" s="228">
        <v>166.92556177325582</v>
      </c>
      <c r="M17" s="228">
        <v>200.31067412790699</v>
      </c>
      <c r="N17" s="228">
        <v>233.69578648255816</v>
      </c>
      <c r="O17" s="228">
        <v>267.0808988372093</v>
      </c>
      <c r="P17" s="228">
        <v>300.46601119186045</v>
      </c>
      <c r="Q17" s="228">
        <v>333.85112354651159</v>
      </c>
    </row>
    <row r="18" spans="1:17" hidden="1">
      <c r="A18" s="228" t="s">
        <v>2351</v>
      </c>
      <c r="B18" s="228" t="s">
        <v>2130</v>
      </c>
      <c r="C18" s="228" t="s">
        <v>4</v>
      </c>
      <c r="D18" s="228" t="s">
        <v>2355</v>
      </c>
      <c r="E18" s="228" t="s">
        <v>2358</v>
      </c>
      <c r="F18" s="228" t="s">
        <v>2064</v>
      </c>
      <c r="G18" s="228" t="str">
        <f t="shared" si="0"/>
        <v>SDGE_DCHP_INST_1L</v>
      </c>
      <c r="H18" s="228">
        <v>5.3946804069767413</v>
      </c>
      <c r="I18" s="228">
        <v>10.789360813953483</v>
      </c>
      <c r="J18" s="228">
        <v>16.184041220930226</v>
      </c>
      <c r="K18" s="228">
        <v>21.578721627906965</v>
      </c>
      <c r="L18" s="228">
        <v>26.973402034883705</v>
      </c>
      <c r="M18" s="228">
        <v>32.368082441860444</v>
      </c>
      <c r="N18" s="228">
        <v>37.762762848837184</v>
      </c>
      <c r="O18" s="228">
        <v>43.157443255813924</v>
      </c>
      <c r="P18" s="228">
        <v>48.552123662790663</v>
      </c>
      <c r="Q18" s="228">
        <v>53.946804069767403</v>
      </c>
    </row>
    <row r="19" spans="1:17" hidden="1">
      <c r="A19" s="228" t="s">
        <v>2351</v>
      </c>
      <c r="B19" s="228" t="s">
        <v>805</v>
      </c>
      <c r="C19" s="228" t="s">
        <v>4</v>
      </c>
      <c r="D19" s="228" t="s">
        <v>2355</v>
      </c>
      <c r="E19" s="228" t="s">
        <v>2359</v>
      </c>
      <c r="F19" s="228" t="s">
        <v>2064</v>
      </c>
      <c r="G19" s="228" t="str">
        <f>E19&amp;"_"&amp;A19</f>
        <v>PGE_SCHP_INST_1L</v>
      </c>
      <c r="H19" s="228">
        <v>40.875038770281797</v>
      </c>
      <c r="I19" s="228">
        <v>81.750077540563595</v>
      </c>
      <c r="J19" s="228">
        <v>122.62511631084539</v>
      </c>
      <c r="K19" s="228">
        <v>163.50015508112719</v>
      </c>
      <c r="L19" s="228">
        <v>204.37519385140899</v>
      </c>
      <c r="M19" s="228">
        <v>245.2502326216908</v>
      </c>
      <c r="N19" s="228">
        <v>286.1252713919726</v>
      </c>
      <c r="O19" s="228">
        <v>327.00031016225438</v>
      </c>
      <c r="P19" s="228">
        <v>367.87534893253616</v>
      </c>
      <c r="Q19" s="228">
        <v>408.75038770281793</v>
      </c>
    </row>
    <row r="20" spans="1:17" hidden="1">
      <c r="A20" s="228" t="s">
        <v>2351</v>
      </c>
      <c r="B20" s="228" t="s">
        <v>804</v>
      </c>
      <c r="C20" s="228" t="s">
        <v>4</v>
      </c>
      <c r="D20" s="228" t="s">
        <v>2355</v>
      </c>
      <c r="E20" s="228" t="s">
        <v>2360</v>
      </c>
      <c r="F20" s="228" t="s">
        <v>2064</v>
      </c>
      <c r="G20" s="228" t="str">
        <f>E20&amp;"_"&amp;A20</f>
        <v>SCE_SCHP_INST_1L</v>
      </c>
      <c r="H20" s="228">
        <v>32.236722843723307</v>
      </c>
      <c r="I20" s="228">
        <v>64.473445687446613</v>
      </c>
      <c r="J20" s="228">
        <v>96.710168531169927</v>
      </c>
      <c r="K20" s="228">
        <v>128.94689137489323</v>
      </c>
      <c r="L20" s="228">
        <v>161.18361421861653</v>
      </c>
      <c r="M20" s="228">
        <v>193.42033706233983</v>
      </c>
      <c r="N20" s="228">
        <v>225.65705990606313</v>
      </c>
      <c r="O20" s="228">
        <v>257.89378274978645</v>
      </c>
      <c r="P20" s="228">
        <v>290.13050559350978</v>
      </c>
      <c r="Q20" s="228">
        <v>322.36722843723311</v>
      </c>
    </row>
    <row r="21" spans="1:17" hidden="1">
      <c r="A21" s="228" t="s">
        <v>2351</v>
      </c>
      <c r="B21" s="228" t="s">
        <v>2130</v>
      </c>
      <c r="C21" s="228" t="s">
        <v>4</v>
      </c>
      <c r="D21" s="228" t="s">
        <v>2355</v>
      </c>
      <c r="E21" s="228" t="s">
        <v>2361</v>
      </c>
      <c r="F21" s="228" t="s">
        <v>2064</v>
      </c>
      <c r="G21" s="228" t="str">
        <f>E21&amp;"_"&amp;A21</f>
        <v>SDGE_SCHP_INST_1L</v>
      </c>
      <c r="H21" s="228">
        <v>2.9443883859948756</v>
      </c>
      <c r="I21" s="228">
        <v>5.8887767719897512</v>
      </c>
      <c r="J21" s="228">
        <v>8.8331651579846273</v>
      </c>
      <c r="K21" s="228">
        <v>11.777553543979502</v>
      </c>
      <c r="L21" s="228">
        <v>14.721941929974378</v>
      </c>
      <c r="M21" s="228">
        <v>17.666330315969255</v>
      </c>
      <c r="N21" s="228">
        <v>20.610718701964132</v>
      </c>
      <c r="O21" s="228">
        <v>23.555107087959009</v>
      </c>
      <c r="P21" s="228">
        <v>26.499495473953885</v>
      </c>
      <c r="Q21" s="228">
        <v>29.443883859948762</v>
      </c>
    </row>
    <row r="22" spans="1:17" hidden="1">
      <c r="A22" s="228" t="s">
        <v>2351</v>
      </c>
      <c r="B22" s="228" t="s">
        <v>805</v>
      </c>
      <c r="C22" s="228" t="s">
        <v>4</v>
      </c>
      <c r="D22" s="228" t="s">
        <v>2353</v>
      </c>
      <c r="E22" s="228" t="s">
        <v>2316</v>
      </c>
      <c r="F22" s="228" t="s">
        <v>2109</v>
      </c>
      <c r="G22" s="228" t="str">
        <f t="shared" si="0"/>
        <v>PGE_DCHP_SALES_1L</v>
      </c>
      <c r="H22" s="228">
        <v>301.07070003430459</v>
      </c>
      <c r="I22" s="228">
        <v>602.14140006860919</v>
      </c>
      <c r="J22" s="228">
        <v>903.21210010291372</v>
      </c>
      <c r="K22" s="228">
        <v>1204.2828001372184</v>
      </c>
      <c r="L22" s="228">
        <v>1505.3535001715231</v>
      </c>
      <c r="M22" s="228">
        <v>1806.4242002058277</v>
      </c>
      <c r="N22" s="228">
        <v>2107.4949002401327</v>
      </c>
      <c r="O22" s="228">
        <v>2408.5656002744372</v>
      </c>
      <c r="P22" s="228">
        <v>2709.6363003087417</v>
      </c>
      <c r="Q22" s="228">
        <v>3010.7070003430467</v>
      </c>
    </row>
    <row r="23" spans="1:17" hidden="1">
      <c r="A23" s="228" t="s">
        <v>2351</v>
      </c>
      <c r="B23" s="228" t="s">
        <v>804</v>
      </c>
      <c r="C23" s="228" t="s">
        <v>4</v>
      </c>
      <c r="D23" s="228" t="s">
        <v>2353</v>
      </c>
      <c r="E23" s="228" t="s">
        <v>2317</v>
      </c>
      <c r="F23" s="228" t="s">
        <v>2109</v>
      </c>
      <c r="G23" s="228" t="str">
        <f t="shared" si="0"/>
        <v>SCE_DCHP_SALES_1L</v>
      </c>
      <c r="H23" s="228">
        <v>269.64220465705813</v>
      </c>
      <c r="I23" s="228">
        <v>539.28440931411626</v>
      </c>
      <c r="J23" s="228">
        <v>808.92661397117445</v>
      </c>
      <c r="K23" s="228">
        <v>1078.5688186282325</v>
      </c>
      <c r="L23" s="228">
        <v>1348.2110232852908</v>
      </c>
      <c r="M23" s="228">
        <v>1617.8532279423491</v>
      </c>
      <c r="N23" s="228">
        <v>1887.4954325994072</v>
      </c>
      <c r="O23" s="228">
        <v>2157.137637256465</v>
      </c>
      <c r="P23" s="228">
        <v>2426.7798419135233</v>
      </c>
      <c r="Q23" s="228">
        <v>2696.4220465705807</v>
      </c>
    </row>
    <row r="24" spans="1:17" hidden="1">
      <c r="A24" s="228" t="s">
        <v>2351</v>
      </c>
      <c r="B24" s="228" t="s">
        <v>2130</v>
      </c>
      <c r="C24" s="228" t="s">
        <v>4</v>
      </c>
      <c r="D24" s="228" t="s">
        <v>2353</v>
      </c>
      <c r="E24" s="228" t="s">
        <v>2318</v>
      </c>
      <c r="F24" s="228" t="s">
        <v>2109</v>
      </c>
      <c r="G24" s="228" t="str">
        <f t="shared" si="0"/>
        <v>SDGE_DCHP_SALES_1L</v>
      </c>
      <c r="H24" s="228">
        <v>43.57132313663719</v>
      </c>
      <c r="I24" s="228">
        <v>87.14264627327438</v>
      </c>
      <c r="J24" s="228">
        <v>130.71396940991158</v>
      </c>
      <c r="K24" s="228">
        <v>174.28529254654876</v>
      </c>
      <c r="L24" s="228">
        <v>217.85661568318594</v>
      </c>
      <c r="M24" s="228">
        <v>261.42793881982311</v>
      </c>
      <c r="N24" s="228">
        <v>304.99926195646026</v>
      </c>
      <c r="O24" s="228">
        <v>348.57058509309746</v>
      </c>
      <c r="P24" s="228">
        <v>392.14190822973461</v>
      </c>
      <c r="Q24" s="228">
        <v>435.71323136637182</v>
      </c>
    </row>
    <row r="25" spans="1:17" hidden="1">
      <c r="A25" s="228" t="s">
        <v>2351</v>
      </c>
      <c r="B25" s="228" t="s">
        <v>805</v>
      </c>
      <c r="C25" s="228" t="s">
        <v>4</v>
      </c>
      <c r="D25" s="228" t="s">
        <v>2354</v>
      </c>
      <c r="E25" s="228" t="s">
        <v>2340</v>
      </c>
      <c r="F25" s="228" t="s">
        <v>2064</v>
      </c>
      <c r="G25" s="228" t="str">
        <f t="shared" si="0"/>
        <v>PGE_DCHP_PEAK_1L</v>
      </c>
      <c r="H25" s="228">
        <v>40.146636745726738</v>
      </c>
      <c r="I25" s="228">
        <v>80.293273491453476</v>
      </c>
      <c r="J25" s="228">
        <v>120.4399102371802</v>
      </c>
      <c r="K25" s="228">
        <v>160.58654698290695</v>
      </c>
      <c r="L25" s="228">
        <v>200.73318372863369</v>
      </c>
      <c r="M25" s="228">
        <v>240.87982047436043</v>
      </c>
      <c r="N25" s="228">
        <v>281.0264572200872</v>
      </c>
      <c r="O25" s="228">
        <v>321.17309396581396</v>
      </c>
      <c r="P25" s="228">
        <v>361.31973071154067</v>
      </c>
      <c r="Q25" s="228">
        <v>401.46636745726744</v>
      </c>
    </row>
    <row r="26" spans="1:17" hidden="1">
      <c r="A26" s="228" t="s">
        <v>2351</v>
      </c>
      <c r="B26" s="228" t="s">
        <v>804</v>
      </c>
      <c r="C26" s="228" t="s">
        <v>4</v>
      </c>
      <c r="D26" s="228" t="s">
        <v>2354</v>
      </c>
      <c r="E26" s="228" t="s">
        <v>2341</v>
      </c>
      <c r="F26" s="228" t="s">
        <v>2064</v>
      </c>
      <c r="G26" s="228" t="str">
        <f t="shared" si="0"/>
        <v>SCE_DCHP_PEAK_1L</v>
      </c>
      <c r="H26" s="228">
        <v>35.955766005959298</v>
      </c>
      <c r="I26" s="228">
        <v>71.911532011918595</v>
      </c>
      <c r="J26" s="228">
        <v>107.8672980178779</v>
      </c>
      <c r="K26" s="228">
        <v>143.82306402383719</v>
      </c>
      <c r="L26" s="228">
        <v>179.77883002979652</v>
      </c>
      <c r="M26" s="228">
        <v>215.73459603575583</v>
      </c>
      <c r="N26" s="228">
        <v>251.69036204171513</v>
      </c>
      <c r="O26" s="228">
        <v>287.64612804767438</v>
      </c>
      <c r="P26" s="228">
        <v>323.60189405363371</v>
      </c>
      <c r="Q26" s="228">
        <v>359.55766005959299</v>
      </c>
    </row>
    <row r="27" spans="1:17" hidden="1">
      <c r="A27" s="228" t="s">
        <v>2351</v>
      </c>
      <c r="B27" s="228" t="s">
        <v>2130</v>
      </c>
      <c r="C27" s="228" t="s">
        <v>4</v>
      </c>
      <c r="D27" s="228" t="s">
        <v>2354</v>
      </c>
      <c r="E27" s="228" t="s">
        <v>2342</v>
      </c>
      <c r="F27" s="228" t="s">
        <v>2064</v>
      </c>
      <c r="G27" s="228" t="str">
        <f t="shared" si="0"/>
        <v>SDGE_DCHP_PEAK_1L</v>
      </c>
      <c r="H27" s="228">
        <v>5.8100707983139506</v>
      </c>
      <c r="I27" s="228">
        <v>11.620141596627901</v>
      </c>
      <c r="J27" s="228">
        <v>17.430212394941851</v>
      </c>
      <c r="K27" s="228">
        <v>23.240283193255802</v>
      </c>
      <c r="L27" s="228">
        <v>29.05035399156975</v>
      </c>
      <c r="M27" s="228">
        <v>34.860424789883695</v>
      </c>
      <c r="N27" s="228">
        <v>40.670495588197646</v>
      </c>
      <c r="O27" s="228">
        <v>46.48056638651159</v>
      </c>
      <c r="P27" s="228">
        <v>52.290637184825542</v>
      </c>
      <c r="Q27" s="228">
        <v>58.100707983139493</v>
      </c>
    </row>
    <row r="28" spans="1:17" hidden="1">
      <c r="A28" s="228" t="s">
        <v>2351</v>
      </c>
      <c r="B28" s="228" t="s">
        <v>805</v>
      </c>
      <c r="C28" s="228" t="s">
        <v>2362</v>
      </c>
      <c r="D28" s="228" t="s">
        <v>2354</v>
      </c>
      <c r="E28" s="228" t="s">
        <v>2343</v>
      </c>
      <c r="F28" s="228" t="s">
        <v>2064</v>
      </c>
      <c r="G28" s="228" t="str">
        <f t="shared" si="0"/>
        <v>PGE_DR_PEAK_1L</v>
      </c>
      <c r="H28" s="228">
        <v>1353.99</v>
      </c>
      <c r="I28" s="228">
        <v>1627.0260000000001</v>
      </c>
      <c r="J28" s="228">
        <v>1669.548</v>
      </c>
      <c r="K28" s="228">
        <v>1715.4269999999999</v>
      </c>
      <c r="L28" s="228">
        <v>1766.9010000000001</v>
      </c>
      <c r="M28" s="228">
        <v>1816.1369999999999</v>
      </c>
      <c r="N28" s="228">
        <v>1865.373</v>
      </c>
      <c r="O28" s="228">
        <v>1911.252</v>
      </c>
      <c r="P28" s="228">
        <v>1956.0119999999999</v>
      </c>
      <c r="Q28" s="228">
        <v>2000.7719999999999</v>
      </c>
    </row>
    <row r="29" spans="1:17" hidden="1">
      <c r="A29" s="228" t="s">
        <v>2351</v>
      </c>
      <c r="B29" s="228" t="s">
        <v>804</v>
      </c>
      <c r="C29" s="228" t="s">
        <v>2362</v>
      </c>
      <c r="D29" s="228" t="s">
        <v>2354</v>
      </c>
      <c r="E29" s="228" t="s">
        <v>2344</v>
      </c>
      <c r="F29" s="228" t="s">
        <v>2064</v>
      </c>
      <c r="G29" s="228" t="str">
        <f t="shared" si="0"/>
        <v>SCE_DR_PEAK_1L</v>
      </c>
      <c r="H29" s="228">
        <v>1641.4232</v>
      </c>
      <c r="I29" s="228">
        <v>2502</v>
      </c>
      <c r="J29" s="228">
        <v>2685.48</v>
      </c>
      <c r="K29" s="228">
        <v>2748.864</v>
      </c>
      <c r="L29" s="228">
        <v>2842.2720000000004</v>
      </c>
      <c r="M29" s="228">
        <v>2842.2720000000004</v>
      </c>
      <c r="N29" s="228">
        <v>2842.2720000000004</v>
      </c>
      <c r="O29" s="228">
        <v>2842.2720000000004</v>
      </c>
      <c r="P29" s="228">
        <v>2842.2720000000004</v>
      </c>
      <c r="Q29" s="228">
        <v>2842.2720000000004</v>
      </c>
    </row>
    <row r="30" spans="1:17" hidden="1">
      <c r="A30" s="228" t="s">
        <v>2351</v>
      </c>
      <c r="B30" s="228" t="s">
        <v>2130</v>
      </c>
      <c r="C30" s="228" t="s">
        <v>2362</v>
      </c>
      <c r="D30" s="228" t="s">
        <v>2354</v>
      </c>
      <c r="E30" s="228" t="s">
        <v>2345</v>
      </c>
      <c r="F30" s="228" t="s">
        <v>2064</v>
      </c>
      <c r="G30" s="228" t="str">
        <f t="shared" si="0"/>
        <v>SDGE_DR_PEAK_1L</v>
      </c>
      <c r="H30" s="228">
        <v>210.00200000000001</v>
      </c>
      <c r="I30" s="228">
        <v>225.99200000000002</v>
      </c>
      <c r="J30" s="228">
        <v>269.69800000000004</v>
      </c>
      <c r="K30" s="228">
        <v>277.16000000000003</v>
      </c>
      <c r="L30" s="228">
        <v>284.62200000000001</v>
      </c>
      <c r="M30" s="228">
        <v>288.88600000000002</v>
      </c>
      <c r="N30" s="228">
        <v>293.15000000000003</v>
      </c>
      <c r="O30" s="228">
        <v>298.48</v>
      </c>
      <c r="P30" s="228">
        <v>301.678</v>
      </c>
      <c r="Q30" s="228">
        <v>301.678</v>
      </c>
    </row>
    <row r="31" spans="1:17" hidden="1">
      <c r="A31" s="228" t="s">
        <v>2351</v>
      </c>
      <c r="B31" s="228" t="s">
        <v>805</v>
      </c>
      <c r="C31" s="228" t="s">
        <v>2363</v>
      </c>
      <c r="D31" s="228" t="s">
        <v>2353</v>
      </c>
      <c r="E31" s="228" t="s">
        <v>2312</v>
      </c>
      <c r="F31" s="228" t="s">
        <v>2109</v>
      </c>
      <c r="G31" s="228" t="str">
        <f t="shared" si="0"/>
        <v>PGE_EE_SALES_1L</v>
      </c>
      <c r="H31" s="228">
        <v>0</v>
      </c>
      <c r="I31" s="228">
        <v>0</v>
      </c>
      <c r="J31" s="228">
        <v>1449</v>
      </c>
      <c r="K31" s="228">
        <v>2054</v>
      </c>
      <c r="L31" s="228">
        <v>2612</v>
      </c>
      <c r="M31" s="228">
        <v>3329</v>
      </c>
      <c r="N31" s="228">
        <v>4166</v>
      </c>
      <c r="O31" s="228">
        <v>4995</v>
      </c>
      <c r="P31" s="228">
        <v>5667</v>
      </c>
      <c r="Q31" s="228">
        <v>6214</v>
      </c>
    </row>
    <row r="32" spans="1:17" hidden="1">
      <c r="A32" s="228" t="s">
        <v>2351</v>
      </c>
      <c r="B32" s="228" t="s">
        <v>804</v>
      </c>
      <c r="C32" s="228" t="s">
        <v>2363</v>
      </c>
      <c r="D32" s="228" t="s">
        <v>2353</v>
      </c>
      <c r="E32" s="228" t="s">
        <v>2313</v>
      </c>
      <c r="F32" s="228" t="s">
        <v>2109</v>
      </c>
      <c r="G32" s="228" t="str">
        <f t="shared" si="0"/>
        <v>SCE_EE_SALES_1L</v>
      </c>
      <c r="H32" s="228">
        <v>0</v>
      </c>
      <c r="I32" s="228">
        <v>0</v>
      </c>
      <c r="J32" s="228">
        <v>1066</v>
      </c>
      <c r="K32" s="228">
        <v>1707</v>
      </c>
      <c r="L32" s="228">
        <v>2324</v>
      </c>
      <c r="M32" s="228">
        <v>3078</v>
      </c>
      <c r="N32" s="228">
        <v>3954</v>
      </c>
      <c r="O32" s="228">
        <v>4838</v>
      </c>
      <c r="P32" s="228">
        <v>5607</v>
      </c>
      <c r="Q32" s="228">
        <v>6286</v>
      </c>
    </row>
    <row r="33" spans="1:17" hidden="1">
      <c r="A33" s="228" t="s">
        <v>2351</v>
      </c>
      <c r="B33" s="228" t="s">
        <v>2130</v>
      </c>
      <c r="C33" s="228" t="s">
        <v>2363</v>
      </c>
      <c r="D33" s="228" t="s">
        <v>2353</v>
      </c>
      <c r="E33" s="228" t="s">
        <v>2314</v>
      </c>
      <c r="F33" s="228" t="s">
        <v>2109</v>
      </c>
      <c r="G33" s="228" t="str">
        <f t="shared" si="0"/>
        <v>SDGE_EE_SALES_1L</v>
      </c>
      <c r="H33" s="228">
        <v>0</v>
      </c>
      <c r="I33" s="228">
        <v>0</v>
      </c>
      <c r="J33" s="228">
        <v>194</v>
      </c>
      <c r="K33" s="228">
        <v>325</v>
      </c>
      <c r="L33" s="228">
        <v>449</v>
      </c>
      <c r="M33" s="228">
        <v>604</v>
      </c>
      <c r="N33" s="228">
        <v>791</v>
      </c>
      <c r="O33" s="228">
        <v>977</v>
      </c>
      <c r="P33" s="228">
        <v>1133</v>
      </c>
      <c r="Q33" s="228">
        <v>1267</v>
      </c>
    </row>
    <row r="34" spans="1:17" hidden="1">
      <c r="A34" s="228" t="s">
        <v>2351</v>
      </c>
      <c r="B34" s="228" t="s">
        <v>805</v>
      </c>
      <c r="C34" s="228" t="s">
        <v>2363</v>
      </c>
      <c r="D34" s="228" t="s">
        <v>2354</v>
      </c>
      <c r="E34" s="228" t="s">
        <v>2337</v>
      </c>
      <c r="F34" s="228" t="s">
        <v>2109</v>
      </c>
      <c r="G34" s="228" t="str">
        <f t="shared" si="0"/>
        <v>PGE_EE_PEAK_1L</v>
      </c>
      <c r="H34" s="228">
        <v>97.632999999999996</v>
      </c>
      <c r="I34" s="228">
        <v>128.34899999999999</v>
      </c>
      <c r="J34" s="228">
        <v>388.33799999999997</v>
      </c>
      <c r="K34" s="228">
        <v>619.80499999999995</v>
      </c>
      <c r="L34" s="228">
        <v>871.01800000000003</v>
      </c>
      <c r="M34" s="228">
        <v>1180.3720000000001</v>
      </c>
      <c r="N34" s="228">
        <v>1510.569</v>
      </c>
      <c r="O34" s="228">
        <v>1857.221</v>
      </c>
      <c r="P34" s="228">
        <v>2184.127</v>
      </c>
      <c r="Q34" s="228">
        <v>2495.6749999999997</v>
      </c>
    </row>
    <row r="35" spans="1:17" hidden="1">
      <c r="A35" s="228" t="s">
        <v>2351</v>
      </c>
      <c r="B35" s="228" t="s">
        <v>804</v>
      </c>
      <c r="C35" s="228" t="s">
        <v>2363</v>
      </c>
      <c r="D35" s="228" t="s">
        <v>2354</v>
      </c>
      <c r="E35" s="228" t="s">
        <v>2338</v>
      </c>
      <c r="F35" s="228" t="s">
        <v>2109</v>
      </c>
      <c r="G35" s="228" t="str">
        <f t="shared" si="0"/>
        <v>SCE_EE_PEAK_1L</v>
      </c>
      <c r="H35" s="228">
        <v>44.116</v>
      </c>
      <c r="I35" s="228">
        <v>60.256</v>
      </c>
      <c r="J35" s="228">
        <v>324.952</v>
      </c>
      <c r="K35" s="228">
        <v>564.90000000000009</v>
      </c>
      <c r="L35" s="228">
        <v>833.90000000000009</v>
      </c>
      <c r="M35" s="228">
        <v>1170.6880000000001</v>
      </c>
      <c r="N35" s="228">
        <v>1530.0720000000001</v>
      </c>
      <c r="O35" s="228">
        <v>1912.0520000000001</v>
      </c>
      <c r="P35" s="228">
        <v>2283.2719999999999</v>
      </c>
      <c r="Q35" s="228">
        <v>2648.0360000000001</v>
      </c>
    </row>
    <row r="36" spans="1:17" hidden="1">
      <c r="A36" s="228" t="s">
        <v>2351</v>
      </c>
      <c r="B36" s="228" t="s">
        <v>2130</v>
      </c>
      <c r="C36" s="228" t="s">
        <v>2363</v>
      </c>
      <c r="D36" s="228" t="s">
        <v>2354</v>
      </c>
      <c r="E36" s="228" t="s">
        <v>2339</v>
      </c>
      <c r="F36" s="228" t="s">
        <v>2109</v>
      </c>
      <c r="G36" s="228" t="str">
        <f t="shared" si="0"/>
        <v>SDGE_EE_PEAK_1L</v>
      </c>
      <c r="H36" s="228">
        <v>3.2880000000000003</v>
      </c>
      <c r="I36" s="228">
        <v>4.3840000000000003</v>
      </c>
      <c r="J36" s="228">
        <v>65.760000000000005</v>
      </c>
      <c r="K36" s="228">
        <v>120.56</v>
      </c>
      <c r="L36" s="228">
        <v>178.64800000000002</v>
      </c>
      <c r="M36" s="228">
        <v>246.60000000000002</v>
      </c>
      <c r="N36" s="228">
        <v>321.12800000000004</v>
      </c>
      <c r="O36" s="228">
        <v>397.84800000000001</v>
      </c>
      <c r="P36" s="228">
        <v>471.28000000000003</v>
      </c>
      <c r="Q36" s="228">
        <v>543.61599999999999</v>
      </c>
    </row>
    <row r="37" spans="1:17" hidden="1">
      <c r="A37" s="228" t="s">
        <v>2364</v>
      </c>
      <c r="B37" s="228" t="s">
        <v>805</v>
      </c>
      <c r="C37" s="228" t="s">
        <v>2352</v>
      </c>
      <c r="D37" s="228" t="s">
        <v>2353</v>
      </c>
      <c r="E37" s="228" t="s">
        <v>2306</v>
      </c>
      <c r="F37" s="228" t="s">
        <v>2109</v>
      </c>
      <c r="G37" s="228" t="str">
        <f>E37&amp;"_"&amp;A37</f>
        <v>PGE_SALES_3L</v>
      </c>
      <c r="H37" s="228">
        <v>95320.136929996574</v>
      </c>
      <c r="I37" s="228">
        <v>96609.710859993153</v>
      </c>
      <c r="J37" s="228">
        <v>97959.380789989722</v>
      </c>
      <c r="K37" s="228">
        <v>98965.704719986286</v>
      </c>
      <c r="L37" s="228">
        <v>99966.069649982863</v>
      </c>
      <c r="M37" s="228">
        <v>100990.69557997942</v>
      </c>
      <c r="N37" s="228">
        <v>102101.56250997599</v>
      </c>
      <c r="O37" s="228">
        <v>103149.71543997257</v>
      </c>
      <c r="P37" s="228">
        <v>104213.02936996914</v>
      </c>
      <c r="Q37" s="228">
        <v>105351.0042999657</v>
      </c>
    </row>
    <row r="38" spans="1:17" hidden="1">
      <c r="A38" s="228" t="s">
        <v>2364</v>
      </c>
      <c r="B38" s="228" t="s">
        <v>804</v>
      </c>
      <c r="C38" s="228" t="s">
        <v>2352</v>
      </c>
      <c r="D38" s="228" t="s">
        <v>2353</v>
      </c>
      <c r="E38" s="228" t="s">
        <v>2307</v>
      </c>
      <c r="F38" s="228" t="s">
        <v>2109</v>
      </c>
      <c r="G38" s="228" t="str">
        <f t="shared" ref="G38:G65" si="1">E38&amp;"_"&amp;A38</f>
        <v>SCE_SALES_3L</v>
      </c>
      <c r="H38" s="228">
        <v>96024.683779534302</v>
      </c>
      <c r="I38" s="228">
        <v>97279.692559068601</v>
      </c>
      <c r="J38" s="228">
        <v>98716.246338602898</v>
      </c>
      <c r="K38" s="228">
        <v>99813.083118137176</v>
      </c>
      <c r="L38" s="228">
        <v>100965.46089767148</v>
      </c>
      <c r="M38" s="228">
        <v>102132.00167720577</v>
      </c>
      <c r="N38" s="228">
        <v>103330.27645674007</v>
      </c>
      <c r="O38" s="228">
        <v>104478.39423627435</v>
      </c>
      <c r="P38" s="228">
        <v>105657.96601580865</v>
      </c>
      <c r="Q38" s="228">
        <v>106896.62079534295</v>
      </c>
    </row>
    <row r="39" spans="1:17" hidden="1">
      <c r="A39" s="228" t="s">
        <v>2364</v>
      </c>
      <c r="B39" s="228" t="s">
        <v>2130</v>
      </c>
      <c r="C39" s="228" t="s">
        <v>2352</v>
      </c>
      <c r="D39" s="228" t="s">
        <v>2353</v>
      </c>
      <c r="E39" s="228" t="s">
        <v>2308</v>
      </c>
      <c r="F39" s="228" t="s">
        <v>2109</v>
      </c>
      <c r="G39" s="228" t="str">
        <f t="shared" si="1"/>
        <v>SDGE_SALES_3L</v>
      </c>
      <c r="H39" s="228">
        <v>22532.525828727157</v>
      </c>
      <c r="I39" s="228">
        <v>22880.840072570896</v>
      </c>
      <c r="J39" s="228">
        <v>23264.312183772752</v>
      </c>
      <c r="K39" s="228">
        <v>23552.766950217541</v>
      </c>
      <c r="L39" s="228">
        <v>23849.088294606627</v>
      </c>
      <c r="M39" s="228">
        <v>24109.788836587257</v>
      </c>
      <c r="N39" s="228">
        <v>24382.952985816435</v>
      </c>
      <c r="O39" s="228">
        <v>24652.995872917589</v>
      </c>
      <c r="P39" s="228">
        <v>24945.527981553085</v>
      </c>
      <c r="Q39" s="228">
        <v>25242.259236309157</v>
      </c>
    </row>
    <row r="40" spans="1:17">
      <c r="A40" s="228" t="s">
        <v>2364</v>
      </c>
      <c r="B40" s="228" t="s">
        <v>2131</v>
      </c>
      <c r="C40" s="228" t="s">
        <v>2352</v>
      </c>
      <c r="D40" s="228" t="s">
        <v>2353</v>
      </c>
      <c r="E40" s="228" t="s">
        <v>2310</v>
      </c>
      <c r="F40" s="228" t="s">
        <v>2109</v>
      </c>
      <c r="G40" s="228" t="str">
        <f t="shared" si="1"/>
        <v>CAISO_SALES_3L</v>
      </c>
      <c r="H40" s="228">
        <v>230565.47827842805</v>
      </c>
      <c r="I40" s="228">
        <v>233726.85155920434</v>
      </c>
      <c r="J40" s="228">
        <v>237145.82771061274</v>
      </c>
      <c r="K40" s="228">
        <v>239706.11462057088</v>
      </c>
      <c r="L40" s="228">
        <v>242332.5613128132</v>
      </c>
      <c r="M40" s="228">
        <v>244967.51950903016</v>
      </c>
      <c r="N40" s="228">
        <v>247738.65772194279</v>
      </c>
      <c r="O40" s="228">
        <v>250377.75418626884</v>
      </c>
      <c r="P40" s="228">
        <v>253085.17349080631</v>
      </c>
      <c r="Q40" s="228">
        <v>255936.05766632792</v>
      </c>
    </row>
    <row r="41" spans="1:17" hidden="1">
      <c r="A41" s="228" t="s">
        <v>2364</v>
      </c>
      <c r="B41" s="228" t="s">
        <v>805</v>
      </c>
      <c r="C41" s="228" t="s">
        <v>2352</v>
      </c>
      <c r="D41" s="228" t="s">
        <v>2354</v>
      </c>
      <c r="E41" s="228" t="s">
        <v>2331</v>
      </c>
      <c r="F41" s="228" t="s">
        <v>2064</v>
      </c>
      <c r="G41" s="228" t="str">
        <f t="shared" si="1"/>
        <v>PGE_PEAK_3L</v>
      </c>
      <c r="H41" s="228">
        <v>22212.344000000001</v>
      </c>
      <c r="I41" s="228">
        <v>22561.363000000005</v>
      </c>
      <c r="J41" s="228">
        <v>22911.889000000003</v>
      </c>
      <c r="K41" s="228">
        <v>23178.617000000002</v>
      </c>
      <c r="L41" s="228">
        <v>23449.976000000006</v>
      </c>
      <c r="M41" s="228">
        <v>23729.210999999996</v>
      </c>
      <c r="N41" s="228">
        <v>24036.320000000007</v>
      </c>
      <c r="O41" s="228">
        <v>24329.019000000004</v>
      </c>
      <c r="P41" s="228">
        <v>24621.190000000002</v>
      </c>
      <c r="Q41" s="228">
        <v>24951.761999999999</v>
      </c>
    </row>
    <row r="42" spans="1:17" hidden="1">
      <c r="A42" s="228" t="s">
        <v>2364</v>
      </c>
      <c r="B42" s="228" t="s">
        <v>804</v>
      </c>
      <c r="C42" s="228" t="s">
        <v>2352</v>
      </c>
      <c r="D42" s="228" t="s">
        <v>2354</v>
      </c>
      <c r="E42" s="228" t="s">
        <v>2332</v>
      </c>
      <c r="F42" s="228" t="s">
        <v>2064</v>
      </c>
      <c r="G42" s="228" t="str">
        <f t="shared" si="1"/>
        <v>SCE_PEAK_3L</v>
      </c>
      <c r="H42" s="228">
        <v>23435.148000000001</v>
      </c>
      <c r="I42" s="228">
        <v>23797.719000000005</v>
      </c>
      <c r="J42" s="228">
        <v>24178.946</v>
      </c>
      <c r="K42" s="228">
        <v>24488.464000000004</v>
      </c>
      <c r="L42" s="228">
        <v>24817.078000000005</v>
      </c>
      <c r="M42" s="228">
        <v>25153.909000000003</v>
      </c>
      <c r="N42" s="228">
        <v>25507.878000000001</v>
      </c>
      <c r="O42" s="228">
        <v>25847.030000000002</v>
      </c>
      <c r="P42" s="228">
        <v>26190.626</v>
      </c>
      <c r="Q42" s="228">
        <v>26560.511999999999</v>
      </c>
    </row>
    <row r="43" spans="1:17" hidden="1">
      <c r="A43" s="228" t="s">
        <v>2364</v>
      </c>
      <c r="B43" s="228" t="s">
        <v>2130</v>
      </c>
      <c r="C43" s="228" t="s">
        <v>2352</v>
      </c>
      <c r="D43" s="228" t="s">
        <v>2354</v>
      </c>
      <c r="E43" s="228" t="s">
        <v>2333</v>
      </c>
      <c r="F43" s="228" t="s">
        <v>2064</v>
      </c>
      <c r="G43" s="228" t="str">
        <f t="shared" si="1"/>
        <v>SDGE_PEAK_3L</v>
      </c>
      <c r="H43" s="228">
        <v>5035.6369832800583</v>
      </c>
      <c r="I43" s="228">
        <v>5123.9769734915253</v>
      </c>
      <c r="J43" s="228">
        <v>5212.1073245579582</v>
      </c>
      <c r="K43" s="228">
        <v>5276.7356316509686</v>
      </c>
      <c r="L43" s="228">
        <v>5341.1320534301249</v>
      </c>
      <c r="M43" s="228">
        <v>5401.7982862586687</v>
      </c>
      <c r="N43" s="228">
        <v>5470.213842180714</v>
      </c>
      <c r="O43" s="228">
        <v>5534.9517407871308</v>
      </c>
      <c r="P43" s="228">
        <v>5603.4216785371946</v>
      </c>
      <c r="Q43" s="228">
        <v>5672.7250763249322</v>
      </c>
    </row>
    <row r="44" spans="1:17" hidden="1">
      <c r="A44" s="228" t="s">
        <v>2364</v>
      </c>
      <c r="B44" s="228" t="s">
        <v>2131</v>
      </c>
      <c r="C44" s="228" t="s">
        <v>2352</v>
      </c>
      <c r="D44" s="228" t="s">
        <v>2354</v>
      </c>
      <c r="E44" s="228" t="s">
        <v>2336</v>
      </c>
      <c r="F44" s="228" t="s">
        <v>2064</v>
      </c>
      <c r="G44" s="228" t="str">
        <f t="shared" si="1"/>
        <v>CAISO_PEAK_3L</v>
      </c>
      <c r="H44" s="229">
        <v>54056.796302922354</v>
      </c>
      <c r="I44" s="229">
        <v>54891.8000138555</v>
      </c>
      <c r="J44" s="229">
        <v>55745.903856267927</v>
      </c>
      <c r="K44" s="229">
        <v>56411.801145160025</v>
      </c>
      <c r="L44" s="229">
        <v>57104.410177637496</v>
      </c>
      <c r="M44" s="229">
        <v>57810.02079974737</v>
      </c>
      <c r="N44" s="229">
        <v>58571.132469785203</v>
      </c>
      <c r="O44" s="229">
        <v>59295.804069557562</v>
      </c>
      <c r="P44" s="229">
        <v>60028.188581641443</v>
      </c>
      <c r="Q44" s="229">
        <v>60828.01567981048</v>
      </c>
    </row>
    <row r="45" spans="1:17" hidden="1">
      <c r="A45" s="228" t="s">
        <v>2364</v>
      </c>
      <c r="B45" s="228" t="s">
        <v>805</v>
      </c>
      <c r="C45" s="228" t="s">
        <v>4</v>
      </c>
      <c r="D45" s="228" t="s">
        <v>2355</v>
      </c>
      <c r="E45" s="228" t="s">
        <v>2356</v>
      </c>
      <c r="F45" s="228" t="s">
        <v>2064</v>
      </c>
      <c r="G45" s="228" t="str">
        <f t="shared" si="1"/>
        <v>PGE_DCHP_INST_3L</v>
      </c>
      <c r="H45" s="228">
        <v>37.276357238372086</v>
      </c>
      <c r="I45" s="228">
        <v>74.552714476744171</v>
      </c>
      <c r="J45" s="228">
        <v>111.82907171511626</v>
      </c>
      <c r="K45" s="228">
        <v>149.10542895348834</v>
      </c>
      <c r="L45" s="228">
        <v>186.38178619186044</v>
      </c>
      <c r="M45" s="228">
        <v>223.65814343023254</v>
      </c>
      <c r="N45" s="228">
        <v>260.93450066860464</v>
      </c>
      <c r="O45" s="228">
        <v>298.21085790697674</v>
      </c>
      <c r="P45" s="228">
        <v>335.48721514534884</v>
      </c>
      <c r="Q45" s="228">
        <v>372.76357238372094</v>
      </c>
    </row>
    <row r="46" spans="1:17" hidden="1">
      <c r="A46" s="228" t="s">
        <v>2364</v>
      </c>
      <c r="B46" s="228" t="s">
        <v>804</v>
      </c>
      <c r="C46" s="228" t="s">
        <v>4</v>
      </c>
      <c r="D46" s="228" t="s">
        <v>2355</v>
      </c>
      <c r="E46" s="228" t="s">
        <v>2357</v>
      </c>
      <c r="F46" s="228" t="s">
        <v>2064</v>
      </c>
      <c r="G46" s="228" t="str">
        <f t="shared" si="1"/>
        <v>SCE_DCHP_INST_3L</v>
      </c>
      <c r="H46" s="228">
        <v>33.385112354651163</v>
      </c>
      <c r="I46" s="228">
        <v>66.770224709302326</v>
      </c>
      <c r="J46" s="228">
        <v>100.15533706395348</v>
      </c>
      <c r="K46" s="228">
        <v>133.54044941860465</v>
      </c>
      <c r="L46" s="228">
        <v>166.92556177325582</v>
      </c>
      <c r="M46" s="228">
        <v>200.31067412790699</v>
      </c>
      <c r="N46" s="228">
        <v>233.69578648255816</v>
      </c>
      <c r="O46" s="228">
        <v>267.0808988372093</v>
      </c>
      <c r="P46" s="228">
        <v>300.46601119186045</v>
      </c>
      <c r="Q46" s="228">
        <v>333.85112354651159</v>
      </c>
    </row>
    <row r="47" spans="1:17" hidden="1">
      <c r="A47" s="228" t="s">
        <v>2364</v>
      </c>
      <c r="B47" s="228" t="s">
        <v>2130</v>
      </c>
      <c r="C47" s="228" t="s">
        <v>4</v>
      </c>
      <c r="D47" s="228" t="s">
        <v>2355</v>
      </c>
      <c r="E47" s="228" t="s">
        <v>2358</v>
      </c>
      <c r="F47" s="228" t="s">
        <v>2064</v>
      </c>
      <c r="G47" s="228" t="str">
        <f t="shared" si="1"/>
        <v>SDGE_DCHP_INST_3L</v>
      </c>
      <c r="H47" s="228">
        <v>5.3946804069767413</v>
      </c>
      <c r="I47" s="228">
        <v>10.789360813953483</v>
      </c>
      <c r="J47" s="228">
        <v>16.184041220930226</v>
      </c>
      <c r="K47" s="228">
        <v>21.578721627906965</v>
      </c>
      <c r="L47" s="228">
        <v>26.973402034883705</v>
      </c>
      <c r="M47" s="228">
        <v>32.368082441860444</v>
      </c>
      <c r="N47" s="228">
        <v>37.762762848837184</v>
      </c>
      <c r="O47" s="228">
        <v>43.157443255813924</v>
      </c>
      <c r="P47" s="228">
        <v>48.552123662790663</v>
      </c>
      <c r="Q47" s="228">
        <v>53.946804069767403</v>
      </c>
    </row>
    <row r="48" spans="1:17" hidden="1">
      <c r="A48" s="228" t="s">
        <v>2364</v>
      </c>
      <c r="B48" s="228" t="s">
        <v>805</v>
      </c>
      <c r="C48" s="228" t="s">
        <v>4</v>
      </c>
      <c r="D48" s="228" t="s">
        <v>2355</v>
      </c>
      <c r="E48" s="228" t="s">
        <v>2359</v>
      </c>
      <c r="F48" s="228" t="s">
        <v>2064</v>
      </c>
      <c r="G48" s="228" t="str">
        <f t="shared" si="1"/>
        <v>PGE_SCHP_INST_3L</v>
      </c>
      <c r="H48" s="228">
        <v>40.875038770281797</v>
      </c>
      <c r="I48" s="228">
        <v>81.750077540563595</v>
      </c>
      <c r="J48" s="228">
        <v>122.62511631084539</v>
      </c>
      <c r="K48" s="228">
        <v>163.50015508112719</v>
      </c>
      <c r="L48" s="228">
        <v>204.37519385140899</v>
      </c>
      <c r="M48" s="228">
        <v>245.2502326216908</v>
      </c>
      <c r="N48" s="228">
        <v>286.1252713919726</v>
      </c>
      <c r="O48" s="228">
        <v>327.00031016225438</v>
      </c>
      <c r="P48" s="228">
        <v>367.87534893253616</v>
      </c>
      <c r="Q48" s="228">
        <v>408.75038770281793</v>
      </c>
    </row>
    <row r="49" spans="1:17" hidden="1">
      <c r="A49" s="228" t="s">
        <v>2364</v>
      </c>
      <c r="B49" s="228" t="s">
        <v>804</v>
      </c>
      <c r="C49" s="228" t="s">
        <v>4</v>
      </c>
      <c r="D49" s="228" t="s">
        <v>2355</v>
      </c>
      <c r="E49" s="228" t="s">
        <v>2360</v>
      </c>
      <c r="F49" s="228" t="s">
        <v>2064</v>
      </c>
      <c r="G49" s="228" t="str">
        <f t="shared" si="1"/>
        <v>SCE_SCHP_INST_3L</v>
      </c>
      <c r="H49" s="228">
        <v>32.236722843723307</v>
      </c>
      <c r="I49" s="228">
        <v>64.473445687446613</v>
      </c>
      <c r="J49" s="228">
        <v>96.710168531169927</v>
      </c>
      <c r="K49" s="228">
        <v>128.94689137489323</v>
      </c>
      <c r="L49" s="228">
        <v>161.18361421861653</v>
      </c>
      <c r="M49" s="228">
        <v>193.42033706233983</v>
      </c>
      <c r="N49" s="228">
        <v>225.65705990606313</v>
      </c>
      <c r="O49" s="228">
        <v>257.89378274978645</v>
      </c>
      <c r="P49" s="228">
        <v>290.13050559350978</v>
      </c>
      <c r="Q49" s="228">
        <v>322.36722843723311</v>
      </c>
    </row>
    <row r="50" spans="1:17" hidden="1">
      <c r="A50" s="228" t="s">
        <v>2364</v>
      </c>
      <c r="B50" s="228" t="s">
        <v>2130</v>
      </c>
      <c r="C50" s="228" t="s">
        <v>4</v>
      </c>
      <c r="D50" s="228" t="s">
        <v>2355</v>
      </c>
      <c r="E50" s="228" t="s">
        <v>2361</v>
      </c>
      <c r="F50" s="228" t="s">
        <v>2064</v>
      </c>
      <c r="G50" s="228" t="str">
        <f t="shared" si="1"/>
        <v>SDGE_SCHP_INST_3L</v>
      </c>
      <c r="H50" s="228">
        <v>2.9443883859948756</v>
      </c>
      <c r="I50" s="228">
        <v>5.8887767719897512</v>
      </c>
      <c r="J50" s="228">
        <v>8.8331651579846273</v>
      </c>
      <c r="K50" s="228">
        <v>11.777553543979502</v>
      </c>
      <c r="L50" s="228">
        <v>14.721941929974378</v>
      </c>
      <c r="M50" s="228">
        <v>17.666330315969255</v>
      </c>
      <c r="N50" s="228">
        <v>20.610718701964132</v>
      </c>
      <c r="O50" s="228">
        <v>23.555107087959009</v>
      </c>
      <c r="P50" s="228">
        <v>26.499495473953885</v>
      </c>
      <c r="Q50" s="228">
        <v>29.443883859948762</v>
      </c>
    </row>
    <row r="51" spans="1:17" hidden="1">
      <c r="A51" s="228" t="s">
        <v>2364</v>
      </c>
      <c r="B51" s="228" t="s">
        <v>805</v>
      </c>
      <c r="C51" s="228" t="s">
        <v>4</v>
      </c>
      <c r="D51" s="228" t="s">
        <v>2353</v>
      </c>
      <c r="E51" s="228" t="s">
        <v>2316</v>
      </c>
      <c r="F51" s="228" t="s">
        <v>2109</v>
      </c>
      <c r="G51" s="228" t="str">
        <f t="shared" si="1"/>
        <v>PGE_DCHP_SALES_3L</v>
      </c>
      <c r="H51" s="228">
        <v>301.07070003430459</v>
      </c>
      <c r="I51" s="228">
        <v>602.14140006860919</v>
      </c>
      <c r="J51" s="228">
        <v>903.21210010291372</v>
      </c>
      <c r="K51" s="228">
        <v>1204.2828001372184</v>
      </c>
      <c r="L51" s="228">
        <v>1505.3535001715231</v>
      </c>
      <c r="M51" s="228">
        <v>1806.4242002058277</v>
      </c>
      <c r="N51" s="228">
        <v>2107.4949002401327</v>
      </c>
      <c r="O51" s="228">
        <v>2408.5656002744372</v>
      </c>
      <c r="P51" s="228">
        <v>2709.6363003087417</v>
      </c>
      <c r="Q51" s="228">
        <v>3010.7070003430467</v>
      </c>
    </row>
    <row r="52" spans="1:17" hidden="1">
      <c r="A52" s="228" t="s">
        <v>2364</v>
      </c>
      <c r="B52" s="228" t="s">
        <v>804</v>
      </c>
      <c r="C52" s="228" t="s">
        <v>4</v>
      </c>
      <c r="D52" s="228" t="s">
        <v>2353</v>
      </c>
      <c r="E52" s="228" t="s">
        <v>2317</v>
      </c>
      <c r="F52" s="228" t="s">
        <v>2109</v>
      </c>
      <c r="G52" s="228" t="str">
        <f t="shared" si="1"/>
        <v>SCE_DCHP_SALES_3L</v>
      </c>
      <c r="H52" s="228">
        <v>269.64220465705813</v>
      </c>
      <c r="I52" s="228">
        <v>539.28440931411626</v>
      </c>
      <c r="J52" s="228">
        <v>808.92661397117445</v>
      </c>
      <c r="K52" s="228">
        <v>1078.5688186282325</v>
      </c>
      <c r="L52" s="228">
        <v>1348.2110232852908</v>
      </c>
      <c r="M52" s="228">
        <v>1617.8532279423491</v>
      </c>
      <c r="N52" s="228">
        <v>1887.4954325994072</v>
      </c>
      <c r="O52" s="228">
        <v>2157.137637256465</v>
      </c>
      <c r="P52" s="228">
        <v>2426.7798419135233</v>
      </c>
      <c r="Q52" s="228">
        <v>2696.4220465705807</v>
      </c>
    </row>
    <row r="53" spans="1:17" hidden="1">
      <c r="A53" s="228" t="s">
        <v>2364</v>
      </c>
      <c r="B53" s="228" t="s">
        <v>2130</v>
      </c>
      <c r="C53" s="228" t="s">
        <v>4</v>
      </c>
      <c r="D53" s="228" t="s">
        <v>2353</v>
      </c>
      <c r="E53" s="228" t="s">
        <v>2318</v>
      </c>
      <c r="F53" s="228" t="s">
        <v>2109</v>
      </c>
      <c r="G53" s="228" t="str">
        <f t="shared" si="1"/>
        <v>SDGE_DCHP_SALES_3L</v>
      </c>
      <c r="H53" s="228">
        <v>43.57132313663719</v>
      </c>
      <c r="I53" s="228">
        <v>87.14264627327438</v>
      </c>
      <c r="J53" s="228">
        <v>130.71396940991158</v>
      </c>
      <c r="K53" s="228">
        <v>174.28529254654876</v>
      </c>
      <c r="L53" s="228">
        <v>217.85661568318594</v>
      </c>
      <c r="M53" s="228">
        <v>261.42793881982311</v>
      </c>
      <c r="N53" s="228">
        <v>304.99926195646026</v>
      </c>
      <c r="O53" s="228">
        <v>348.57058509309746</v>
      </c>
      <c r="P53" s="228">
        <v>392.14190822973461</v>
      </c>
      <c r="Q53" s="228">
        <v>435.71323136637182</v>
      </c>
    </row>
    <row r="54" spans="1:17" hidden="1">
      <c r="A54" s="228" t="s">
        <v>2364</v>
      </c>
      <c r="B54" s="228" t="s">
        <v>805</v>
      </c>
      <c r="C54" s="228" t="s">
        <v>4</v>
      </c>
      <c r="D54" s="228" t="s">
        <v>2354</v>
      </c>
      <c r="E54" s="228" t="s">
        <v>2340</v>
      </c>
      <c r="F54" s="228" t="s">
        <v>2064</v>
      </c>
      <c r="G54" s="228" t="str">
        <f t="shared" si="1"/>
        <v>PGE_DCHP_PEAK_3L</v>
      </c>
      <c r="H54" s="228">
        <v>40.146636745726738</v>
      </c>
      <c r="I54" s="228">
        <v>80.293273491453476</v>
      </c>
      <c r="J54" s="228">
        <v>120.4399102371802</v>
      </c>
      <c r="K54" s="228">
        <v>160.58654698290695</v>
      </c>
      <c r="L54" s="228">
        <v>200.73318372863369</v>
      </c>
      <c r="M54" s="228">
        <v>240.87982047436043</v>
      </c>
      <c r="N54" s="228">
        <v>281.0264572200872</v>
      </c>
      <c r="O54" s="228">
        <v>321.17309396581396</v>
      </c>
      <c r="P54" s="228">
        <v>361.31973071154067</v>
      </c>
      <c r="Q54" s="228">
        <v>401.46636745726744</v>
      </c>
    </row>
    <row r="55" spans="1:17" hidden="1">
      <c r="A55" s="228" t="s">
        <v>2364</v>
      </c>
      <c r="B55" s="228" t="s">
        <v>804</v>
      </c>
      <c r="C55" s="228" t="s">
        <v>4</v>
      </c>
      <c r="D55" s="228" t="s">
        <v>2354</v>
      </c>
      <c r="E55" s="228" t="s">
        <v>2341</v>
      </c>
      <c r="F55" s="228" t="s">
        <v>2064</v>
      </c>
      <c r="G55" s="228" t="str">
        <f t="shared" si="1"/>
        <v>SCE_DCHP_PEAK_3L</v>
      </c>
      <c r="H55" s="228">
        <v>35.955766005959298</v>
      </c>
      <c r="I55" s="228">
        <v>71.911532011918595</v>
      </c>
      <c r="J55" s="228">
        <v>107.8672980178779</v>
      </c>
      <c r="K55" s="228">
        <v>143.82306402383719</v>
      </c>
      <c r="L55" s="228">
        <v>179.77883002979652</v>
      </c>
      <c r="M55" s="228">
        <v>215.73459603575583</v>
      </c>
      <c r="N55" s="228">
        <v>251.69036204171513</v>
      </c>
      <c r="O55" s="228">
        <v>287.64612804767438</v>
      </c>
      <c r="P55" s="228">
        <v>323.60189405363371</v>
      </c>
      <c r="Q55" s="228">
        <v>359.55766005959299</v>
      </c>
    </row>
    <row r="56" spans="1:17" hidden="1">
      <c r="A56" s="228" t="s">
        <v>2364</v>
      </c>
      <c r="B56" s="228" t="s">
        <v>2130</v>
      </c>
      <c r="C56" s="228" t="s">
        <v>4</v>
      </c>
      <c r="D56" s="228" t="s">
        <v>2354</v>
      </c>
      <c r="E56" s="228" t="s">
        <v>2342</v>
      </c>
      <c r="F56" s="228" t="s">
        <v>2064</v>
      </c>
      <c r="G56" s="228" t="str">
        <f t="shared" si="1"/>
        <v>SDGE_DCHP_PEAK_3L</v>
      </c>
      <c r="H56" s="228">
        <v>5.8100707983139506</v>
      </c>
      <c r="I56" s="228">
        <v>11.620141596627901</v>
      </c>
      <c r="J56" s="228">
        <v>17.430212394941851</v>
      </c>
      <c r="K56" s="228">
        <v>23.240283193255802</v>
      </c>
      <c r="L56" s="228">
        <v>29.05035399156975</v>
      </c>
      <c r="M56" s="228">
        <v>34.860424789883695</v>
      </c>
      <c r="N56" s="228">
        <v>40.670495588197646</v>
      </c>
      <c r="O56" s="228">
        <v>46.48056638651159</v>
      </c>
      <c r="P56" s="228">
        <v>52.290637184825542</v>
      </c>
      <c r="Q56" s="228">
        <v>58.100707983139493</v>
      </c>
    </row>
    <row r="57" spans="1:17" hidden="1">
      <c r="A57" s="228" t="s">
        <v>2364</v>
      </c>
      <c r="B57" s="228" t="s">
        <v>805</v>
      </c>
      <c r="C57" s="228" t="s">
        <v>2362</v>
      </c>
      <c r="D57" s="228" t="s">
        <v>2354</v>
      </c>
      <c r="E57" s="228" t="s">
        <v>2343</v>
      </c>
      <c r="F57" s="228" t="s">
        <v>2064</v>
      </c>
      <c r="G57" s="228" t="str">
        <f t="shared" si="1"/>
        <v>PGE_DR_PEAK_3L</v>
      </c>
      <c r="H57" s="228">
        <v>1353.99</v>
      </c>
      <c r="I57" s="228">
        <v>1627.0260000000001</v>
      </c>
      <c r="J57" s="228">
        <v>1669.548</v>
      </c>
      <c r="K57" s="228">
        <v>1715.4269999999999</v>
      </c>
      <c r="L57" s="228">
        <v>1766.9010000000001</v>
      </c>
      <c r="M57" s="228">
        <v>1816.1369999999999</v>
      </c>
      <c r="N57" s="228">
        <v>1865.373</v>
      </c>
      <c r="O57" s="228">
        <v>1911.252</v>
      </c>
      <c r="P57" s="228">
        <v>1956.0119999999999</v>
      </c>
      <c r="Q57" s="228">
        <v>2000.7719999999999</v>
      </c>
    </row>
    <row r="58" spans="1:17" hidden="1">
      <c r="A58" s="228" t="s">
        <v>2364</v>
      </c>
      <c r="B58" s="228" t="s">
        <v>804</v>
      </c>
      <c r="C58" s="228" t="s">
        <v>2362</v>
      </c>
      <c r="D58" s="228" t="s">
        <v>2354</v>
      </c>
      <c r="E58" s="228" t="s">
        <v>2344</v>
      </c>
      <c r="F58" s="228" t="s">
        <v>2064</v>
      </c>
      <c r="G58" s="228" t="str">
        <f t="shared" si="1"/>
        <v>SCE_DR_PEAK_3L</v>
      </c>
      <c r="H58" s="228">
        <v>1641.4232</v>
      </c>
      <c r="I58" s="228">
        <v>2502</v>
      </c>
      <c r="J58" s="228">
        <v>2685.48</v>
      </c>
      <c r="K58" s="228">
        <v>2748.864</v>
      </c>
      <c r="L58" s="228">
        <v>2842.2720000000004</v>
      </c>
      <c r="M58" s="228">
        <v>2842.2720000000004</v>
      </c>
      <c r="N58" s="228">
        <v>2842.2720000000004</v>
      </c>
      <c r="O58" s="228">
        <v>2842.2720000000004</v>
      </c>
      <c r="P58" s="228">
        <v>2842.2720000000004</v>
      </c>
      <c r="Q58" s="228">
        <v>2842.2720000000004</v>
      </c>
    </row>
    <row r="59" spans="1:17" hidden="1">
      <c r="A59" s="228" t="s">
        <v>2364</v>
      </c>
      <c r="B59" s="228" t="s">
        <v>2130</v>
      </c>
      <c r="C59" s="228" t="s">
        <v>2362</v>
      </c>
      <c r="D59" s="228" t="s">
        <v>2354</v>
      </c>
      <c r="E59" s="228" t="s">
        <v>2345</v>
      </c>
      <c r="F59" s="228" t="s">
        <v>2064</v>
      </c>
      <c r="G59" s="228" t="str">
        <f t="shared" si="1"/>
        <v>SDGE_DR_PEAK_3L</v>
      </c>
      <c r="H59" s="228">
        <v>210.00200000000001</v>
      </c>
      <c r="I59" s="228">
        <v>225.99200000000002</v>
      </c>
      <c r="J59" s="228">
        <v>269.69800000000004</v>
      </c>
      <c r="K59" s="228">
        <v>277.16000000000003</v>
      </c>
      <c r="L59" s="228">
        <v>284.62200000000001</v>
      </c>
      <c r="M59" s="228">
        <v>288.88600000000002</v>
      </c>
      <c r="N59" s="228">
        <v>293.15000000000003</v>
      </c>
      <c r="O59" s="228">
        <v>298.48</v>
      </c>
      <c r="P59" s="228">
        <v>301.678</v>
      </c>
      <c r="Q59" s="228">
        <v>301.678</v>
      </c>
    </row>
    <row r="60" spans="1:17" hidden="1">
      <c r="A60" s="228" t="s">
        <v>2364</v>
      </c>
      <c r="B60" s="228" t="s">
        <v>805</v>
      </c>
      <c r="C60" s="228" t="s">
        <v>2363</v>
      </c>
      <c r="D60" s="228" t="s">
        <v>2353</v>
      </c>
      <c r="E60" s="228" t="s">
        <v>2312</v>
      </c>
      <c r="F60" s="228" t="s">
        <v>2109</v>
      </c>
      <c r="G60" s="228" t="str">
        <f t="shared" si="1"/>
        <v>PGE_EE_SALES_3L</v>
      </c>
      <c r="H60" s="228">
        <v>0</v>
      </c>
      <c r="I60" s="228">
        <v>0</v>
      </c>
      <c r="J60" s="228">
        <v>1449</v>
      </c>
      <c r="K60" s="228">
        <v>2054</v>
      </c>
      <c r="L60" s="228">
        <v>2612</v>
      </c>
      <c r="M60" s="228">
        <v>3329</v>
      </c>
      <c r="N60" s="228">
        <v>4166</v>
      </c>
      <c r="O60" s="228">
        <v>4995</v>
      </c>
      <c r="P60" s="228">
        <v>5667</v>
      </c>
      <c r="Q60" s="228">
        <v>6214</v>
      </c>
    </row>
    <row r="61" spans="1:17" hidden="1">
      <c r="A61" s="228" t="s">
        <v>2364</v>
      </c>
      <c r="B61" s="228" t="s">
        <v>804</v>
      </c>
      <c r="C61" s="228" t="s">
        <v>2363</v>
      </c>
      <c r="D61" s="228" t="s">
        <v>2353</v>
      </c>
      <c r="E61" s="228" t="s">
        <v>2313</v>
      </c>
      <c r="F61" s="228" t="s">
        <v>2109</v>
      </c>
      <c r="G61" s="228" t="str">
        <f t="shared" si="1"/>
        <v>SCE_EE_SALES_3L</v>
      </c>
      <c r="H61" s="228">
        <v>0</v>
      </c>
      <c r="I61" s="228">
        <v>0</v>
      </c>
      <c r="J61" s="228">
        <v>1066</v>
      </c>
      <c r="K61" s="228">
        <v>1707</v>
      </c>
      <c r="L61" s="228">
        <v>2324</v>
      </c>
      <c r="M61" s="228">
        <v>3078</v>
      </c>
      <c r="N61" s="228">
        <v>3954</v>
      </c>
      <c r="O61" s="228">
        <v>4838</v>
      </c>
      <c r="P61" s="228">
        <v>5607</v>
      </c>
      <c r="Q61" s="228">
        <v>6286</v>
      </c>
    </row>
    <row r="62" spans="1:17" hidden="1">
      <c r="A62" s="228" t="s">
        <v>2364</v>
      </c>
      <c r="B62" s="228" t="s">
        <v>2130</v>
      </c>
      <c r="C62" s="228" t="s">
        <v>2363</v>
      </c>
      <c r="D62" s="228" t="s">
        <v>2353</v>
      </c>
      <c r="E62" s="228" t="s">
        <v>2314</v>
      </c>
      <c r="F62" s="228" t="s">
        <v>2109</v>
      </c>
      <c r="G62" s="228" t="str">
        <f t="shared" si="1"/>
        <v>SDGE_EE_SALES_3L</v>
      </c>
      <c r="H62" s="228">
        <v>0</v>
      </c>
      <c r="I62" s="228">
        <v>0</v>
      </c>
      <c r="J62" s="228">
        <v>194</v>
      </c>
      <c r="K62" s="228">
        <v>325</v>
      </c>
      <c r="L62" s="228">
        <v>449</v>
      </c>
      <c r="M62" s="228">
        <v>604</v>
      </c>
      <c r="N62" s="228">
        <v>791</v>
      </c>
      <c r="O62" s="228">
        <v>977</v>
      </c>
      <c r="P62" s="228">
        <v>1133</v>
      </c>
      <c r="Q62" s="228">
        <v>1267</v>
      </c>
    </row>
    <row r="63" spans="1:17" hidden="1">
      <c r="A63" s="228" t="s">
        <v>2364</v>
      </c>
      <c r="B63" s="228" t="s">
        <v>805</v>
      </c>
      <c r="C63" s="228" t="s">
        <v>2363</v>
      </c>
      <c r="D63" s="228" t="s">
        <v>2354</v>
      </c>
      <c r="E63" s="228" t="s">
        <v>2337</v>
      </c>
      <c r="F63" s="228" t="s">
        <v>2109</v>
      </c>
      <c r="G63" s="228" t="str">
        <f t="shared" si="1"/>
        <v>PGE_EE_PEAK_3L</v>
      </c>
      <c r="H63" s="228">
        <v>97.632999999999996</v>
      </c>
      <c r="I63" s="228">
        <v>128.34899999999999</v>
      </c>
      <c r="J63" s="228">
        <v>388.33799999999997</v>
      </c>
      <c r="K63" s="228">
        <v>619.80499999999995</v>
      </c>
      <c r="L63" s="228">
        <v>871.01800000000003</v>
      </c>
      <c r="M63" s="228">
        <v>1180.3720000000001</v>
      </c>
      <c r="N63" s="228">
        <v>1510.569</v>
      </c>
      <c r="O63" s="228">
        <v>1857.221</v>
      </c>
      <c r="P63" s="228">
        <v>2184.127</v>
      </c>
      <c r="Q63" s="228">
        <v>2495.6749999999997</v>
      </c>
    </row>
    <row r="64" spans="1:17" hidden="1">
      <c r="A64" s="228" t="s">
        <v>2364</v>
      </c>
      <c r="B64" s="228" t="s">
        <v>804</v>
      </c>
      <c r="C64" s="228" t="s">
        <v>2363</v>
      </c>
      <c r="D64" s="228" t="s">
        <v>2354</v>
      </c>
      <c r="E64" s="228" t="s">
        <v>2338</v>
      </c>
      <c r="F64" s="228" t="s">
        <v>2109</v>
      </c>
      <c r="G64" s="228" t="str">
        <f t="shared" si="1"/>
        <v>SCE_EE_PEAK_3L</v>
      </c>
      <c r="H64" s="228">
        <v>44.116</v>
      </c>
      <c r="I64" s="228">
        <v>60.256</v>
      </c>
      <c r="J64" s="228">
        <v>324.952</v>
      </c>
      <c r="K64" s="228">
        <v>564.90000000000009</v>
      </c>
      <c r="L64" s="228">
        <v>833.90000000000009</v>
      </c>
      <c r="M64" s="228">
        <v>1170.6880000000001</v>
      </c>
      <c r="N64" s="228">
        <v>1530.0720000000001</v>
      </c>
      <c r="O64" s="228">
        <v>1912.0520000000001</v>
      </c>
      <c r="P64" s="228">
        <v>2283.2719999999999</v>
      </c>
      <c r="Q64" s="228">
        <v>2648.0360000000001</v>
      </c>
    </row>
    <row r="65" spans="1:17" hidden="1">
      <c r="A65" s="228" t="s">
        <v>2364</v>
      </c>
      <c r="B65" s="228" t="s">
        <v>2130</v>
      </c>
      <c r="C65" s="228" t="s">
        <v>2363</v>
      </c>
      <c r="D65" s="228" t="s">
        <v>2354</v>
      </c>
      <c r="E65" s="228" t="s">
        <v>2339</v>
      </c>
      <c r="F65" s="228" t="s">
        <v>2109</v>
      </c>
      <c r="G65" s="228" t="str">
        <f t="shared" si="1"/>
        <v>SDGE_EE_PEAK_3L</v>
      </c>
      <c r="H65" s="228">
        <v>3.2880000000000003</v>
      </c>
      <c r="I65" s="228">
        <v>4.3840000000000003</v>
      </c>
      <c r="J65" s="228">
        <v>65.760000000000005</v>
      </c>
      <c r="K65" s="228">
        <v>120.56</v>
      </c>
      <c r="L65" s="228">
        <v>178.64800000000002</v>
      </c>
      <c r="M65" s="228">
        <v>246.60000000000002</v>
      </c>
      <c r="N65" s="228">
        <v>321.12800000000004</v>
      </c>
      <c r="O65" s="228">
        <v>397.84800000000001</v>
      </c>
      <c r="P65" s="228">
        <v>471.28000000000003</v>
      </c>
      <c r="Q65" s="228">
        <v>543.61599999999999</v>
      </c>
    </row>
    <row r="66" spans="1:17" hidden="1">
      <c r="A66" s="228" t="s">
        <v>2365</v>
      </c>
      <c r="B66" s="228" t="s">
        <v>805</v>
      </c>
      <c r="C66" s="228" t="s">
        <v>2352</v>
      </c>
      <c r="D66" s="228" t="s">
        <v>2353</v>
      </c>
      <c r="E66" s="228" t="s">
        <v>2306</v>
      </c>
      <c r="F66" s="228" t="s">
        <v>2109</v>
      </c>
      <c r="G66" s="228" t="str">
        <f>E66&amp;"_"&amp;A66</f>
        <v>PGE_SALES_4L</v>
      </c>
      <c r="H66" s="228">
        <v>78043.943070003428</v>
      </c>
      <c r="I66" s="228">
        <v>79153.789140006862</v>
      </c>
      <c r="J66" s="228">
        <v>80576.259210010307</v>
      </c>
      <c r="K66" s="228">
        <v>81564.355280013726</v>
      </c>
      <c r="L66" s="228">
        <v>82539.030350017158</v>
      </c>
      <c r="M66" s="228">
        <v>83562.46442002058</v>
      </c>
      <c r="N66" s="228">
        <v>84678.277490024018</v>
      </c>
      <c r="O66" s="228">
        <v>85741.324560027453</v>
      </c>
      <c r="P66" s="228">
        <v>86788.230630030885</v>
      </c>
      <c r="Q66" s="228">
        <v>87873.495700034313</v>
      </c>
    </row>
    <row r="67" spans="1:17" hidden="1">
      <c r="A67" s="228" t="s">
        <v>2365</v>
      </c>
      <c r="B67" s="228" t="s">
        <v>804</v>
      </c>
      <c r="C67" s="228" t="s">
        <v>2352</v>
      </c>
      <c r="D67" s="228" t="s">
        <v>2353</v>
      </c>
      <c r="E67" s="228" t="s">
        <v>2307</v>
      </c>
      <c r="F67" s="228" t="s">
        <v>2109</v>
      </c>
      <c r="G67" s="228" t="str">
        <f t="shared" ref="G67:G94" si="2">E67&amp;"_"&amp;A67</f>
        <v>SCE_SALES_4L</v>
      </c>
      <c r="H67" s="228">
        <v>78614.676220465699</v>
      </c>
      <c r="I67" s="228">
        <v>79690.527440931415</v>
      </c>
      <c r="J67" s="228">
        <v>81108.733661397127</v>
      </c>
      <c r="K67" s="228">
        <v>82171.716881862827</v>
      </c>
      <c r="L67" s="228">
        <v>83275.779102328524</v>
      </c>
      <c r="M67" s="228">
        <v>84416.33832279424</v>
      </c>
      <c r="N67" s="228">
        <v>85605.043543259948</v>
      </c>
      <c r="O67" s="228">
        <v>86754.165763725643</v>
      </c>
      <c r="P67" s="228">
        <v>87908.113984191354</v>
      </c>
      <c r="Q67" s="228">
        <v>89094.039204657063</v>
      </c>
    </row>
    <row r="68" spans="1:17" hidden="1">
      <c r="A68" s="228" t="s">
        <v>2365</v>
      </c>
      <c r="B68" s="228" t="s">
        <v>2130</v>
      </c>
      <c r="C68" s="228" t="s">
        <v>2352</v>
      </c>
      <c r="D68" s="228" t="s">
        <v>2353</v>
      </c>
      <c r="E68" s="228" t="s">
        <v>2308</v>
      </c>
      <c r="F68" s="228" t="s">
        <v>2109</v>
      </c>
      <c r="G68" s="228" t="str">
        <f t="shared" si="2"/>
        <v>SDGE_SALES_4L</v>
      </c>
      <c r="H68" s="228">
        <v>18443.625009528881</v>
      </c>
      <c r="I68" s="228">
        <v>18736.53144960769</v>
      </c>
      <c r="J68" s="228">
        <v>19093.476144797689</v>
      </c>
      <c r="K68" s="228">
        <v>19361.224830640997</v>
      </c>
      <c r="L68" s="228">
        <v>19634.137080256911</v>
      </c>
      <c r="M68" s="228">
        <v>19883.54140062954</v>
      </c>
      <c r="N68" s="228">
        <v>20148.961399660075</v>
      </c>
      <c r="O68" s="228">
        <v>20411.645820585862</v>
      </c>
      <c r="P68" s="228">
        <v>20687.275968221566</v>
      </c>
      <c r="Q68" s="228">
        <v>20962.341780865012</v>
      </c>
    </row>
    <row r="69" spans="1:17">
      <c r="A69" s="228" t="s">
        <v>2365</v>
      </c>
      <c r="B69" s="228" t="s">
        <v>2131</v>
      </c>
      <c r="C69" s="228" t="s">
        <v>2352</v>
      </c>
      <c r="D69" s="228" t="s">
        <v>2353</v>
      </c>
      <c r="E69" s="228" t="s">
        <v>2310</v>
      </c>
      <c r="F69" s="228" t="s">
        <v>2109</v>
      </c>
      <c r="G69" s="228" t="str">
        <f t="shared" si="2"/>
        <v>CAISO_SALES_4L</v>
      </c>
      <c r="H69" s="228">
        <v>188756.17026922805</v>
      </c>
      <c r="I69" s="228">
        <v>191454.43644946831</v>
      </c>
      <c r="J69" s="228">
        <v>194856.01406931662</v>
      </c>
      <c r="K69" s="228">
        <v>197312.84594616017</v>
      </c>
      <c r="L69" s="228">
        <v>199809.62673578167</v>
      </c>
      <c r="M69" s="228">
        <v>202372.82602865522</v>
      </c>
      <c r="N69" s="228">
        <v>205097.26351700697</v>
      </c>
      <c r="O69" s="228">
        <v>207713.4850292425</v>
      </c>
      <c r="P69" s="228">
        <v>210330.69795619644</v>
      </c>
      <c r="Q69" s="228">
        <v>213022.20032304651</v>
      </c>
    </row>
    <row r="70" spans="1:17" hidden="1">
      <c r="A70" s="228" t="s">
        <v>2365</v>
      </c>
      <c r="B70" s="228" t="s">
        <v>805</v>
      </c>
      <c r="C70" s="228" t="s">
        <v>2352</v>
      </c>
      <c r="D70" s="228" t="s">
        <v>2354</v>
      </c>
      <c r="E70" s="228" t="s">
        <v>2331</v>
      </c>
      <c r="F70" s="228" t="s">
        <v>2064</v>
      </c>
      <c r="G70" s="228" t="str">
        <f t="shared" si="2"/>
        <v>PGE_PEAK_4L</v>
      </c>
      <c r="H70" s="228">
        <v>18173.736000000001</v>
      </c>
      <c r="I70" s="228">
        <v>18459.297000000002</v>
      </c>
      <c r="J70" s="228">
        <v>18746.091</v>
      </c>
      <c r="K70" s="228">
        <v>18964.323</v>
      </c>
      <c r="L70" s="228">
        <v>19186.344000000005</v>
      </c>
      <c r="M70" s="228">
        <v>19414.808999999997</v>
      </c>
      <c r="N70" s="228">
        <v>19666.080000000005</v>
      </c>
      <c r="O70" s="228">
        <v>19905.561000000002</v>
      </c>
      <c r="P70" s="228">
        <v>20144.61</v>
      </c>
      <c r="Q70" s="228">
        <v>20415.077999999998</v>
      </c>
    </row>
    <row r="71" spans="1:17" hidden="1">
      <c r="A71" s="228" t="s">
        <v>2365</v>
      </c>
      <c r="B71" s="228" t="s">
        <v>804</v>
      </c>
      <c r="C71" s="228" t="s">
        <v>2352</v>
      </c>
      <c r="D71" s="228" t="s">
        <v>2354</v>
      </c>
      <c r="E71" s="228" t="s">
        <v>2332</v>
      </c>
      <c r="F71" s="228" t="s">
        <v>2064</v>
      </c>
      <c r="G71" s="228" t="str">
        <f t="shared" si="2"/>
        <v>SCE_PEAK_4L</v>
      </c>
      <c r="H71" s="228">
        <v>19174.212</v>
      </c>
      <c r="I71" s="228">
        <v>19470.861000000001</v>
      </c>
      <c r="J71" s="228">
        <v>19782.773999999998</v>
      </c>
      <c r="K71" s="228">
        <v>20036.016000000003</v>
      </c>
      <c r="L71" s="228">
        <v>20304.882000000005</v>
      </c>
      <c r="M71" s="228">
        <v>20580.471000000001</v>
      </c>
      <c r="N71" s="228">
        <v>20870.081999999999</v>
      </c>
      <c r="O71" s="228">
        <v>21147.57</v>
      </c>
      <c r="P71" s="228">
        <v>21428.694</v>
      </c>
      <c r="Q71" s="228">
        <v>21731.327999999998</v>
      </c>
    </row>
    <row r="72" spans="1:17" hidden="1">
      <c r="A72" s="228" t="s">
        <v>2365</v>
      </c>
      <c r="B72" s="228" t="s">
        <v>2130</v>
      </c>
      <c r="C72" s="228" t="s">
        <v>2352</v>
      </c>
      <c r="D72" s="228" t="s">
        <v>2354</v>
      </c>
      <c r="E72" s="228" t="s">
        <v>2333</v>
      </c>
      <c r="F72" s="228" t="s">
        <v>2064</v>
      </c>
      <c r="G72" s="228" t="str">
        <f t="shared" si="2"/>
        <v>SDGE_PEAK_4L</v>
      </c>
      <c r="H72" s="228">
        <v>4120.0666226836838</v>
      </c>
      <c r="I72" s="228">
        <v>4192.3447964930656</v>
      </c>
      <c r="J72" s="228">
        <v>4264.4514473656018</v>
      </c>
      <c r="K72" s="228">
        <v>4317.3291531689738</v>
      </c>
      <c r="L72" s="228">
        <v>4370.017134624647</v>
      </c>
      <c r="M72" s="228">
        <v>4419.6531433025466</v>
      </c>
      <c r="N72" s="228">
        <v>4475.6295072387657</v>
      </c>
      <c r="O72" s="228">
        <v>4528.5968788258342</v>
      </c>
      <c r="P72" s="228">
        <v>4584.6177369849775</v>
      </c>
      <c r="Q72" s="228">
        <v>4641.3205169931261</v>
      </c>
    </row>
    <row r="73" spans="1:17" hidden="1">
      <c r="A73" s="228" t="s">
        <v>2365</v>
      </c>
      <c r="B73" s="228" t="s">
        <v>2131</v>
      </c>
      <c r="C73" s="228" t="s">
        <v>2352</v>
      </c>
      <c r="D73" s="228" t="s">
        <v>2354</v>
      </c>
      <c r="E73" s="228" t="s">
        <v>2336</v>
      </c>
      <c r="F73" s="228" t="s">
        <v>2064</v>
      </c>
      <c r="G73" s="228" t="str">
        <f t="shared" si="2"/>
        <v>CAISO_PEAK_4L</v>
      </c>
      <c r="H73" s="229">
        <v>44228.287884209196</v>
      </c>
      <c r="I73" s="229">
        <v>44911.472738609038</v>
      </c>
      <c r="J73" s="229">
        <v>45610.284973310117</v>
      </c>
      <c r="K73" s="229">
        <v>46155.110027858202</v>
      </c>
      <c r="L73" s="229">
        <v>46721.790145339764</v>
      </c>
      <c r="M73" s="229">
        <v>47299.107927066027</v>
      </c>
      <c r="N73" s="229">
        <v>47921.835657096977</v>
      </c>
      <c r="O73" s="229">
        <v>48514.748784183459</v>
      </c>
      <c r="P73" s="229">
        <v>49113.972475888448</v>
      </c>
      <c r="Q73" s="229">
        <v>49768.37646529948</v>
      </c>
    </row>
    <row r="74" spans="1:17" hidden="1">
      <c r="A74" s="228" t="s">
        <v>2365</v>
      </c>
      <c r="B74" s="228" t="s">
        <v>805</v>
      </c>
      <c r="C74" s="228" t="s">
        <v>4</v>
      </c>
      <c r="D74" s="228" t="s">
        <v>2355</v>
      </c>
      <c r="E74" s="228" t="s">
        <v>2356</v>
      </c>
      <c r="F74" s="228" t="s">
        <v>2064</v>
      </c>
      <c r="G74" s="228" t="str">
        <f t="shared" si="2"/>
        <v>PGE_DCHP_INST_4L</v>
      </c>
      <c r="H74" s="228">
        <v>37.276357238372086</v>
      </c>
      <c r="I74" s="228">
        <v>74.552714476744171</v>
      </c>
      <c r="J74" s="228">
        <v>111.82907171511626</v>
      </c>
      <c r="K74" s="228">
        <v>149.10542895348834</v>
      </c>
      <c r="L74" s="228">
        <v>186.38178619186044</v>
      </c>
      <c r="M74" s="228">
        <v>223.65814343023254</v>
      </c>
      <c r="N74" s="228">
        <v>260.93450066860464</v>
      </c>
      <c r="O74" s="228">
        <v>298.21085790697674</v>
      </c>
      <c r="P74" s="228">
        <v>335.48721514534884</v>
      </c>
      <c r="Q74" s="228">
        <v>372.76357238372094</v>
      </c>
    </row>
    <row r="75" spans="1:17" hidden="1">
      <c r="A75" s="228" t="s">
        <v>2365</v>
      </c>
      <c r="B75" s="228" t="s">
        <v>804</v>
      </c>
      <c r="C75" s="228" t="s">
        <v>4</v>
      </c>
      <c r="D75" s="228" t="s">
        <v>2355</v>
      </c>
      <c r="E75" s="228" t="s">
        <v>2357</v>
      </c>
      <c r="F75" s="228" t="s">
        <v>2064</v>
      </c>
      <c r="G75" s="228" t="str">
        <f t="shared" si="2"/>
        <v>SCE_DCHP_INST_4L</v>
      </c>
      <c r="H75" s="228">
        <v>33.385112354651163</v>
      </c>
      <c r="I75" s="228">
        <v>66.770224709302326</v>
      </c>
      <c r="J75" s="228">
        <v>100.15533706395348</v>
      </c>
      <c r="K75" s="228">
        <v>133.54044941860465</v>
      </c>
      <c r="L75" s="228">
        <v>166.92556177325582</v>
      </c>
      <c r="M75" s="228">
        <v>200.31067412790699</v>
      </c>
      <c r="N75" s="228">
        <v>233.69578648255816</v>
      </c>
      <c r="O75" s="228">
        <v>267.0808988372093</v>
      </c>
      <c r="P75" s="228">
        <v>300.46601119186045</v>
      </c>
      <c r="Q75" s="228">
        <v>333.85112354651159</v>
      </c>
    </row>
    <row r="76" spans="1:17" hidden="1">
      <c r="A76" s="228" t="s">
        <v>2365</v>
      </c>
      <c r="B76" s="228" t="s">
        <v>2130</v>
      </c>
      <c r="C76" s="228" t="s">
        <v>4</v>
      </c>
      <c r="D76" s="228" t="s">
        <v>2355</v>
      </c>
      <c r="E76" s="228" t="s">
        <v>2358</v>
      </c>
      <c r="F76" s="228" t="s">
        <v>2064</v>
      </c>
      <c r="G76" s="228" t="str">
        <f t="shared" si="2"/>
        <v>SDGE_DCHP_INST_4L</v>
      </c>
      <c r="H76" s="228">
        <v>5.3946804069767413</v>
      </c>
      <c r="I76" s="228">
        <v>10.789360813953483</v>
      </c>
      <c r="J76" s="228">
        <v>16.184041220930226</v>
      </c>
      <c r="K76" s="228">
        <v>21.578721627906965</v>
      </c>
      <c r="L76" s="228">
        <v>26.973402034883705</v>
      </c>
      <c r="M76" s="228">
        <v>32.368082441860444</v>
      </c>
      <c r="N76" s="228">
        <v>37.762762848837184</v>
      </c>
      <c r="O76" s="228">
        <v>43.157443255813924</v>
      </c>
      <c r="P76" s="228">
        <v>48.552123662790663</v>
      </c>
      <c r="Q76" s="228">
        <v>53.946804069767403</v>
      </c>
    </row>
    <row r="77" spans="1:17" hidden="1">
      <c r="A77" s="228" t="s">
        <v>2365</v>
      </c>
      <c r="B77" s="228" t="s">
        <v>805</v>
      </c>
      <c r="C77" s="228" t="s">
        <v>4</v>
      </c>
      <c r="D77" s="228" t="s">
        <v>2355</v>
      </c>
      <c r="E77" s="228" t="s">
        <v>2359</v>
      </c>
      <c r="F77" s="228" t="s">
        <v>2064</v>
      </c>
      <c r="G77" s="228" t="str">
        <f t="shared" si="2"/>
        <v>PGE_SCHP_INST_4L</v>
      </c>
      <c r="H77" s="228">
        <v>40.875038770281797</v>
      </c>
      <c r="I77" s="228">
        <v>81.750077540563595</v>
      </c>
      <c r="J77" s="228">
        <v>122.62511631084539</v>
      </c>
      <c r="K77" s="228">
        <v>163.50015508112719</v>
      </c>
      <c r="L77" s="228">
        <v>204.37519385140899</v>
      </c>
      <c r="M77" s="228">
        <v>245.2502326216908</v>
      </c>
      <c r="N77" s="228">
        <v>286.1252713919726</v>
      </c>
      <c r="O77" s="228">
        <v>327.00031016225438</v>
      </c>
      <c r="P77" s="228">
        <v>367.87534893253616</v>
      </c>
      <c r="Q77" s="228">
        <v>408.75038770281793</v>
      </c>
    </row>
    <row r="78" spans="1:17" hidden="1">
      <c r="A78" s="228" t="s">
        <v>2365</v>
      </c>
      <c r="B78" s="228" t="s">
        <v>804</v>
      </c>
      <c r="C78" s="228" t="s">
        <v>4</v>
      </c>
      <c r="D78" s="228" t="s">
        <v>2355</v>
      </c>
      <c r="E78" s="228" t="s">
        <v>2360</v>
      </c>
      <c r="F78" s="228" t="s">
        <v>2064</v>
      </c>
      <c r="G78" s="228" t="str">
        <f t="shared" si="2"/>
        <v>SCE_SCHP_INST_4L</v>
      </c>
      <c r="H78" s="228">
        <v>32.236722843723307</v>
      </c>
      <c r="I78" s="228">
        <v>64.473445687446613</v>
      </c>
      <c r="J78" s="228">
        <v>96.710168531169927</v>
      </c>
      <c r="K78" s="228">
        <v>128.94689137489323</v>
      </c>
      <c r="L78" s="228">
        <v>161.18361421861653</v>
      </c>
      <c r="M78" s="228">
        <v>193.42033706233983</v>
      </c>
      <c r="N78" s="228">
        <v>225.65705990606313</v>
      </c>
      <c r="O78" s="228">
        <v>257.89378274978645</v>
      </c>
      <c r="P78" s="228">
        <v>290.13050559350978</v>
      </c>
      <c r="Q78" s="228">
        <v>322.36722843723311</v>
      </c>
    </row>
    <row r="79" spans="1:17" hidden="1">
      <c r="A79" s="228" t="s">
        <v>2365</v>
      </c>
      <c r="B79" s="228" t="s">
        <v>2130</v>
      </c>
      <c r="C79" s="228" t="s">
        <v>4</v>
      </c>
      <c r="D79" s="228" t="s">
        <v>2355</v>
      </c>
      <c r="E79" s="228" t="s">
        <v>2361</v>
      </c>
      <c r="F79" s="228" t="s">
        <v>2064</v>
      </c>
      <c r="G79" s="228" t="str">
        <f t="shared" si="2"/>
        <v>SDGE_SCHP_INST_4L</v>
      </c>
      <c r="H79" s="228">
        <v>2.9443883859948756</v>
      </c>
      <c r="I79" s="228">
        <v>5.8887767719897512</v>
      </c>
      <c r="J79" s="228">
        <v>8.8331651579846273</v>
      </c>
      <c r="K79" s="228">
        <v>11.777553543979502</v>
      </c>
      <c r="L79" s="228">
        <v>14.721941929974378</v>
      </c>
      <c r="M79" s="228">
        <v>17.666330315969255</v>
      </c>
      <c r="N79" s="228">
        <v>20.610718701964132</v>
      </c>
      <c r="O79" s="228">
        <v>23.555107087959009</v>
      </c>
      <c r="P79" s="228">
        <v>26.499495473953885</v>
      </c>
      <c r="Q79" s="228">
        <v>29.443883859948762</v>
      </c>
    </row>
    <row r="80" spans="1:17" hidden="1">
      <c r="A80" s="228" t="s">
        <v>2365</v>
      </c>
      <c r="B80" s="228" t="s">
        <v>805</v>
      </c>
      <c r="C80" s="228" t="s">
        <v>4</v>
      </c>
      <c r="D80" s="228" t="s">
        <v>2353</v>
      </c>
      <c r="E80" s="228" t="s">
        <v>2316</v>
      </c>
      <c r="F80" s="228" t="s">
        <v>2109</v>
      </c>
      <c r="G80" s="228" t="str">
        <f t="shared" si="2"/>
        <v>PGE_DCHP_SALES_4L</v>
      </c>
      <c r="H80" s="228">
        <v>301.07070003430459</v>
      </c>
      <c r="I80" s="228">
        <v>602.14140006860919</v>
      </c>
      <c r="J80" s="228">
        <v>903.21210010291372</v>
      </c>
      <c r="K80" s="228">
        <v>1204.2828001372184</v>
      </c>
      <c r="L80" s="228">
        <v>1505.3535001715231</v>
      </c>
      <c r="M80" s="228">
        <v>1806.4242002058277</v>
      </c>
      <c r="N80" s="228">
        <v>2107.4949002401327</v>
      </c>
      <c r="O80" s="228">
        <v>2408.5656002744372</v>
      </c>
      <c r="P80" s="228">
        <v>2709.6363003087417</v>
      </c>
      <c r="Q80" s="228">
        <v>3010.7070003430467</v>
      </c>
    </row>
    <row r="81" spans="1:17" hidden="1">
      <c r="A81" s="228" t="s">
        <v>2365</v>
      </c>
      <c r="B81" s="228" t="s">
        <v>804</v>
      </c>
      <c r="C81" s="228" t="s">
        <v>4</v>
      </c>
      <c r="D81" s="228" t="s">
        <v>2353</v>
      </c>
      <c r="E81" s="228" t="s">
        <v>2317</v>
      </c>
      <c r="F81" s="228" t="s">
        <v>2109</v>
      </c>
      <c r="G81" s="228" t="str">
        <f t="shared" si="2"/>
        <v>SCE_DCHP_SALES_4L</v>
      </c>
      <c r="H81" s="228">
        <v>269.64220465705813</v>
      </c>
      <c r="I81" s="228">
        <v>539.28440931411626</v>
      </c>
      <c r="J81" s="228">
        <v>808.92661397117445</v>
      </c>
      <c r="K81" s="228">
        <v>1078.5688186282325</v>
      </c>
      <c r="L81" s="228">
        <v>1348.2110232852908</v>
      </c>
      <c r="M81" s="228">
        <v>1617.8532279423491</v>
      </c>
      <c r="N81" s="228">
        <v>1887.4954325994072</v>
      </c>
      <c r="O81" s="228">
        <v>2157.137637256465</v>
      </c>
      <c r="P81" s="228">
        <v>2426.7798419135233</v>
      </c>
      <c r="Q81" s="228">
        <v>2696.4220465705807</v>
      </c>
    </row>
    <row r="82" spans="1:17" hidden="1">
      <c r="A82" s="228" t="s">
        <v>2365</v>
      </c>
      <c r="B82" s="228" t="s">
        <v>2130</v>
      </c>
      <c r="C82" s="228" t="s">
        <v>4</v>
      </c>
      <c r="D82" s="228" t="s">
        <v>2353</v>
      </c>
      <c r="E82" s="228" t="s">
        <v>2318</v>
      </c>
      <c r="F82" s="228" t="s">
        <v>2109</v>
      </c>
      <c r="G82" s="228" t="str">
        <f t="shared" si="2"/>
        <v>SDGE_DCHP_SALES_4L</v>
      </c>
      <c r="H82" s="228">
        <v>43.57132313663719</v>
      </c>
      <c r="I82" s="228">
        <v>87.14264627327438</v>
      </c>
      <c r="J82" s="228">
        <v>130.71396940991158</v>
      </c>
      <c r="K82" s="228">
        <v>174.28529254654876</v>
      </c>
      <c r="L82" s="228">
        <v>217.85661568318594</v>
      </c>
      <c r="M82" s="228">
        <v>261.42793881982311</v>
      </c>
      <c r="N82" s="228">
        <v>304.99926195646026</v>
      </c>
      <c r="O82" s="228">
        <v>348.57058509309746</v>
      </c>
      <c r="P82" s="228">
        <v>392.14190822973461</v>
      </c>
      <c r="Q82" s="228">
        <v>435.71323136637182</v>
      </c>
    </row>
    <row r="83" spans="1:17" hidden="1">
      <c r="A83" s="228" t="s">
        <v>2365</v>
      </c>
      <c r="B83" s="228" t="s">
        <v>805</v>
      </c>
      <c r="C83" s="228" t="s">
        <v>4</v>
      </c>
      <c r="D83" s="228" t="s">
        <v>2354</v>
      </c>
      <c r="E83" s="228" t="s">
        <v>2340</v>
      </c>
      <c r="F83" s="228" t="s">
        <v>2064</v>
      </c>
      <c r="G83" s="228" t="str">
        <f t="shared" si="2"/>
        <v>PGE_DCHP_PEAK_4L</v>
      </c>
      <c r="H83" s="228">
        <v>40.146636745726738</v>
      </c>
      <c r="I83" s="228">
        <v>80.293273491453476</v>
      </c>
      <c r="J83" s="228">
        <v>120.4399102371802</v>
      </c>
      <c r="K83" s="228">
        <v>160.58654698290695</v>
      </c>
      <c r="L83" s="228">
        <v>200.73318372863369</v>
      </c>
      <c r="M83" s="228">
        <v>240.87982047436043</v>
      </c>
      <c r="N83" s="228">
        <v>281.0264572200872</v>
      </c>
      <c r="O83" s="228">
        <v>321.17309396581396</v>
      </c>
      <c r="P83" s="228">
        <v>361.31973071154067</v>
      </c>
      <c r="Q83" s="228">
        <v>401.46636745726744</v>
      </c>
    </row>
    <row r="84" spans="1:17" hidden="1">
      <c r="A84" s="228" t="s">
        <v>2365</v>
      </c>
      <c r="B84" s="228" t="s">
        <v>804</v>
      </c>
      <c r="C84" s="228" t="s">
        <v>4</v>
      </c>
      <c r="D84" s="228" t="s">
        <v>2354</v>
      </c>
      <c r="E84" s="228" t="s">
        <v>2341</v>
      </c>
      <c r="F84" s="228" t="s">
        <v>2064</v>
      </c>
      <c r="G84" s="228" t="str">
        <f t="shared" si="2"/>
        <v>SCE_DCHP_PEAK_4L</v>
      </c>
      <c r="H84" s="228">
        <v>35.955766005959298</v>
      </c>
      <c r="I84" s="228">
        <v>71.911532011918595</v>
      </c>
      <c r="J84" s="228">
        <v>107.8672980178779</v>
      </c>
      <c r="K84" s="228">
        <v>143.82306402383719</v>
      </c>
      <c r="L84" s="228">
        <v>179.77883002979652</v>
      </c>
      <c r="M84" s="228">
        <v>215.73459603575583</v>
      </c>
      <c r="N84" s="228">
        <v>251.69036204171513</v>
      </c>
      <c r="O84" s="228">
        <v>287.64612804767438</v>
      </c>
      <c r="P84" s="228">
        <v>323.60189405363371</v>
      </c>
      <c r="Q84" s="228">
        <v>359.55766005959299</v>
      </c>
    </row>
    <row r="85" spans="1:17" hidden="1">
      <c r="A85" s="228" t="s">
        <v>2365</v>
      </c>
      <c r="B85" s="228" t="s">
        <v>2130</v>
      </c>
      <c r="C85" s="228" t="s">
        <v>4</v>
      </c>
      <c r="D85" s="228" t="s">
        <v>2354</v>
      </c>
      <c r="E85" s="228" t="s">
        <v>2342</v>
      </c>
      <c r="F85" s="228" t="s">
        <v>2064</v>
      </c>
      <c r="G85" s="228" t="str">
        <f t="shared" si="2"/>
        <v>SDGE_DCHP_PEAK_4L</v>
      </c>
      <c r="H85" s="228">
        <v>5.8100707983139506</v>
      </c>
      <c r="I85" s="228">
        <v>11.620141596627901</v>
      </c>
      <c r="J85" s="228">
        <v>17.430212394941851</v>
      </c>
      <c r="K85" s="228">
        <v>23.240283193255802</v>
      </c>
      <c r="L85" s="228">
        <v>29.05035399156975</v>
      </c>
      <c r="M85" s="228">
        <v>34.860424789883695</v>
      </c>
      <c r="N85" s="228">
        <v>40.670495588197646</v>
      </c>
      <c r="O85" s="228">
        <v>46.48056638651159</v>
      </c>
      <c r="P85" s="228">
        <v>52.290637184825542</v>
      </c>
      <c r="Q85" s="228">
        <v>58.100707983139493</v>
      </c>
    </row>
    <row r="86" spans="1:17" hidden="1">
      <c r="A86" s="228" t="s">
        <v>2365</v>
      </c>
      <c r="B86" s="228" t="s">
        <v>805</v>
      </c>
      <c r="C86" s="228" t="s">
        <v>2362</v>
      </c>
      <c r="D86" s="228" t="s">
        <v>2354</v>
      </c>
      <c r="E86" s="228" t="s">
        <v>2343</v>
      </c>
      <c r="F86" s="228" t="s">
        <v>2064</v>
      </c>
      <c r="G86" s="228" t="str">
        <f t="shared" si="2"/>
        <v>PGE_DR_PEAK_4L</v>
      </c>
      <c r="H86" s="228">
        <v>1353.99</v>
      </c>
      <c r="I86" s="228">
        <v>1627.0260000000001</v>
      </c>
      <c r="J86" s="228">
        <v>1669.548</v>
      </c>
      <c r="K86" s="228">
        <v>1715.4269999999999</v>
      </c>
      <c r="L86" s="228">
        <v>1766.9010000000001</v>
      </c>
      <c r="M86" s="228">
        <v>1816.1369999999999</v>
      </c>
      <c r="N86" s="228">
        <v>1865.373</v>
      </c>
      <c r="O86" s="228">
        <v>1911.252</v>
      </c>
      <c r="P86" s="228">
        <v>1956.0119999999999</v>
      </c>
      <c r="Q86" s="228">
        <v>2000.7719999999999</v>
      </c>
    </row>
    <row r="87" spans="1:17" hidden="1">
      <c r="A87" s="228" t="s">
        <v>2365</v>
      </c>
      <c r="B87" s="228" t="s">
        <v>804</v>
      </c>
      <c r="C87" s="228" t="s">
        <v>2362</v>
      </c>
      <c r="D87" s="228" t="s">
        <v>2354</v>
      </c>
      <c r="E87" s="228" t="s">
        <v>2344</v>
      </c>
      <c r="F87" s="228" t="s">
        <v>2064</v>
      </c>
      <c r="G87" s="228" t="str">
        <f t="shared" si="2"/>
        <v>SCE_DR_PEAK_4L</v>
      </c>
      <c r="H87" s="228">
        <v>1641.4232</v>
      </c>
      <c r="I87" s="228">
        <v>2502</v>
      </c>
      <c r="J87" s="228">
        <v>2685.48</v>
      </c>
      <c r="K87" s="228">
        <v>2748.864</v>
      </c>
      <c r="L87" s="228">
        <v>2842.2720000000004</v>
      </c>
      <c r="M87" s="228">
        <v>2842.2720000000004</v>
      </c>
      <c r="N87" s="228">
        <v>2842.2720000000004</v>
      </c>
      <c r="O87" s="228">
        <v>2842.2720000000004</v>
      </c>
      <c r="P87" s="228">
        <v>2842.2720000000004</v>
      </c>
      <c r="Q87" s="228">
        <v>2842.2720000000004</v>
      </c>
    </row>
    <row r="88" spans="1:17" hidden="1">
      <c r="A88" s="228" t="s">
        <v>2365</v>
      </c>
      <c r="B88" s="228" t="s">
        <v>2130</v>
      </c>
      <c r="C88" s="228" t="s">
        <v>2362</v>
      </c>
      <c r="D88" s="228" t="s">
        <v>2354</v>
      </c>
      <c r="E88" s="228" t="s">
        <v>2345</v>
      </c>
      <c r="F88" s="228" t="s">
        <v>2064</v>
      </c>
      <c r="G88" s="228" t="str">
        <f t="shared" si="2"/>
        <v>SDGE_DR_PEAK_4L</v>
      </c>
      <c r="H88" s="228">
        <v>210.00200000000001</v>
      </c>
      <c r="I88" s="228">
        <v>225.99200000000002</v>
      </c>
      <c r="J88" s="228">
        <v>269.69800000000004</v>
      </c>
      <c r="K88" s="228">
        <v>277.16000000000003</v>
      </c>
      <c r="L88" s="228">
        <v>284.62200000000001</v>
      </c>
      <c r="M88" s="228">
        <v>288.88600000000002</v>
      </c>
      <c r="N88" s="228">
        <v>293.15000000000003</v>
      </c>
      <c r="O88" s="228">
        <v>298.48</v>
      </c>
      <c r="P88" s="228">
        <v>301.678</v>
      </c>
      <c r="Q88" s="228">
        <v>301.678</v>
      </c>
    </row>
    <row r="89" spans="1:17" hidden="1">
      <c r="A89" s="228" t="s">
        <v>2365</v>
      </c>
      <c r="B89" s="228" t="s">
        <v>805</v>
      </c>
      <c r="C89" s="228" t="s">
        <v>2363</v>
      </c>
      <c r="D89" s="228" t="s">
        <v>2353</v>
      </c>
      <c r="E89" s="228" t="s">
        <v>2312</v>
      </c>
      <c r="F89" s="228" t="s">
        <v>2109</v>
      </c>
      <c r="G89" s="228" t="str">
        <f t="shared" si="2"/>
        <v>PGE_EE_SALES_4L</v>
      </c>
      <c r="H89" s="228">
        <v>0</v>
      </c>
      <c r="I89" s="228">
        <v>0</v>
      </c>
      <c r="J89" s="228">
        <v>1449</v>
      </c>
      <c r="K89" s="228">
        <v>2054</v>
      </c>
      <c r="L89" s="228">
        <v>2612</v>
      </c>
      <c r="M89" s="228">
        <v>3329</v>
      </c>
      <c r="N89" s="228">
        <v>4166</v>
      </c>
      <c r="O89" s="228">
        <v>4995</v>
      </c>
      <c r="P89" s="228">
        <v>5667</v>
      </c>
      <c r="Q89" s="228">
        <v>6214</v>
      </c>
    </row>
    <row r="90" spans="1:17" hidden="1">
      <c r="A90" s="228" t="s">
        <v>2365</v>
      </c>
      <c r="B90" s="228" t="s">
        <v>804</v>
      </c>
      <c r="C90" s="228" t="s">
        <v>2363</v>
      </c>
      <c r="D90" s="228" t="s">
        <v>2353</v>
      </c>
      <c r="E90" s="228" t="s">
        <v>2313</v>
      </c>
      <c r="F90" s="228" t="s">
        <v>2109</v>
      </c>
      <c r="G90" s="228" t="str">
        <f t="shared" si="2"/>
        <v>SCE_EE_SALES_4L</v>
      </c>
      <c r="H90" s="228">
        <v>0</v>
      </c>
      <c r="I90" s="228">
        <v>0</v>
      </c>
      <c r="J90" s="228">
        <v>1066</v>
      </c>
      <c r="K90" s="228">
        <v>1707</v>
      </c>
      <c r="L90" s="228">
        <v>2324</v>
      </c>
      <c r="M90" s="228">
        <v>3078</v>
      </c>
      <c r="N90" s="228">
        <v>3954</v>
      </c>
      <c r="O90" s="228">
        <v>4838</v>
      </c>
      <c r="P90" s="228">
        <v>5607</v>
      </c>
      <c r="Q90" s="228">
        <v>6286</v>
      </c>
    </row>
    <row r="91" spans="1:17" hidden="1">
      <c r="A91" s="228" t="s">
        <v>2365</v>
      </c>
      <c r="B91" s="228" t="s">
        <v>2130</v>
      </c>
      <c r="C91" s="228" t="s">
        <v>2363</v>
      </c>
      <c r="D91" s="228" t="s">
        <v>2353</v>
      </c>
      <c r="E91" s="228" t="s">
        <v>2314</v>
      </c>
      <c r="F91" s="228" t="s">
        <v>2109</v>
      </c>
      <c r="G91" s="228" t="str">
        <f t="shared" si="2"/>
        <v>SDGE_EE_SALES_4L</v>
      </c>
      <c r="H91" s="228">
        <v>0</v>
      </c>
      <c r="I91" s="228">
        <v>0</v>
      </c>
      <c r="J91" s="228">
        <v>194</v>
      </c>
      <c r="K91" s="228">
        <v>325</v>
      </c>
      <c r="L91" s="228">
        <v>449</v>
      </c>
      <c r="M91" s="228">
        <v>604</v>
      </c>
      <c r="N91" s="228">
        <v>791</v>
      </c>
      <c r="O91" s="228">
        <v>977</v>
      </c>
      <c r="P91" s="228">
        <v>1133</v>
      </c>
      <c r="Q91" s="228">
        <v>1267</v>
      </c>
    </row>
    <row r="92" spans="1:17" hidden="1">
      <c r="A92" s="228" t="s">
        <v>2365</v>
      </c>
      <c r="B92" s="228" t="s">
        <v>805</v>
      </c>
      <c r="C92" s="228" t="s">
        <v>2363</v>
      </c>
      <c r="D92" s="228" t="s">
        <v>2354</v>
      </c>
      <c r="E92" s="228" t="s">
        <v>2337</v>
      </c>
      <c r="F92" s="228" t="s">
        <v>2109</v>
      </c>
      <c r="G92" s="228" t="str">
        <f t="shared" si="2"/>
        <v>PGE_EE_PEAK_4L</v>
      </c>
      <c r="H92" s="228">
        <v>97.632999999999996</v>
      </c>
      <c r="I92" s="228">
        <v>128.34899999999999</v>
      </c>
      <c r="J92" s="228">
        <v>388.33799999999997</v>
      </c>
      <c r="K92" s="228">
        <v>619.80499999999995</v>
      </c>
      <c r="L92" s="228">
        <v>871.01800000000003</v>
      </c>
      <c r="M92" s="228">
        <v>1180.3720000000001</v>
      </c>
      <c r="N92" s="228">
        <v>1510.569</v>
      </c>
      <c r="O92" s="228">
        <v>1857.221</v>
      </c>
      <c r="P92" s="228">
        <v>2184.127</v>
      </c>
      <c r="Q92" s="228">
        <v>2495.6749999999997</v>
      </c>
    </row>
    <row r="93" spans="1:17" hidden="1">
      <c r="A93" s="228" t="s">
        <v>2365</v>
      </c>
      <c r="B93" s="228" t="s">
        <v>804</v>
      </c>
      <c r="C93" s="228" t="s">
        <v>2363</v>
      </c>
      <c r="D93" s="228" t="s">
        <v>2354</v>
      </c>
      <c r="E93" s="228" t="s">
        <v>2338</v>
      </c>
      <c r="F93" s="228" t="s">
        <v>2109</v>
      </c>
      <c r="G93" s="228" t="str">
        <f t="shared" si="2"/>
        <v>SCE_EE_PEAK_4L</v>
      </c>
      <c r="H93" s="228">
        <v>44.116</v>
      </c>
      <c r="I93" s="228">
        <v>60.256</v>
      </c>
      <c r="J93" s="228">
        <v>324.952</v>
      </c>
      <c r="K93" s="228">
        <v>564.90000000000009</v>
      </c>
      <c r="L93" s="228">
        <v>833.90000000000009</v>
      </c>
      <c r="M93" s="228">
        <v>1170.6880000000001</v>
      </c>
      <c r="N93" s="228">
        <v>1530.0720000000001</v>
      </c>
      <c r="O93" s="228">
        <v>1912.0520000000001</v>
      </c>
      <c r="P93" s="228">
        <v>2283.2719999999999</v>
      </c>
      <c r="Q93" s="228">
        <v>2648.0360000000001</v>
      </c>
    </row>
    <row r="94" spans="1:17" hidden="1">
      <c r="A94" s="228" t="s">
        <v>2365</v>
      </c>
      <c r="B94" s="228" t="s">
        <v>2130</v>
      </c>
      <c r="C94" s="228" t="s">
        <v>2363</v>
      </c>
      <c r="D94" s="228" t="s">
        <v>2354</v>
      </c>
      <c r="E94" s="228" t="s">
        <v>2339</v>
      </c>
      <c r="F94" s="228" t="s">
        <v>2109</v>
      </c>
      <c r="G94" s="228" t="str">
        <f t="shared" si="2"/>
        <v>SDGE_EE_PEAK_4L</v>
      </c>
      <c r="H94" s="228">
        <v>3.2880000000000003</v>
      </c>
      <c r="I94" s="228">
        <v>4.3840000000000003</v>
      </c>
      <c r="J94" s="228">
        <v>65.760000000000005</v>
      </c>
      <c r="K94" s="228">
        <v>120.56</v>
      </c>
      <c r="L94" s="228">
        <v>178.64800000000002</v>
      </c>
      <c r="M94" s="228">
        <v>246.60000000000002</v>
      </c>
      <c r="N94" s="228">
        <v>321.12800000000004</v>
      </c>
      <c r="O94" s="228">
        <v>397.84800000000001</v>
      </c>
      <c r="P94" s="228">
        <v>471.28000000000003</v>
      </c>
      <c r="Q94" s="228">
        <v>543.61599999999999</v>
      </c>
    </row>
    <row r="95" spans="1:17" hidden="1">
      <c r="A95" s="228" t="s">
        <v>2366</v>
      </c>
      <c r="B95" s="228" t="s">
        <v>805</v>
      </c>
      <c r="C95" s="228" t="s">
        <v>2352</v>
      </c>
      <c r="D95" s="228" t="s">
        <v>2353</v>
      </c>
      <c r="E95" s="228" t="s">
        <v>2306</v>
      </c>
      <c r="F95" s="228" t="s">
        <v>2109</v>
      </c>
      <c r="G95" s="228" t="str">
        <f>E95&amp;"_"&amp;A95</f>
        <v>PGE_SALES_2L</v>
      </c>
      <c r="H95" s="228">
        <v>86682.04</v>
      </c>
      <c r="I95" s="228">
        <v>87881.75</v>
      </c>
      <c r="J95" s="228">
        <v>89267.82</v>
      </c>
      <c r="K95" s="228">
        <v>89851.713104332492</v>
      </c>
      <c r="L95" s="228">
        <v>91014.605203232932</v>
      </c>
      <c r="M95" s="228">
        <v>92144.397034045367</v>
      </c>
      <c r="N95" s="228">
        <v>93379.606941761158</v>
      </c>
      <c r="O95" s="228">
        <v>94637.619254727644</v>
      </c>
      <c r="P95" s="228">
        <v>95776.370029178099</v>
      </c>
      <c r="Q95" s="228">
        <v>96836.794249747079</v>
      </c>
    </row>
    <row r="96" spans="1:17" hidden="1">
      <c r="A96" s="228" t="s">
        <v>2366</v>
      </c>
      <c r="B96" s="228" t="s">
        <v>805</v>
      </c>
      <c r="C96" s="228" t="s">
        <v>2352</v>
      </c>
      <c r="D96" s="228" t="s">
        <v>2354</v>
      </c>
      <c r="E96" s="228" t="s">
        <v>2331</v>
      </c>
      <c r="F96" s="228" t="s">
        <v>2064</v>
      </c>
      <c r="G96" s="228" t="str">
        <f t="shared" ref="G96:G103" si="3">E96&amp;"_"&amp;A96</f>
        <v>PGE_PEAK_2L</v>
      </c>
      <c r="H96" s="228">
        <v>20193.04</v>
      </c>
      <c r="I96" s="228">
        <v>20510.330000000002</v>
      </c>
      <c r="J96" s="228">
        <v>20828.990000000002</v>
      </c>
      <c r="K96" s="228">
        <v>21145.067149359213</v>
      </c>
      <c r="L96" s="228">
        <v>21504.259974900957</v>
      </c>
      <c r="M96" s="228">
        <v>21913.951458467105</v>
      </c>
      <c r="N96" s="228">
        <v>22343.606458704842</v>
      </c>
      <c r="O96" s="228">
        <v>22783.861736564431</v>
      </c>
      <c r="P96" s="228">
        <v>23203.263783249426</v>
      </c>
      <c r="Q96" s="228">
        <v>23600.322207010126</v>
      </c>
    </row>
    <row r="97" spans="1:17" hidden="1">
      <c r="A97" s="228" t="s">
        <v>2366</v>
      </c>
      <c r="B97" s="228" t="s">
        <v>805</v>
      </c>
      <c r="C97" s="228" t="s">
        <v>4</v>
      </c>
      <c r="D97" s="228" t="s">
        <v>2355</v>
      </c>
      <c r="E97" s="228" t="s">
        <v>2356</v>
      </c>
      <c r="F97" s="228" t="s">
        <v>2064</v>
      </c>
      <c r="G97" s="228" t="str">
        <f t="shared" si="3"/>
        <v>PGE_DCHP_INST_2L</v>
      </c>
      <c r="H97" s="228">
        <v>25.09174546990802</v>
      </c>
      <c r="I97" s="228">
        <v>50.183490939816039</v>
      </c>
      <c r="J97" s="228">
        <v>75.275236409724059</v>
      </c>
      <c r="K97" s="228">
        <v>100.36698187963208</v>
      </c>
      <c r="L97" s="228">
        <v>125.45872734954013</v>
      </c>
      <c r="M97" s="228">
        <v>150.55047281944812</v>
      </c>
      <c r="N97" s="228">
        <v>175.64221828935615</v>
      </c>
      <c r="O97" s="228">
        <v>200.73396375926416</v>
      </c>
      <c r="P97" s="228">
        <v>225.82570922917222</v>
      </c>
      <c r="Q97" s="228">
        <v>250.91745469908025</v>
      </c>
    </row>
    <row r="98" spans="1:17" hidden="1">
      <c r="A98" s="228" t="s">
        <v>2366</v>
      </c>
      <c r="B98" s="228" t="s">
        <v>805</v>
      </c>
      <c r="C98" s="228" t="s">
        <v>4</v>
      </c>
      <c r="D98" s="228" t="s">
        <v>2355</v>
      </c>
      <c r="E98" s="228" t="s">
        <v>2359</v>
      </c>
      <c r="F98" s="228" t="s">
        <v>2064</v>
      </c>
      <c r="G98" s="228" t="str">
        <f t="shared" si="3"/>
        <v>PGE_SCHP_INST_2L</v>
      </c>
      <c r="H98" s="228">
        <v>8.4</v>
      </c>
      <c r="I98" s="228">
        <v>16.8</v>
      </c>
      <c r="J98" s="228">
        <v>25.200000000000003</v>
      </c>
      <c r="K98" s="228">
        <v>33.6</v>
      </c>
      <c r="L98" s="228">
        <v>42</v>
      </c>
      <c r="M98" s="228">
        <v>140.19891816261497</v>
      </c>
      <c r="N98" s="228">
        <v>148.59891816261498</v>
      </c>
      <c r="O98" s="228">
        <v>156.99891816261498</v>
      </c>
      <c r="P98" s="228">
        <v>165.39891816261499</v>
      </c>
      <c r="Q98" s="228">
        <v>173.798918162615</v>
      </c>
    </row>
    <row r="99" spans="1:17" hidden="1">
      <c r="A99" s="228" t="s">
        <v>2366</v>
      </c>
      <c r="B99" s="228" t="s">
        <v>805</v>
      </c>
      <c r="C99" s="228" t="s">
        <v>4</v>
      </c>
      <c r="D99" s="228" t="s">
        <v>2353</v>
      </c>
      <c r="E99" s="228" t="s">
        <v>2316</v>
      </c>
      <c r="F99" s="228" t="s">
        <v>2109</v>
      </c>
      <c r="G99" s="228" t="str">
        <f t="shared" si="3"/>
        <v>PGE_DCHP_SALES_2L</v>
      </c>
      <c r="H99" s="228">
        <v>199.19709434923226</v>
      </c>
      <c r="I99" s="228">
        <v>398.39418869846452</v>
      </c>
      <c r="J99" s="228">
        <v>597.59128304769695</v>
      </c>
      <c r="K99" s="228">
        <v>796.78837739692904</v>
      </c>
      <c r="L99" s="228">
        <v>995.98547174616158</v>
      </c>
      <c r="M99" s="228">
        <v>1195.1825660953939</v>
      </c>
      <c r="N99" s="228">
        <v>1394.3796604446261</v>
      </c>
      <c r="O99" s="228">
        <v>1593.5767547938581</v>
      </c>
      <c r="P99" s="228">
        <v>1792.773849143091</v>
      </c>
      <c r="Q99" s="228">
        <v>1991.9709434923232</v>
      </c>
    </row>
    <row r="100" spans="1:17" hidden="1">
      <c r="A100" s="228" t="s">
        <v>2366</v>
      </c>
      <c r="B100" s="228" t="s">
        <v>805</v>
      </c>
      <c r="C100" s="228" t="s">
        <v>4</v>
      </c>
      <c r="D100" s="228" t="s">
        <v>2354</v>
      </c>
      <c r="E100" s="228" t="s">
        <v>2340</v>
      </c>
      <c r="F100" s="228" t="s">
        <v>2064</v>
      </c>
      <c r="G100" s="228" t="str">
        <f t="shared" si="3"/>
        <v>PGE_DCHP_PEAK_2L</v>
      </c>
      <c r="H100" s="228">
        <v>27.184989674873261</v>
      </c>
      <c r="I100" s="228">
        <v>54.369979349746522</v>
      </c>
      <c r="J100" s="228">
        <v>81.55496902461978</v>
      </c>
      <c r="K100" s="228">
        <v>108.73995869949304</v>
      </c>
      <c r="L100" s="228">
        <v>135.92494837436632</v>
      </c>
      <c r="M100" s="228">
        <v>163.10993804923956</v>
      </c>
      <c r="N100" s="228">
        <v>190.29492772411282</v>
      </c>
      <c r="O100" s="228">
        <v>217.47991739898609</v>
      </c>
      <c r="P100" s="228">
        <v>244.66490707385938</v>
      </c>
      <c r="Q100" s="228">
        <v>271.84989674873265</v>
      </c>
    </row>
    <row r="101" spans="1:17" hidden="1">
      <c r="A101" s="228" t="s">
        <v>2366</v>
      </c>
      <c r="B101" s="228" t="s">
        <v>805</v>
      </c>
      <c r="C101" s="228" t="s">
        <v>2362</v>
      </c>
      <c r="D101" s="228" t="s">
        <v>2354</v>
      </c>
      <c r="E101" s="228" t="s">
        <v>2343</v>
      </c>
      <c r="F101" s="228" t="s">
        <v>2064</v>
      </c>
      <c r="G101" s="228" t="str">
        <f>E101&amp;"_"&amp;A101</f>
        <v>PGE_DR_PEAK_2L</v>
      </c>
      <c r="H101" s="228">
        <v>724.43003998356176</v>
      </c>
      <c r="I101" s="228">
        <v>857.18725299211951</v>
      </c>
      <c r="J101" s="228">
        <v>1151.4425216227899</v>
      </c>
      <c r="K101" s="228">
        <v>1209.8380649368855</v>
      </c>
      <c r="L101" s="228">
        <v>1248.8046293471068</v>
      </c>
      <c r="M101" s="228">
        <v>1288.564581090845</v>
      </c>
      <c r="N101" s="228">
        <v>1328.4791256507563</v>
      </c>
      <c r="O101" s="228">
        <v>1364.2600206764007</v>
      </c>
      <c r="P101" s="228">
        <v>1397.4427742054188</v>
      </c>
      <c r="Q101" s="228">
        <v>1428.955023915747</v>
      </c>
    </row>
    <row r="102" spans="1:17" hidden="1">
      <c r="A102" s="228" t="s">
        <v>2366</v>
      </c>
      <c r="B102" s="228" t="s">
        <v>805</v>
      </c>
      <c r="C102" s="228" t="s">
        <v>2363</v>
      </c>
      <c r="D102" s="228" t="s">
        <v>2353</v>
      </c>
      <c r="E102" s="228" t="s">
        <v>2312</v>
      </c>
      <c r="F102" s="228" t="s">
        <v>2109</v>
      </c>
      <c r="G102" s="228" t="str">
        <f t="shared" si="3"/>
        <v>PGE_EE_SALES_2L</v>
      </c>
      <c r="H102" s="228">
        <v>0</v>
      </c>
      <c r="I102" s="228">
        <v>0</v>
      </c>
      <c r="J102" s="228">
        <v>619</v>
      </c>
      <c r="K102" s="228">
        <v>1037</v>
      </c>
      <c r="L102" s="228">
        <v>1405</v>
      </c>
      <c r="M102" s="228">
        <v>1947</v>
      </c>
      <c r="N102" s="228">
        <v>2626</v>
      </c>
      <c r="O102" s="228">
        <v>3300</v>
      </c>
      <c r="P102" s="228">
        <v>3818</v>
      </c>
      <c r="Q102" s="228">
        <v>4208</v>
      </c>
    </row>
    <row r="103" spans="1:17" hidden="1">
      <c r="A103" s="228" t="s">
        <v>2366</v>
      </c>
      <c r="B103" s="228" t="s">
        <v>805</v>
      </c>
      <c r="C103" s="228" t="s">
        <v>2363</v>
      </c>
      <c r="D103" s="228" t="s">
        <v>2354</v>
      </c>
      <c r="E103" s="228" t="s">
        <v>2337</v>
      </c>
      <c r="F103" s="228" t="s">
        <v>2109</v>
      </c>
      <c r="G103" s="228" t="str">
        <f t="shared" si="3"/>
        <v>PGE_EE_PEAK_2L</v>
      </c>
      <c r="H103" s="228">
        <v>0</v>
      </c>
      <c r="I103" s="228">
        <v>0</v>
      </c>
      <c r="J103" s="228">
        <v>172</v>
      </c>
      <c r="K103" s="228">
        <v>314</v>
      </c>
      <c r="L103" s="228">
        <v>461</v>
      </c>
      <c r="M103" s="228">
        <v>662</v>
      </c>
      <c r="N103" s="228">
        <v>886</v>
      </c>
      <c r="O103" s="228">
        <v>1117</v>
      </c>
      <c r="P103" s="228">
        <v>1327</v>
      </c>
      <c r="Q103" s="228">
        <v>1519</v>
      </c>
    </row>
    <row r="104" spans="1:17" hidden="1">
      <c r="A104" s="228" t="s">
        <v>2366</v>
      </c>
      <c r="B104" s="228" t="s">
        <v>804</v>
      </c>
      <c r="C104" s="228" t="s">
        <v>2352</v>
      </c>
      <c r="D104" s="228" t="s">
        <v>2353</v>
      </c>
      <c r="E104" s="228" t="s">
        <v>2307</v>
      </c>
      <c r="F104" s="228" t="s">
        <v>2109</v>
      </c>
      <c r="G104" s="228" t="str">
        <f>E104&amp;"_"&amp;A104</f>
        <v>SCE_SALES_2L</v>
      </c>
      <c r="H104" s="228">
        <v>82372.517343233732</v>
      </c>
      <c r="I104" s="228">
        <v>84193.973977695161</v>
      </c>
      <c r="J104" s="228">
        <v>87060.78066914498</v>
      </c>
      <c r="K104" s="228">
        <v>89745.5873605948</v>
      </c>
      <c r="L104" s="228">
        <v>92988.509310926165</v>
      </c>
      <c r="M104" s="228">
        <v>95661.543777493018</v>
      </c>
      <c r="N104" s="228">
        <v>98357.593094141732</v>
      </c>
      <c r="O104" s="228">
        <v>101114.83276649177</v>
      </c>
      <c r="P104" s="228">
        <v>103968.56587812908</v>
      </c>
      <c r="Q104" s="228">
        <v>106915.84600070459</v>
      </c>
    </row>
    <row r="105" spans="1:17" hidden="1">
      <c r="A105" s="228" t="s">
        <v>2366</v>
      </c>
      <c r="B105" s="228" t="s">
        <v>804</v>
      </c>
      <c r="C105" s="228" t="s">
        <v>2352</v>
      </c>
      <c r="D105" s="228" t="s">
        <v>2354</v>
      </c>
      <c r="E105" s="228" t="s">
        <v>2332</v>
      </c>
      <c r="F105" s="228" t="s">
        <v>2064</v>
      </c>
      <c r="G105" s="228" t="str">
        <f t="shared" ref="G105:G118" si="4">E105&amp;"_"&amp;A105</f>
        <v>SCE_PEAK_2L</v>
      </c>
      <c r="H105" s="228">
        <v>21308.254878944681</v>
      </c>
      <c r="I105" s="228">
        <v>22068.832281911171</v>
      </c>
      <c r="J105" s="228">
        <v>22714.954475119368</v>
      </c>
      <c r="K105" s="228">
        <v>23334.830721623337</v>
      </c>
      <c r="L105" s="228">
        <v>24068.516458755435</v>
      </c>
      <c r="M105" s="228">
        <v>24678.139765790464</v>
      </c>
      <c r="N105" s="228">
        <v>25333.908554113856</v>
      </c>
      <c r="O105" s="228">
        <v>25979.615339790271</v>
      </c>
      <c r="P105" s="228">
        <v>26674.405585212644</v>
      </c>
      <c r="Q105" s="228">
        <v>27377.911291159638</v>
      </c>
    </row>
    <row r="106" spans="1:17" hidden="1">
      <c r="A106" s="228" t="s">
        <v>2366</v>
      </c>
      <c r="B106" s="228" t="s">
        <v>804</v>
      </c>
      <c r="C106" s="228" t="s">
        <v>4</v>
      </c>
      <c r="D106" s="228" t="s">
        <v>2355</v>
      </c>
      <c r="E106" s="228" t="s">
        <v>2357</v>
      </c>
      <c r="F106" s="228" t="s">
        <v>2064</v>
      </c>
      <c r="G106" s="228" t="str">
        <f t="shared" si="4"/>
        <v>SCE_DCHP_INST_2L</v>
      </c>
      <c r="H106" s="228">
        <v>17.324738114423852</v>
      </c>
      <c r="I106" s="228">
        <v>35.858178887993553</v>
      </c>
      <c r="J106" s="228">
        <v>59.629331184528596</v>
      </c>
      <c r="K106" s="228">
        <v>69.164652162234745</v>
      </c>
      <c r="L106" s="228">
        <v>100.32232070910555</v>
      </c>
      <c r="M106" s="228">
        <v>176.06768734891216</v>
      </c>
      <c r="N106" s="228">
        <v>197.01853344077355</v>
      </c>
      <c r="O106" s="228">
        <v>246.57534246575344</v>
      </c>
      <c r="P106" s="228">
        <v>256.24496373892021</v>
      </c>
      <c r="Q106" s="228">
        <v>268.06338973945742</v>
      </c>
    </row>
    <row r="107" spans="1:17" hidden="1">
      <c r="A107" s="228" t="s">
        <v>2366</v>
      </c>
      <c r="B107" s="228" t="s">
        <v>804</v>
      </c>
      <c r="C107" s="228" t="s">
        <v>4</v>
      </c>
      <c r="D107" s="228" t="s">
        <v>2355</v>
      </c>
      <c r="E107" s="228" t="s">
        <v>2360</v>
      </c>
      <c r="F107" s="228" t="s">
        <v>2064</v>
      </c>
      <c r="G107" s="228" t="str">
        <f t="shared" si="4"/>
        <v>SCE_SCHP_INST_2L</v>
      </c>
      <c r="H107" s="228">
        <v>32.236722843723307</v>
      </c>
      <c r="I107" s="228">
        <v>64.473445687446613</v>
      </c>
      <c r="J107" s="228">
        <v>96.710168531169927</v>
      </c>
      <c r="K107" s="228">
        <v>128.94689137489323</v>
      </c>
      <c r="L107" s="228">
        <v>161.18361421861653</v>
      </c>
      <c r="M107" s="228">
        <v>193.42033706233983</v>
      </c>
      <c r="N107" s="228">
        <v>225.65705990606313</v>
      </c>
      <c r="O107" s="228">
        <v>257.89378274978645</v>
      </c>
      <c r="P107" s="228">
        <v>290.13050559350978</v>
      </c>
      <c r="Q107" s="228">
        <v>322.36722843723311</v>
      </c>
    </row>
    <row r="108" spans="1:17" hidden="1">
      <c r="A108" s="228" t="s">
        <v>2366</v>
      </c>
      <c r="B108" s="228" t="s">
        <v>804</v>
      </c>
      <c r="C108" s="228" t="s">
        <v>4</v>
      </c>
      <c r="D108" s="228" t="s">
        <v>2353</v>
      </c>
      <c r="E108" s="228" t="s">
        <v>2317</v>
      </c>
      <c r="F108" s="228" t="s">
        <v>2109</v>
      </c>
      <c r="G108" s="228" t="str">
        <f t="shared" si="4"/>
        <v>SCE_DCHP_SALES_2L</v>
      </c>
      <c r="H108" s="228">
        <v>129</v>
      </c>
      <c r="I108" s="228">
        <v>267</v>
      </c>
      <c r="J108" s="228">
        <v>444</v>
      </c>
      <c r="K108" s="228">
        <v>515</v>
      </c>
      <c r="L108" s="228">
        <v>747</v>
      </c>
      <c r="M108" s="228">
        <v>1311</v>
      </c>
      <c r="N108" s="228">
        <v>1467</v>
      </c>
      <c r="O108" s="228">
        <v>1836</v>
      </c>
      <c r="P108" s="228">
        <v>1908</v>
      </c>
      <c r="Q108" s="228">
        <v>1996</v>
      </c>
    </row>
    <row r="109" spans="1:17" hidden="1">
      <c r="A109" s="228" t="s">
        <v>2366</v>
      </c>
      <c r="B109" s="228" t="s">
        <v>804</v>
      </c>
      <c r="C109" s="228" t="s">
        <v>4</v>
      </c>
      <c r="D109" s="228" t="s">
        <v>2354</v>
      </c>
      <c r="E109" s="228" t="s">
        <v>2341</v>
      </c>
      <c r="F109" s="228" t="s">
        <v>2064</v>
      </c>
      <c r="G109" s="228" t="str">
        <f t="shared" si="4"/>
        <v>SCE_DCHP_PEAK_2L</v>
      </c>
      <c r="H109" s="228">
        <v>18.770030459830828</v>
      </c>
      <c r="I109" s="228">
        <v>38.849597928487057</v>
      </c>
      <c r="J109" s="228">
        <v>64.603825768720043</v>
      </c>
      <c r="K109" s="228">
        <v>74.934617727231583</v>
      </c>
      <c r="L109" s="228">
        <v>108.69157173250872</v>
      </c>
      <c r="M109" s="228">
        <v>190.75589095223421</v>
      </c>
      <c r="N109" s="228">
        <v>213.45453243854126</v>
      </c>
      <c r="O109" s="228">
        <v>267.14554980038292</v>
      </c>
      <c r="P109" s="228">
        <v>277.62184587098619</v>
      </c>
      <c r="Q109" s="228">
        <v>290.42620773505683</v>
      </c>
    </row>
    <row r="110" spans="1:17" hidden="1">
      <c r="A110" s="228" t="s">
        <v>2366</v>
      </c>
      <c r="B110" s="228" t="s">
        <v>804</v>
      </c>
      <c r="C110" s="228" t="s">
        <v>2362</v>
      </c>
      <c r="D110" s="228" t="s">
        <v>2354</v>
      </c>
      <c r="E110" s="228" t="s">
        <v>2344</v>
      </c>
      <c r="F110" s="228" t="s">
        <v>2064</v>
      </c>
      <c r="G110" s="228" t="str">
        <f t="shared" si="4"/>
        <v>SCE_DR_PEAK_2L</v>
      </c>
      <c r="H110" s="228">
        <v>1641.4232</v>
      </c>
      <c r="I110" s="228">
        <v>2502</v>
      </c>
      <c r="J110" s="228">
        <v>2685.48</v>
      </c>
      <c r="K110" s="228">
        <v>2748.864</v>
      </c>
      <c r="L110" s="228">
        <v>2842.2720000000004</v>
      </c>
      <c r="M110" s="228">
        <v>2842.2720000000004</v>
      </c>
      <c r="N110" s="228">
        <v>2842.2720000000004</v>
      </c>
      <c r="O110" s="228">
        <v>2842.2720000000004</v>
      </c>
      <c r="P110" s="228">
        <v>2842.2720000000004</v>
      </c>
      <c r="Q110" s="228">
        <v>2842.2720000000004</v>
      </c>
    </row>
    <row r="111" spans="1:17" hidden="1">
      <c r="A111" s="228" t="s">
        <v>2366</v>
      </c>
      <c r="B111" s="228" t="s">
        <v>804</v>
      </c>
      <c r="C111" s="228" t="s">
        <v>2363</v>
      </c>
      <c r="D111" s="228" t="s">
        <v>2353</v>
      </c>
      <c r="E111" s="228" t="s">
        <v>2313</v>
      </c>
      <c r="F111" s="228" t="s">
        <v>2109</v>
      </c>
      <c r="G111" s="228" t="str">
        <f t="shared" si="4"/>
        <v>SCE_EE_SALES_2L</v>
      </c>
      <c r="H111" s="228">
        <v>0</v>
      </c>
      <c r="I111" s="228">
        <v>0</v>
      </c>
      <c r="J111" s="228">
        <v>861</v>
      </c>
      <c r="K111" s="228">
        <v>1645</v>
      </c>
      <c r="L111" s="228">
        <v>2396</v>
      </c>
      <c r="M111" s="228">
        <v>3173</v>
      </c>
      <c r="N111" s="228">
        <v>3962</v>
      </c>
      <c r="O111" s="228">
        <v>4765</v>
      </c>
      <c r="P111" s="228">
        <v>5569</v>
      </c>
      <c r="Q111" s="228">
        <v>6377</v>
      </c>
    </row>
    <row r="112" spans="1:17" hidden="1">
      <c r="A112" s="228" t="s">
        <v>2366</v>
      </c>
      <c r="B112" s="228" t="s">
        <v>804</v>
      </c>
      <c r="C112" s="228" t="s">
        <v>2363</v>
      </c>
      <c r="D112" s="228" t="s">
        <v>2354</v>
      </c>
      <c r="E112" s="228" t="s">
        <v>2338</v>
      </c>
      <c r="F112" s="228" t="s">
        <v>2109</v>
      </c>
      <c r="G112" s="228" t="str">
        <f t="shared" si="4"/>
        <v>SCE_EE_PEAK_2L</v>
      </c>
      <c r="H112" s="228">
        <v>348.4848484848485</v>
      </c>
      <c r="I112" s="228">
        <v>683.98268398268397</v>
      </c>
      <c r="J112" s="228">
        <v>899.35064935064929</v>
      </c>
      <c r="K112" s="228">
        <v>1103.8961038961038</v>
      </c>
      <c r="L112" s="228">
        <v>1311.6883116883116</v>
      </c>
      <c r="M112" s="228">
        <v>1543.2900432900433</v>
      </c>
      <c r="N112" s="228">
        <v>1777.0562770562769</v>
      </c>
      <c r="O112" s="228">
        <v>2016.2337662337661</v>
      </c>
      <c r="P112" s="228">
        <v>2256.4935064935062</v>
      </c>
      <c r="Q112" s="228">
        <v>2497.8354978354973</v>
      </c>
    </row>
    <row r="113" spans="1:18" hidden="1">
      <c r="A113" s="228" t="s">
        <v>2366</v>
      </c>
      <c r="B113" s="228" t="s">
        <v>2130</v>
      </c>
      <c r="C113" s="228" t="s">
        <v>2352</v>
      </c>
      <c r="D113" s="228" t="s">
        <v>2353</v>
      </c>
      <c r="E113" s="228" t="s">
        <v>2308</v>
      </c>
      <c r="F113" s="228" t="s">
        <v>2109</v>
      </c>
      <c r="G113" s="228" t="str">
        <f t="shared" si="4"/>
        <v>SDGE_SALES_2L</v>
      </c>
      <c r="H113" s="228">
        <v>20258.037037160266</v>
      </c>
      <c r="I113" s="228">
        <v>20575.047593255949</v>
      </c>
      <c r="J113" s="228">
        <v>20941.099327739961</v>
      </c>
      <c r="K113" s="228">
        <v>21216.078551169827</v>
      </c>
      <c r="L113" s="228">
        <v>21497.499694792303</v>
      </c>
      <c r="M113" s="228">
        <v>21749.688418793685</v>
      </c>
      <c r="N113" s="228">
        <v>22015.956904238788</v>
      </c>
      <c r="O113" s="228">
        <v>22279.32984962147</v>
      </c>
      <c r="P113" s="228">
        <v>22560.221338821884</v>
      </c>
      <c r="Q113" s="228">
        <v>22842.909827910138</v>
      </c>
    </row>
    <row r="114" spans="1:18" hidden="1">
      <c r="A114" s="228" t="s">
        <v>2366</v>
      </c>
      <c r="B114" s="228" t="s">
        <v>2130</v>
      </c>
      <c r="C114" s="228" t="s">
        <v>2352</v>
      </c>
      <c r="D114" s="228" t="s">
        <v>2354</v>
      </c>
      <c r="E114" s="228" t="s">
        <v>2333</v>
      </c>
      <c r="F114" s="228" t="s">
        <v>2064</v>
      </c>
      <c r="G114" s="228" t="str">
        <f t="shared" si="4"/>
        <v>SDGE_PEAK_2L</v>
      </c>
      <c r="H114" s="228">
        <v>4365</v>
      </c>
      <c r="I114" s="228">
        <v>4438</v>
      </c>
      <c r="J114" s="228">
        <v>4536.0767093740051</v>
      </c>
      <c r="K114" s="228">
        <v>4615.1760688808017</v>
      </c>
      <c r="L114" s="228">
        <v>4696.3580983444135</v>
      </c>
      <c r="M114" s="228">
        <v>4771.8227318747631</v>
      </c>
      <c r="N114" s="228">
        <v>4851.0396066126514</v>
      </c>
      <c r="O114" s="228">
        <v>4930.3008551944613</v>
      </c>
      <c r="P114" s="228">
        <v>5014.1442081145287</v>
      </c>
      <c r="Q114" s="228">
        <v>5099.1201798614211</v>
      </c>
    </row>
    <row r="115" spans="1:18" hidden="1">
      <c r="A115" s="228" t="s">
        <v>2366</v>
      </c>
      <c r="B115" s="228" t="s">
        <v>2130</v>
      </c>
      <c r="C115" s="228" t="s">
        <v>4</v>
      </c>
      <c r="D115" s="228" t="s">
        <v>2355</v>
      </c>
      <c r="E115" s="228" t="s">
        <v>2358</v>
      </c>
      <c r="F115" s="228" t="s">
        <v>2064</v>
      </c>
      <c r="G115" s="228" t="str">
        <f t="shared" si="4"/>
        <v>SDGE_DCHP_INST_2L</v>
      </c>
      <c r="H115" s="228">
        <v>0</v>
      </c>
      <c r="I115" s="228">
        <v>0</v>
      </c>
      <c r="J115" s="228">
        <v>10.738631057988609</v>
      </c>
      <c r="K115" s="228">
        <v>2.8013820151274631</v>
      </c>
      <c r="L115" s="228">
        <v>4.2020730226911951</v>
      </c>
      <c r="M115" s="228">
        <v>5.6027640302549253</v>
      </c>
      <c r="N115" s="228">
        <v>10.365113455971612</v>
      </c>
      <c r="O115" s="228">
        <v>11.765804463535344</v>
      </c>
      <c r="P115" s="228">
        <v>13.166495471099077</v>
      </c>
      <c r="Q115" s="228">
        <v>14.567186478662807</v>
      </c>
    </row>
    <row r="116" spans="1:18" hidden="1">
      <c r="A116" s="228" t="s">
        <v>2366</v>
      </c>
      <c r="B116" s="228" t="s">
        <v>2130</v>
      </c>
      <c r="C116" s="228" t="s">
        <v>4</v>
      </c>
      <c r="D116" s="228" t="s">
        <v>2355</v>
      </c>
      <c r="E116" s="228" t="s">
        <v>2361</v>
      </c>
      <c r="F116" s="228" t="s">
        <v>2064</v>
      </c>
      <c r="G116" s="228" t="str">
        <f t="shared" si="4"/>
        <v>SDGE_SCHP_INST_2L</v>
      </c>
      <c r="H116" s="228">
        <v>0</v>
      </c>
      <c r="I116" s="228">
        <v>0</v>
      </c>
      <c r="J116" s="228">
        <v>3</v>
      </c>
      <c r="K116" s="228">
        <v>5</v>
      </c>
      <c r="L116" s="228">
        <v>8</v>
      </c>
      <c r="M116" s="228">
        <v>10</v>
      </c>
      <c r="N116" s="228">
        <v>32</v>
      </c>
      <c r="O116" s="228">
        <v>34</v>
      </c>
      <c r="P116" s="228">
        <v>37</v>
      </c>
      <c r="Q116" s="228">
        <v>39</v>
      </c>
      <c r="R116" s="228">
        <v>42</v>
      </c>
    </row>
    <row r="117" spans="1:18" hidden="1">
      <c r="A117" s="228" t="s">
        <v>2366</v>
      </c>
      <c r="B117" s="228" t="s">
        <v>2130</v>
      </c>
      <c r="C117" s="228" t="s">
        <v>4</v>
      </c>
      <c r="D117" s="228" t="s">
        <v>2353</v>
      </c>
      <c r="E117" s="228" t="s">
        <v>2318</v>
      </c>
      <c r="F117" s="228" t="s">
        <v>2109</v>
      </c>
      <c r="G117" s="228" t="str">
        <f t="shared" si="4"/>
        <v>SDGE_DCHP_SALES_2L</v>
      </c>
      <c r="H117" s="228">
        <v>0</v>
      </c>
      <c r="I117" s="228">
        <v>0</v>
      </c>
      <c r="J117" s="228">
        <v>9.2025399196937201</v>
      </c>
      <c r="K117" s="228">
        <v>18.405079839387401</v>
      </c>
      <c r="L117" s="228">
        <v>27.6076197590811</v>
      </c>
      <c r="M117" s="228">
        <v>36.810159678774902</v>
      </c>
      <c r="N117" s="228">
        <v>68.098795405733497</v>
      </c>
      <c r="O117" s="228">
        <v>77.301335325427203</v>
      </c>
      <c r="P117" s="228">
        <v>86.503875245120895</v>
      </c>
      <c r="Q117" s="228">
        <v>95.706415164814601</v>
      </c>
    </row>
    <row r="118" spans="1:18" hidden="1">
      <c r="A118" s="228" t="s">
        <v>2366</v>
      </c>
      <c r="B118" s="228" t="s">
        <v>2130</v>
      </c>
      <c r="C118" s="228" t="s">
        <v>4</v>
      </c>
      <c r="D118" s="228" t="s">
        <v>2354</v>
      </c>
      <c r="E118" s="228" t="s">
        <v>2342</v>
      </c>
      <c r="F118" s="228" t="s">
        <v>2064</v>
      </c>
      <c r="G118" s="228" t="str">
        <f t="shared" si="4"/>
        <v>SDGE_DCHP_PEAK_2L</v>
      </c>
      <c r="H118" s="228">
        <v>0</v>
      </c>
      <c r="I118" s="228">
        <v>0</v>
      </c>
      <c r="J118" s="228">
        <v>11.5</v>
      </c>
      <c r="K118" s="228">
        <v>3</v>
      </c>
      <c r="L118" s="228">
        <v>4.5</v>
      </c>
      <c r="M118" s="228">
        <v>6</v>
      </c>
      <c r="N118" s="228">
        <v>11.1</v>
      </c>
      <c r="O118" s="228">
        <v>12.6</v>
      </c>
      <c r="P118" s="228">
        <v>14.1</v>
      </c>
      <c r="Q118" s="228">
        <v>15.6</v>
      </c>
    </row>
    <row r="119" spans="1:18" hidden="1">
      <c r="A119" s="228" t="s">
        <v>2366</v>
      </c>
      <c r="B119" s="228" t="s">
        <v>2130</v>
      </c>
      <c r="C119" s="228" t="s">
        <v>2362</v>
      </c>
      <c r="D119" s="228" t="s">
        <v>2354</v>
      </c>
      <c r="E119" s="228" t="s">
        <v>2345</v>
      </c>
      <c r="F119" s="228" t="s">
        <v>2064</v>
      </c>
      <c r="G119" s="228" t="str">
        <f>E119&amp;"_"&amp;A119</f>
        <v>SDGE_DR_PEAK_2L</v>
      </c>
      <c r="H119" s="228">
        <v>90.101993490063293</v>
      </c>
      <c r="I119" s="228">
        <v>157.55509757960399</v>
      </c>
      <c r="J119" s="228">
        <v>195.99056875726501</v>
      </c>
      <c r="K119" s="228">
        <v>205.454297389836</v>
      </c>
      <c r="L119" s="228">
        <v>207.72439158194899</v>
      </c>
      <c r="M119" s="228">
        <v>209.834610153954</v>
      </c>
      <c r="N119" s="228">
        <v>212.04975269779001</v>
      </c>
      <c r="O119" s="228">
        <v>214.26613606802599</v>
      </c>
      <c r="P119" s="228">
        <v>216.61064888408501</v>
      </c>
      <c r="Q119" s="228">
        <v>218.98683313577601</v>
      </c>
      <c r="R119" s="228">
        <v>221</v>
      </c>
    </row>
    <row r="120" spans="1:18" hidden="1">
      <c r="A120" s="228" t="s">
        <v>2366</v>
      </c>
      <c r="B120" s="228" t="s">
        <v>2130</v>
      </c>
      <c r="C120" s="228" t="s">
        <v>2363</v>
      </c>
      <c r="D120" s="228" t="s">
        <v>2353</v>
      </c>
      <c r="E120" s="228" t="s">
        <v>2314</v>
      </c>
      <c r="F120" s="228" t="s">
        <v>2109</v>
      </c>
      <c r="G120" s="228" t="str">
        <f t="shared" ref="G120:G122" si="5">E120&amp;"_"&amp;A120</f>
        <v>SDGE_EE_SALES_2L</v>
      </c>
      <c r="H120" s="228">
        <v>0</v>
      </c>
      <c r="I120" s="228">
        <v>0</v>
      </c>
      <c r="J120" s="228">
        <v>103.6</v>
      </c>
      <c r="K120" s="228">
        <v>164.84</v>
      </c>
      <c r="L120" s="228">
        <v>216.28</v>
      </c>
      <c r="M120" s="228">
        <v>303.2</v>
      </c>
      <c r="N120" s="228">
        <v>417.48</v>
      </c>
      <c r="O120" s="228">
        <v>530.72</v>
      </c>
      <c r="P120" s="228">
        <v>612.08000000000004</v>
      </c>
      <c r="Q120" s="228">
        <v>664.32</v>
      </c>
    </row>
    <row r="121" spans="1:18" hidden="1">
      <c r="A121" s="228" t="s">
        <v>2366</v>
      </c>
      <c r="B121" s="228" t="s">
        <v>2130</v>
      </c>
      <c r="C121" s="228" t="s">
        <v>2363</v>
      </c>
      <c r="D121" s="228" t="s">
        <v>2354</v>
      </c>
      <c r="E121" s="228" t="s">
        <v>2339</v>
      </c>
      <c r="F121" s="228" t="s">
        <v>2109</v>
      </c>
      <c r="G121" s="228" t="str">
        <f t="shared" si="5"/>
        <v>SDGE_EE_PEAK_2L</v>
      </c>
      <c r="H121" s="228">
        <v>0</v>
      </c>
      <c r="I121" s="228">
        <v>0</v>
      </c>
      <c r="J121" s="228">
        <v>30.860273972602698</v>
      </c>
      <c r="K121" s="228">
        <v>54.5315068493151</v>
      </c>
      <c r="L121" s="228">
        <v>78.816438356164397</v>
      </c>
      <c r="M121" s="228">
        <v>114.41095890411</v>
      </c>
      <c r="N121" s="228">
        <v>153.906849315068</v>
      </c>
      <c r="O121" s="228">
        <v>193.27123287671199</v>
      </c>
      <c r="P121" s="228">
        <v>227.76986301369899</v>
      </c>
      <c r="Q121" s="228">
        <v>257.75342465753403</v>
      </c>
    </row>
    <row r="122" spans="1:18">
      <c r="A122" s="228" t="s">
        <v>2366</v>
      </c>
      <c r="B122" s="228" t="s">
        <v>2131</v>
      </c>
      <c r="C122" s="228" t="s">
        <v>2352</v>
      </c>
      <c r="D122" s="228" t="s">
        <v>2353</v>
      </c>
      <c r="E122" s="228" t="s">
        <v>2310</v>
      </c>
      <c r="F122" s="228" t="s">
        <v>2109</v>
      </c>
      <c r="G122" s="228" t="str">
        <f t="shared" si="5"/>
        <v>CAISO_SALES_2L</v>
      </c>
      <c r="H122" s="228">
        <v>206429.47735357445</v>
      </c>
      <c r="I122" s="228">
        <v>208271.22589013175</v>
      </c>
      <c r="J122" s="228">
        <v>213059.02809780915</v>
      </c>
      <c r="K122" s="228">
        <v>216474.85075579473</v>
      </c>
      <c r="L122" s="228">
        <v>220636.53742376054</v>
      </c>
      <c r="M122" s="228">
        <v>224945.27744516567</v>
      </c>
      <c r="N122" s="228">
        <v>229407.45875281701</v>
      </c>
      <c r="O122" s="228">
        <v>233925.54679126313</v>
      </c>
      <c r="P122" s="228">
        <v>238450.69228565795</v>
      </c>
      <c r="Q122" s="228">
        <v>243002.03447790004</v>
      </c>
    </row>
    <row r="123" spans="1:18" hidden="1">
      <c r="A123" s="228" t="s">
        <v>2366</v>
      </c>
      <c r="B123" s="228" t="s">
        <v>2131</v>
      </c>
      <c r="C123" s="228" t="s">
        <v>2352</v>
      </c>
      <c r="D123" s="228" t="s">
        <v>2354</v>
      </c>
      <c r="E123" s="228" t="s">
        <v>2336</v>
      </c>
      <c r="F123" s="228" t="s">
        <v>2109</v>
      </c>
      <c r="G123" s="228" t="str">
        <f>E123&amp;"_"&amp;A123</f>
        <v>CAISO_PEAK_2L</v>
      </c>
      <c r="H123" s="228">
        <v>50449.887113811303</v>
      </c>
      <c r="I123" s="228">
        <v>51606.363763730275</v>
      </c>
      <c r="J123" s="228">
        <v>52684.792550708604</v>
      </c>
      <c r="K123" s="228">
        <v>53770.74674920363</v>
      </c>
      <c r="L123" s="228">
        <v>54840.662930139602</v>
      </c>
      <c r="M123" s="228">
        <v>55995.978604166281</v>
      </c>
      <c r="N123" s="228">
        <v>57197.845343831577</v>
      </c>
      <c r="O123" s="228">
        <v>58400.160088627599</v>
      </c>
      <c r="P123" s="228">
        <v>59628.924467552875</v>
      </c>
      <c r="Q123" s="228">
        <v>60853.231782180708</v>
      </c>
    </row>
  </sheetData>
  <autoFilter ref="A7:AB123">
    <filterColumn colId="1">
      <filters>
        <filter val="CAISO"/>
      </filters>
    </filterColumn>
    <filterColumn colId="2">
      <filters>
        <filter val="Load"/>
      </filters>
    </filterColumn>
    <filterColumn colId="3">
      <filters>
        <filter val="Retail Sales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 tint="0.39997558519241921"/>
  </sheetPr>
  <dimension ref="A4:AH30"/>
  <sheetViews>
    <sheetView zoomScale="85" zoomScaleNormal="85" workbookViewId="0">
      <pane ySplit="4" topLeftCell="A5" activePane="bottomLeft" state="frozen"/>
      <selection activeCell="A13" sqref="A13"/>
      <selection pane="bottomLeft" activeCell="A18" sqref="A18:XFD18"/>
    </sheetView>
  </sheetViews>
  <sheetFormatPr defaultRowHeight="12.75"/>
  <cols>
    <col min="1" max="1" width="8.5703125" style="230" customWidth="1"/>
    <col min="2" max="2" width="16.28515625" style="230" customWidth="1"/>
    <col min="3" max="3" width="20.7109375" style="230" customWidth="1"/>
    <col min="4" max="16384" width="9.140625" style="230"/>
  </cols>
  <sheetData>
    <row r="4" spans="1:34">
      <c r="A4" s="230" t="s">
        <v>2084</v>
      </c>
      <c r="B4" s="230" t="s">
        <v>2106</v>
      </c>
      <c r="C4" s="230" t="s">
        <v>2107</v>
      </c>
      <c r="D4" s="230" t="s">
        <v>2108</v>
      </c>
      <c r="E4" s="230">
        <v>2011</v>
      </c>
      <c r="F4" s="230">
        <v>2012</v>
      </c>
      <c r="G4" s="230">
        <v>2013</v>
      </c>
      <c r="H4" s="230">
        <v>2014</v>
      </c>
      <c r="I4" s="230">
        <v>2015</v>
      </c>
      <c r="J4" s="230">
        <v>2016</v>
      </c>
      <c r="K4" s="230">
        <v>2017</v>
      </c>
      <c r="L4" s="230">
        <v>2018</v>
      </c>
      <c r="M4" s="230">
        <v>2019</v>
      </c>
      <c r="N4" s="230">
        <v>2020</v>
      </c>
      <c r="O4" s="230">
        <v>2021</v>
      </c>
      <c r="P4" s="230">
        <v>2022</v>
      </c>
      <c r="Q4" s="230">
        <v>2023</v>
      </c>
      <c r="R4" s="230">
        <v>2024</v>
      </c>
      <c r="S4" s="230">
        <v>2025</v>
      </c>
      <c r="T4" s="230">
        <v>2026</v>
      </c>
      <c r="U4" s="230">
        <v>2027</v>
      </c>
      <c r="V4" s="230">
        <v>2028</v>
      </c>
      <c r="W4" s="230">
        <v>2029</v>
      </c>
      <c r="X4" s="230">
        <v>2030</v>
      </c>
      <c r="Y4" s="230">
        <v>2031</v>
      </c>
      <c r="Z4" s="230">
        <v>2032</v>
      </c>
      <c r="AA4" s="230">
        <v>2033</v>
      </c>
      <c r="AB4" s="230">
        <v>2034</v>
      </c>
      <c r="AC4" s="230">
        <v>2035</v>
      </c>
      <c r="AD4" s="230">
        <v>2036</v>
      </c>
      <c r="AE4" s="230">
        <v>2037</v>
      </c>
      <c r="AF4" s="230">
        <v>2038</v>
      </c>
      <c r="AG4" s="230">
        <v>2039</v>
      </c>
      <c r="AH4" s="230">
        <v>2040</v>
      </c>
    </row>
    <row r="5" spans="1:34">
      <c r="A5" s="230">
        <v>1</v>
      </c>
      <c r="B5" s="230" t="s">
        <v>2325</v>
      </c>
      <c r="C5" s="230" t="str">
        <f>B5&amp;"_"&amp;A5</f>
        <v>RPS_PERCENT_1</v>
      </c>
      <c r="D5" s="230" t="s">
        <v>2367</v>
      </c>
      <c r="E5" s="230">
        <v>0.2</v>
      </c>
      <c r="F5" s="230">
        <v>0.2</v>
      </c>
      <c r="G5" s="230">
        <v>0.2</v>
      </c>
      <c r="H5" s="230">
        <v>0.21666666666666667</v>
      </c>
      <c r="I5" s="230">
        <v>0.23333333333333334</v>
      </c>
      <c r="J5" s="230">
        <v>0.25</v>
      </c>
      <c r="K5" s="230">
        <v>0.27</v>
      </c>
      <c r="L5" s="230">
        <v>0.28999999999999998</v>
      </c>
      <c r="M5" s="230">
        <v>0.31</v>
      </c>
      <c r="N5" s="230">
        <v>0.33</v>
      </c>
      <c r="O5" s="230">
        <v>0.33</v>
      </c>
      <c r="P5" s="230">
        <v>0.33</v>
      </c>
      <c r="Q5" s="230">
        <v>0.33</v>
      </c>
      <c r="R5" s="230">
        <v>0.33</v>
      </c>
      <c r="S5" s="230">
        <v>0.33</v>
      </c>
      <c r="T5" s="230">
        <v>0.33</v>
      </c>
      <c r="U5" s="230">
        <v>0.33</v>
      </c>
      <c r="V5" s="230">
        <v>0.33</v>
      </c>
      <c r="W5" s="230">
        <v>0.33</v>
      </c>
      <c r="X5" s="230">
        <v>0.33</v>
      </c>
      <c r="Y5" s="230">
        <v>0.33</v>
      </c>
      <c r="Z5" s="230">
        <v>0.33</v>
      </c>
      <c r="AA5" s="230">
        <v>0.33</v>
      </c>
      <c r="AB5" s="230">
        <v>0.33</v>
      </c>
      <c r="AC5" s="230">
        <v>0.33</v>
      </c>
      <c r="AD5" s="230">
        <v>0.33</v>
      </c>
      <c r="AE5" s="230">
        <v>0.33</v>
      </c>
      <c r="AF5" s="230">
        <v>0.33</v>
      </c>
      <c r="AG5" s="230">
        <v>0.33</v>
      </c>
      <c r="AH5" s="230">
        <v>0.33</v>
      </c>
    </row>
    <row r="6" spans="1:34">
      <c r="A6" s="230">
        <v>2</v>
      </c>
      <c r="B6" s="230" t="s">
        <v>2325</v>
      </c>
      <c r="C6" s="230" t="str">
        <f t="shared" ref="C6:C14" si="0">B6&amp;"_"&amp;A6</f>
        <v>RPS_PERCENT_2</v>
      </c>
      <c r="D6" s="230" t="s">
        <v>2367</v>
      </c>
      <c r="E6" s="230">
        <v>0.2</v>
      </c>
      <c r="F6" s="230">
        <v>0.2</v>
      </c>
      <c r="G6" s="230">
        <v>0.2</v>
      </c>
      <c r="H6" s="230">
        <v>0.21666666666666667</v>
      </c>
      <c r="I6" s="230">
        <v>0.23333333333333334</v>
      </c>
      <c r="J6" s="230">
        <v>0.25</v>
      </c>
      <c r="K6" s="230">
        <v>0.27</v>
      </c>
      <c r="L6" s="230">
        <v>0.28999999999999998</v>
      </c>
      <c r="M6" s="230">
        <v>0.31</v>
      </c>
      <c r="N6" s="230">
        <v>0.33</v>
      </c>
      <c r="O6" s="230">
        <v>0.33</v>
      </c>
      <c r="P6" s="230">
        <v>0.33</v>
      </c>
      <c r="Q6" s="230">
        <v>0.33</v>
      </c>
      <c r="R6" s="230">
        <v>0.33</v>
      </c>
      <c r="S6" s="230">
        <v>0.33</v>
      </c>
      <c r="T6" s="230">
        <v>0.33</v>
      </c>
      <c r="U6" s="230">
        <v>0.33</v>
      </c>
      <c r="V6" s="230">
        <v>0.33</v>
      </c>
      <c r="W6" s="230">
        <v>0.33</v>
      </c>
      <c r="X6" s="230">
        <v>0.33</v>
      </c>
      <c r="Y6" s="230">
        <v>0.33</v>
      </c>
      <c r="Z6" s="230">
        <v>0.33</v>
      </c>
      <c r="AA6" s="230">
        <v>0.33</v>
      </c>
      <c r="AB6" s="230">
        <v>0.33</v>
      </c>
      <c r="AC6" s="230">
        <v>0.33</v>
      </c>
      <c r="AD6" s="230">
        <v>0.33</v>
      </c>
      <c r="AE6" s="230">
        <v>0.33</v>
      </c>
      <c r="AF6" s="230">
        <v>0.33</v>
      </c>
      <c r="AG6" s="230">
        <v>0.33</v>
      </c>
      <c r="AH6" s="230">
        <v>0.33</v>
      </c>
    </row>
    <row r="7" spans="1:34">
      <c r="A7" s="230">
        <v>3</v>
      </c>
      <c r="B7" s="230" t="s">
        <v>2325</v>
      </c>
      <c r="C7" s="230" t="str">
        <f t="shared" si="0"/>
        <v>RPS_PERCENT_3</v>
      </c>
      <c r="D7" s="230" t="s">
        <v>2367</v>
      </c>
      <c r="E7" s="230">
        <v>0.2</v>
      </c>
      <c r="F7" s="230">
        <v>0.2</v>
      </c>
      <c r="G7" s="230">
        <v>0.2</v>
      </c>
      <c r="H7" s="230">
        <v>0.21666666666666667</v>
      </c>
      <c r="I7" s="230">
        <v>0.23333333333333334</v>
      </c>
      <c r="J7" s="230">
        <v>0.25</v>
      </c>
      <c r="K7" s="230">
        <v>0.27</v>
      </c>
      <c r="L7" s="230">
        <v>0.28999999999999998</v>
      </c>
      <c r="M7" s="230">
        <v>0.31</v>
      </c>
      <c r="N7" s="230">
        <v>0.33</v>
      </c>
      <c r="O7" s="230">
        <v>0.33</v>
      </c>
      <c r="P7" s="230">
        <v>0.33</v>
      </c>
      <c r="Q7" s="230">
        <v>0.33</v>
      </c>
      <c r="R7" s="230">
        <v>0.33</v>
      </c>
      <c r="S7" s="230">
        <v>0.33</v>
      </c>
      <c r="T7" s="230">
        <v>0.33</v>
      </c>
      <c r="U7" s="230">
        <v>0.33</v>
      </c>
      <c r="V7" s="230">
        <v>0.33</v>
      </c>
      <c r="W7" s="230">
        <v>0.33</v>
      </c>
      <c r="X7" s="230">
        <v>0.33</v>
      </c>
      <c r="Y7" s="230">
        <v>0.33</v>
      </c>
      <c r="Z7" s="230">
        <v>0.33</v>
      </c>
      <c r="AA7" s="230">
        <v>0.33</v>
      </c>
      <c r="AB7" s="230">
        <v>0.33</v>
      </c>
      <c r="AC7" s="230">
        <v>0.33</v>
      </c>
      <c r="AD7" s="230">
        <v>0.33</v>
      </c>
      <c r="AE7" s="230">
        <v>0.33</v>
      </c>
      <c r="AF7" s="230">
        <v>0.33</v>
      </c>
      <c r="AG7" s="230">
        <v>0.33</v>
      </c>
      <c r="AH7" s="230">
        <v>0.33</v>
      </c>
    </row>
    <row r="8" spans="1:34">
      <c r="A8" s="230">
        <v>4</v>
      </c>
      <c r="B8" s="230" t="s">
        <v>2325</v>
      </c>
      <c r="C8" s="230" t="str">
        <f t="shared" si="0"/>
        <v>RPS_PERCENT_4</v>
      </c>
      <c r="D8" s="230" t="s">
        <v>2367</v>
      </c>
      <c r="E8" s="230">
        <v>0.2</v>
      </c>
      <c r="F8" s="230">
        <v>0.2</v>
      </c>
      <c r="G8" s="230">
        <v>0.2</v>
      </c>
      <c r="H8" s="230">
        <v>0.21666666666666667</v>
      </c>
      <c r="I8" s="230">
        <v>0.23333333333333334</v>
      </c>
      <c r="J8" s="230">
        <v>0.25</v>
      </c>
      <c r="K8" s="230">
        <v>0.27</v>
      </c>
      <c r="L8" s="230">
        <v>0.28999999999999998</v>
      </c>
      <c r="M8" s="230">
        <v>0.31</v>
      </c>
      <c r="N8" s="230">
        <v>0.33</v>
      </c>
      <c r="O8" s="230">
        <v>0.33</v>
      </c>
      <c r="P8" s="230">
        <v>0.33</v>
      </c>
      <c r="Q8" s="230">
        <v>0.33</v>
      </c>
      <c r="R8" s="230">
        <v>0.33</v>
      </c>
      <c r="S8" s="230">
        <v>0.33</v>
      </c>
      <c r="T8" s="230">
        <v>0.33</v>
      </c>
      <c r="U8" s="230">
        <v>0.33</v>
      </c>
      <c r="V8" s="230">
        <v>0.33</v>
      </c>
      <c r="W8" s="230">
        <v>0.33</v>
      </c>
      <c r="X8" s="230">
        <v>0.33</v>
      </c>
      <c r="Y8" s="230">
        <v>0.33</v>
      </c>
      <c r="Z8" s="230">
        <v>0.33</v>
      </c>
      <c r="AA8" s="230">
        <v>0.33</v>
      </c>
      <c r="AB8" s="230">
        <v>0.33</v>
      </c>
      <c r="AC8" s="230">
        <v>0.33</v>
      </c>
      <c r="AD8" s="230">
        <v>0.33</v>
      </c>
      <c r="AE8" s="230">
        <v>0.33</v>
      </c>
      <c r="AF8" s="230">
        <v>0.33</v>
      </c>
      <c r="AG8" s="230">
        <v>0.33</v>
      </c>
      <c r="AH8" s="230">
        <v>0.33</v>
      </c>
    </row>
    <row r="9" spans="1:34">
      <c r="A9" s="230">
        <v>5</v>
      </c>
      <c r="B9" s="230" t="s">
        <v>2325</v>
      </c>
      <c r="C9" s="230" t="str">
        <f t="shared" si="0"/>
        <v>RPS_PERCENT_5</v>
      </c>
      <c r="D9" s="230" t="s">
        <v>2367</v>
      </c>
      <c r="E9" s="230">
        <v>0</v>
      </c>
      <c r="F9" s="230">
        <v>0</v>
      </c>
      <c r="G9" s="230">
        <v>0</v>
      </c>
      <c r="H9" s="230">
        <v>0</v>
      </c>
      <c r="I9" s="230">
        <v>0</v>
      </c>
      <c r="J9" s="230">
        <v>0</v>
      </c>
      <c r="K9" s="230">
        <v>0</v>
      </c>
      <c r="L9" s="230">
        <v>0</v>
      </c>
      <c r="M9" s="230">
        <v>0</v>
      </c>
      <c r="N9" s="230">
        <v>0</v>
      </c>
      <c r="O9" s="230">
        <v>0</v>
      </c>
      <c r="P9" s="230">
        <v>0</v>
      </c>
      <c r="Q9" s="230">
        <v>0</v>
      </c>
      <c r="R9" s="230">
        <v>0</v>
      </c>
      <c r="S9" s="230">
        <v>0</v>
      </c>
      <c r="T9" s="230">
        <v>0</v>
      </c>
      <c r="U9" s="230">
        <v>0</v>
      </c>
      <c r="V9" s="230">
        <v>0</v>
      </c>
      <c r="W9" s="230">
        <v>0</v>
      </c>
      <c r="X9" s="230">
        <v>0</v>
      </c>
      <c r="Y9" s="230">
        <v>0</v>
      </c>
      <c r="Z9" s="230">
        <v>0</v>
      </c>
      <c r="AA9" s="230">
        <v>0</v>
      </c>
      <c r="AB9" s="230">
        <v>0</v>
      </c>
      <c r="AC9" s="230">
        <v>0</v>
      </c>
      <c r="AD9" s="230">
        <v>0</v>
      </c>
      <c r="AE9" s="230">
        <v>0</v>
      </c>
      <c r="AF9" s="230">
        <v>0</v>
      </c>
      <c r="AG9" s="230">
        <v>0</v>
      </c>
      <c r="AH9" s="230">
        <v>0</v>
      </c>
    </row>
    <row r="10" spans="1:34">
      <c r="A10" s="230">
        <v>6</v>
      </c>
      <c r="B10" s="230" t="s">
        <v>2325</v>
      </c>
      <c r="C10" s="230" t="str">
        <f t="shared" si="0"/>
        <v>RPS_PERCENT_6</v>
      </c>
      <c r="D10" s="230" t="s">
        <v>2367</v>
      </c>
      <c r="E10" s="230">
        <v>0.2</v>
      </c>
      <c r="F10" s="230">
        <v>0.2</v>
      </c>
      <c r="G10" s="230">
        <v>0.2</v>
      </c>
      <c r="H10" s="230">
        <v>0.21666666666666667</v>
      </c>
      <c r="I10" s="230">
        <v>0.23333333333333334</v>
      </c>
      <c r="J10" s="230">
        <v>0.25</v>
      </c>
      <c r="K10" s="230">
        <v>0.27</v>
      </c>
      <c r="L10" s="230">
        <v>0.28999999999999998</v>
      </c>
      <c r="M10" s="230">
        <v>0.31</v>
      </c>
      <c r="N10" s="230">
        <v>0.33</v>
      </c>
      <c r="O10" s="230">
        <v>0.33</v>
      </c>
      <c r="P10" s="230">
        <v>0.33</v>
      </c>
      <c r="Q10" s="230">
        <v>0.33</v>
      </c>
      <c r="R10" s="230">
        <v>0.33</v>
      </c>
      <c r="S10" s="230">
        <v>0.33</v>
      </c>
      <c r="T10" s="230">
        <v>0.33</v>
      </c>
      <c r="U10" s="230">
        <v>0.33</v>
      </c>
      <c r="V10" s="230">
        <v>0.33</v>
      </c>
      <c r="W10" s="230">
        <v>0.33</v>
      </c>
      <c r="X10" s="230">
        <v>0.33</v>
      </c>
      <c r="Y10" s="230">
        <v>0.33</v>
      </c>
      <c r="Z10" s="230">
        <v>0.33</v>
      </c>
      <c r="AA10" s="230">
        <v>0.33</v>
      </c>
      <c r="AB10" s="230">
        <v>0.33</v>
      </c>
      <c r="AC10" s="230">
        <v>0.33</v>
      </c>
      <c r="AD10" s="230">
        <v>0.33</v>
      </c>
      <c r="AE10" s="230">
        <v>0.33</v>
      </c>
      <c r="AF10" s="230">
        <v>0.33</v>
      </c>
      <c r="AG10" s="230">
        <v>0.33</v>
      </c>
      <c r="AH10" s="230">
        <v>0.33</v>
      </c>
    </row>
    <row r="11" spans="1:34">
      <c r="A11" s="230">
        <v>7</v>
      </c>
      <c r="B11" s="230" t="s">
        <v>2325</v>
      </c>
      <c r="C11" s="230" t="str">
        <f t="shared" si="0"/>
        <v>RPS_PERCENT_7</v>
      </c>
      <c r="D11" s="230" t="s">
        <v>2367</v>
      </c>
      <c r="E11" s="230">
        <v>0.2</v>
      </c>
      <c r="F11" s="230">
        <v>0.2</v>
      </c>
      <c r="G11" s="230">
        <v>0.2</v>
      </c>
      <c r="H11" s="230">
        <v>0.21666666666666667</v>
      </c>
      <c r="I11" s="230">
        <v>0.23333333333333334</v>
      </c>
      <c r="J11" s="230">
        <v>0.25</v>
      </c>
      <c r="K11" s="230">
        <v>0.27</v>
      </c>
      <c r="L11" s="230">
        <v>0.28999999999999998</v>
      </c>
      <c r="M11" s="230">
        <v>0.31</v>
      </c>
      <c r="N11" s="230">
        <v>0.33</v>
      </c>
      <c r="O11" s="230">
        <v>0.33</v>
      </c>
      <c r="P11" s="230">
        <v>0.33</v>
      </c>
      <c r="Q11" s="230">
        <v>0.33</v>
      </c>
      <c r="R11" s="230">
        <v>0.33</v>
      </c>
      <c r="S11" s="230">
        <v>0.33</v>
      </c>
      <c r="T11" s="230">
        <v>0.33</v>
      </c>
      <c r="U11" s="230">
        <v>0.33</v>
      </c>
      <c r="V11" s="230">
        <v>0.33</v>
      </c>
      <c r="W11" s="230">
        <v>0.33</v>
      </c>
      <c r="X11" s="230">
        <v>0.33</v>
      </c>
      <c r="Y11" s="230">
        <v>0.33</v>
      </c>
      <c r="Z11" s="230">
        <v>0.33</v>
      </c>
      <c r="AA11" s="230">
        <v>0.33</v>
      </c>
      <c r="AB11" s="230">
        <v>0.33</v>
      </c>
      <c r="AC11" s="230">
        <v>0.33</v>
      </c>
      <c r="AD11" s="230">
        <v>0.33</v>
      </c>
      <c r="AE11" s="230">
        <v>0.33</v>
      </c>
      <c r="AF11" s="230">
        <v>0.33</v>
      </c>
      <c r="AG11" s="230">
        <v>0.33</v>
      </c>
      <c r="AH11" s="230">
        <v>0.33</v>
      </c>
    </row>
    <row r="12" spans="1:34">
      <c r="A12" s="230">
        <v>8</v>
      </c>
      <c r="B12" s="230" t="s">
        <v>2325</v>
      </c>
      <c r="C12" s="230" t="str">
        <f t="shared" si="0"/>
        <v>RPS_PERCENT_8</v>
      </c>
      <c r="D12" s="230" t="s">
        <v>2367</v>
      </c>
      <c r="E12" s="230">
        <v>0.2</v>
      </c>
      <c r="F12" s="230">
        <v>0.2</v>
      </c>
      <c r="G12" s="230">
        <v>0.2</v>
      </c>
      <c r="H12" s="230">
        <v>0.21666666666666667</v>
      </c>
      <c r="I12" s="230">
        <v>0.23333333333333334</v>
      </c>
      <c r="J12" s="230">
        <v>0.25</v>
      </c>
      <c r="K12" s="230">
        <v>0.27</v>
      </c>
      <c r="L12" s="230">
        <v>0.28999999999999998</v>
      </c>
      <c r="M12" s="230">
        <v>0.31</v>
      </c>
      <c r="N12" s="230">
        <v>0.33</v>
      </c>
      <c r="O12" s="230">
        <v>0.33</v>
      </c>
      <c r="P12" s="230">
        <v>0.33</v>
      </c>
      <c r="Q12" s="230">
        <v>0.33</v>
      </c>
      <c r="R12" s="230">
        <v>0.33</v>
      </c>
      <c r="S12" s="230">
        <v>0.33</v>
      </c>
      <c r="T12" s="230">
        <v>0.33</v>
      </c>
      <c r="U12" s="230">
        <v>0.33</v>
      </c>
      <c r="V12" s="230">
        <v>0.33</v>
      </c>
      <c r="W12" s="230">
        <v>0.33</v>
      </c>
      <c r="X12" s="230">
        <v>0.33</v>
      </c>
      <c r="Y12" s="230">
        <v>0.33</v>
      </c>
      <c r="Z12" s="230">
        <v>0.33</v>
      </c>
      <c r="AA12" s="230">
        <v>0.33</v>
      </c>
      <c r="AB12" s="230">
        <v>0.33</v>
      </c>
      <c r="AC12" s="230">
        <v>0.33</v>
      </c>
      <c r="AD12" s="230">
        <v>0.33</v>
      </c>
      <c r="AE12" s="230">
        <v>0.33</v>
      </c>
      <c r="AF12" s="230">
        <v>0.33</v>
      </c>
      <c r="AG12" s="230">
        <v>0.33</v>
      </c>
      <c r="AH12" s="230">
        <v>0.33</v>
      </c>
    </row>
    <row r="13" spans="1:34">
      <c r="A13" s="230">
        <v>9</v>
      </c>
      <c r="B13" s="230" t="s">
        <v>2325</v>
      </c>
      <c r="C13" s="230" t="str">
        <f t="shared" si="0"/>
        <v>RPS_PERCENT_9</v>
      </c>
      <c r="D13" s="230" t="s">
        <v>2367</v>
      </c>
      <c r="E13" s="230">
        <v>0</v>
      </c>
      <c r="F13" s="230">
        <v>0</v>
      </c>
      <c r="G13" s="230">
        <v>0</v>
      </c>
      <c r="H13" s="230">
        <v>0</v>
      </c>
      <c r="I13" s="230">
        <v>0</v>
      </c>
      <c r="J13" s="230">
        <v>0</v>
      </c>
      <c r="K13" s="230">
        <v>0</v>
      </c>
      <c r="L13" s="230">
        <v>0</v>
      </c>
      <c r="M13" s="230">
        <v>0</v>
      </c>
      <c r="N13" s="230">
        <v>0</v>
      </c>
      <c r="O13" s="230">
        <v>0</v>
      </c>
      <c r="P13" s="230">
        <v>0</v>
      </c>
      <c r="Q13" s="230">
        <v>0</v>
      </c>
      <c r="R13" s="230">
        <v>0</v>
      </c>
      <c r="S13" s="230">
        <v>0</v>
      </c>
      <c r="T13" s="230">
        <v>0</v>
      </c>
      <c r="U13" s="230">
        <v>0</v>
      </c>
      <c r="V13" s="230">
        <v>0</v>
      </c>
      <c r="W13" s="230">
        <v>0</v>
      </c>
      <c r="X13" s="230">
        <v>0</v>
      </c>
      <c r="Y13" s="230">
        <v>0</v>
      </c>
      <c r="Z13" s="230">
        <v>0</v>
      </c>
      <c r="AA13" s="230">
        <v>0</v>
      </c>
      <c r="AB13" s="230">
        <v>0</v>
      </c>
      <c r="AC13" s="230">
        <v>0</v>
      </c>
      <c r="AD13" s="230">
        <v>0</v>
      </c>
      <c r="AE13" s="230">
        <v>0</v>
      </c>
      <c r="AF13" s="230">
        <v>0</v>
      </c>
      <c r="AG13" s="230">
        <v>0</v>
      </c>
      <c r="AH13" s="230">
        <v>0</v>
      </c>
    </row>
    <row r="14" spans="1:34">
      <c r="A14" s="230">
        <v>10</v>
      </c>
      <c r="B14" s="230" t="s">
        <v>2325</v>
      </c>
      <c r="C14" s="230" t="str">
        <f t="shared" si="0"/>
        <v>RPS_PERCENT_10</v>
      </c>
      <c r="D14" s="230" t="s">
        <v>2367</v>
      </c>
      <c r="E14" s="230">
        <v>0.2</v>
      </c>
      <c r="F14" s="230">
        <v>0.2</v>
      </c>
      <c r="G14" s="230">
        <v>0.2</v>
      </c>
      <c r="H14" s="230">
        <v>0.21666666666666667</v>
      </c>
      <c r="I14" s="230">
        <v>0.23333333333333334</v>
      </c>
      <c r="J14" s="230">
        <v>0.25</v>
      </c>
      <c r="K14" s="230">
        <v>0.27</v>
      </c>
      <c r="L14" s="230">
        <v>0.28999999999999998</v>
      </c>
      <c r="M14" s="230">
        <v>0.31</v>
      </c>
      <c r="N14" s="230">
        <v>0.33</v>
      </c>
      <c r="O14" s="230">
        <v>0.33</v>
      </c>
      <c r="P14" s="230">
        <v>0.33</v>
      </c>
      <c r="Q14" s="230">
        <v>0.33</v>
      </c>
      <c r="R14" s="230">
        <v>0.33</v>
      </c>
      <c r="S14" s="230">
        <v>0.33</v>
      </c>
      <c r="T14" s="230">
        <v>0.33</v>
      </c>
      <c r="U14" s="230">
        <v>0.33</v>
      </c>
      <c r="V14" s="230">
        <v>0.33</v>
      </c>
      <c r="W14" s="230">
        <v>0.33</v>
      </c>
      <c r="X14" s="230">
        <v>0.33</v>
      </c>
      <c r="Y14" s="230">
        <v>0.33</v>
      </c>
      <c r="Z14" s="230">
        <v>0.33</v>
      </c>
      <c r="AA14" s="230">
        <v>0.33</v>
      </c>
      <c r="AB14" s="230">
        <v>0.33</v>
      </c>
      <c r="AC14" s="230">
        <v>0.33</v>
      </c>
      <c r="AD14" s="230">
        <v>0.33</v>
      </c>
      <c r="AE14" s="230">
        <v>0.33</v>
      </c>
      <c r="AF14" s="230">
        <v>0.33</v>
      </c>
      <c r="AG14" s="230">
        <v>0.33</v>
      </c>
      <c r="AH14" s="230">
        <v>0.33</v>
      </c>
    </row>
    <row r="15" spans="1:34">
      <c r="A15" s="230">
        <v>11</v>
      </c>
      <c r="B15" s="230" t="s">
        <v>2325</v>
      </c>
      <c r="C15" s="230" t="str">
        <f>B15&amp;"_"&amp;A15</f>
        <v>RPS_PERCENT_11</v>
      </c>
      <c r="D15" s="230" t="s">
        <v>2367</v>
      </c>
      <c r="E15" s="230">
        <v>0.2</v>
      </c>
      <c r="F15" s="230">
        <v>0.2</v>
      </c>
      <c r="G15" s="230">
        <v>0.2</v>
      </c>
      <c r="H15" s="230">
        <v>0.21666666666666667</v>
      </c>
      <c r="I15" s="230">
        <v>0.23333333333333334</v>
      </c>
      <c r="J15" s="230">
        <v>0.25</v>
      </c>
      <c r="K15" s="230">
        <v>0.27</v>
      </c>
      <c r="L15" s="230">
        <v>0.28999999999999998</v>
      </c>
      <c r="M15" s="230">
        <v>0.31</v>
      </c>
      <c r="N15" s="230">
        <v>0.33</v>
      </c>
      <c r="O15" s="230">
        <v>0.33</v>
      </c>
      <c r="P15" s="230">
        <v>0.33</v>
      </c>
      <c r="Q15" s="230">
        <v>0.33</v>
      </c>
      <c r="R15" s="230">
        <v>0.33</v>
      </c>
      <c r="S15" s="230">
        <v>0.33</v>
      </c>
      <c r="T15" s="230">
        <v>0.33</v>
      </c>
      <c r="U15" s="230">
        <v>0.33</v>
      </c>
      <c r="V15" s="230">
        <v>0.33</v>
      </c>
      <c r="W15" s="230">
        <v>0.33</v>
      </c>
      <c r="X15" s="230">
        <v>0.33</v>
      </c>
      <c r="Y15" s="230">
        <v>0.33</v>
      </c>
      <c r="Z15" s="230">
        <v>0.33</v>
      </c>
      <c r="AA15" s="230">
        <v>0.33</v>
      </c>
      <c r="AB15" s="230">
        <v>0.33</v>
      </c>
      <c r="AC15" s="230">
        <v>0.33</v>
      </c>
      <c r="AD15" s="230">
        <v>0.33</v>
      </c>
      <c r="AE15" s="230">
        <v>0.33</v>
      </c>
      <c r="AF15" s="230">
        <v>0.33</v>
      </c>
      <c r="AG15" s="230">
        <v>0.33</v>
      </c>
      <c r="AH15" s="230">
        <v>0.33</v>
      </c>
    </row>
    <row r="16" spans="1:34">
      <c r="A16" s="230">
        <v>12</v>
      </c>
      <c r="B16" s="230" t="s">
        <v>2325</v>
      </c>
      <c r="C16" s="230" t="str">
        <f>B16&amp;"_"&amp;A16</f>
        <v>RPS_PERCENT_12</v>
      </c>
      <c r="D16" s="230" t="s">
        <v>2367</v>
      </c>
      <c r="E16" s="230">
        <v>0</v>
      </c>
      <c r="F16" s="230">
        <v>0</v>
      </c>
      <c r="G16" s="230">
        <v>0</v>
      </c>
      <c r="H16" s="230">
        <v>0</v>
      </c>
      <c r="I16" s="230">
        <v>0</v>
      </c>
      <c r="J16" s="230">
        <v>0</v>
      </c>
      <c r="K16" s="230">
        <v>0</v>
      </c>
      <c r="L16" s="230">
        <v>0</v>
      </c>
      <c r="M16" s="230">
        <v>0</v>
      </c>
      <c r="N16" s="230">
        <v>0</v>
      </c>
      <c r="O16" s="230">
        <v>0</v>
      </c>
      <c r="P16" s="230">
        <v>0</v>
      </c>
      <c r="Q16" s="230">
        <v>0</v>
      </c>
      <c r="R16" s="230">
        <v>0</v>
      </c>
      <c r="S16" s="230">
        <v>0</v>
      </c>
      <c r="T16" s="230">
        <v>0</v>
      </c>
      <c r="U16" s="230">
        <v>0</v>
      </c>
      <c r="V16" s="230">
        <v>0</v>
      </c>
      <c r="W16" s="230">
        <v>0</v>
      </c>
      <c r="X16" s="230">
        <v>0</v>
      </c>
      <c r="Y16" s="230">
        <v>0</v>
      </c>
      <c r="Z16" s="230">
        <v>0</v>
      </c>
      <c r="AA16" s="230">
        <v>0</v>
      </c>
      <c r="AB16" s="230">
        <v>0</v>
      </c>
      <c r="AC16" s="230">
        <v>0</v>
      </c>
      <c r="AD16" s="230">
        <v>0</v>
      </c>
      <c r="AE16" s="230">
        <v>0</v>
      </c>
      <c r="AF16" s="230">
        <v>0</v>
      </c>
      <c r="AG16" s="230">
        <v>0</v>
      </c>
      <c r="AH16" s="230">
        <v>0</v>
      </c>
    </row>
    <row r="17" spans="1:34">
      <c r="A17" s="230">
        <v>13</v>
      </c>
      <c r="B17" s="230" t="s">
        <v>2325</v>
      </c>
      <c r="C17" s="230" t="str">
        <f>B17&amp;"_"&amp;A17</f>
        <v>RPS_PERCENT_13</v>
      </c>
      <c r="D17" s="230" t="s">
        <v>2367</v>
      </c>
      <c r="E17" s="230">
        <v>0</v>
      </c>
      <c r="F17" s="230">
        <v>0</v>
      </c>
      <c r="G17" s="230">
        <v>0</v>
      </c>
      <c r="H17" s="230">
        <v>0</v>
      </c>
      <c r="I17" s="230">
        <v>0</v>
      </c>
      <c r="J17" s="230">
        <v>0</v>
      </c>
      <c r="K17" s="230">
        <v>0</v>
      </c>
      <c r="L17" s="230">
        <v>0</v>
      </c>
      <c r="M17" s="230">
        <v>0</v>
      </c>
      <c r="N17" s="230">
        <v>0</v>
      </c>
      <c r="O17" s="230">
        <v>0</v>
      </c>
      <c r="P17" s="230">
        <v>0</v>
      </c>
      <c r="Q17" s="230">
        <v>0</v>
      </c>
      <c r="R17" s="230">
        <v>0</v>
      </c>
      <c r="S17" s="230">
        <v>0</v>
      </c>
      <c r="T17" s="230">
        <v>0</v>
      </c>
      <c r="U17" s="230">
        <v>0</v>
      </c>
      <c r="V17" s="230">
        <v>0</v>
      </c>
      <c r="W17" s="230">
        <v>0</v>
      </c>
      <c r="X17" s="230">
        <v>0</v>
      </c>
      <c r="Y17" s="230">
        <v>0</v>
      </c>
      <c r="Z17" s="230">
        <v>0</v>
      </c>
      <c r="AA17" s="230">
        <v>0</v>
      </c>
      <c r="AB17" s="230">
        <v>0</v>
      </c>
      <c r="AC17" s="230">
        <v>0</v>
      </c>
      <c r="AD17" s="230">
        <v>0</v>
      </c>
      <c r="AE17" s="230">
        <v>0</v>
      </c>
      <c r="AF17" s="230">
        <v>0</v>
      </c>
      <c r="AG17" s="230">
        <v>0</v>
      </c>
      <c r="AH17" s="230">
        <v>0</v>
      </c>
    </row>
    <row r="18" spans="1:34">
      <c r="A18" s="230">
        <v>1</v>
      </c>
      <c r="B18" s="230" t="s">
        <v>2327</v>
      </c>
      <c r="C18" s="210" t="str">
        <f t="shared" ref="C18:C30" si="1">B18&amp;"_"&amp;A18</f>
        <v>RECONTRACT_1</v>
      </c>
      <c r="D18" s="230" t="s">
        <v>2368</v>
      </c>
      <c r="E18" s="230">
        <v>1</v>
      </c>
      <c r="F18" s="230">
        <v>1</v>
      </c>
      <c r="G18" s="230">
        <v>1</v>
      </c>
      <c r="H18" s="230">
        <v>1</v>
      </c>
      <c r="I18" s="230">
        <v>1</v>
      </c>
      <c r="J18" s="230">
        <v>1</v>
      </c>
      <c r="K18" s="230">
        <v>1</v>
      </c>
      <c r="L18" s="230">
        <v>1</v>
      </c>
      <c r="M18" s="230">
        <v>1</v>
      </c>
      <c r="N18" s="230">
        <v>1</v>
      </c>
      <c r="O18" s="230">
        <v>1</v>
      </c>
      <c r="P18" s="230">
        <v>1</v>
      </c>
      <c r="Q18" s="230">
        <v>1</v>
      </c>
      <c r="R18" s="230">
        <v>1</v>
      </c>
      <c r="S18" s="230">
        <v>1</v>
      </c>
      <c r="T18" s="230">
        <v>1</v>
      </c>
      <c r="U18" s="230">
        <v>1</v>
      </c>
      <c r="V18" s="230">
        <v>1</v>
      </c>
      <c r="W18" s="230">
        <v>1</v>
      </c>
      <c r="X18" s="230">
        <v>1</v>
      </c>
      <c r="Y18" s="230">
        <v>1</v>
      </c>
      <c r="Z18" s="230">
        <v>1</v>
      </c>
      <c r="AA18" s="230">
        <v>1</v>
      </c>
      <c r="AB18" s="230">
        <v>1</v>
      </c>
      <c r="AC18" s="230">
        <v>1</v>
      </c>
      <c r="AD18" s="230">
        <v>1</v>
      </c>
      <c r="AE18" s="230">
        <v>1</v>
      </c>
      <c r="AF18" s="230">
        <v>1</v>
      </c>
      <c r="AG18" s="230">
        <v>1</v>
      </c>
      <c r="AH18" s="230">
        <v>1</v>
      </c>
    </row>
    <row r="19" spans="1:34">
      <c r="A19" s="230">
        <v>2</v>
      </c>
      <c r="B19" s="230" t="s">
        <v>2327</v>
      </c>
      <c r="C19" s="210" t="str">
        <f t="shared" si="1"/>
        <v>RECONTRACT_2</v>
      </c>
      <c r="D19" s="230" t="s">
        <v>2368</v>
      </c>
      <c r="E19" s="230">
        <v>1</v>
      </c>
      <c r="F19" s="230">
        <v>1</v>
      </c>
      <c r="G19" s="230">
        <v>1</v>
      </c>
      <c r="H19" s="230">
        <v>1</v>
      </c>
      <c r="I19" s="230">
        <v>1</v>
      </c>
      <c r="J19" s="230">
        <v>1</v>
      </c>
      <c r="K19" s="230">
        <v>1</v>
      </c>
      <c r="L19" s="230">
        <v>1</v>
      </c>
      <c r="M19" s="230">
        <v>1</v>
      </c>
      <c r="N19" s="230">
        <v>1</v>
      </c>
      <c r="O19" s="230">
        <v>1</v>
      </c>
      <c r="P19" s="230">
        <v>1</v>
      </c>
      <c r="Q19" s="230">
        <v>1</v>
      </c>
      <c r="R19" s="230">
        <v>1</v>
      </c>
      <c r="S19" s="230">
        <v>1</v>
      </c>
      <c r="T19" s="230">
        <v>1</v>
      </c>
      <c r="U19" s="230">
        <v>1</v>
      </c>
      <c r="V19" s="230">
        <v>1</v>
      </c>
      <c r="W19" s="230">
        <v>1</v>
      </c>
      <c r="X19" s="230">
        <v>1</v>
      </c>
      <c r="Y19" s="230">
        <v>1</v>
      </c>
      <c r="Z19" s="230">
        <v>1</v>
      </c>
      <c r="AA19" s="230">
        <v>1</v>
      </c>
      <c r="AB19" s="230">
        <v>1</v>
      </c>
      <c r="AC19" s="230">
        <v>1</v>
      </c>
      <c r="AD19" s="230">
        <v>1</v>
      </c>
      <c r="AE19" s="230">
        <v>1</v>
      </c>
      <c r="AF19" s="230">
        <v>1</v>
      </c>
      <c r="AG19" s="230">
        <v>1</v>
      </c>
      <c r="AH19" s="230">
        <v>1</v>
      </c>
    </row>
    <row r="20" spans="1:34">
      <c r="A20" s="230">
        <v>3</v>
      </c>
      <c r="B20" s="230" t="s">
        <v>2327</v>
      </c>
      <c r="C20" s="210" t="str">
        <f t="shared" si="1"/>
        <v>RECONTRACT_3</v>
      </c>
      <c r="D20" s="230" t="s">
        <v>2368</v>
      </c>
      <c r="E20" s="230">
        <v>1</v>
      </c>
      <c r="F20" s="230">
        <v>1</v>
      </c>
      <c r="G20" s="230">
        <v>1</v>
      </c>
      <c r="H20" s="230">
        <v>1</v>
      </c>
      <c r="I20" s="230">
        <v>1</v>
      </c>
      <c r="J20" s="230">
        <v>1</v>
      </c>
      <c r="K20" s="230">
        <v>1</v>
      </c>
      <c r="L20" s="230">
        <v>1</v>
      </c>
      <c r="M20" s="230">
        <v>1</v>
      </c>
      <c r="N20" s="230">
        <v>1</v>
      </c>
      <c r="O20" s="230">
        <v>1</v>
      </c>
      <c r="P20" s="230">
        <v>1</v>
      </c>
      <c r="Q20" s="230">
        <v>1</v>
      </c>
      <c r="R20" s="230">
        <v>1</v>
      </c>
      <c r="S20" s="230">
        <v>1</v>
      </c>
      <c r="T20" s="230">
        <v>1</v>
      </c>
      <c r="U20" s="230">
        <v>1</v>
      </c>
      <c r="V20" s="230">
        <v>1</v>
      </c>
      <c r="W20" s="230">
        <v>1</v>
      </c>
      <c r="X20" s="230">
        <v>1</v>
      </c>
      <c r="Y20" s="230">
        <v>1</v>
      </c>
      <c r="Z20" s="230">
        <v>1</v>
      </c>
      <c r="AA20" s="230">
        <v>1</v>
      </c>
      <c r="AB20" s="230">
        <v>1</v>
      </c>
      <c r="AC20" s="230">
        <v>1</v>
      </c>
      <c r="AD20" s="230">
        <v>1</v>
      </c>
      <c r="AE20" s="230">
        <v>1</v>
      </c>
      <c r="AF20" s="230">
        <v>1</v>
      </c>
      <c r="AG20" s="230">
        <v>1</v>
      </c>
      <c r="AH20" s="230">
        <v>1</v>
      </c>
    </row>
    <row r="21" spans="1:34">
      <c r="A21" s="230">
        <v>4</v>
      </c>
      <c r="B21" s="230" t="s">
        <v>2327</v>
      </c>
      <c r="C21" s="210" t="str">
        <f t="shared" si="1"/>
        <v>RECONTRACT_4</v>
      </c>
      <c r="D21" s="230" t="s">
        <v>2368</v>
      </c>
      <c r="E21" s="230">
        <v>1</v>
      </c>
      <c r="F21" s="230">
        <v>1</v>
      </c>
      <c r="G21" s="230">
        <v>1</v>
      </c>
      <c r="H21" s="230">
        <v>1</v>
      </c>
      <c r="I21" s="230">
        <v>1</v>
      </c>
      <c r="J21" s="230">
        <v>1</v>
      </c>
      <c r="K21" s="230">
        <v>1</v>
      </c>
      <c r="L21" s="230">
        <v>1</v>
      </c>
      <c r="M21" s="230">
        <v>1</v>
      </c>
      <c r="N21" s="230">
        <v>1</v>
      </c>
      <c r="O21" s="230">
        <v>1</v>
      </c>
      <c r="P21" s="230">
        <v>1</v>
      </c>
      <c r="Q21" s="230">
        <v>1</v>
      </c>
      <c r="R21" s="230">
        <v>1</v>
      </c>
      <c r="S21" s="230">
        <v>1</v>
      </c>
      <c r="T21" s="230">
        <v>1</v>
      </c>
      <c r="U21" s="230">
        <v>1</v>
      </c>
      <c r="V21" s="230">
        <v>1</v>
      </c>
      <c r="W21" s="230">
        <v>1</v>
      </c>
      <c r="X21" s="230">
        <v>1</v>
      </c>
      <c r="Y21" s="230">
        <v>1</v>
      </c>
      <c r="Z21" s="230">
        <v>1</v>
      </c>
      <c r="AA21" s="230">
        <v>1</v>
      </c>
      <c r="AB21" s="230">
        <v>1</v>
      </c>
      <c r="AC21" s="230">
        <v>1</v>
      </c>
      <c r="AD21" s="230">
        <v>1</v>
      </c>
      <c r="AE21" s="230">
        <v>1</v>
      </c>
      <c r="AF21" s="230">
        <v>1</v>
      </c>
      <c r="AG21" s="230">
        <v>1</v>
      </c>
      <c r="AH21" s="230">
        <v>1</v>
      </c>
    </row>
    <row r="22" spans="1:34">
      <c r="A22" s="230">
        <v>5</v>
      </c>
      <c r="B22" s="230" t="s">
        <v>2327</v>
      </c>
      <c r="C22" s="210" t="str">
        <f t="shared" si="1"/>
        <v>RECONTRACT_5</v>
      </c>
      <c r="D22" s="230" t="s">
        <v>2368</v>
      </c>
      <c r="E22" s="230">
        <v>1</v>
      </c>
      <c r="F22" s="230">
        <v>1</v>
      </c>
      <c r="G22" s="230">
        <v>1</v>
      </c>
      <c r="H22" s="230">
        <v>1</v>
      </c>
      <c r="I22" s="230">
        <v>1</v>
      </c>
      <c r="J22" s="230">
        <v>1</v>
      </c>
      <c r="K22" s="230">
        <v>1</v>
      </c>
      <c r="L22" s="230">
        <v>1</v>
      </c>
      <c r="M22" s="230">
        <v>1</v>
      </c>
      <c r="N22" s="230">
        <v>1</v>
      </c>
      <c r="O22" s="230">
        <v>1</v>
      </c>
      <c r="P22" s="230">
        <v>1</v>
      </c>
      <c r="Q22" s="230">
        <v>1</v>
      </c>
      <c r="R22" s="230">
        <v>1</v>
      </c>
      <c r="S22" s="230">
        <v>1</v>
      </c>
      <c r="T22" s="230">
        <v>1</v>
      </c>
      <c r="U22" s="230">
        <v>1</v>
      </c>
      <c r="V22" s="230">
        <v>1</v>
      </c>
      <c r="W22" s="230">
        <v>1</v>
      </c>
      <c r="X22" s="230">
        <v>1</v>
      </c>
      <c r="Y22" s="230">
        <v>1</v>
      </c>
      <c r="Z22" s="230">
        <v>1</v>
      </c>
      <c r="AA22" s="230">
        <v>1</v>
      </c>
      <c r="AB22" s="230">
        <v>1</v>
      </c>
      <c r="AC22" s="230">
        <v>1</v>
      </c>
      <c r="AD22" s="230">
        <v>1</v>
      </c>
      <c r="AE22" s="230">
        <v>1</v>
      </c>
      <c r="AF22" s="230">
        <v>1</v>
      </c>
      <c r="AG22" s="230">
        <v>1</v>
      </c>
      <c r="AH22" s="230">
        <v>1</v>
      </c>
    </row>
    <row r="23" spans="1:34">
      <c r="A23" s="230">
        <v>6</v>
      </c>
      <c r="B23" s="230" t="s">
        <v>2327</v>
      </c>
      <c r="C23" s="210" t="str">
        <f t="shared" si="1"/>
        <v>RECONTRACT_6</v>
      </c>
      <c r="D23" s="230" t="s">
        <v>2368</v>
      </c>
      <c r="E23" s="230">
        <v>0</v>
      </c>
      <c r="F23" s="230">
        <v>0</v>
      </c>
      <c r="G23" s="230">
        <v>0</v>
      </c>
      <c r="H23" s="230">
        <v>0</v>
      </c>
      <c r="I23" s="230">
        <v>0</v>
      </c>
      <c r="J23" s="230">
        <v>0</v>
      </c>
      <c r="K23" s="230">
        <v>0</v>
      </c>
      <c r="L23" s="230">
        <v>0</v>
      </c>
      <c r="M23" s="230">
        <v>0</v>
      </c>
      <c r="N23" s="230">
        <v>0</v>
      </c>
      <c r="O23" s="230">
        <v>0</v>
      </c>
      <c r="P23" s="230">
        <v>0</v>
      </c>
      <c r="Q23" s="230">
        <v>0</v>
      </c>
      <c r="R23" s="230">
        <v>0</v>
      </c>
      <c r="S23" s="230">
        <v>0</v>
      </c>
      <c r="T23" s="230">
        <v>0</v>
      </c>
      <c r="U23" s="230">
        <v>0</v>
      </c>
      <c r="V23" s="230">
        <v>0</v>
      </c>
      <c r="W23" s="230">
        <v>0</v>
      </c>
      <c r="X23" s="230">
        <v>0</v>
      </c>
      <c r="Y23" s="230">
        <v>0</v>
      </c>
      <c r="Z23" s="230">
        <v>0</v>
      </c>
      <c r="AA23" s="230">
        <v>0</v>
      </c>
      <c r="AB23" s="230">
        <v>0</v>
      </c>
      <c r="AC23" s="230">
        <v>0</v>
      </c>
      <c r="AD23" s="230">
        <v>0</v>
      </c>
      <c r="AE23" s="230">
        <v>0</v>
      </c>
      <c r="AF23" s="230">
        <v>0</v>
      </c>
      <c r="AG23" s="230">
        <v>0</v>
      </c>
      <c r="AH23" s="230">
        <v>0</v>
      </c>
    </row>
    <row r="24" spans="1:34">
      <c r="A24" s="230">
        <v>7</v>
      </c>
      <c r="B24" s="230" t="s">
        <v>2327</v>
      </c>
      <c r="C24" s="210" t="str">
        <f t="shared" si="1"/>
        <v>RECONTRACT_7</v>
      </c>
      <c r="D24" s="230" t="s">
        <v>2368</v>
      </c>
      <c r="E24" s="230">
        <v>0</v>
      </c>
      <c r="F24" s="230">
        <v>0</v>
      </c>
      <c r="G24" s="230">
        <v>0</v>
      </c>
      <c r="H24" s="230">
        <v>0</v>
      </c>
      <c r="I24" s="230">
        <v>0</v>
      </c>
      <c r="J24" s="230">
        <v>0</v>
      </c>
      <c r="K24" s="230">
        <v>0</v>
      </c>
      <c r="L24" s="230">
        <v>0</v>
      </c>
      <c r="M24" s="230">
        <v>0</v>
      </c>
      <c r="N24" s="230">
        <v>0</v>
      </c>
      <c r="O24" s="230">
        <v>0</v>
      </c>
      <c r="P24" s="230">
        <v>0</v>
      </c>
      <c r="Q24" s="230">
        <v>0</v>
      </c>
      <c r="R24" s="230">
        <v>0</v>
      </c>
      <c r="S24" s="230">
        <v>0</v>
      </c>
      <c r="T24" s="230">
        <v>0</v>
      </c>
      <c r="U24" s="230">
        <v>0</v>
      </c>
      <c r="V24" s="230">
        <v>0</v>
      </c>
      <c r="W24" s="230">
        <v>0</v>
      </c>
      <c r="X24" s="230">
        <v>0</v>
      </c>
      <c r="Y24" s="230">
        <v>0</v>
      </c>
      <c r="Z24" s="230">
        <v>0</v>
      </c>
      <c r="AA24" s="230">
        <v>0</v>
      </c>
      <c r="AB24" s="230">
        <v>0</v>
      </c>
      <c r="AC24" s="230">
        <v>0</v>
      </c>
      <c r="AD24" s="230">
        <v>0</v>
      </c>
      <c r="AE24" s="230">
        <v>0</v>
      </c>
      <c r="AF24" s="230">
        <v>0</v>
      </c>
      <c r="AG24" s="230">
        <v>0</v>
      </c>
      <c r="AH24" s="230">
        <v>0</v>
      </c>
    </row>
    <row r="25" spans="1:34">
      <c r="A25" s="230">
        <v>8</v>
      </c>
      <c r="B25" s="230" t="s">
        <v>2327</v>
      </c>
      <c r="C25" s="210" t="str">
        <f t="shared" si="1"/>
        <v>RECONTRACT_8</v>
      </c>
      <c r="D25" s="230" t="s">
        <v>2368</v>
      </c>
      <c r="E25" s="230">
        <v>0</v>
      </c>
      <c r="F25" s="230">
        <v>0</v>
      </c>
      <c r="G25" s="230">
        <v>0</v>
      </c>
      <c r="H25" s="230">
        <v>0</v>
      </c>
      <c r="I25" s="230">
        <v>0</v>
      </c>
      <c r="J25" s="230">
        <v>0</v>
      </c>
      <c r="K25" s="230">
        <v>0</v>
      </c>
      <c r="L25" s="230">
        <v>0</v>
      </c>
      <c r="M25" s="230">
        <v>0</v>
      </c>
      <c r="N25" s="230">
        <v>0</v>
      </c>
      <c r="O25" s="230">
        <v>0</v>
      </c>
      <c r="P25" s="230">
        <v>0</v>
      </c>
      <c r="Q25" s="230">
        <v>0</v>
      </c>
      <c r="R25" s="230">
        <v>0</v>
      </c>
      <c r="S25" s="230">
        <v>0</v>
      </c>
      <c r="T25" s="230">
        <v>0</v>
      </c>
      <c r="U25" s="230">
        <v>0</v>
      </c>
      <c r="V25" s="230">
        <v>0</v>
      </c>
      <c r="W25" s="230">
        <v>0</v>
      </c>
      <c r="X25" s="230">
        <v>0</v>
      </c>
      <c r="Y25" s="230">
        <v>0</v>
      </c>
      <c r="Z25" s="230">
        <v>0</v>
      </c>
      <c r="AA25" s="230">
        <v>0</v>
      </c>
      <c r="AB25" s="230">
        <v>0</v>
      </c>
      <c r="AC25" s="230">
        <v>0</v>
      </c>
      <c r="AD25" s="230">
        <v>0</v>
      </c>
      <c r="AE25" s="230">
        <v>0</v>
      </c>
      <c r="AF25" s="230">
        <v>0</v>
      </c>
      <c r="AG25" s="230">
        <v>0</v>
      </c>
      <c r="AH25" s="230">
        <v>0</v>
      </c>
    </row>
    <row r="26" spans="1:34">
      <c r="A26" s="230">
        <v>9</v>
      </c>
      <c r="B26" s="230" t="s">
        <v>2327</v>
      </c>
      <c r="C26" s="210" t="str">
        <f t="shared" si="1"/>
        <v>RECONTRACT_9</v>
      </c>
      <c r="D26" s="230" t="s">
        <v>2368</v>
      </c>
      <c r="E26" s="230">
        <v>1</v>
      </c>
      <c r="F26" s="230">
        <v>1</v>
      </c>
      <c r="G26" s="230">
        <v>1</v>
      </c>
      <c r="H26" s="230">
        <v>1</v>
      </c>
      <c r="I26" s="230">
        <v>1</v>
      </c>
      <c r="J26" s="230">
        <v>1</v>
      </c>
      <c r="K26" s="230">
        <v>1</v>
      </c>
      <c r="L26" s="230">
        <v>1</v>
      </c>
      <c r="M26" s="230">
        <v>1</v>
      </c>
      <c r="N26" s="230">
        <v>1</v>
      </c>
      <c r="O26" s="230">
        <v>1</v>
      </c>
      <c r="P26" s="230">
        <v>1</v>
      </c>
      <c r="Q26" s="230">
        <v>1</v>
      </c>
      <c r="R26" s="230">
        <v>1</v>
      </c>
      <c r="S26" s="230">
        <v>1</v>
      </c>
      <c r="T26" s="230">
        <v>1</v>
      </c>
      <c r="U26" s="230">
        <v>1</v>
      </c>
      <c r="V26" s="230">
        <v>1</v>
      </c>
      <c r="W26" s="230">
        <v>1</v>
      </c>
      <c r="X26" s="230">
        <v>1</v>
      </c>
      <c r="Y26" s="230">
        <v>1</v>
      </c>
      <c r="Z26" s="230">
        <v>1</v>
      </c>
      <c r="AA26" s="230">
        <v>1</v>
      </c>
      <c r="AB26" s="230">
        <v>1</v>
      </c>
      <c r="AC26" s="230">
        <v>1</v>
      </c>
      <c r="AD26" s="230">
        <v>1</v>
      </c>
      <c r="AE26" s="230">
        <v>1</v>
      </c>
      <c r="AF26" s="230">
        <v>1</v>
      </c>
      <c r="AG26" s="230">
        <v>1</v>
      </c>
      <c r="AH26" s="230">
        <v>1</v>
      </c>
    </row>
    <row r="27" spans="1:34">
      <c r="A27" s="230">
        <v>10</v>
      </c>
      <c r="B27" s="230" t="s">
        <v>2327</v>
      </c>
      <c r="C27" s="210" t="str">
        <f t="shared" si="1"/>
        <v>RECONTRACT_10</v>
      </c>
      <c r="D27" s="230" t="s">
        <v>2368</v>
      </c>
      <c r="E27" s="230">
        <v>1</v>
      </c>
      <c r="F27" s="230">
        <v>1</v>
      </c>
      <c r="G27" s="230">
        <v>1</v>
      </c>
      <c r="H27" s="230">
        <v>1</v>
      </c>
      <c r="I27" s="230">
        <v>1</v>
      </c>
      <c r="J27" s="230">
        <v>1</v>
      </c>
      <c r="K27" s="230">
        <v>1</v>
      </c>
      <c r="L27" s="230">
        <v>1</v>
      </c>
      <c r="M27" s="230">
        <v>1</v>
      </c>
      <c r="N27" s="230">
        <v>1</v>
      </c>
      <c r="O27" s="230">
        <v>1</v>
      </c>
      <c r="P27" s="230">
        <v>1</v>
      </c>
      <c r="Q27" s="230">
        <v>1</v>
      </c>
      <c r="R27" s="230">
        <v>1</v>
      </c>
      <c r="S27" s="230">
        <v>1</v>
      </c>
      <c r="T27" s="230">
        <v>1</v>
      </c>
      <c r="U27" s="230">
        <v>1</v>
      </c>
      <c r="V27" s="230">
        <v>1</v>
      </c>
      <c r="W27" s="230">
        <v>1</v>
      </c>
      <c r="X27" s="230">
        <v>1</v>
      </c>
      <c r="Y27" s="230">
        <v>1</v>
      </c>
      <c r="Z27" s="230">
        <v>1</v>
      </c>
      <c r="AA27" s="230">
        <v>1</v>
      </c>
      <c r="AB27" s="230">
        <v>1</v>
      </c>
      <c r="AC27" s="230">
        <v>1</v>
      </c>
      <c r="AD27" s="230">
        <v>1</v>
      </c>
      <c r="AE27" s="230">
        <v>1</v>
      </c>
      <c r="AF27" s="230">
        <v>1</v>
      </c>
      <c r="AG27" s="230">
        <v>1</v>
      </c>
      <c r="AH27" s="230">
        <v>1</v>
      </c>
    </row>
    <row r="28" spans="1:34">
      <c r="A28" s="230">
        <v>11</v>
      </c>
      <c r="B28" s="230" t="s">
        <v>2327</v>
      </c>
      <c r="C28" s="210" t="str">
        <f t="shared" si="1"/>
        <v>RECONTRACT_11</v>
      </c>
      <c r="D28" s="230" t="s">
        <v>2368</v>
      </c>
      <c r="E28" s="230">
        <v>1</v>
      </c>
      <c r="F28" s="230">
        <v>1</v>
      </c>
      <c r="G28" s="230">
        <v>1</v>
      </c>
      <c r="H28" s="230">
        <v>1</v>
      </c>
      <c r="I28" s="230">
        <v>1</v>
      </c>
      <c r="J28" s="230">
        <v>1</v>
      </c>
      <c r="K28" s="230">
        <v>1</v>
      </c>
      <c r="L28" s="230">
        <v>1</v>
      </c>
      <c r="M28" s="230">
        <v>1</v>
      </c>
      <c r="N28" s="230">
        <v>1</v>
      </c>
      <c r="O28" s="230">
        <v>1</v>
      </c>
      <c r="P28" s="230">
        <v>1</v>
      </c>
      <c r="Q28" s="230">
        <v>1</v>
      </c>
      <c r="R28" s="230">
        <v>1</v>
      </c>
      <c r="S28" s="230">
        <v>1</v>
      </c>
      <c r="T28" s="230">
        <v>1</v>
      </c>
      <c r="U28" s="230">
        <v>1</v>
      </c>
      <c r="V28" s="230">
        <v>1</v>
      </c>
      <c r="W28" s="230">
        <v>1</v>
      </c>
      <c r="X28" s="230">
        <v>1</v>
      </c>
      <c r="Y28" s="230">
        <v>1</v>
      </c>
      <c r="Z28" s="230">
        <v>1</v>
      </c>
      <c r="AA28" s="230">
        <v>1</v>
      </c>
      <c r="AB28" s="230">
        <v>1</v>
      </c>
      <c r="AC28" s="230">
        <v>1</v>
      </c>
      <c r="AD28" s="230">
        <v>1</v>
      </c>
      <c r="AE28" s="230">
        <v>1</v>
      </c>
      <c r="AF28" s="230">
        <v>1</v>
      </c>
      <c r="AG28" s="230">
        <v>1</v>
      </c>
      <c r="AH28" s="230">
        <v>1</v>
      </c>
    </row>
    <row r="29" spans="1:34">
      <c r="A29" s="230">
        <v>12</v>
      </c>
      <c r="B29" s="230" t="s">
        <v>2327</v>
      </c>
      <c r="C29" s="210" t="str">
        <f t="shared" si="1"/>
        <v>RECONTRACT_12</v>
      </c>
      <c r="D29" s="230" t="s">
        <v>2368</v>
      </c>
      <c r="E29" s="230">
        <v>1</v>
      </c>
      <c r="F29" s="230">
        <v>1</v>
      </c>
      <c r="G29" s="230">
        <v>1</v>
      </c>
      <c r="H29" s="230">
        <v>1</v>
      </c>
      <c r="I29" s="230">
        <v>1</v>
      </c>
      <c r="J29" s="230">
        <v>1</v>
      </c>
      <c r="K29" s="230">
        <v>1</v>
      </c>
      <c r="L29" s="230">
        <v>1</v>
      </c>
      <c r="M29" s="230">
        <v>1</v>
      </c>
      <c r="N29" s="230">
        <v>1</v>
      </c>
      <c r="O29" s="230">
        <v>1</v>
      </c>
      <c r="P29" s="230">
        <v>1</v>
      </c>
      <c r="Q29" s="230">
        <v>1</v>
      </c>
      <c r="R29" s="230">
        <v>1</v>
      </c>
      <c r="S29" s="230">
        <v>1</v>
      </c>
      <c r="T29" s="230">
        <v>1</v>
      </c>
      <c r="U29" s="230">
        <v>1</v>
      </c>
      <c r="V29" s="230">
        <v>1</v>
      </c>
      <c r="W29" s="230">
        <v>1</v>
      </c>
      <c r="X29" s="230">
        <v>1</v>
      </c>
      <c r="Y29" s="230">
        <v>1</v>
      </c>
      <c r="Z29" s="230">
        <v>1</v>
      </c>
      <c r="AA29" s="230">
        <v>1</v>
      </c>
      <c r="AB29" s="230">
        <v>1</v>
      </c>
      <c r="AC29" s="230">
        <v>1</v>
      </c>
      <c r="AD29" s="230">
        <v>1</v>
      </c>
      <c r="AE29" s="230">
        <v>1</v>
      </c>
      <c r="AF29" s="230">
        <v>1</v>
      </c>
      <c r="AG29" s="230">
        <v>1</v>
      </c>
      <c r="AH29" s="230">
        <v>1</v>
      </c>
    </row>
    <row r="30" spans="1:34">
      <c r="A30" s="230">
        <v>13</v>
      </c>
      <c r="B30" s="230" t="s">
        <v>2327</v>
      </c>
      <c r="C30" s="210" t="str">
        <f t="shared" si="1"/>
        <v>RECONTRACT_13</v>
      </c>
      <c r="D30" s="230" t="s">
        <v>2368</v>
      </c>
      <c r="E30" s="230">
        <v>1</v>
      </c>
      <c r="F30" s="230">
        <v>1</v>
      </c>
      <c r="G30" s="230">
        <v>1</v>
      </c>
      <c r="H30" s="230">
        <v>1</v>
      </c>
      <c r="I30" s="230">
        <v>1</v>
      </c>
      <c r="J30" s="230">
        <v>1</v>
      </c>
      <c r="K30" s="230">
        <v>1</v>
      </c>
      <c r="L30" s="230">
        <v>1</v>
      </c>
      <c r="M30" s="230">
        <v>1</v>
      </c>
      <c r="N30" s="230">
        <v>1</v>
      </c>
      <c r="O30" s="230">
        <v>1</v>
      </c>
      <c r="P30" s="230">
        <v>1</v>
      </c>
      <c r="Q30" s="230">
        <v>1</v>
      </c>
      <c r="R30" s="230">
        <v>1</v>
      </c>
      <c r="S30" s="230">
        <v>1</v>
      </c>
      <c r="T30" s="230">
        <v>1</v>
      </c>
      <c r="U30" s="230">
        <v>1</v>
      </c>
      <c r="V30" s="230">
        <v>1</v>
      </c>
      <c r="W30" s="230">
        <v>1</v>
      </c>
      <c r="X30" s="230">
        <v>1</v>
      </c>
      <c r="Y30" s="230">
        <v>1</v>
      </c>
      <c r="Z30" s="230">
        <v>1</v>
      </c>
      <c r="AA30" s="230">
        <v>1</v>
      </c>
      <c r="AB30" s="230">
        <v>1</v>
      </c>
      <c r="AC30" s="230">
        <v>1</v>
      </c>
      <c r="AD30" s="230">
        <v>1</v>
      </c>
      <c r="AE30" s="230">
        <v>1</v>
      </c>
      <c r="AF30" s="230">
        <v>1</v>
      </c>
      <c r="AG30" s="230">
        <v>1</v>
      </c>
      <c r="AH30" s="230">
        <v>1</v>
      </c>
    </row>
  </sheetData>
  <autoFilter ref="B4:AH3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K20"/>
  <sheetViews>
    <sheetView workbookViewId="0">
      <selection activeCell="J13" sqref="J13"/>
    </sheetView>
  </sheetViews>
  <sheetFormatPr defaultRowHeight="12.75"/>
  <cols>
    <col min="1" max="2" width="9.140625" style="12"/>
    <col min="3" max="3" width="55.28515625" style="12" customWidth="1"/>
    <col min="4" max="7" width="9.140625" style="12"/>
    <col min="8" max="8" width="26.7109375" style="12" customWidth="1"/>
    <col min="9" max="9" width="9.140625" style="12"/>
    <col min="10" max="10" width="14.42578125" style="12" bestFit="1" customWidth="1"/>
    <col min="11" max="16384" width="9.140625" style="12"/>
  </cols>
  <sheetData>
    <row r="3" spans="1:11">
      <c r="B3" s="8" t="s">
        <v>150</v>
      </c>
      <c r="H3" s="8" t="s">
        <v>151</v>
      </c>
      <c r="J3" s="8" t="s">
        <v>149</v>
      </c>
    </row>
    <row r="5" spans="1:11">
      <c r="B5" s="8" t="s">
        <v>24</v>
      </c>
      <c r="D5" s="106" t="s">
        <v>2137</v>
      </c>
      <c r="E5" s="106" t="s">
        <v>2140</v>
      </c>
      <c r="F5" s="182" t="s">
        <v>2373</v>
      </c>
      <c r="G5" s="182"/>
      <c r="H5" s="16" t="s">
        <v>132</v>
      </c>
      <c r="J5" s="45" t="s">
        <v>2062</v>
      </c>
      <c r="K5" s="44">
        <f>COUNTA(Plants!$B:$B)-1</f>
        <v>133</v>
      </c>
    </row>
    <row r="6" spans="1:11">
      <c r="A6" s="13" t="s">
        <v>2111</v>
      </c>
      <c r="B6" s="35">
        <v>1</v>
      </c>
      <c r="C6" s="9" t="str">
        <f ca="1">INDEX(rngScenario,scenario)</f>
        <v>Trajectory</v>
      </c>
      <c r="D6" s="12" t="str">
        <f ca="1">OFFSET(D$7,scenario-1,0)</f>
        <v>1G</v>
      </c>
      <c r="E6" s="12" t="str">
        <f ca="1">OFFSET(E$7,scenario-1,0)</f>
        <v>1L</v>
      </c>
      <c r="F6" s="12" t="str">
        <f ca="1">OFFSET(F$7,scenario-1,0)</f>
        <v>1R</v>
      </c>
      <c r="H6" s="14" t="s">
        <v>6</v>
      </c>
      <c r="J6" s="46" t="s">
        <v>27</v>
      </c>
      <c r="K6" s="48">
        <f>GeneralInputs!D53</f>
        <v>0.17</v>
      </c>
    </row>
    <row r="7" spans="1:11">
      <c r="B7" s="36">
        <v>1</v>
      </c>
      <c r="C7" s="101" t="s">
        <v>2112</v>
      </c>
      <c r="D7" s="182" t="s">
        <v>2389</v>
      </c>
      <c r="E7" s="182" t="s">
        <v>2351</v>
      </c>
      <c r="F7" s="182" t="s">
        <v>2374</v>
      </c>
      <c r="H7" s="14" t="s">
        <v>23</v>
      </c>
      <c r="J7" s="46" t="s">
        <v>808</v>
      </c>
      <c r="K7" s="44">
        <f>COUNTA(RPS_Scen!A11:A1048576)-1</f>
        <v>1623</v>
      </c>
    </row>
    <row r="8" spans="1:11">
      <c r="B8" s="37">
        <v>2</v>
      </c>
      <c r="C8" s="102" t="s">
        <v>2113</v>
      </c>
      <c r="D8" s="182" t="s">
        <v>2389</v>
      </c>
      <c r="E8" s="182" t="s">
        <v>2351</v>
      </c>
      <c r="F8" s="182" t="s">
        <v>2375</v>
      </c>
      <c r="H8" s="14" t="s">
        <v>129</v>
      </c>
      <c r="J8" s="46" t="s">
        <v>2059</v>
      </c>
      <c r="K8" s="44">
        <f>COUNTA('2011 Prelim NQC Report'!A:A)-1</f>
        <v>648</v>
      </c>
    </row>
    <row r="9" spans="1:11">
      <c r="B9" s="37">
        <v>3</v>
      </c>
      <c r="C9" s="102" t="s">
        <v>2114</v>
      </c>
      <c r="D9" s="182" t="s">
        <v>2389</v>
      </c>
      <c r="E9" s="182" t="s">
        <v>2351</v>
      </c>
      <c r="F9" s="182" t="s">
        <v>2376</v>
      </c>
      <c r="H9" s="14" t="s">
        <v>130</v>
      </c>
      <c r="J9" s="46" t="s">
        <v>2060</v>
      </c>
      <c r="K9" s="44">
        <v>8</v>
      </c>
    </row>
    <row r="10" spans="1:11">
      <c r="B10" s="37">
        <v>4</v>
      </c>
      <c r="C10" s="102" t="s">
        <v>2115</v>
      </c>
      <c r="D10" s="182" t="s">
        <v>2389</v>
      </c>
      <c r="E10" s="182" t="s">
        <v>2351</v>
      </c>
      <c r="F10" s="182" t="s">
        <v>2377</v>
      </c>
      <c r="H10" s="15" t="s">
        <v>131</v>
      </c>
      <c r="J10" s="46" t="s">
        <v>2089</v>
      </c>
      <c r="K10" s="44">
        <f>COUNTA(RPS_Scen!A11:A1048576)</f>
        <v>1624</v>
      </c>
    </row>
    <row r="11" spans="1:11">
      <c r="B11" s="12">
        <v>5</v>
      </c>
      <c r="C11" s="182" t="s">
        <v>2188</v>
      </c>
      <c r="D11" s="182" t="s">
        <v>2389</v>
      </c>
      <c r="E11" s="235" t="s">
        <v>2351</v>
      </c>
      <c r="F11" s="182" t="s">
        <v>2378</v>
      </c>
      <c r="H11" s="3"/>
      <c r="J11" s="46" t="s">
        <v>2110</v>
      </c>
      <c r="K11" s="44">
        <f>COUNTA(C7:C1048576)</f>
        <v>13</v>
      </c>
    </row>
    <row r="12" spans="1:11">
      <c r="B12" s="12">
        <v>6</v>
      </c>
      <c r="C12" s="235" t="s">
        <v>2424</v>
      </c>
      <c r="D12" s="182" t="s">
        <v>2390</v>
      </c>
      <c r="E12" s="182" t="s">
        <v>2366</v>
      </c>
      <c r="F12" s="182" t="s">
        <v>2379</v>
      </c>
      <c r="H12" s="16" t="s">
        <v>133</v>
      </c>
      <c r="J12" s="46" t="s">
        <v>2371</v>
      </c>
      <c r="K12" s="44">
        <f>COUNTA(YearlyInputs!A:A)-1</f>
        <v>26</v>
      </c>
    </row>
    <row r="13" spans="1:11">
      <c r="B13" s="12">
        <v>7</v>
      </c>
      <c r="C13" s="235" t="s">
        <v>2425</v>
      </c>
      <c r="D13" s="182" t="s">
        <v>2390</v>
      </c>
      <c r="E13" s="182" t="s">
        <v>2366</v>
      </c>
      <c r="F13" s="182" t="s">
        <v>2379</v>
      </c>
      <c r="H13" s="14" t="s">
        <v>10</v>
      </c>
      <c r="J13" s="46" t="s">
        <v>2372</v>
      </c>
      <c r="K13" s="44">
        <f>COUNTA(LoadVars!A:A)-1</f>
        <v>116</v>
      </c>
    </row>
    <row r="14" spans="1:11">
      <c r="B14" s="12">
        <v>8</v>
      </c>
      <c r="C14" s="235" t="s">
        <v>2426</v>
      </c>
      <c r="D14" s="182" t="s">
        <v>2391</v>
      </c>
      <c r="E14" s="182" t="s">
        <v>2366</v>
      </c>
      <c r="F14" s="182" t="s">
        <v>2379</v>
      </c>
      <c r="H14" s="14" t="s">
        <v>12</v>
      </c>
    </row>
    <row r="15" spans="1:11">
      <c r="B15" s="12">
        <v>9</v>
      </c>
      <c r="C15" s="182" t="s">
        <v>2386</v>
      </c>
      <c r="D15" s="182" t="s">
        <v>2391</v>
      </c>
      <c r="E15" s="182" t="s">
        <v>2366</v>
      </c>
      <c r="F15" s="182" t="s">
        <v>2378</v>
      </c>
      <c r="H15" s="15" t="s">
        <v>11</v>
      </c>
    </row>
    <row r="16" spans="1:11">
      <c r="B16" s="12">
        <v>10</v>
      </c>
      <c r="C16" s="182" t="s">
        <v>2369</v>
      </c>
      <c r="D16" s="182" t="s">
        <v>2389</v>
      </c>
      <c r="E16" s="182" t="s">
        <v>2364</v>
      </c>
      <c r="F16" s="182" t="s">
        <v>2380</v>
      </c>
    </row>
    <row r="17" spans="2:8">
      <c r="B17" s="12">
        <v>11</v>
      </c>
      <c r="C17" s="182" t="s">
        <v>2370</v>
      </c>
      <c r="D17" s="182" t="s">
        <v>2389</v>
      </c>
      <c r="E17" s="182" t="s">
        <v>2365</v>
      </c>
      <c r="F17" s="182" t="s">
        <v>2381</v>
      </c>
      <c r="H17" s="182" t="s">
        <v>2393</v>
      </c>
    </row>
    <row r="18" spans="2:8">
      <c r="B18" s="12">
        <v>12</v>
      </c>
      <c r="C18" s="182" t="s">
        <v>2387</v>
      </c>
      <c r="D18" s="182" t="s">
        <v>2389</v>
      </c>
      <c r="E18" s="182" t="s">
        <v>2364</v>
      </c>
      <c r="F18" s="182" t="s">
        <v>2378</v>
      </c>
      <c r="H18" s="12">
        <v>1</v>
      </c>
    </row>
    <row r="19" spans="2:8">
      <c r="B19" s="12">
        <v>13</v>
      </c>
      <c r="C19" s="182" t="s">
        <v>2388</v>
      </c>
      <c r="D19" s="182" t="s">
        <v>2389</v>
      </c>
      <c r="E19" s="182" t="s">
        <v>2365</v>
      </c>
      <c r="F19" s="182" t="s">
        <v>2378</v>
      </c>
    </row>
    <row r="20" spans="2:8">
      <c r="H20" s="4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B20"/>
  <sheetViews>
    <sheetView workbookViewId="0">
      <selection activeCell="B26" sqref="B26"/>
    </sheetView>
  </sheetViews>
  <sheetFormatPr defaultRowHeight="15"/>
  <cols>
    <col min="2" max="2" width="140.5703125" bestFit="1" customWidth="1"/>
  </cols>
  <sheetData>
    <row r="4" spans="2:2">
      <c r="B4" s="104" t="s">
        <v>2128</v>
      </c>
    </row>
    <row r="5" spans="2:2">
      <c r="B5" t="s">
        <v>2091</v>
      </c>
    </row>
    <row r="6" spans="2:2">
      <c r="B6" t="s">
        <v>2092</v>
      </c>
    </row>
    <row r="7" spans="2:2">
      <c r="B7" t="s">
        <v>2093</v>
      </c>
    </row>
    <row r="8" spans="2:2">
      <c r="B8" t="s">
        <v>2094</v>
      </c>
    </row>
    <row r="9" spans="2:2">
      <c r="B9" t="s">
        <v>2129</v>
      </c>
    </row>
    <row r="10" spans="2:2">
      <c r="B10" t="s">
        <v>2117</v>
      </c>
    </row>
    <row r="11" spans="2:2">
      <c r="B11" t="s">
        <v>2118</v>
      </c>
    </row>
    <row r="12" spans="2:2">
      <c r="B12" t="s">
        <v>2119</v>
      </c>
    </row>
    <row r="13" spans="2:2">
      <c r="B13" t="s">
        <v>2120</v>
      </c>
    </row>
    <row r="14" spans="2:2">
      <c r="B14" t="s">
        <v>2121</v>
      </c>
    </row>
    <row r="15" spans="2:2">
      <c r="B15" t="s">
        <v>2122</v>
      </c>
    </row>
    <row r="16" spans="2:2">
      <c r="B16" t="s">
        <v>2123</v>
      </c>
    </row>
    <row r="17" spans="2:2">
      <c r="B17" t="s">
        <v>2124</v>
      </c>
    </row>
    <row r="18" spans="2:2">
      <c r="B18" t="s">
        <v>2125</v>
      </c>
    </row>
    <row r="19" spans="2:2">
      <c r="B19" t="s">
        <v>2126</v>
      </c>
    </row>
    <row r="20" spans="2:2">
      <c r="B20" t="s">
        <v>2127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Control Panel</vt:lpstr>
      <vt:lpstr>Capacity</vt:lpstr>
      <vt:lpstr>Loads</vt:lpstr>
      <vt:lpstr>CapData</vt:lpstr>
      <vt:lpstr>RPS NQC</vt:lpstr>
      <vt:lpstr>GeneralInputs</vt:lpstr>
      <vt:lpstr>2011 Prelim NQC Report</vt:lpstr>
      <vt:lpstr>Plants</vt:lpstr>
      <vt:lpstr>RPS_Scen</vt:lpstr>
      <vt:lpstr>LoadVars</vt:lpstr>
      <vt:lpstr>YearlyInputs</vt:lpstr>
      <vt:lpstr>Controls</vt:lpstr>
      <vt:lpstr>CPUCChanges</vt:lpstr>
      <vt:lpstr>chgType</vt:lpstr>
      <vt:lpstr>ctExistingNQC</vt:lpstr>
      <vt:lpstr>ctLoadVar</vt:lpstr>
      <vt:lpstr>ctPlants</vt:lpstr>
      <vt:lpstr>ctRPSproj</vt:lpstr>
      <vt:lpstr>ctRPSsupply</vt:lpstr>
      <vt:lpstr>ctScen</vt:lpstr>
      <vt:lpstr>ctVars</vt:lpstr>
      <vt:lpstr>IOUshares</vt:lpstr>
      <vt:lpstr>month</vt:lpstr>
      <vt:lpstr>PRM</vt:lpstr>
      <vt:lpstr>region</vt:lpstr>
      <vt:lpstr>scenario</vt:lpstr>
      <vt:lpstr>scenGen</vt:lpstr>
      <vt:lpstr>scenLoad</vt:lpstr>
      <vt:lpstr>scenRPS</vt:lpstr>
    </vt:vector>
  </TitlesOfParts>
  <Company>Energy and Environmental Economics,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Allen</dc:creator>
  <cp:lastModifiedBy>Brian Horii</cp:lastModifiedBy>
  <cp:lastPrinted>2011-04-14T18:52:28Z</cp:lastPrinted>
  <dcterms:created xsi:type="dcterms:W3CDTF">2011-02-10T19:00:37Z</dcterms:created>
  <dcterms:modified xsi:type="dcterms:W3CDTF">2012-07-27T17:58:05Z</dcterms:modified>
</cp:coreProperties>
</file>